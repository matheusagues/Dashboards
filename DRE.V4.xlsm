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tables/table3.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tables/table4.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EstaPastaDeTrabalho" hidePivotFieldList="1"/>
  <mc:AlternateContent xmlns:mc="http://schemas.openxmlformats.org/markup-compatibility/2006">
    <mc:Choice Requires="x15">
      <x15ac:absPath xmlns:x15ac="http://schemas.microsoft.com/office/spreadsheetml/2010/11/ac" url="C:\Users\Matheus Hags\OneDrive\Área de Trabalho\Dashboards\"/>
    </mc:Choice>
  </mc:AlternateContent>
  <xr:revisionPtr revIDLastSave="0" documentId="13_ncr:1_{C6A4B606-F004-46DA-828B-C76F298F94C4}" xr6:coauthVersionLast="47" xr6:coauthVersionMax="47" xr10:uidLastSave="{00000000-0000-0000-0000-000000000000}"/>
  <bookViews>
    <workbookView xWindow="-120" yWindow="-120" windowWidth="20730" windowHeight="11760" tabRatio="610" firstSheet="2" activeTab="2" xr2:uid="{38B7CCDE-3F43-4657-9CF6-717AADC36B2D}"/>
  </bookViews>
  <sheets>
    <sheet name="off" sheetId="1" state="hidden" r:id="rId1"/>
    <sheet name="Aux" sheetId="10" r:id="rId2"/>
    <sheet name="Dashboard" sheetId="11" r:id="rId3"/>
    <sheet name="DRE" sheetId="5" r:id="rId4"/>
    <sheet name="DataBase" sheetId="9" r:id="rId5"/>
    <sheet name="Apoio" sheetId="6" r:id="rId6"/>
    <sheet name="Kutools_Chart" sheetId="13" state="hidden" r:id="rId7"/>
  </sheets>
  <definedNames>
    <definedName name="_xlchart.v2.0" hidden="1">Apoio!$Y$4:$Y$8</definedName>
    <definedName name="_xlchart.v2.1" hidden="1">Apoio!$Z$4:$Z$8</definedName>
    <definedName name="SegmentaçãodeDados_ANO1">#N/A</definedName>
    <definedName name="SegmentaçãodeDados_MÊS1">#N/A</definedName>
  </definedNames>
  <calcPr calcId="191029"/>
  <pivotCaches>
    <pivotCache cacheId="27" r:id="rId8"/>
  </pivotCaches>
  <extLs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74" i="6" l="1"/>
  <c r="G71" i="6"/>
  <c r="G78" i="6"/>
  <c r="G76" i="6"/>
  <c r="G75" i="6"/>
  <c r="G73" i="6"/>
  <c r="S11" i="6"/>
  <c r="AJ24" i="6"/>
  <c r="AK24" i="6"/>
  <c r="AK20" i="6"/>
  <c r="AK19" i="6"/>
  <c r="AK18" i="6"/>
  <c r="AG15" i="6" l="1"/>
  <c r="Y4" i="6"/>
  <c r="Z6" i="6"/>
  <c r="Z8" i="6"/>
  <c r="AR19" i="6"/>
  <c r="AS9" i="6"/>
  <c r="AS10" i="6"/>
  <c r="AQ16" i="6"/>
  <c r="AR12" i="6" s="1"/>
  <c r="AR20" i="6" s="1"/>
  <c r="S9" i="6"/>
  <c r="S6" i="6"/>
  <c r="AG16" i="6"/>
  <c r="AG17" i="6"/>
  <c r="AG18" i="6"/>
  <c r="AG6" i="6"/>
  <c r="AG7" i="6"/>
  <c r="AG8" i="6"/>
  <c r="AG5" i="6"/>
  <c r="M8" i="13"/>
  <c r="M1" i="13"/>
  <c r="L8" i="13"/>
  <c r="L1" i="13"/>
  <c r="K8" i="13"/>
  <c r="K1" i="13"/>
  <c r="J8" i="13"/>
  <c r="J1" i="13"/>
  <c r="I8" i="13"/>
  <c r="I1" i="13"/>
  <c r="H8" i="13"/>
  <c r="H1" i="13"/>
  <c r="G8" i="13"/>
  <c r="G1" i="13"/>
  <c r="F8" i="13"/>
  <c r="F1" i="13"/>
  <c r="E8" i="13"/>
  <c r="E1" i="13"/>
  <c r="D8" i="13"/>
  <c r="D1" i="13"/>
  <c r="B8" i="13"/>
  <c r="B1" i="13"/>
  <c r="A8" i="13"/>
  <c r="A1" i="13"/>
  <c r="AK21" i="6"/>
  <c r="AK22" i="6"/>
  <c r="AK23" i="6"/>
  <c r="AJ19" i="6"/>
  <c r="AJ20" i="6"/>
  <c r="AJ21" i="6"/>
  <c r="AJ22" i="6"/>
  <c r="AJ23" i="6"/>
  <c r="AJ18" i="6"/>
  <c r="Z5" i="6"/>
  <c r="Z7" i="6"/>
  <c r="Z4" i="6"/>
  <c r="Y5" i="6"/>
  <c r="Y6" i="6"/>
  <c r="Y7" i="6"/>
  <c r="Y8" i="6"/>
  <c r="S4" i="6"/>
  <c r="E2" i="9"/>
  <c r="AK25" i="6" l="1"/>
  <c r="AS12" i="6"/>
  <c r="AR8" i="6"/>
  <c r="A5" i="13"/>
  <c r="I5" i="13" s="1"/>
  <c r="A6" i="13"/>
  <c r="I6" i="13" s="1"/>
  <c r="A4" i="13"/>
  <c r="D4" i="13" s="1"/>
  <c r="A7" i="13"/>
  <c r="D7" i="13" s="1"/>
  <c r="A2" i="13"/>
  <c r="B7" i="13"/>
  <c r="B4" i="13"/>
  <c r="A3" i="13"/>
  <c r="B2" i="13"/>
  <c r="C1" i="13"/>
  <c r="B3" i="13"/>
  <c r="B6" i="13"/>
  <c r="B5" i="13"/>
  <c r="M6" i="6"/>
  <c r="E3" i="9"/>
  <c r="E4" i="9"/>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E45" i="9"/>
  <c r="E46" i="9"/>
  <c r="E47" i="9"/>
  <c r="E48" i="9"/>
  <c r="E49" i="9"/>
  <c r="E50" i="9"/>
  <c r="E51" i="9"/>
  <c r="E52" i="9"/>
  <c r="E53" i="9"/>
  <c r="E54" i="9"/>
  <c r="E55" i="9"/>
  <c r="E56" i="9"/>
  <c r="E57" i="9"/>
  <c r="E58" i="9"/>
  <c r="E59" i="9"/>
  <c r="E60" i="9"/>
  <c r="E61" i="9"/>
  <c r="E62" i="9"/>
  <c r="E63" i="9"/>
  <c r="E64" i="9"/>
  <c r="E65" i="9"/>
  <c r="E66" i="9"/>
  <c r="E67" i="9"/>
  <c r="E68" i="9"/>
  <c r="E69" i="9"/>
  <c r="E70" i="9"/>
  <c r="E71" i="9"/>
  <c r="E72" i="9"/>
  <c r="E73" i="9"/>
  <c r="E74" i="9"/>
  <c r="E75" i="9"/>
  <c r="E76" i="9"/>
  <c r="E77" i="9"/>
  <c r="E78" i="9"/>
  <c r="E79" i="9"/>
  <c r="E80" i="9"/>
  <c r="E81" i="9"/>
  <c r="E82" i="9"/>
  <c r="E83" i="9"/>
  <c r="E84" i="9"/>
  <c r="E85" i="9"/>
  <c r="E86" i="9"/>
  <c r="E87" i="9"/>
  <c r="E88" i="9"/>
  <c r="E89" i="9"/>
  <c r="E90" i="9"/>
  <c r="E91" i="9"/>
  <c r="E92" i="9"/>
  <c r="E93" i="9"/>
  <c r="E94" i="9"/>
  <c r="E95" i="9"/>
  <c r="E96" i="9"/>
  <c r="E97" i="9"/>
  <c r="E98" i="9"/>
  <c r="E99" i="9"/>
  <c r="E100" i="9"/>
  <c r="E101" i="9"/>
  <c r="E102" i="9"/>
  <c r="E103" i="9"/>
  <c r="E104" i="9"/>
  <c r="E105" i="9"/>
  <c r="E106" i="9"/>
  <c r="E107" i="9"/>
  <c r="E108" i="9"/>
  <c r="E109" i="9"/>
  <c r="E110" i="9"/>
  <c r="E111" i="9"/>
  <c r="E112" i="9"/>
  <c r="E113" i="9"/>
  <c r="E114" i="9"/>
  <c r="E115" i="9"/>
  <c r="E116" i="9"/>
  <c r="E117" i="9"/>
  <c r="E118" i="9"/>
  <c r="E119" i="9"/>
  <c r="E120" i="9"/>
  <c r="E121" i="9"/>
  <c r="E122" i="9"/>
  <c r="E123" i="9"/>
  <c r="E124" i="9"/>
  <c r="E125" i="9"/>
  <c r="E126" i="9"/>
  <c r="E127" i="9"/>
  <c r="E128" i="9"/>
  <c r="E129" i="9"/>
  <c r="E130" i="9"/>
  <c r="E131" i="9"/>
  <c r="E132" i="9"/>
  <c r="E133" i="9"/>
  <c r="E134" i="9"/>
  <c r="E135" i="9"/>
  <c r="E136" i="9"/>
  <c r="E137" i="9"/>
  <c r="E138" i="9"/>
  <c r="E139" i="9"/>
  <c r="E140" i="9"/>
  <c r="E141" i="9"/>
  <c r="E142" i="9"/>
  <c r="E143" i="9"/>
  <c r="E144" i="9"/>
  <c r="E145" i="9"/>
  <c r="E146" i="9"/>
  <c r="E147" i="9"/>
  <c r="E148" i="9"/>
  <c r="E149" i="9"/>
  <c r="E150" i="9"/>
  <c r="E151" i="9"/>
  <c r="E152" i="9"/>
  <c r="E153" i="9"/>
  <c r="E154" i="9"/>
  <c r="E155" i="9"/>
  <c r="E156" i="9"/>
  <c r="E157" i="9"/>
  <c r="E158" i="9"/>
  <c r="E159" i="9"/>
  <c r="E160" i="9"/>
  <c r="E161" i="9"/>
  <c r="E162" i="9"/>
  <c r="E163" i="9"/>
  <c r="E164" i="9"/>
  <c r="E165" i="9"/>
  <c r="E166" i="9"/>
  <c r="E167" i="9"/>
  <c r="E168" i="9"/>
  <c r="E169" i="9"/>
  <c r="E170" i="9"/>
  <c r="E171" i="9"/>
  <c r="E172" i="9"/>
  <c r="E173" i="9"/>
  <c r="E174" i="9"/>
  <c r="E175" i="9"/>
  <c r="E176" i="9"/>
  <c r="E177" i="9"/>
  <c r="E178" i="9"/>
  <c r="E179" i="9"/>
  <c r="E180" i="9"/>
  <c r="E181" i="9"/>
  <c r="E182" i="9"/>
  <c r="E183" i="9"/>
  <c r="E184" i="9"/>
  <c r="E185" i="9"/>
  <c r="E186" i="9"/>
  <c r="E187" i="9"/>
  <c r="E188" i="9"/>
  <c r="E189" i="9"/>
  <c r="E190" i="9"/>
  <c r="E191" i="9"/>
  <c r="E192" i="9"/>
  <c r="E193" i="9"/>
  <c r="E194" i="9"/>
  <c r="E195" i="9"/>
  <c r="E196" i="9"/>
  <c r="E197" i="9"/>
  <c r="E198" i="9"/>
  <c r="E199" i="9"/>
  <c r="E200" i="9"/>
  <c r="E201" i="9"/>
  <c r="E202" i="9"/>
  <c r="E203" i="9"/>
  <c r="E204" i="9"/>
  <c r="E205" i="9"/>
  <c r="E206" i="9"/>
  <c r="E207" i="9"/>
  <c r="E208" i="9"/>
  <c r="E209" i="9"/>
  <c r="E210" i="9"/>
  <c r="E211" i="9"/>
  <c r="E212" i="9"/>
  <c r="E213" i="9"/>
  <c r="E214" i="9"/>
  <c r="E215" i="9"/>
  <c r="E216" i="9"/>
  <c r="E217" i="9"/>
  <c r="E218" i="9"/>
  <c r="E219" i="9"/>
  <c r="E220" i="9"/>
  <c r="E221" i="9"/>
  <c r="E222" i="9"/>
  <c r="E223" i="9"/>
  <c r="E224" i="9"/>
  <c r="E225" i="9"/>
  <c r="E226" i="9"/>
  <c r="E227" i="9"/>
  <c r="E228" i="9"/>
  <c r="E229" i="9"/>
  <c r="E230" i="9"/>
  <c r="E231" i="9"/>
  <c r="E232" i="9"/>
  <c r="E233" i="9"/>
  <c r="E234" i="9"/>
  <c r="E235" i="9"/>
  <c r="E236" i="9"/>
  <c r="E237" i="9"/>
  <c r="E238" i="9"/>
  <c r="E239" i="9"/>
  <c r="E240" i="9"/>
  <c r="E241" i="9"/>
  <c r="E242" i="9"/>
  <c r="E243" i="9"/>
  <c r="E244" i="9"/>
  <c r="E245" i="9"/>
  <c r="E246" i="9"/>
  <c r="E247" i="9"/>
  <c r="E248" i="9"/>
  <c r="E249" i="9"/>
  <c r="E250" i="9"/>
  <c r="E251" i="9"/>
  <c r="E252" i="9"/>
  <c r="E253" i="9"/>
  <c r="E254" i="9"/>
  <c r="E255" i="9"/>
  <c r="E256" i="9"/>
  <c r="E257" i="9"/>
  <c r="E258" i="9"/>
  <c r="E259" i="9"/>
  <c r="E260" i="9"/>
  <c r="E261" i="9"/>
  <c r="E262" i="9"/>
  <c r="E263" i="9"/>
  <c r="E264" i="9"/>
  <c r="E265" i="9"/>
  <c r="E266" i="9"/>
  <c r="E267" i="9"/>
  <c r="E268" i="9"/>
  <c r="E269" i="9"/>
  <c r="E270" i="9"/>
  <c r="E271" i="9"/>
  <c r="E272" i="9"/>
  <c r="E273" i="9"/>
  <c r="E274" i="9"/>
  <c r="E275" i="9"/>
  <c r="E276" i="9"/>
  <c r="E277" i="9"/>
  <c r="E278" i="9"/>
  <c r="E279" i="9"/>
  <c r="E280" i="9"/>
  <c r="E281" i="9"/>
  <c r="E282" i="9"/>
  <c r="E283" i="9"/>
  <c r="E284" i="9"/>
  <c r="E285" i="9"/>
  <c r="E286" i="9"/>
  <c r="E287" i="9"/>
  <c r="E288" i="9"/>
  <c r="E289" i="9"/>
  <c r="E290" i="9"/>
  <c r="E291" i="9"/>
  <c r="E292" i="9"/>
  <c r="E293" i="9"/>
  <c r="E294" i="9"/>
  <c r="E295" i="9"/>
  <c r="E296" i="9"/>
  <c r="E297" i="9"/>
  <c r="E298" i="9"/>
  <c r="E299" i="9"/>
  <c r="E300" i="9"/>
  <c r="E301" i="9"/>
  <c r="E302" i="9"/>
  <c r="E303" i="9"/>
  <c r="E304" i="9"/>
  <c r="E305" i="9"/>
  <c r="E306" i="9"/>
  <c r="E307" i="9"/>
  <c r="E308" i="9"/>
  <c r="E309" i="9"/>
  <c r="E310" i="9"/>
  <c r="E311" i="9"/>
  <c r="E312" i="9"/>
  <c r="E313" i="9"/>
  <c r="E314" i="9"/>
  <c r="E315" i="9"/>
  <c r="E316" i="9"/>
  <c r="E317" i="9"/>
  <c r="E318" i="9"/>
  <c r="E319" i="9"/>
  <c r="E320" i="9"/>
  <c r="E321" i="9"/>
  <c r="E322" i="9"/>
  <c r="E323" i="9"/>
  <c r="E324" i="9"/>
  <c r="E325" i="9"/>
  <c r="E326" i="9"/>
  <c r="E327" i="9"/>
  <c r="E328" i="9"/>
  <c r="E329" i="9"/>
  <c r="E330" i="9"/>
  <c r="E331" i="9"/>
  <c r="E332" i="9"/>
  <c r="E333" i="9"/>
  <c r="E334" i="9"/>
  <c r="E335" i="9"/>
  <c r="E336" i="9"/>
  <c r="E337" i="9"/>
  <c r="E338" i="9"/>
  <c r="E339" i="9"/>
  <c r="E340" i="9"/>
  <c r="E341" i="9"/>
  <c r="E342" i="9"/>
  <c r="E343" i="9"/>
  <c r="E344" i="9"/>
  <c r="E345" i="9"/>
  <c r="E346" i="9"/>
  <c r="E347" i="9"/>
  <c r="E348" i="9"/>
  <c r="E349" i="9"/>
  <c r="E350" i="9"/>
  <c r="E351" i="9"/>
  <c r="E352" i="9"/>
  <c r="E353" i="9"/>
  <c r="E354" i="9"/>
  <c r="E355" i="9"/>
  <c r="E356" i="9"/>
  <c r="E357" i="9"/>
  <c r="E358" i="9"/>
  <c r="E359" i="9"/>
  <c r="E360" i="9"/>
  <c r="E361" i="9"/>
  <c r="E362" i="9"/>
  <c r="E363" i="9"/>
  <c r="E364" i="9"/>
  <c r="E365" i="9"/>
  <c r="E366" i="9"/>
  <c r="E367" i="9"/>
  <c r="E368" i="9"/>
  <c r="E369" i="9"/>
  <c r="E370" i="9"/>
  <c r="E371" i="9"/>
  <c r="E372" i="9"/>
  <c r="E373" i="9"/>
  <c r="E374" i="9"/>
  <c r="E375" i="9"/>
  <c r="E376" i="9"/>
  <c r="E377" i="9"/>
  <c r="E378" i="9"/>
  <c r="E379" i="9"/>
  <c r="E380" i="9"/>
  <c r="E381" i="9"/>
  <c r="E382" i="9"/>
  <c r="E383" i="9"/>
  <c r="E384" i="9"/>
  <c r="E385" i="9"/>
  <c r="E386" i="9"/>
  <c r="E387" i="9"/>
  <c r="E388" i="9"/>
  <c r="E389" i="9"/>
  <c r="E390" i="9"/>
  <c r="E391" i="9"/>
  <c r="E392" i="9"/>
  <c r="E393" i="9"/>
  <c r="E394" i="9"/>
  <c r="E395" i="9"/>
  <c r="E396" i="9"/>
  <c r="E397" i="9"/>
  <c r="E398" i="9"/>
  <c r="E399" i="9"/>
  <c r="E400" i="9"/>
  <c r="E401" i="9"/>
  <c r="E402" i="9"/>
  <c r="E403" i="9"/>
  <c r="E404" i="9"/>
  <c r="E405" i="9"/>
  <c r="E406" i="9"/>
  <c r="E407" i="9"/>
  <c r="E408" i="9"/>
  <c r="E409" i="9"/>
  <c r="E410" i="9"/>
  <c r="E411" i="9"/>
  <c r="E412" i="9"/>
  <c r="E413" i="9"/>
  <c r="E414" i="9"/>
  <c r="E415" i="9"/>
  <c r="E416" i="9"/>
  <c r="E417" i="9"/>
  <c r="E418" i="9"/>
  <c r="E419" i="9"/>
  <c r="E420" i="9"/>
  <c r="E421" i="9"/>
  <c r="E422" i="9"/>
  <c r="E423" i="9"/>
  <c r="E424" i="9"/>
  <c r="E425" i="9"/>
  <c r="E426" i="9"/>
  <c r="E427" i="9"/>
  <c r="E428" i="9"/>
  <c r="E429" i="9"/>
  <c r="E430" i="9"/>
  <c r="E431" i="9"/>
  <c r="E432" i="9"/>
  <c r="E433" i="9"/>
  <c r="E434" i="9"/>
  <c r="E435" i="9"/>
  <c r="E436" i="9"/>
  <c r="E437" i="9"/>
  <c r="E438" i="9"/>
  <c r="E439" i="9"/>
  <c r="E440" i="9"/>
  <c r="E441" i="9"/>
  <c r="E442" i="9"/>
  <c r="E443" i="9"/>
  <c r="E444" i="9"/>
  <c r="E445" i="9"/>
  <c r="E446" i="9"/>
  <c r="E447" i="9"/>
  <c r="E448" i="9"/>
  <c r="E449" i="9"/>
  <c r="E450" i="9"/>
  <c r="E451" i="9"/>
  <c r="E452" i="9"/>
  <c r="E453" i="9"/>
  <c r="E454" i="9"/>
  <c r="E455" i="9"/>
  <c r="E456" i="9"/>
  <c r="E457" i="9"/>
  <c r="E458" i="9"/>
  <c r="E459" i="9"/>
  <c r="E460" i="9"/>
  <c r="E461" i="9"/>
  <c r="E462" i="9"/>
  <c r="E463" i="9"/>
  <c r="E464" i="9"/>
  <c r="E465" i="9"/>
  <c r="E466" i="9"/>
  <c r="E467" i="9"/>
  <c r="E468" i="9"/>
  <c r="E469" i="9"/>
  <c r="E470" i="9"/>
  <c r="E471" i="9"/>
  <c r="E472" i="9"/>
  <c r="E473" i="9"/>
  <c r="E474" i="9"/>
  <c r="E475" i="9"/>
  <c r="E476" i="9"/>
  <c r="E477" i="9"/>
  <c r="E478" i="9"/>
  <c r="E479" i="9"/>
  <c r="E480" i="9"/>
  <c r="E481" i="9"/>
  <c r="E482" i="9"/>
  <c r="E483" i="9"/>
  <c r="E484" i="9"/>
  <c r="E485" i="9"/>
  <c r="E486" i="9"/>
  <c r="E487" i="9"/>
  <c r="E488" i="9"/>
  <c r="E489" i="9"/>
  <c r="E490" i="9"/>
  <c r="E491" i="9"/>
  <c r="E492" i="9"/>
  <c r="E493" i="9"/>
  <c r="E494" i="9"/>
  <c r="E495" i="9"/>
  <c r="E496" i="9"/>
  <c r="E497" i="9"/>
  <c r="E498" i="9"/>
  <c r="E499" i="9"/>
  <c r="E500" i="9"/>
  <c r="E501" i="9"/>
  <c r="E502" i="9"/>
  <c r="E503" i="9"/>
  <c r="E504" i="9"/>
  <c r="E505" i="9"/>
  <c r="E506" i="9"/>
  <c r="E507" i="9"/>
  <c r="E508" i="9"/>
  <c r="E509" i="9"/>
  <c r="E510" i="9"/>
  <c r="E511" i="9"/>
  <c r="E512" i="9"/>
  <c r="E513" i="9"/>
  <c r="E514" i="9"/>
  <c r="E515" i="9"/>
  <c r="E516" i="9"/>
  <c r="E517" i="9"/>
  <c r="E518" i="9"/>
  <c r="E519" i="9"/>
  <c r="E520" i="9"/>
  <c r="E521" i="9"/>
  <c r="E522" i="9"/>
  <c r="E523" i="9"/>
  <c r="E524" i="9"/>
  <c r="E525" i="9"/>
  <c r="E526" i="9"/>
  <c r="E527" i="9"/>
  <c r="E528" i="9"/>
  <c r="E529" i="9"/>
  <c r="E530" i="9"/>
  <c r="E531" i="9"/>
  <c r="E532" i="9"/>
  <c r="E533" i="9"/>
  <c r="E534" i="9"/>
  <c r="E535" i="9"/>
  <c r="E536" i="9"/>
  <c r="E537" i="9"/>
  <c r="E538" i="9"/>
  <c r="E539" i="9"/>
  <c r="E540" i="9"/>
  <c r="E541" i="9"/>
  <c r="E542" i="9"/>
  <c r="E543" i="9"/>
  <c r="E544" i="9"/>
  <c r="E545" i="9"/>
  <c r="E546" i="9"/>
  <c r="E547" i="9"/>
  <c r="E548" i="9"/>
  <c r="E549" i="9"/>
  <c r="E550" i="9"/>
  <c r="E551" i="9"/>
  <c r="E552" i="9"/>
  <c r="E553" i="9"/>
  <c r="E554" i="9"/>
  <c r="E555" i="9"/>
  <c r="E556" i="9"/>
  <c r="E557" i="9"/>
  <c r="E558" i="9"/>
  <c r="E559" i="9"/>
  <c r="E560" i="9"/>
  <c r="E561" i="9"/>
  <c r="E562" i="9"/>
  <c r="E563" i="9"/>
  <c r="E564" i="9"/>
  <c r="E565" i="9"/>
  <c r="E566" i="9"/>
  <c r="E567" i="9"/>
  <c r="E568" i="9"/>
  <c r="E569" i="9"/>
  <c r="E570" i="9"/>
  <c r="E571" i="9"/>
  <c r="E572" i="9"/>
  <c r="E573" i="9"/>
  <c r="E574" i="9"/>
  <c r="E575" i="9"/>
  <c r="E576" i="9"/>
  <c r="E577" i="9"/>
  <c r="E578" i="9"/>
  <c r="E579" i="9"/>
  <c r="E580" i="9"/>
  <c r="E581" i="9"/>
  <c r="E582" i="9"/>
  <c r="E583" i="9"/>
  <c r="E584" i="9"/>
  <c r="E585" i="9"/>
  <c r="E586" i="9"/>
  <c r="E587" i="9"/>
  <c r="E588" i="9"/>
  <c r="E589" i="9"/>
  <c r="E590" i="9"/>
  <c r="E591" i="9"/>
  <c r="E592" i="9"/>
  <c r="E593" i="9"/>
  <c r="E594" i="9"/>
  <c r="E595" i="9"/>
  <c r="E596" i="9"/>
  <c r="E597" i="9"/>
  <c r="E598" i="9"/>
  <c r="E599" i="9"/>
  <c r="E600" i="9"/>
  <c r="E601" i="9"/>
  <c r="E602" i="9"/>
  <c r="E603" i="9"/>
  <c r="E604" i="9"/>
  <c r="E605" i="9"/>
  <c r="E606" i="9"/>
  <c r="E607" i="9"/>
  <c r="E608" i="9"/>
  <c r="E609" i="9"/>
  <c r="E610" i="9"/>
  <c r="E611" i="9"/>
  <c r="E612" i="9"/>
  <c r="E613" i="9"/>
  <c r="E614" i="9"/>
  <c r="E615" i="9"/>
  <c r="E616" i="9"/>
  <c r="E617" i="9"/>
  <c r="E618" i="9"/>
  <c r="E619" i="9"/>
  <c r="E620" i="9"/>
  <c r="E621" i="9"/>
  <c r="E622" i="9"/>
  <c r="E623" i="9"/>
  <c r="E624" i="9"/>
  <c r="E625" i="9"/>
  <c r="E626" i="9"/>
  <c r="E627" i="9"/>
  <c r="E628" i="9"/>
  <c r="E629" i="9"/>
  <c r="E630" i="9"/>
  <c r="E631" i="9"/>
  <c r="E632" i="9"/>
  <c r="E633" i="9"/>
  <c r="E634" i="9"/>
  <c r="E635" i="9"/>
  <c r="E636" i="9"/>
  <c r="E637" i="9"/>
  <c r="E638" i="9"/>
  <c r="E639" i="9"/>
  <c r="E640" i="9"/>
  <c r="E641" i="9"/>
  <c r="E642" i="9"/>
  <c r="E643" i="9"/>
  <c r="E644" i="9"/>
  <c r="E645" i="9"/>
  <c r="E646" i="9"/>
  <c r="E647" i="9"/>
  <c r="E648" i="9"/>
  <c r="E649" i="9"/>
  <c r="E650" i="9"/>
  <c r="E651" i="9"/>
  <c r="E652" i="9"/>
  <c r="E653" i="9"/>
  <c r="E654" i="9"/>
  <c r="E655" i="9"/>
  <c r="E656" i="9"/>
  <c r="E657" i="9"/>
  <c r="E658" i="9"/>
  <c r="E659" i="9"/>
  <c r="E660" i="9"/>
  <c r="E661" i="9"/>
  <c r="E662" i="9"/>
  <c r="E663" i="9"/>
  <c r="E664" i="9"/>
  <c r="E665" i="9"/>
  <c r="E666" i="9"/>
  <c r="E667" i="9"/>
  <c r="E668" i="9"/>
  <c r="E669" i="9"/>
  <c r="E670" i="9"/>
  <c r="E671" i="9"/>
  <c r="E672" i="9"/>
  <c r="E673" i="9"/>
  <c r="E674" i="9"/>
  <c r="E675" i="9"/>
  <c r="E676" i="9"/>
  <c r="E677" i="9"/>
  <c r="E678" i="9"/>
  <c r="E679" i="9"/>
  <c r="E680" i="9"/>
  <c r="E681" i="9"/>
  <c r="E682" i="9"/>
  <c r="E683" i="9"/>
  <c r="E684" i="9"/>
  <c r="E685" i="9"/>
  <c r="E686" i="9"/>
  <c r="E687" i="9"/>
  <c r="E688" i="9"/>
  <c r="E689" i="9"/>
  <c r="E690" i="9"/>
  <c r="E691" i="9"/>
  <c r="E692" i="9"/>
  <c r="E693" i="9"/>
  <c r="E694" i="9"/>
  <c r="E695" i="9"/>
  <c r="E696" i="9"/>
  <c r="E697" i="9"/>
  <c r="E698" i="9"/>
  <c r="E699" i="9"/>
  <c r="E700" i="9"/>
  <c r="E701" i="9"/>
  <c r="E702" i="9"/>
  <c r="E703" i="9"/>
  <c r="E704" i="9"/>
  <c r="E705" i="9"/>
  <c r="E706" i="9"/>
  <c r="E707" i="9"/>
  <c r="E708" i="9"/>
  <c r="E709" i="9"/>
  <c r="E710" i="9"/>
  <c r="E711" i="9"/>
  <c r="E712" i="9"/>
  <c r="E713" i="9"/>
  <c r="E714" i="9"/>
  <c r="E715" i="9"/>
  <c r="E716" i="9"/>
  <c r="E717" i="9"/>
  <c r="E718" i="9"/>
  <c r="E719" i="9"/>
  <c r="E720" i="9"/>
  <c r="E721" i="9"/>
  <c r="E722" i="9"/>
  <c r="E723" i="9"/>
  <c r="E724" i="9"/>
  <c r="E725" i="9"/>
  <c r="E726" i="9"/>
  <c r="E727" i="9"/>
  <c r="E728" i="9"/>
  <c r="E729" i="9"/>
  <c r="E730" i="9"/>
  <c r="E731" i="9"/>
  <c r="E732" i="9"/>
  <c r="E733" i="9"/>
  <c r="E734" i="9"/>
  <c r="E735" i="9"/>
  <c r="E736" i="9"/>
  <c r="E737" i="9"/>
  <c r="E738" i="9"/>
  <c r="E739" i="9"/>
  <c r="E740" i="9"/>
  <c r="E741" i="9"/>
  <c r="E742" i="9"/>
  <c r="E743" i="9"/>
  <c r="E744" i="9"/>
  <c r="E745" i="9"/>
  <c r="E746" i="9"/>
  <c r="E747" i="9"/>
  <c r="E748" i="9"/>
  <c r="E749" i="9"/>
  <c r="E750" i="9"/>
  <c r="E751" i="9"/>
  <c r="E752" i="9"/>
  <c r="E753" i="9"/>
  <c r="E754" i="9"/>
  <c r="E755" i="9"/>
  <c r="E756" i="9"/>
  <c r="E757" i="9"/>
  <c r="E758" i="9"/>
  <c r="E759" i="9"/>
  <c r="E760" i="9"/>
  <c r="E761" i="9"/>
  <c r="E762" i="9"/>
  <c r="E763" i="9"/>
  <c r="E764" i="9"/>
  <c r="E765" i="9"/>
  <c r="E766" i="9"/>
  <c r="E767" i="9"/>
  <c r="E768" i="9"/>
  <c r="E769" i="9"/>
  <c r="E770" i="9"/>
  <c r="E771" i="9"/>
  <c r="E772" i="9"/>
  <c r="E773" i="9"/>
  <c r="E774" i="9"/>
  <c r="E775" i="9"/>
  <c r="E776" i="9"/>
  <c r="E777" i="9"/>
  <c r="E778" i="9"/>
  <c r="E779" i="9"/>
  <c r="E780" i="9"/>
  <c r="E781" i="9"/>
  <c r="E782" i="9"/>
  <c r="E783" i="9"/>
  <c r="E784" i="9"/>
  <c r="E785" i="9"/>
  <c r="E786" i="9"/>
  <c r="E787" i="9"/>
  <c r="E788" i="9"/>
  <c r="E789" i="9"/>
  <c r="E790" i="9"/>
  <c r="E791" i="9"/>
  <c r="E792" i="9"/>
  <c r="E793" i="9"/>
  <c r="E794" i="9"/>
  <c r="E795" i="9"/>
  <c r="E796" i="9"/>
  <c r="E797" i="9"/>
  <c r="E798" i="9"/>
  <c r="E799" i="9"/>
  <c r="E800" i="9"/>
  <c r="E801" i="9"/>
  <c r="E802" i="9"/>
  <c r="E803" i="9"/>
  <c r="E804" i="9"/>
  <c r="E805" i="9"/>
  <c r="E806" i="9"/>
  <c r="E807" i="9"/>
  <c r="E808" i="9"/>
  <c r="E809" i="9"/>
  <c r="E810" i="9"/>
  <c r="E811" i="9"/>
  <c r="E812" i="9"/>
  <c r="E813" i="9"/>
  <c r="E814" i="9"/>
  <c r="E815" i="9"/>
  <c r="E816" i="9"/>
  <c r="E817" i="9"/>
  <c r="E818" i="9"/>
  <c r="E819" i="9"/>
  <c r="E820" i="9"/>
  <c r="E821" i="9"/>
  <c r="E822" i="9"/>
  <c r="E823" i="9"/>
  <c r="E824" i="9"/>
  <c r="E825" i="9"/>
  <c r="E826" i="9"/>
  <c r="E827" i="9"/>
  <c r="E828" i="9"/>
  <c r="E829" i="9"/>
  <c r="E830" i="9"/>
  <c r="E831" i="9"/>
  <c r="E832" i="9"/>
  <c r="E833" i="9"/>
  <c r="E834" i="9"/>
  <c r="E835" i="9"/>
  <c r="E836" i="9"/>
  <c r="E837" i="9"/>
  <c r="E838" i="9"/>
  <c r="E839" i="9"/>
  <c r="E840" i="9"/>
  <c r="E841" i="9"/>
  <c r="E842" i="9"/>
  <c r="E843" i="9"/>
  <c r="E844" i="9"/>
  <c r="E845" i="9"/>
  <c r="E846" i="9"/>
  <c r="E847" i="9"/>
  <c r="E848" i="9"/>
  <c r="E849" i="9"/>
  <c r="E850" i="9"/>
  <c r="E851" i="9"/>
  <c r="E852" i="9"/>
  <c r="E853" i="9"/>
  <c r="E854" i="9"/>
  <c r="E855" i="9"/>
  <c r="E856" i="9"/>
  <c r="E857" i="9"/>
  <c r="E858" i="9"/>
  <c r="E859" i="9"/>
  <c r="E860" i="9"/>
  <c r="E861" i="9"/>
  <c r="E862" i="9"/>
  <c r="E863" i="9"/>
  <c r="E864" i="9"/>
  <c r="E865" i="9"/>
  <c r="E866" i="9"/>
  <c r="E867" i="9"/>
  <c r="E868" i="9"/>
  <c r="E869" i="9"/>
  <c r="E870" i="9"/>
  <c r="E871" i="9"/>
  <c r="E872" i="9"/>
  <c r="E873" i="9"/>
  <c r="E874" i="9"/>
  <c r="E875" i="9"/>
  <c r="E876" i="9"/>
  <c r="E877" i="9"/>
  <c r="E878" i="9"/>
  <c r="E879" i="9"/>
  <c r="E880" i="9"/>
  <c r="E881" i="9"/>
  <c r="E882" i="9"/>
  <c r="E883" i="9"/>
  <c r="E884" i="9"/>
  <c r="E885" i="9"/>
  <c r="E886" i="9"/>
  <c r="E887" i="9"/>
  <c r="E888" i="9"/>
  <c r="E889" i="9"/>
  <c r="E890" i="9"/>
  <c r="E891" i="9"/>
  <c r="E892" i="9"/>
  <c r="E893" i="9"/>
  <c r="E894" i="9"/>
  <c r="E895" i="9"/>
  <c r="E896" i="9"/>
  <c r="E897" i="9"/>
  <c r="E898" i="9"/>
  <c r="E899" i="9"/>
  <c r="E900" i="9"/>
  <c r="E901" i="9"/>
  <c r="E902" i="9"/>
  <c r="E903" i="9"/>
  <c r="E904" i="9"/>
  <c r="E905" i="9"/>
  <c r="E906" i="9"/>
  <c r="E907" i="9"/>
  <c r="E908" i="9"/>
  <c r="E909" i="9"/>
  <c r="E910" i="9"/>
  <c r="E911" i="9"/>
  <c r="E912" i="9"/>
  <c r="E913" i="9"/>
  <c r="E914" i="9"/>
  <c r="E915" i="9"/>
  <c r="E916" i="9"/>
  <c r="E917" i="9"/>
  <c r="E918" i="9"/>
  <c r="E919" i="9"/>
  <c r="E920" i="9"/>
  <c r="E921" i="9"/>
  <c r="E922" i="9"/>
  <c r="E923" i="9"/>
  <c r="E924" i="9"/>
  <c r="E925" i="9"/>
  <c r="E926" i="9"/>
  <c r="E927" i="9"/>
  <c r="E928" i="9"/>
  <c r="E929" i="9"/>
  <c r="E930" i="9"/>
  <c r="E931" i="9"/>
  <c r="E932" i="9"/>
  <c r="E933" i="9"/>
  <c r="E934" i="9"/>
  <c r="E935" i="9"/>
  <c r="E936" i="9"/>
  <c r="E937" i="9"/>
  <c r="E938" i="9"/>
  <c r="E939" i="9"/>
  <c r="E940" i="9"/>
  <c r="E941" i="9"/>
  <c r="E942" i="9"/>
  <c r="E943" i="9"/>
  <c r="E944" i="9"/>
  <c r="E945" i="9"/>
  <c r="E946" i="9"/>
  <c r="E947" i="9"/>
  <c r="E948" i="9"/>
  <c r="E949" i="9"/>
  <c r="E950" i="9"/>
  <c r="E951" i="9"/>
  <c r="E952" i="9"/>
  <c r="E953" i="9"/>
  <c r="E954" i="9"/>
  <c r="E955" i="9"/>
  <c r="E956" i="9"/>
  <c r="E957" i="9"/>
  <c r="E958" i="9"/>
  <c r="E959" i="9"/>
  <c r="E960" i="9"/>
  <c r="E961" i="9"/>
  <c r="E962" i="9"/>
  <c r="E963" i="9"/>
  <c r="E964" i="9"/>
  <c r="E965" i="9"/>
  <c r="E966" i="9"/>
  <c r="E967" i="9"/>
  <c r="E968" i="9"/>
  <c r="E969" i="9"/>
  <c r="E970" i="9"/>
  <c r="E971" i="9"/>
  <c r="E972" i="9"/>
  <c r="E973" i="9"/>
  <c r="E974" i="9"/>
  <c r="E975" i="9"/>
  <c r="E976" i="9"/>
  <c r="E977" i="9"/>
  <c r="E978" i="9"/>
  <c r="E979" i="9"/>
  <c r="E980" i="9"/>
  <c r="E981" i="9"/>
  <c r="E982" i="9"/>
  <c r="E983" i="9"/>
  <c r="E984" i="9"/>
  <c r="E985" i="9"/>
  <c r="E986" i="9"/>
  <c r="E987" i="9"/>
  <c r="E988" i="9"/>
  <c r="E989" i="9"/>
  <c r="E990" i="9"/>
  <c r="E991" i="9"/>
  <c r="E992" i="9"/>
  <c r="E993" i="9"/>
  <c r="E994" i="9"/>
  <c r="E995" i="9"/>
  <c r="E996" i="9"/>
  <c r="E997" i="9"/>
  <c r="E998" i="9"/>
  <c r="E999" i="9"/>
  <c r="E1000" i="9"/>
  <c r="E1001" i="9"/>
  <c r="E1002" i="9"/>
  <c r="E1003" i="9"/>
  <c r="E1004" i="9"/>
  <c r="E1005" i="9"/>
  <c r="E1006" i="9"/>
  <c r="E1007" i="9"/>
  <c r="E1008" i="9"/>
  <c r="E1009" i="9"/>
  <c r="E1010" i="9"/>
  <c r="E1011" i="9"/>
  <c r="E1012" i="9"/>
  <c r="E1013" i="9"/>
  <c r="E1014" i="9"/>
  <c r="E1015" i="9"/>
  <c r="E1016" i="9"/>
  <c r="E1017" i="9"/>
  <c r="E1018" i="9"/>
  <c r="E1019" i="9"/>
  <c r="E1020" i="9"/>
  <c r="E1021" i="9"/>
  <c r="E1022" i="9"/>
  <c r="E1023" i="9"/>
  <c r="E1024" i="9"/>
  <c r="E1025" i="9"/>
  <c r="E1026" i="9"/>
  <c r="E1027" i="9"/>
  <c r="E1028" i="9"/>
  <c r="E1029" i="9"/>
  <c r="E1030" i="9"/>
  <c r="E1031" i="9"/>
  <c r="E1032" i="9"/>
  <c r="E1033" i="9"/>
  <c r="E1034" i="9"/>
  <c r="E1035" i="9"/>
  <c r="E1036" i="9"/>
  <c r="E1037" i="9"/>
  <c r="E1038" i="9"/>
  <c r="E1039" i="9"/>
  <c r="E1040" i="9"/>
  <c r="E1041" i="9"/>
  <c r="E1042" i="9"/>
  <c r="E1043" i="9"/>
  <c r="E1044" i="9"/>
  <c r="E1045" i="9"/>
  <c r="E1046" i="9"/>
  <c r="E1047" i="9"/>
  <c r="E1048" i="9"/>
  <c r="E1049" i="9"/>
  <c r="E1050" i="9"/>
  <c r="E1051" i="9"/>
  <c r="E1052" i="9"/>
  <c r="E1053" i="9"/>
  <c r="E1054" i="9"/>
  <c r="E1055" i="9"/>
  <c r="E1056" i="9"/>
  <c r="E1057" i="9"/>
  <c r="E1058" i="9"/>
  <c r="E1059" i="9"/>
  <c r="E1060" i="9"/>
  <c r="E1061" i="9"/>
  <c r="E1062" i="9"/>
  <c r="E1063" i="9"/>
  <c r="E1064" i="9"/>
  <c r="E1065" i="9"/>
  <c r="E1066" i="9"/>
  <c r="E1067" i="9"/>
  <c r="E1068" i="9"/>
  <c r="E1069" i="9"/>
  <c r="E1070" i="9"/>
  <c r="E1071" i="9"/>
  <c r="E1072" i="9"/>
  <c r="E1073" i="9"/>
  <c r="E1074" i="9"/>
  <c r="E1075" i="9"/>
  <c r="E1076" i="9"/>
  <c r="E1077" i="9"/>
  <c r="E1078" i="9"/>
  <c r="E1079" i="9"/>
  <c r="E1080" i="9"/>
  <c r="E1081" i="9"/>
  <c r="E1082" i="9"/>
  <c r="E1083" i="9"/>
  <c r="E1084" i="9"/>
  <c r="E1085" i="9"/>
  <c r="E1086" i="9"/>
  <c r="E1087" i="9"/>
  <c r="E1088" i="9"/>
  <c r="E1089" i="9"/>
  <c r="E1090" i="9"/>
  <c r="E1091" i="9"/>
  <c r="E1092" i="9"/>
  <c r="E1093" i="9"/>
  <c r="E1094" i="9"/>
  <c r="E1095" i="9"/>
  <c r="E1096" i="9"/>
  <c r="E1097" i="9"/>
  <c r="E1098" i="9"/>
  <c r="E1099" i="9"/>
  <c r="E1100" i="9"/>
  <c r="E1101" i="9"/>
  <c r="E1102" i="9"/>
  <c r="E1103" i="9"/>
  <c r="E1104" i="9"/>
  <c r="E1105" i="9"/>
  <c r="E1106" i="9"/>
  <c r="E1107" i="9"/>
  <c r="E1108" i="9"/>
  <c r="E1109" i="9"/>
  <c r="E1110" i="9"/>
  <c r="E1111" i="9"/>
  <c r="E1112" i="9"/>
  <c r="E1113" i="9"/>
  <c r="E1114" i="9"/>
  <c r="E1115" i="9"/>
  <c r="E1116" i="9"/>
  <c r="E1117" i="9"/>
  <c r="E1118" i="9"/>
  <c r="E1119" i="9"/>
  <c r="E1120" i="9"/>
  <c r="E1121" i="9"/>
  <c r="E1122" i="9"/>
  <c r="E1123" i="9"/>
  <c r="E1124" i="9"/>
  <c r="E1125" i="9"/>
  <c r="E1126" i="9"/>
  <c r="E1127" i="9"/>
  <c r="E1128" i="9"/>
  <c r="E1129" i="9"/>
  <c r="E1130" i="9"/>
  <c r="E1131" i="9"/>
  <c r="E1132" i="9"/>
  <c r="E1133" i="9"/>
  <c r="E1134" i="9"/>
  <c r="E1135" i="9"/>
  <c r="E1136" i="9"/>
  <c r="E1137" i="9"/>
  <c r="E1138" i="9"/>
  <c r="E1139" i="9"/>
  <c r="E1140" i="9"/>
  <c r="E1141" i="9"/>
  <c r="E1142" i="9"/>
  <c r="E1143" i="9"/>
  <c r="E1144" i="9"/>
  <c r="E1145" i="9"/>
  <c r="E1146" i="9"/>
  <c r="E1147" i="9"/>
  <c r="E1148" i="9"/>
  <c r="E1149" i="9"/>
  <c r="E1150" i="9"/>
  <c r="E1151" i="9"/>
  <c r="E1152" i="9"/>
  <c r="E1153" i="9"/>
  <c r="E1154" i="9"/>
  <c r="E1155" i="9"/>
  <c r="E1156" i="9"/>
  <c r="E1157" i="9"/>
  <c r="E1158" i="9"/>
  <c r="E1159" i="9"/>
  <c r="E1160" i="9"/>
  <c r="E1161" i="9"/>
  <c r="E1162" i="9"/>
  <c r="E1163" i="9"/>
  <c r="E1164" i="9"/>
  <c r="E1165" i="9"/>
  <c r="E1166" i="9"/>
  <c r="E1167" i="9"/>
  <c r="E1168" i="9"/>
  <c r="E1169" i="9"/>
  <c r="E1170" i="9"/>
  <c r="E1171" i="9"/>
  <c r="E1172" i="9"/>
  <c r="E1173" i="9"/>
  <c r="E1174" i="9"/>
  <c r="E1175" i="9"/>
  <c r="E1176" i="9"/>
  <c r="E1177" i="9"/>
  <c r="E1178" i="9"/>
  <c r="E1179" i="9"/>
  <c r="E1180" i="9"/>
  <c r="E1181" i="9"/>
  <c r="E1182" i="9"/>
  <c r="E1183" i="9"/>
  <c r="E1184" i="9"/>
  <c r="E1185" i="9"/>
  <c r="E1186" i="9"/>
  <c r="E1187" i="9"/>
  <c r="E1188" i="9"/>
  <c r="E1189" i="9"/>
  <c r="E1190" i="9"/>
  <c r="E1191" i="9"/>
  <c r="E1192" i="9"/>
  <c r="E1193" i="9"/>
  <c r="E1194" i="9"/>
  <c r="E1195" i="9"/>
  <c r="E1196" i="9"/>
  <c r="E1197" i="9"/>
  <c r="E1198" i="9"/>
  <c r="E1199" i="9"/>
  <c r="E1200" i="9"/>
  <c r="E1201" i="9"/>
  <c r="E1202" i="9"/>
  <c r="E1203" i="9"/>
  <c r="E1204" i="9"/>
  <c r="E1205" i="9"/>
  <c r="E1206" i="9"/>
  <c r="E1207" i="9"/>
  <c r="E1208" i="9"/>
  <c r="E1209" i="9"/>
  <c r="E1210" i="9"/>
  <c r="E1211" i="9"/>
  <c r="E1212" i="9"/>
  <c r="E1213" i="9"/>
  <c r="E1214" i="9"/>
  <c r="E1215" i="9"/>
  <c r="E1216" i="9"/>
  <c r="E1217" i="9"/>
  <c r="E1218" i="9"/>
  <c r="E1219" i="9"/>
  <c r="E1220" i="9"/>
  <c r="E1221" i="9"/>
  <c r="E1222" i="9"/>
  <c r="E1223" i="9"/>
  <c r="E1224" i="9"/>
  <c r="E1225" i="9"/>
  <c r="E1226" i="9"/>
  <c r="E1227" i="9"/>
  <c r="E1228" i="9"/>
  <c r="E1229" i="9"/>
  <c r="E1230" i="9"/>
  <c r="E1231" i="9"/>
  <c r="E1232" i="9"/>
  <c r="E1233" i="9"/>
  <c r="E1234" i="9"/>
  <c r="E1235" i="9"/>
  <c r="E1236" i="9"/>
  <c r="E1237" i="9"/>
  <c r="E1238" i="9"/>
  <c r="E1239" i="9"/>
  <c r="E1240" i="9"/>
  <c r="E1241" i="9"/>
  <c r="E1242" i="9"/>
  <c r="E1243" i="9"/>
  <c r="E1244" i="9"/>
  <c r="E1245" i="9"/>
  <c r="E1246" i="9"/>
  <c r="E1247" i="9"/>
  <c r="E1248" i="9"/>
  <c r="E1249" i="9"/>
  <c r="E1250" i="9"/>
  <c r="E1251" i="9"/>
  <c r="E1252" i="9"/>
  <c r="E1253" i="9"/>
  <c r="E1254" i="9"/>
  <c r="E1255" i="9"/>
  <c r="E1256" i="9"/>
  <c r="E1257" i="9"/>
  <c r="E1258" i="9"/>
  <c r="E1259" i="9"/>
  <c r="E1260" i="9"/>
  <c r="E1261" i="9"/>
  <c r="E1262" i="9"/>
  <c r="E1263" i="9"/>
  <c r="E1264" i="9"/>
  <c r="E1265" i="9"/>
  <c r="E1266" i="9"/>
  <c r="E1267" i="9"/>
  <c r="E1268" i="9"/>
  <c r="E1269" i="9"/>
  <c r="E1270" i="9"/>
  <c r="E1271" i="9"/>
  <c r="E1272" i="9"/>
  <c r="E1273" i="9"/>
  <c r="E1274" i="9"/>
  <c r="E1275" i="9"/>
  <c r="E1276" i="9"/>
  <c r="E1277" i="9"/>
  <c r="E1278" i="9"/>
  <c r="E1279" i="9"/>
  <c r="E1280" i="9"/>
  <c r="E1281" i="9"/>
  <c r="E1282" i="9"/>
  <c r="E1283" i="9"/>
  <c r="E1284" i="9"/>
  <c r="E1285" i="9"/>
  <c r="E1286" i="9"/>
  <c r="E1287" i="9"/>
  <c r="E1288" i="9"/>
  <c r="E1289" i="9"/>
  <c r="E1290" i="9"/>
  <c r="E1291" i="9"/>
  <c r="E1292" i="9"/>
  <c r="E1293" i="9"/>
  <c r="E1294" i="9"/>
  <c r="E1295" i="9"/>
  <c r="E1296" i="9"/>
  <c r="E1297" i="9"/>
  <c r="E1298" i="9"/>
  <c r="E1299" i="9"/>
  <c r="E1300" i="9"/>
  <c r="E1301" i="9"/>
  <c r="E1302" i="9"/>
  <c r="E1303" i="9"/>
  <c r="E1304" i="9"/>
  <c r="E1305" i="9"/>
  <c r="E1306" i="9"/>
  <c r="E1307" i="9"/>
  <c r="E1308" i="9"/>
  <c r="E1309" i="9"/>
  <c r="E1310" i="9"/>
  <c r="E1311" i="9"/>
  <c r="E1312" i="9"/>
  <c r="E1313" i="9"/>
  <c r="E1314" i="9"/>
  <c r="E1315" i="9"/>
  <c r="E1316" i="9"/>
  <c r="E1317" i="9"/>
  <c r="E1318" i="9"/>
  <c r="E1319" i="9"/>
  <c r="E1320" i="9"/>
  <c r="E1321" i="9"/>
  <c r="E1322" i="9"/>
  <c r="E1323" i="9"/>
  <c r="E1324" i="9"/>
  <c r="E1325" i="9"/>
  <c r="E1326" i="9"/>
  <c r="E1327" i="9"/>
  <c r="E1328" i="9"/>
  <c r="E1329" i="9"/>
  <c r="E1330" i="9"/>
  <c r="E1331" i="9"/>
  <c r="E1332" i="9"/>
  <c r="E1333" i="9"/>
  <c r="E1334" i="9"/>
  <c r="E1335" i="9"/>
  <c r="E1336" i="9"/>
  <c r="E1337" i="9"/>
  <c r="E1338" i="9"/>
  <c r="E1339" i="9"/>
  <c r="E1340" i="9"/>
  <c r="E1341" i="9"/>
  <c r="E1342" i="9"/>
  <c r="E1343" i="9"/>
  <c r="E1344" i="9"/>
  <c r="E1345" i="9"/>
  <c r="E1346" i="9"/>
  <c r="E1347" i="9"/>
  <c r="E1348" i="9"/>
  <c r="E1349" i="9"/>
  <c r="E1350" i="9"/>
  <c r="E1351" i="9"/>
  <c r="E1352" i="9"/>
  <c r="E1353" i="9"/>
  <c r="E1354" i="9"/>
  <c r="E1355" i="9"/>
  <c r="E1356" i="9"/>
  <c r="E1357" i="9"/>
  <c r="E1358" i="9"/>
  <c r="E1359" i="9"/>
  <c r="E1360" i="9"/>
  <c r="E1361" i="9"/>
  <c r="E1362" i="9"/>
  <c r="E1363" i="9"/>
  <c r="E1364" i="9"/>
  <c r="E1365" i="9"/>
  <c r="E1366" i="9"/>
  <c r="E1367" i="9"/>
  <c r="E1368" i="9"/>
  <c r="E1369" i="9"/>
  <c r="E1370" i="9"/>
  <c r="E1371" i="9"/>
  <c r="E1372" i="9"/>
  <c r="E1373" i="9"/>
  <c r="E1374" i="9"/>
  <c r="E1375" i="9"/>
  <c r="E1376" i="9"/>
  <c r="E1377" i="9"/>
  <c r="E1378" i="9"/>
  <c r="E1379" i="9"/>
  <c r="E1380" i="9"/>
  <c r="E1381" i="9"/>
  <c r="E1382" i="9"/>
  <c r="E1383" i="9"/>
  <c r="E1384" i="9"/>
  <c r="E1385" i="9"/>
  <c r="E1386" i="9"/>
  <c r="E1387" i="9"/>
  <c r="E1388" i="9"/>
  <c r="E1389" i="9"/>
  <c r="E1390" i="9"/>
  <c r="E1391" i="9"/>
  <c r="E1392" i="9"/>
  <c r="E1393" i="9"/>
  <c r="E1394" i="9"/>
  <c r="E1395" i="9"/>
  <c r="E1396" i="9"/>
  <c r="E1397" i="9"/>
  <c r="E1398" i="9"/>
  <c r="E1399" i="9"/>
  <c r="E1400" i="9"/>
  <c r="E1401" i="9"/>
  <c r="E1402" i="9"/>
  <c r="E1403" i="9"/>
  <c r="E1404" i="9"/>
  <c r="E1405" i="9"/>
  <c r="E1406" i="9"/>
  <c r="E1407" i="9"/>
  <c r="E1408" i="9"/>
  <c r="E1409" i="9"/>
  <c r="E1410" i="9"/>
  <c r="E1411" i="9"/>
  <c r="E1412" i="9"/>
  <c r="E1413" i="9"/>
  <c r="E1414" i="9"/>
  <c r="E1415" i="9"/>
  <c r="E1416" i="9"/>
  <c r="E1417" i="9"/>
  <c r="E1418" i="9"/>
  <c r="E1419" i="9"/>
  <c r="E1420" i="9"/>
  <c r="E1421" i="9"/>
  <c r="E1422" i="9"/>
  <c r="E1423" i="9"/>
  <c r="E1424" i="9"/>
  <c r="E1425" i="9"/>
  <c r="E1426" i="9"/>
  <c r="E1427" i="9"/>
  <c r="E1428" i="9"/>
  <c r="E1429" i="9"/>
  <c r="E1430" i="9"/>
  <c r="E1431" i="9"/>
  <c r="E1432" i="9"/>
  <c r="E1433" i="9"/>
  <c r="E1434" i="9"/>
  <c r="E1435" i="9"/>
  <c r="E1436" i="9"/>
  <c r="E1437" i="9"/>
  <c r="E1438" i="9"/>
  <c r="E1439" i="9"/>
  <c r="E1440" i="9"/>
  <c r="E1441" i="9"/>
  <c r="E1442" i="9"/>
  <c r="E1443" i="9"/>
  <c r="E1444" i="9"/>
  <c r="E1445" i="9"/>
  <c r="E1446" i="9"/>
  <c r="E1447" i="9"/>
  <c r="E1448" i="9"/>
  <c r="E1449" i="9"/>
  <c r="E1450" i="9"/>
  <c r="E1451" i="9"/>
  <c r="E1452" i="9"/>
  <c r="E1453" i="9"/>
  <c r="E1454" i="9"/>
  <c r="E1455" i="9"/>
  <c r="E1456" i="9"/>
  <c r="E1457" i="9"/>
  <c r="E1458" i="9"/>
  <c r="E1459" i="9"/>
  <c r="E1460" i="9"/>
  <c r="E1461" i="9"/>
  <c r="E1462" i="9"/>
  <c r="E1463" i="9"/>
  <c r="E1464" i="9"/>
  <c r="E1465" i="9"/>
  <c r="E1466" i="9"/>
  <c r="E1467" i="9"/>
  <c r="E1468" i="9"/>
  <c r="E1469" i="9"/>
  <c r="E1470" i="9"/>
  <c r="E1471" i="9"/>
  <c r="E1472" i="9"/>
  <c r="E1473" i="9"/>
  <c r="E1474" i="9"/>
  <c r="E1475" i="9"/>
  <c r="E1476" i="9"/>
  <c r="E1477" i="9"/>
  <c r="E1478" i="9"/>
  <c r="E1479" i="9"/>
  <c r="E1480" i="9"/>
  <c r="E1481" i="9"/>
  <c r="E1482" i="9"/>
  <c r="E1483" i="9"/>
  <c r="E1484" i="9"/>
  <c r="E1485" i="9"/>
  <c r="E1486" i="9"/>
  <c r="E1487" i="9"/>
  <c r="E1488" i="9"/>
  <c r="E1489" i="9"/>
  <c r="E1490" i="9"/>
  <c r="E1491" i="9"/>
  <c r="E1492" i="9"/>
  <c r="E1493" i="9"/>
  <c r="E1494" i="9"/>
  <c r="E1495" i="9"/>
  <c r="E1496" i="9"/>
  <c r="E1497" i="9"/>
  <c r="E1498" i="9"/>
  <c r="E1499" i="9"/>
  <c r="E1500" i="9"/>
  <c r="E1501" i="9"/>
  <c r="E1502" i="9"/>
  <c r="E1503" i="9"/>
  <c r="E1504" i="9"/>
  <c r="E1505" i="9"/>
  <c r="E1506" i="9"/>
  <c r="E1507" i="9"/>
  <c r="E1508" i="9"/>
  <c r="E1509" i="9"/>
  <c r="E1510" i="9"/>
  <c r="E1511" i="9"/>
  <c r="E1512" i="9"/>
  <c r="E1513" i="9"/>
  <c r="E1514" i="9"/>
  <c r="E1515" i="9"/>
  <c r="E1516" i="9"/>
  <c r="E1517" i="9"/>
  <c r="E1518" i="9"/>
  <c r="E1519" i="9"/>
  <c r="E1520" i="9"/>
  <c r="E1521" i="9"/>
  <c r="E1522" i="9"/>
  <c r="E1523" i="9"/>
  <c r="E1524" i="9"/>
  <c r="E1525" i="9"/>
  <c r="E1526" i="9"/>
  <c r="E1527" i="9"/>
  <c r="E1528" i="9"/>
  <c r="E1529" i="9"/>
  <c r="E1530" i="9"/>
  <c r="E1531" i="9"/>
  <c r="E1532" i="9"/>
  <c r="E1533" i="9"/>
  <c r="E1534" i="9"/>
  <c r="E1535" i="9"/>
  <c r="E1536" i="9"/>
  <c r="E1537" i="9"/>
  <c r="E1538" i="9"/>
  <c r="E1539" i="9"/>
  <c r="E1540" i="9"/>
  <c r="E1541" i="9"/>
  <c r="E1542" i="9"/>
  <c r="E1543" i="9"/>
  <c r="E1544" i="9"/>
  <c r="E1545" i="9"/>
  <c r="E1546" i="9"/>
  <c r="E1547" i="9"/>
  <c r="E1548" i="9"/>
  <c r="E1549" i="9"/>
  <c r="E1550" i="9"/>
  <c r="E1551" i="9"/>
  <c r="E1552" i="9"/>
  <c r="E1553" i="9"/>
  <c r="E1554" i="9"/>
  <c r="E1555" i="9"/>
  <c r="E1556" i="9"/>
  <c r="E1557" i="9"/>
  <c r="E1558" i="9"/>
  <c r="E1559" i="9"/>
  <c r="E1560" i="9"/>
  <c r="E1561" i="9"/>
  <c r="E1562" i="9"/>
  <c r="E1563" i="9"/>
  <c r="E1564" i="9"/>
  <c r="E1565" i="9"/>
  <c r="E1566" i="9"/>
  <c r="E1567" i="9"/>
  <c r="E1568" i="9"/>
  <c r="E1569" i="9"/>
  <c r="E1570" i="9"/>
  <c r="E1571" i="9"/>
  <c r="E1572" i="9"/>
  <c r="E1573" i="9"/>
  <c r="E1574" i="9"/>
  <c r="E1575" i="9"/>
  <c r="E1576" i="9"/>
  <c r="E1577" i="9"/>
  <c r="E1578" i="9"/>
  <c r="E1579" i="9"/>
  <c r="E1580" i="9"/>
  <c r="E1581" i="9"/>
  <c r="E1582" i="9"/>
  <c r="E1583" i="9"/>
  <c r="E1584" i="9"/>
  <c r="E1585" i="9"/>
  <c r="E1586" i="9"/>
  <c r="E1587" i="9"/>
  <c r="E1588" i="9"/>
  <c r="E1589" i="9"/>
  <c r="E1590" i="9"/>
  <c r="E1591" i="9"/>
  <c r="E1592" i="9"/>
  <c r="E1593" i="9"/>
  <c r="E1594" i="9"/>
  <c r="E1595" i="9"/>
  <c r="E1596" i="9"/>
  <c r="E1597" i="9"/>
  <c r="E1598" i="9"/>
  <c r="E1599" i="9"/>
  <c r="E1600" i="9"/>
  <c r="E1601" i="9"/>
  <c r="E1602" i="9"/>
  <c r="E1603" i="9"/>
  <c r="E1604" i="9"/>
  <c r="E1605" i="9"/>
  <c r="E1606" i="9"/>
  <c r="E1607" i="9"/>
  <c r="E1608" i="9"/>
  <c r="E1609" i="9"/>
  <c r="E1610" i="9"/>
  <c r="E1611" i="9"/>
  <c r="E1612" i="9"/>
  <c r="E1613" i="9"/>
  <c r="E1614" i="9"/>
  <c r="E1615" i="9"/>
  <c r="E1616" i="9"/>
  <c r="E1617" i="9"/>
  <c r="E1618" i="9"/>
  <c r="E1619" i="9"/>
  <c r="E1620" i="9"/>
  <c r="E1621" i="9"/>
  <c r="E1622" i="9"/>
  <c r="E1623" i="9"/>
  <c r="E1624" i="9"/>
  <c r="E1625" i="9"/>
  <c r="E1626" i="9"/>
  <c r="E1627" i="9"/>
  <c r="E1628" i="9"/>
  <c r="E1629" i="9"/>
  <c r="E1630" i="9"/>
  <c r="E1631" i="9"/>
  <c r="E1632" i="9"/>
  <c r="E1633" i="9"/>
  <c r="E1634" i="9"/>
  <c r="E1635" i="9"/>
  <c r="E1636" i="9"/>
  <c r="E1637" i="9"/>
  <c r="E1638" i="9"/>
  <c r="E1639" i="9"/>
  <c r="E1640" i="9"/>
  <c r="E1641" i="9"/>
  <c r="E1642" i="9"/>
  <c r="E1643" i="9"/>
  <c r="E1644" i="9"/>
  <c r="E1645" i="9"/>
  <c r="E1646" i="9"/>
  <c r="E1647" i="9"/>
  <c r="E1648" i="9"/>
  <c r="E1649" i="9"/>
  <c r="E1650" i="9"/>
  <c r="E1651" i="9"/>
  <c r="E1652" i="9"/>
  <c r="E1653" i="9"/>
  <c r="E1654" i="9"/>
  <c r="E1655" i="9"/>
  <c r="E1656" i="9"/>
  <c r="E1657" i="9"/>
  <c r="E1658" i="9"/>
  <c r="E1659" i="9"/>
  <c r="E1660" i="9"/>
  <c r="E1661" i="9"/>
  <c r="E1662" i="9"/>
  <c r="E1663" i="9"/>
  <c r="E1664" i="9"/>
  <c r="E1665" i="9"/>
  <c r="E1666" i="9"/>
  <c r="E1667" i="9"/>
  <c r="E1668" i="9"/>
  <c r="E1669" i="9"/>
  <c r="E1670" i="9"/>
  <c r="E1671" i="9"/>
  <c r="E1672" i="9"/>
  <c r="E1673" i="9"/>
  <c r="E1674" i="9"/>
  <c r="E1675" i="9"/>
  <c r="E1676" i="9"/>
  <c r="E1677" i="9"/>
  <c r="E1678" i="9"/>
  <c r="E1679" i="9"/>
  <c r="E1680" i="9"/>
  <c r="E1681" i="9"/>
  <c r="E1682" i="9"/>
  <c r="E1683" i="9"/>
  <c r="E1684" i="9"/>
  <c r="E1685" i="9"/>
  <c r="E1686" i="9"/>
  <c r="E1687" i="9"/>
  <c r="E1688" i="9"/>
  <c r="E1689" i="9"/>
  <c r="E1690" i="9"/>
  <c r="E1691" i="9"/>
  <c r="E1692" i="9"/>
  <c r="E1693" i="9"/>
  <c r="E1694" i="9"/>
  <c r="E1695" i="9"/>
  <c r="E1696" i="9"/>
  <c r="E1697" i="9"/>
  <c r="E1698" i="9"/>
  <c r="E1699" i="9"/>
  <c r="E1700" i="9"/>
  <c r="E1701" i="9"/>
  <c r="E1702" i="9"/>
  <c r="E1703" i="9"/>
  <c r="E1704" i="9"/>
  <c r="E1705" i="9"/>
  <c r="E1706" i="9"/>
  <c r="E1707" i="9"/>
  <c r="E1708" i="9"/>
  <c r="E1709" i="9"/>
  <c r="E1710" i="9"/>
  <c r="E1711" i="9"/>
  <c r="E1712" i="9"/>
  <c r="E1713" i="9"/>
  <c r="E1714" i="9"/>
  <c r="E1715" i="9"/>
  <c r="E1716" i="9"/>
  <c r="E1717" i="9"/>
  <c r="E1718" i="9"/>
  <c r="E1719" i="9"/>
  <c r="E1720" i="9"/>
  <c r="E1721" i="9"/>
  <c r="E1722" i="9"/>
  <c r="E1723" i="9"/>
  <c r="E1724" i="9"/>
  <c r="E1725" i="9"/>
  <c r="E1726" i="9"/>
  <c r="E1727" i="9"/>
  <c r="E1728" i="9"/>
  <c r="E1729" i="9"/>
  <c r="E1730" i="9"/>
  <c r="E1731" i="9"/>
  <c r="E1732" i="9"/>
  <c r="E1733" i="9"/>
  <c r="E1734" i="9"/>
  <c r="E1735" i="9"/>
  <c r="E1736" i="9"/>
  <c r="E1737" i="9"/>
  <c r="E1738" i="9"/>
  <c r="E1739" i="9"/>
  <c r="E1740" i="9"/>
  <c r="E1741" i="9"/>
  <c r="E1742" i="9"/>
  <c r="E1743" i="9"/>
  <c r="E1744" i="9"/>
  <c r="E1745" i="9"/>
  <c r="E1746" i="9"/>
  <c r="E1747" i="9"/>
  <c r="E1748" i="9"/>
  <c r="E1749" i="9"/>
  <c r="E1750" i="9"/>
  <c r="E1751" i="9"/>
  <c r="E1752" i="9"/>
  <c r="E1753" i="9"/>
  <c r="E1754" i="9"/>
  <c r="E1755" i="9"/>
  <c r="E1756" i="9"/>
  <c r="E1757" i="9"/>
  <c r="E1758" i="9"/>
  <c r="E1759" i="9"/>
  <c r="E1760" i="9"/>
  <c r="E1761" i="9"/>
  <c r="E1762" i="9"/>
  <c r="E1763" i="9"/>
  <c r="E1764" i="9"/>
  <c r="E1765" i="9"/>
  <c r="E1766" i="9"/>
  <c r="E1767" i="9"/>
  <c r="E1768" i="9"/>
  <c r="E1769" i="9"/>
  <c r="E1770" i="9"/>
  <c r="E1771" i="9"/>
  <c r="E1772" i="9"/>
  <c r="E1773" i="9"/>
  <c r="E1774" i="9"/>
  <c r="E1775" i="9"/>
  <c r="E1776" i="9"/>
  <c r="E1777" i="9"/>
  <c r="E1778" i="9"/>
  <c r="E1779" i="9"/>
  <c r="E1780" i="9"/>
  <c r="E1781" i="9"/>
  <c r="E1782" i="9"/>
  <c r="E1783" i="9"/>
  <c r="E1784" i="9"/>
  <c r="E1785" i="9"/>
  <c r="E1786" i="9"/>
  <c r="E1787" i="9"/>
  <c r="E1788" i="9"/>
  <c r="E1789" i="9"/>
  <c r="E1790" i="9"/>
  <c r="E1791" i="9"/>
  <c r="E1792" i="9"/>
  <c r="E1793" i="9"/>
  <c r="E1794" i="9"/>
  <c r="E1795" i="9"/>
  <c r="E1796" i="9"/>
  <c r="E1797" i="9"/>
  <c r="E1798" i="9"/>
  <c r="E1799" i="9"/>
  <c r="E1800" i="9"/>
  <c r="E1801" i="9"/>
  <c r="E1802" i="9"/>
  <c r="E1803" i="9"/>
  <c r="E1804" i="9"/>
  <c r="E1805" i="9"/>
  <c r="E1806" i="9"/>
  <c r="E1807" i="9"/>
  <c r="E1808" i="9"/>
  <c r="E1809" i="9"/>
  <c r="E1810" i="9"/>
  <c r="E1811" i="9"/>
  <c r="E1812" i="9"/>
  <c r="E1813" i="9"/>
  <c r="E1814" i="9"/>
  <c r="E1815" i="9"/>
  <c r="E1816" i="9"/>
  <c r="E1817" i="9"/>
  <c r="E1818" i="9"/>
  <c r="E1819" i="9"/>
  <c r="E1820" i="9"/>
  <c r="E1821" i="9"/>
  <c r="E1822" i="9"/>
  <c r="E1823" i="9"/>
  <c r="E1824" i="9"/>
  <c r="E1825" i="9"/>
  <c r="E1826" i="9"/>
  <c r="E1827" i="9"/>
  <c r="E1828" i="9"/>
  <c r="E1829" i="9"/>
  <c r="E1830" i="9"/>
  <c r="E1831" i="9"/>
  <c r="E1832" i="9"/>
  <c r="E1833" i="9"/>
  <c r="E1834" i="9"/>
  <c r="E1835" i="9"/>
  <c r="E1836" i="9"/>
  <c r="E1837" i="9"/>
  <c r="E1838" i="9"/>
  <c r="E1839" i="9"/>
  <c r="E1840" i="9"/>
  <c r="E1841" i="9"/>
  <c r="E1842" i="9"/>
  <c r="E1843" i="9"/>
  <c r="E1844" i="9"/>
  <c r="E1845" i="9"/>
  <c r="E1846" i="9"/>
  <c r="E1847" i="9"/>
  <c r="E1848" i="9"/>
  <c r="E1849" i="9"/>
  <c r="E1850" i="9"/>
  <c r="E1851" i="9"/>
  <c r="E1852" i="9"/>
  <c r="E1853" i="9"/>
  <c r="E1854" i="9"/>
  <c r="E1855" i="9"/>
  <c r="E1856" i="9"/>
  <c r="E1857" i="9"/>
  <c r="E1858" i="9"/>
  <c r="E1859" i="9"/>
  <c r="E1860" i="9"/>
  <c r="E1861" i="9"/>
  <c r="E1862" i="9"/>
  <c r="E1863" i="9"/>
  <c r="E1864" i="9"/>
  <c r="E1865" i="9"/>
  <c r="E1866" i="9"/>
  <c r="E1867" i="9"/>
  <c r="E1868" i="9"/>
  <c r="E1869" i="9"/>
  <c r="E1870" i="9"/>
  <c r="E1871" i="9"/>
  <c r="E1872" i="9"/>
  <c r="E1873" i="9"/>
  <c r="E1874" i="9"/>
  <c r="E1875" i="9"/>
  <c r="E1876" i="9"/>
  <c r="E1877" i="9"/>
  <c r="E1878" i="9"/>
  <c r="E1879" i="9"/>
  <c r="E1880" i="9"/>
  <c r="E1881" i="9"/>
  <c r="E1882" i="9"/>
  <c r="E1883" i="9"/>
  <c r="E1884" i="9"/>
  <c r="E1885" i="9"/>
  <c r="E1886" i="9"/>
  <c r="E1887" i="9"/>
  <c r="E1888" i="9"/>
  <c r="E1889" i="9"/>
  <c r="E1890" i="9"/>
  <c r="E1891" i="9"/>
  <c r="E1892" i="9"/>
  <c r="E1893" i="9"/>
  <c r="E1894" i="9"/>
  <c r="E1895" i="9"/>
  <c r="E1896" i="9"/>
  <c r="E1897" i="9"/>
  <c r="E1898" i="9"/>
  <c r="E1899" i="9"/>
  <c r="E1900" i="9"/>
  <c r="E1901" i="9"/>
  <c r="E1902" i="9"/>
  <c r="E1903" i="9"/>
  <c r="E1904" i="9"/>
  <c r="E1905" i="9"/>
  <c r="E1906" i="9"/>
  <c r="E1907" i="9"/>
  <c r="E1908" i="9"/>
  <c r="E1909" i="9"/>
  <c r="E1910" i="9"/>
  <c r="E1911" i="9"/>
  <c r="E1912" i="9"/>
  <c r="E1913" i="9"/>
  <c r="E1914" i="9"/>
  <c r="E1915" i="9"/>
  <c r="E1916" i="9"/>
  <c r="E1917" i="9"/>
  <c r="E1918" i="9"/>
  <c r="E1919" i="9"/>
  <c r="E1920" i="9"/>
  <c r="E1921" i="9"/>
  <c r="E1922" i="9"/>
  <c r="E1923" i="9"/>
  <c r="E1924" i="9"/>
  <c r="E1925" i="9"/>
  <c r="E1926" i="9"/>
  <c r="E1927" i="9"/>
  <c r="E1928" i="9"/>
  <c r="E1929" i="9"/>
  <c r="E1930" i="9"/>
  <c r="E1931" i="9"/>
  <c r="E1932" i="9"/>
  <c r="E1933" i="9"/>
  <c r="E1934" i="9"/>
  <c r="E1935" i="9"/>
  <c r="E1936" i="9"/>
  <c r="E1937" i="9"/>
  <c r="E1938" i="9"/>
  <c r="E1939" i="9"/>
  <c r="E1940" i="9"/>
  <c r="E1941" i="9"/>
  <c r="E1942" i="9"/>
  <c r="E1943" i="9"/>
  <c r="E1944" i="9"/>
  <c r="E1945" i="9"/>
  <c r="E1946" i="9"/>
  <c r="E1947" i="9"/>
  <c r="E1948" i="9"/>
  <c r="E1949" i="9"/>
  <c r="E1950" i="9"/>
  <c r="E1951" i="9"/>
  <c r="E1952" i="9"/>
  <c r="E1953" i="9"/>
  <c r="E1954" i="9"/>
  <c r="E1955" i="9"/>
  <c r="E1956" i="9"/>
  <c r="E1957" i="9"/>
  <c r="E1958" i="9"/>
  <c r="E1959" i="9"/>
  <c r="E1960" i="9"/>
  <c r="E1961" i="9"/>
  <c r="E1962" i="9"/>
  <c r="E1963" i="9"/>
  <c r="E1964" i="9"/>
  <c r="E1965" i="9"/>
  <c r="E1966" i="9"/>
  <c r="E1967" i="9"/>
  <c r="E1968" i="9"/>
  <c r="E1969" i="9"/>
  <c r="E1970" i="9"/>
  <c r="E1971" i="9"/>
  <c r="E1972" i="9"/>
  <c r="E1973" i="9"/>
  <c r="E1974" i="9"/>
  <c r="E1975" i="9"/>
  <c r="E1976" i="9"/>
  <c r="E1977" i="9"/>
  <c r="E1978" i="9"/>
  <c r="E1979" i="9"/>
  <c r="E1980" i="9"/>
  <c r="E1981" i="9"/>
  <c r="E1982" i="9"/>
  <c r="E1983" i="9"/>
  <c r="E1984" i="9"/>
  <c r="E1985" i="9"/>
  <c r="E1986" i="9"/>
  <c r="E1987" i="9"/>
  <c r="E1988" i="9"/>
  <c r="E1989" i="9"/>
  <c r="E1990" i="9"/>
  <c r="E1991" i="9"/>
  <c r="E1992" i="9"/>
  <c r="E1993" i="9"/>
  <c r="E1994" i="9"/>
  <c r="E1995" i="9"/>
  <c r="E1996" i="9"/>
  <c r="E1997" i="9"/>
  <c r="E1998" i="9"/>
  <c r="E1999" i="9"/>
  <c r="E2000" i="9"/>
  <c r="E2001" i="9"/>
  <c r="E2002" i="9"/>
  <c r="E2003" i="9"/>
  <c r="E2004" i="9"/>
  <c r="E2005" i="9"/>
  <c r="E2006" i="9"/>
  <c r="E2007" i="9"/>
  <c r="E2008" i="9"/>
  <c r="E2009" i="9"/>
  <c r="E2010" i="9"/>
  <c r="E2011" i="9"/>
  <c r="E2012" i="9"/>
  <c r="E2013" i="9"/>
  <c r="E2014" i="9"/>
  <c r="E2015" i="9"/>
  <c r="E2016" i="9"/>
  <c r="E2017" i="9"/>
  <c r="E2018" i="9"/>
  <c r="E2019" i="9"/>
  <c r="E2020" i="9"/>
  <c r="E2021" i="9"/>
  <c r="E2022" i="9"/>
  <c r="E2023" i="9"/>
  <c r="E2024" i="9"/>
  <c r="E2025" i="9"/>
  <c r="E2026" i="9"/>
  <c r="E2027" i="9"/>
  <c r="E2028" i="9"/>
  <c r="E2029" i="9"/>
  <c r="E2030" i="9"/>
  <c r="E2031" i="9"/>
  <c r="E2032" i="9"/>
  <c r="E2033" i="9"/>
  <c r="E2034" i="9"/>
  <c r="E2035" i="9"/>
  <c r="E2036" i="9"/>
  <c r="E2037" i="9"/>
  <c r="E2038" i="9"/>
  <c r="E2039" i="9"/>
  <c r="E2040" i="9"/>
  <c r="E2041" i="9"/>
  <c r="E2042" i="9"/>
  <c r="E2043" i="9"/>
  <c r="E2044" i="9"/>
  <c r="E2045" i="9"/>
  <c r="E2046" i="9"/>
  <c r="E2047" i="9"/>
  <c r="E2048" i="9"/>
  <c r="E2049" i="9"/>
  <c r="E2050" i="9"/>
  <c r="E2051" i="9"/>
  <c r="E2052" i="9"/>
  <c r="E2053" i="9"/>
  <c r="E2054" i="9"/>
  <c r="E2055" i="9"/>
  <c r="E2056" i="9"/>
  <c r="E2057" i="9"/>
  <c r="E2058" i="9"/>
  <c r="E2059" i="9"/>
  <c r="E2060" i="9"/>
  <c r="E2061" i="9"/>
  <c r="E2062" i="9"/>
  <c r="E2063" i="9"/>
  <c r="E2064" i="9"/>
  <c r="E2065" i="9"/>
  <c r="E2066" i="9"/>
  <c r="E2067" i="9"/>
  <c r="E2068" i="9"/>
  <c r="E2069" i="9"/>
  <c r="E2070" i="9"/>
  <c r="E2071" i="9"/>
  <c r="E2072" i="9"/>
  <c r="E2073" i="9"/>
  <c r="E2074" i="9"/>
  <c r="E2075" i="9"/>
  <c r="E2076" i="9"/>
  <c r="E2077" i="9"/>
  <c r="E2078" i="9"/>
  <c r="E2079" i="9"/>
  <c r="E2080" i="9"/>
  <c r="E2081" i="9"/>
  <c r="E2082" i="9"/>
  <c r="E2083" i="9"/>
  <c r="E2084" i="9"/>
  <c r="E2085" i="9"/>
  <c r="E2086" i="9"/>
  <c r="E2087" i="9"/>
  <c r="E2088" i="9"/>
  <c r="E2089" i="9"/>
  <c r="E2090" i="9"/>
  <c r="E2091" i="9"/>
  <c r="E2092" i="9"/>
  <c r="E2093" i="9"/>
  <c r="E2094" i="9"/>
  <c r="E2095" i="9"/>
  <c r="E2096" i="9"/>
  <c r="E2097" i="9"/>
  <c r="E2098" i="9"/>
  <c r="E2099" i="9"/>
  <c r="E2100" i="9"/>
  <c r="E2101" i="9"/>
  <c r="E2102" i="9"/>
  <c r="E2103" i="9"/>
  <c r="E2104" i="9"/>
  <c r="E2105" i="9"/>
  <c r="E2106" i="9"/>
  <c r="E2107" i="9"/>
  <c r="E2108" i="9"/>
  <c r="E2109" i="9"/>
  <c r="E2110" i="9"/>
  <c r="E2111" i="9"/>
  <c r="E2112" i="9"/>
  <c r="E2113" i="9"/>
  <c r="E2114" i="9"/>
  <c r="E2115" i="9"/>
  <c r="E2116" i="9"/>
  <c r="E2117" i="9"/>
  <c r="E2118" i="9"/>
  <c r="E2119" i="9"/>
  <c r="E2120" i="9"/>
  <c r="E2121" i="9"/>
  <c r="E2122" i="9"/>
  <c r="E2123" i="9"/>
  <c r="E2124" i="9"/>
  <c r="E2125" i="9"/>
  <c r="E2126" i="9"/>
  <c r="E2127" i="9"/>
  <c r="E2128" i="9"/>
  <c r="E2129" i="9"/>
  <c r="E2130" i="9"/>
  <c r="E2131" i="9"/>
  <c r="E2132" i="9"/>
  <c r="E2133" i="9"/>
  <c r="E2134" i="9"/>
  <c r="E2135" i="9"/>
  <c r="E2136" i="9"/>
  <c r="E2137" i="9"/>
  <c r="E2138" i="9"/>
  <c r="E2139" i="9"/>
  <c r="E2140" i="9"/>
  <c r="E2141" i="9"/>
  <c r="E2142" i="9"/>
  <c r="E2143" i="9"/>
  <c r="E2144" i="9"/>
  <c r="E2145" i="9"/>
  <c r="E2146" i="9"/>
  <c r="E2147" i="9"/>
  <c r="E2148" i="9"/>
  <c r="E2149" i="9"/>
  <c r="E2150" i="9"/>
  <c r="E2151" i="9"/>
  <c r="E2152" i="9"/>
  <c r="E2153" i="9"/>
  <c r="E2154" i="9"/>
  <c r="E2155" i="9"/>
  <c r="E2156" i="9"/>
  <c r="E2157" i="9"/>
  <c r="E2158" i="9"/>
  <c r="E2159" i="9"/>
  <c r="E2160" i="9"/>
  <c r="E2161" i="9"/>
  <c r="E2162" i="9"/>
  <c r="E2163" i="9"/>
  <c r="E2164" i="9"/>
  <c r="E2165" i="9"/>
  <c r="E2166" i="9"/>
  <c r="E2167" i="9"/>
  <c r="E2168" i="9"/>
  <c r="E2169" i="9"/>
  <c r="E2170" i="9"/>
  <c r="E2171" i="9"/>
  <c r="E2172" i="9"/>
  <c r="E2173" i="9"/>
  <c r="E2174" i="9"/>
  <c r="E2175" i="9"/>
  <c r="E2176" i="9"/>
  <c r="E2177" i="9"/>
  <c r="E2178" i="9"/>
  <c r="E2179" i="9"/>
  <c r="E2180" i="9"/>
  <c r="E2181" i="9"/>
  <c r="E2182" i="9"/>
  <c r="E2183" i="9"/>
  <c r="E2184" i="9"/>
  <c r="E2185" i="9"/>
  <c r="E2186" i="9"/>
  <c r="E2187" i="9"/>
  <c r="E2188" i="9"/>
  <c r="E2189" i="9"/>
  <c r="E2190" i="9"/>
  <c r="E2191" i="9"/>
  <c r="E2192" i="9"/>
  <c r="E2193" i="9"/>
  <c r="E2194" i="9"/>
  <c r="E2195" i="9"/>
  <c r="E2196" i="9"/>
  <c r="E2197" i="9"/>
  <c r="E2198" i="9"/>
  <c r="E2199" i="9"/>
  <c r="E2200" i="9"/>
  <c r="E2201" i="9"/>
  <c r="E2202" i="9"/>
  <c r="E2203" i="9"/>
  <c r="E2204" i="9"/>
  <c r="E2205" i="9"/>
  <c r="E2206" i="9"/>
  <c r="E2207" i="9"/>
  <c r="E2208" i="9"/>
  <c r="E2209" i="9"/>
  <c r="E2210" i="9"/>
  <c r="E2211" i="9"/>
  <c r="E2212" i="9"/>
  <c r="E2213" i="9"/>
  <c r="E2214" i="9"/>
  <c r="E2215" i="9"/>
  <c r="E2216" i="9"/>
  <c r="E2217" i="9"/>
  <c r="E2218" i="9"/>
  <c r="E2219" i="9"/>
  <c r="E2220" i="9"/>
  <c r="E2221" i="9"/>
  <c r="E2222" i="9"/>
  <c r="E2223" i="9"/>
  <c r="E2224" i="9"/>
  <c r="E2225" i="9"/>
  <c r="E2226" i="9"/>
  <c r="E2227" i="9"/>
  <c r="E2228" i="9"/>
  <c r="E2229" i="9"/>
  <c r="E2230" i="9"/>
  <c r="E2231" i="9"/>
  <c r="E2232" i="9"/>
  <c r="E2233" i="9"/>
  <c r="E2234" i="9"/>
  <c r="E2235" i="9"/>
  <c r="E2236" i="9"/>
  <c r="E2237" i="9"/>
  <c r="E2238" i="9"/>
  <c r="E2239" i="9"/>
  <c r="E2240" i="9"/>
  <c r="E2241" i="9"/>
  <c r="E2242" i="9"/>
  <c r="E2243" i="9"/>
  <c r="E2244" i="9"/>
  <c r="E2245" i="9"/>
  <c r="E2246" i="9"/>
  <c r="E2247" i="9"/>
  <c r="E2248" i="9"/>
  <c r="E2249" i="9"/>
  <c r="E2250" i="9"/>
  <c r="E2251" i="9"/>
  <c r="E2252" i="9"/>
  <c r="E2253" i="9"/>
  <c r="E2254" i="9"/>
  <c r="E2255" i="9"/>
  <c r="E2256" i="9"/>
  <c r="E2257" i="9"/>
  <c r="E2258" i="9"/>
  <c r="E2259" i="9"/>
  <c r="E2260" i="9"/>
  <c r="E2261" i="9"/>
  <c r="E2262" i="9"/>
  <c r="E2263" i="9"/>
  <c r="E2264" i="9"/>
  <c r="E2265" i="9"/>
  <c r="E2266" i="9"/>
  <c r="E2267" i="9"/>
  <c r="E2268" i="9"/>
  <c r="E2269" i="9"/>
  <c r="E2270" i="9"/>
  <c r="E2271" i="9"/>
  <c r="E2272" i="9"/>
  <c r="E2273" i="9"/>
  <c r="E2274" i="9"/>
  <c r="E2275" i="9"/>
  <c r="E2276" i="9"/>
  <c r="E2277" i="9"/>
  <c r="E2278" i="9"/>
  <c r="E2279" i="9"/>
  <c r="E2280" i="9"/>
  <c r="E2281" i="9"/>
  <c r="E2282" i="9"/>
  <c r="E2283" i="9"/>
  <c r="E2284" i="9"/>
  <c r="E2285" i="9"/>
  <c r="E2286" i="9"/>
  <c r="E2287" i="9"/>
  <c r="E2288" i="9"/>
  <c r="E2289" i="9"/>
  <c r="E2290" i="9"/>
  <c r="E2291" i="9"/>
  <c r="E2292" i="9"/>
  <c r="E2293" i="9"/>
  <c r="E2294" i="9"/>
  <c r="E2295" i="9"/>
  <c r="E2296" i="9"/>
  <c r="E2297" i="9"/>
  <c r="E2298" i="9"/>
  <c r="E2299" i="9"/>
  <c r="E2300" i="9"/>
  <c r="E2301" i="9"/>
  <c r="E2302" i="9"/>
  <c r="E2303" i="9"/>
  <c r="E2304" i="9"/>
  <c r="E2305" i="9"/>
  <c r="E2306" i="9"/>
  <c r="E2307" i="9"/>
  <c r="E2308" i="9"/>
  <c r="E2309" i="9"/>
  <c r="E2310" i="9"/>
  <c r="E2311" i="9"/>
  <c r="E2312" i="9"/>
  <c r="E2313" i="9"/>
  <c r="E2314" i="9"/>
  <c r="E2315" i="9"/>
  <c r="E2316" i="9"/>
  <c r="E2317" i="9"/>
  <c r="E2318" i="9"/>
  <c r="E2319" i="9"/>
  <c r="E2320" i="9"/>
  <c r="E2321" i="9"/>
  <c r="E2322" i="9"/>
  <c r="E2323" i="9"/>
  <c r="E2324" i="9"/>
  <c r="E2325" i="9"/>
  <c r="E2326" i="9"/>
  <c r="E2327" i="9"/>
  <c r="E2328" i="9"/>
  <c r="E2329" i="9"/>
  <c r="E2330" i="9"/>
  <c r="E2331" i="9"/>
  <c r="E2332" i="9"/>
  <c r="E2333" i="9"/>
  <c r="E2334" i="9"/>
  <c r="E2335" i="9"/>
  <c r="E2336" i="9"/>
  <c r="E2337" i="9"/>
  <c r="E2338" i="9"/>
  <c r="E2339" i="9"/>
  <c r="E2340" i="9"/>
  <c r="E2341" i="9"/>
  <c r="E2342" i="9"/>
  <c r="E2343" i="9"/>
  <c r="E2344" i="9"/>
  <c r="E2345" i="9"/>
  <c r="E2346" i="9"/>
  <c r="E2347" i="9"/>
  <c r="E2348" i="9"/>
  <c r="E2349" i="9"/>
  <c r="E2350" i="9"/>
  <c r="E2351" i="9"/>
  <c r="E2352" i="9"/>
  <c r="E2353" i="9"/>
  <c r="E2354" i="9"/>
  <c r="E2355" i="9"/>
  <c r="E2356" i="9"/>
  <c r="E2357" i="9"/>
  <c r="E2358" i="9"/>
  <c r="E2359" i="9"/>
  <c r="E2360" i="9"/>
  <c r="E2361" i="9"/>
  <c r="E2362" i="9"/>
  <c r="E2363" i="9"/>
  <c r="E2364" i="9"/>
  <c r="E2365" i="9"/>
  <c r="E2366" i="9"/>
  <c r="E2367" i="9"/>
  <c r="E2368" i="9"/>
  <c r="E2369" i="9"/>
  <c r="E2370" i="9"/>
  <c r="E2371" i="9"/>
  <c r="E2372" i="9"/>
  <c r="E2373" i="9"/>
  <c r="E2374" i="9"/>
  <c r="E2375" i="9"/>
  <c r="E2376" i="9"/>
  <c r="E2377" i="9"/>
  <c r="E2378" i="9"/>
  <c r="E2379" i="9"/>
  <c r="E2380" i="9"/>
  <c r="E2381" i="9"/>
  <c r="E2382" i="9"/>
  <c r="E2383" i="9"/>
  <c r="E2384" i="9"/>
  <c r="E2385" i="9"/>
  <c r="E2386" i="9"/>
  <c r="E2387" i="9"/>
  <c r="E2388" i="9"/>
  <c r="E2389" i="9"/>
  <c r="E2390" i="9"/>
  <c r="E2391" i="9"/>
  <c r="E2392" i="9"/>
  <c r="E2393" i="9"/>
  <c r="E2394" i="9"/>
  <c r="E2395" i="9"/>
  <c r="E2396" i="9"/>
  <c r="E2397" i="9"/>
  <c r="E2398" i="9"/>
  <c r="E2399" i="9"/>
  <c r="E2400" i="9"/>
  <c r="E2401" i="9"/>
  <c r="E2402" i="9"/>
  <c r="E2403" i="9"/>
  <c r="E2404" i="9"/>
  <c r="E2405" i="9"/>
  <c r="E2406" i="9"/>
  <c r="E2407" i="9"/>
  <c r="E2408" i="9"/>
  <c r="E2409" i="9"/>
  <c r="E2410" i="9"/>
  <c r="E2411" i="9"/>
  <c r="E2412" i="9"/>
  <c r="E2413" i="9"/>
  <c r="E2414" i="9"/>
  <c r="E2415" i="9"/>
  <c r="E2416" i="9"/>
  <c r="E2417" i="9"/>
  <c r="E2418" i="9"/>
  <c r="E2419" i="9"/>
  <c r="E2420" i="9"/>
  <c r="E2421" i="9"/>
  <c r="E2422" i="9"/>
  <c r="E2423" i="9"/>
  <c r="E2424" i="9"/>
  <c r="E2425" i="9"/>
  <c r="E2426" i="9"/>
  <c r="E2427" i="9"/>
  <c r="E2428" i="9"/>
  <c r="E2429" i="9"/>
  <c r="E2430" i="9"/>
  <c r="E2431" i="9"/>
  <c r="E2432" i="9"/>
  <c r="E2433" i="9"/>
  <c r="E2434" i="9"/>
  <c r="E2435" i="9"/>
  <c r="E2436" i="9"/>
  <c r="E2437" i="9"/>
  <c r="E2438" i="9"/>
  <c r="E2439" i="9"/>
  <c r="E2440" i="9"/>
  <c r="E2441" i="9"/>
  <c r="E2442" i="9"/>
  <c r="E2443" i="9"/>
  <c r="E2444" i="9"/>
  <c r="E2445" i="9"/>
  <c r="E2446" i="9"/>
  <c r="E2447" i="9"/>
  <c r="E2448" i="9"/>
  <c r="E2449" i="9"/>
  <c r="E2450" i="9"/>
  <c r="E2451" i="9"/>
  <c r="E2452" i="9"/>
  <c r="E2453" i="9"/>
  <c r="E2454" i="9"/>
  <c r="E2455" i="9"/>
  <c r="E2456" i="9"/>
  <c r="E2457" i="9"/>
  <c r="E2458" i="9"/>
  <c r="E2459" i="9"/>
  <c r="E2460" i="9"/>
  <c r="E2461" i="9"/>
  <c r="E2462" i="9"/>
  <c r="E2463" i="9"/>
  <c r="E2464" i="9"/>
  <c r="E2465" i="9"/>
  <c r="E2466" i="9"/>
  <c r="E2467" i="9"/>
  <c r="E2468" i="9"/>
  <c r="E2469" i="9"/>
  <c r="E2470" i="9"/>
  <c r="E2471" i="9"/>
  <c r="E2472" i="9"/>
  <c r="E2473" i="9"/>
  <c r="E2474" i="9"/>
  <c r="E2475" i="9"/>
  <c r="E2476" i="9"/>
  <c r="E2477" i="9"/>
  <c r="E2478" i="9"/>
  <c r="E2479" i="9"/>
  <c r="E2480" i="9"/>
  <c r="E2481" i="9"/>
  <c r="E2482" i="9"/>
  <c r="E2483" i="9"/>
  <c r="E2484" i="9"/>
  <c r="E2485" i="9"/>
  <c r="E2486" i="9"/>
  <c r="E2487" i="9"/>
  <c r="E2488" i="9"/>
  <c r="E2489" i="9"/>
  <c r="E2490" i="9"/>
  <c r="E2491" i="9"/>
  <c r="E2492" i="9"/>
  <c r="E2493" i="9"/>
  <c r="E2494" i="9"/>
  <c r="E2495" i="9"/>
  <c r="E2496" i="9"/>
  <c r="E2497" i="9"/>
  <c r="E2498" i="9"/>
  <c r="E2499" i="9"/>
  <c r="E2500" i="9"/>
  <c r="E2501" i="9"/>
  <c r="E2502" i="9"/>
  <c r="E2503" i="9"/>
  <c r="E2504" i="9"/>
  <c r="E2505" i="9"/>
  <c r="E2506" i="9"/>
  <c r="E2507" i="9"/>
  <c r="E2508" i="9"/>
  <c r="E2509" i="9"/>
  <c r="E2510" i="9"/>
  <c r="E2511" i="9"/>
  <c r="E2512" i="9"/>
  <c r="E2513" i="9"/>
  <c r="E2514" i="9"/>
  <c r="E2515" i="9"/>
  <c r="E2516" i="9"/>
  <c r="E2517" i="9"/>
  <c r="E2518" i="9"/>
  <c r="E2519" i="9"/>
  <c r="E2520" i="9"/>
  <c r="E2521" i="9"/>
  <c r="E2522" i="9"/>
  <c r="E2523" i="9"/>
  <c r="E2524" i="9"/>
  <c r="E2525" i="9"/>
  <c r="E2526" i="9"/>
  <c r="E2527" i="9"/>
  <c r="E2528" i="9"/>
  <c r="E2529" i="9"/>
  <c r="E2530" i="9"/>
  <c r="E2531" i="9"/>
  <c r="E2532" i="9"/>
  <c r="E2533" i="9"/>
  <c r="E2534" i="9"/>
  <c r="E2535" i="9"/>
  <c r="E2536" i="9"/>
  <c r="E2537" i="9"/>
  <c r="E2538" i="9"/>
  <c r="E2539" i="9"/>
  <c r="E2540" i="9"/>
  <c r="E2541" i="9"/>
  <c r="E2542" i="9"/>
  <c r="E2543" i="9"/>
  <c r="E2544" i="9"/>
  <c r="E2545" i="9"/>
  <c r="E2546" i="9"/>
  <c r="E2547" i="9"/>
  <c r="E2548" i="9"/>
  <c r="E2549" i="9"/>
  <c r="E2550" i="9"/>
  <c r="E2551" i="9"/>
  <c r="E2552" i="9"/>
  <c r="E2553" i="9"/>
  <c r="E2554" i="9"/>
  <c r="E2555" i="9"/>
  <c r="E2556" i="9"/>
  <c r="E2557" i="9"/>
  <c r="E2558" i="9"/>
  <c r="E2559" i="9"/>
  <c r="E2560" i="9"/>
  <c r="E2561" i="9"/>
  <c r="E2562" i="9"/>
  <c r="E2563" i="9"/>
  <c r="E2564" i="9"/>
  <c r="E2565" i="9"/>
  <c r="E2566" i="9"/>
  <c r="E2567" i="9"/>
  <c r="E2568" i="9"/>
  <c r="E2569" i="9"/>
  <c r="E2570" i="9"/>
  <c r="E2571" i="9"/>
  <c r="E2572" i="9"/>
  <c r="E2573" i="9"/>
  <c r="E2574" i="9"/>
  <c r="E2575" i="9"/>
  <c r="E2576" i="9"/>
  <c r="E2577" i="9"/>
  <c r="E2578" i="9"/>
  <c r="E2579" i="9"/>
  <c r="E2580" i="9"/>
  <c r="E2581" i="9"/>
  <c r="E2582" i="9"/>
  <c r="E2583" i="9"/>
  <c r="E2584" i="9"/>
  <c r="E2585" i="9"/>
  <c r="E2586" i="9"/>
  <c r="E2587" i="9"/>
  <c r="E2588" i="9"/>
  <c r="E2589" i="9"/>
  <c r="E2590" i="9"/>
  <c r="E2591" i="9"/>
  <c r="E2592" i="9"/>
  <c r="E2593" i="9"/>
  <c r="E2594" i="9"/>
  <c r="E2595" i="9"/>
  <c r="E2596" i="9"/>
  <c r="E2597" i="9"/>
  <c r="E2598" i="9"/>
  <c r="E2599" i="9"/>
  <c r="E2600" i="9"/>
  <c r="E2601" i="9"/>
  <c r="E2602" i="9"/>
  <c r="E2603" i="9"/>
  <c r="E2604" i="9"/>
  <c r="E2605" i="9"/>
  <c r="E2606" i="9"/>
  <c r="E2607" i="9"/>
  <c r="E2608" i="9"/>
  <c r="E2609" i="9"/>
  <c r="E2610" i="9"/>
  <c r="E2611" i="9"/>
  <c r="E2612" i="9"/>
  <c r="E2613" i="9"/>
  <c r="E2614" i="9"/>
  <c r="E2615" i="9"/>
  <c r="E2616" i="9"/>
  <c r="E2617" i="9"/>
  <c r="E2618" i="9"/>
  <c r="E2619" i="9"/>
  <c r="E2620" i="9"/>
  <c r="E2621" i="9"/>
  <c r="E2622" i="9"/>
  <c r="E2623" i="9"/>
  <c r="E2624" i="9"/>
  <c r="E2625" i="9"/>
  <c r="E2626" i="9"/>
  <c r="E2627" i="9"/>
  <c r="E2628" i="9"/>
  <c r="E2629" i="9"/>
  <c r="E2630" i="9"/>
  <c r="E2631" i="9"/>
  <c r="E2632" i="9"/>
  <c r="E2633" i="9"/>
  <c r="E2634" i="9"/>
  <c r="E2635" i="9"/>
  <c r="E2636" i="9"/>
  <c r="E2637" i="9"/>
  <c r="E2638" i="9"/>
  <c r="E2639" i="9"/>
  <c r="E2640" i="9"/>
  <c r="E2641" i="9"/>
  <c r="E2642" i="9"/>
  <c r="E2643" i="9"/>
  <c r="E2644" i="9"/>
  <c r="E2645" i="9"/>
  <c r="E2646" i="9"/>
  <c r="E2647" i="9"/>
  <c r="E2648" i="9"/>
  <c r="E2649" i="9"/>
  <c r="E2650" i="9"/>
  <c r="E2651" i="9"/>
  <c r="E2652" i="9"/>
  <c r="E2653" i="9"/>
  <c r="E2654" i="9"/>
  <c r="E2655" i="9"/>
  <c r="E2656" i="9"/>
  <c r="E2657" i="9"/>
  <c r="E2658" i="9"/>
  <c r="E2659" i="9"/>
  <c r="E2660" i="9"/>
  <c r="E2661" i="9"/>
  <c r="E2662" i="9"/>
  <c r="E2663" i="9"/>
  <c r="E2664" i="9"/>
  <c r="E2665" i="9"/>
  <c r="E2666" i="9"/>
  <c r="E2667" i="9"/>
  <c r="E2668" i="9"/>
  <c r="E2669" i="9"/>
  <c r="E2670" i="9"/>
  <c r="E2671" i="9"/>
  <c r="E2672" i="9"/>
  <c r="E2673" i="9"/>
  <c r="E2674" i="9"/>
  <c r="E2675" i="9"/>
  <c r="E2676" i="9"/>
  <c r="E2677" i="9"/>
  <c r="E2678" i="9"/>
  <c r="E2679" i="9"/>
  <c r="E2680" i="9"/>
  <c r="E2681" i="9"/>
  <c r="E2682" i="9"/>
  <c r="E2683" i="9"/>
  <c r="E2684" i="9"/>
  <c r="E2685" i="9"/>
  <c r="E2686" i="9"/>
  <c r="E2687" i="9"/>
  <c r="E2688" i="9"/>
  <c r="E2689" i="9"/>
  <c r="E2690" i="9"/>
  <c r="E2691" i="9"/>
  <c r="E2692" i="9"/>
  <c r="E2693" i="9"/>
  <c r="E2694" i="9"/>
  <c r="E2695" i="9"/>
  <c r="E2696" i="9"/>
  <c r="E2697" i="9"/>
  <c r="E2698" i="9"/>
  <c r="E2699" i="9"/>
  <c r="E2700" i="9"/>
  <c r="E2701" i="9"/>
  <c r="E2702" i="9"/>
  <c r="E2703" i="9"/>
  <c r="E2704" i="9"/>
  <c r="E2705" i="9"/>
  <c r="E2706" i="9"/>
  <c r="E2707" i="9"/>
  <c r="E2708" i="9"/>
  <c r="E2709" i="9"/>
  <c r="E2710" i="9"/>
  <c r="E2711" i="9"/>
  <c r="E2712" i="9"/>
  <c r="E2713" i="9"/>
  <c r="E2714" i="9"/>
  <c r="E2715" i="9"/>
  <c r="E2716" i="9"/>
  <c r="E2717" i="9"/>
  <c r="E2718" i="9"/>
  <c r="E2719" i="9"/>
  <c r="E2720" i="9"/>
  <c r="E2721" i="9"/>
  <c r="E2722" i="9"/>
  <c r="E2723" i="9"/>
  <c r="E2724" i="9"/>
  <c r="E2725" i="9"/>
  <c r="E2726" i="9"/>
  <c r="E2727" i="9"/>
  <c r="E2728" i="9"/>
  <c r="E2729" i="9"/>
  <c r="E2730" i="9"/>
  <c r="E2731" i="9"/>
  <c r="E2732" i="9"/>
  <c r="E2733" i="9"/>
  <c r="E2734" i="9"/>
  <c r="E2735" i="9"/>
  <c r="E2736" i="9"/>
  <c r="E2737" i="9"/>
  <c r="E2738" i="9"/>
  <c r="E2739" i="9"/>
  <c r="E2740" i="9"/>
  <c r="E2741" i="9"/>
  <c r="E2742" i="9"/>
  <c r="E2743" i="9"/>
  <c r="E2744" i="9"/>
  <c r="E2745" i="9"/>
  <c r="E2746" i="9"/>
  <c r="E2747" i="9"/>
  <c r="E2748" i="9"/>
  <c r="E2749" i="9"/>
  <c r="E2750" i="9"/>
  <c r="E2751" i="9"/>
  <c r="E2752" i="9"/>
  <c r="E2753" i="9"/>
  <c r="E2754" i="9"/>
  <c r="E2755" i="9"/>
  <c r="E2756" i="9"/>
  <c r="E2757" i="9"/>
  <c r="E2758" i="9"/>
  <c r="E2759" i="9"/>
  <c r="E2760" i="9"/>
  <c r="E2761" i="9"/>
  <c r="E2762" i="9"/>
  <c r="E2763" i="9"/>
  <c r="E2764" i="9"/>
  <c r="E2765" i="9"/>
  <c r="E2766" i="9"/>
  <c r="E2767" i="9"/>
  <c r="E2768" i="9"/>
  <c r="E2769" i="9"/>
  <c r="E2770" i="9"/>
  <c r="E2771" i="9"/>
  <c r="E2772" i="9"/>
  <c r="E2773" i="9"/>
  <c r="E2774" i="9"/>
  <c r="E2775" i="9"/>
  <c r="E2776" i="9"/>
  <c r="E2777" i="9"/>
  <c r="E2778" i="9"/>
  <c r="E2779" i="9"/>
  <c r="E2780" i="9"/>
  <c r="E2781" i="9"/>
  <c r="E2782" i="9"/>
  <c r="E2783" i="9"/>
  <c r="E2784" i="9"/>
  <c r="E2785" i="9"/>
  <c r="E2786" i="9"/>
  <c r="E2787" i="9"/>
  <c r="E2788" i="9"/>
  <c r="E2789" i="9"/>
  <c r="E2790" i="9"/>
  <c r="E2791" i="9"/>
  <c r="E2792" i="9"/>
  <c r="E2793" i="9"/>
  <c r="E2794" i="9"/>
  <c r="E2795" i="9"/>
  <c r="E2796" i="9"/>
  <c r="E2797" i="9"/>
  <c r="E2798" i="9"/>
  <c r="E2799" i="9"/>
  <c r="E2800" i="9"/>
  <c r="E2801" i="9"/>
  <c r="E2802" i="9"/>
  <c r="E2803" i="9"/>
  <c r="E2804" i="9"/>
  <c r="E2805" i="9"/>
  <c r="E2806" i="9"/>
  <c r="E2807" i="9"/>
  <c r="E2808" i="9"/>
  <c r="E2809" i="9"/>
  <c r="E2810" i="9"/>
  <c r="E2811" i="9"/>
  <c r="E2812" i="9"/>
  <c r="E2813" i="9"/>
  <c r="E2814" i="9"/>
  <c r="E2815" i="9"/>
  <c r="E2816" i="9"/>
  <c r="E2817" i="9"/>
  <c r="E2818" i="9"/>
  <c r="E2819" i="9"/>
  <c r="E2820" i="9"/>
  <c r="E2821" i="9"/>
  <c r="E2822" i="9"/>
  <c r="E2823" i="9"/>
  <c r="E2824" i="9"/>
  <c r="E2825" i="9"/>
  <c r="E2826" i="9"/>
  <c r="E2827" i="9"/>
  <c r="E2828" i="9"/>
  <c r="E2829" i="9"/>
  <c r="E2830" i="9"/>
  <c r="E2831" i="9"/>
  <c r="E2832" i="9"/>
  <c r="E2833" i="9"/>
  <c r="E2834" i="9"/>
  <c r="E2835" i="9"/>
  <c r="E2836" i="9"/>
  <c r="E2837" i="9"/>
  <c r="E2838" i="9"/>
  <c r="E2839" i="9"/>
  <c r="E2840" i="9"/>
  <c r="E2841" i="9"/>
  <c r="E2842" i="9"/>
  <c r="E2843" i="9"/>
  <c r="E2844" i="9"/>
  <c r="E2845" i="9"/>
  <c r="E2846" i="9"/>
  <c r="E2847" i="9"/>
  <c r="E2848" i="9"/>
  <c r="E2849" i="9"/>
  <c r="E2850" i="9"/>
  <c r="E2851" i="9"/>
  <c r="E2852" i="9"/>
  <c r="E2853" i="9"/>
  <c r="E2854" i="9"/>
  <c r="E2855" i="9"/>
  <c r="E2856" i="9"/>
  <c r="E2857" i="9"/>
  <c r="E2858" i="9"/>
  <c r="E2859" i="9"/>
  <c r="E2860" i="9"/>
  <c r="E2861" i="9"/>
  <c r="E2862" i="9"/>
  <c r="E2863" i="9"/>
  <c r="E2864" i="9"/>
  <c r="E2865" i="9"/>
  <c r="E2866" i="9"/>
  <c r="E2867" i="9"/>
  <c r="E2868" i="9"/>
  <c r="E2869" i="9"/>
  <c r="E2870" i="9"/>
  <c r="E2871" i="9"/>
  <c r="E2872" i="9"/>
  <c r="E2873" i="9"/>
  <c r="E2874" i="9"/>
  <c r="E2875" i="9"/>
  <c r="E2876" i="9"/>
  <c r="E2877" i="9"/>
  <c r="E2878" i="9"/>
  <c r="E2879" i="9"/>
  <c r="E2880" i="9"/>
  <c r="E2881" i="9"/>
  <c r="E2882" i="9"/>
  <c r="E2883" i="9"/>
  <c r="E2884" i="9"/>
  <c r="E2885" i="9"/>
  <c r="E2886" i="9"/>
  <c r="E2887" i="9"/>
  <c r="E2888" i="9"/>
  <c r="E2889" i="9"/>
  <c r="E2890" i="9"/>
  <c r="E2891" i="9"/>
  <c r="E2892" i="9"/>
  <c r="E2893" i="9"/>
  <c r="E2894" i="9"/>
  <c r="E2895" i="9"/>
  <c r="E2896" i="9"/>
  <c r="E2897" i="9"/>
  <c r="E2898" i="9"/>
  <c r="E2899" i="9"/>
  <c r="E2900" i="9"/>
  <c r="E2901" i="9"/>
  <c r="E2902" i="9"/>
  <c r="E2903" i="9"/>
  <c r="E2904" i="9"/>
  <c r="E2905" i="9"/>
  <c r="E2906" i="9"/>
  <c r="E2907" i="9"/>
  <c r="E2908" i="9"/>
  <c r="E2909" i="9"/>
  <c r="E2910" i="9"/>
  <c r="E2911" i="9"/>
  <c r="E2912" i="9"/>
  <c r="E2913" i="9"/>
  <c r="E2914" i="9"/>
  <c r="E2915" i="9"/>
  <c r="E2916" i="9"/>
  <c r="E2917" i="9"/>
  <c r="E2918" i="9"/>
  <c r="E2919" i="9"/>
  <c r="E2920" i="9"/>
  <c r="E2921" i="9"/>
  <c r="E2922" i="9"/>
  <c r="E2923" i="9"/>
  <c r="E2924" i="9"/>
  <c r="E2925" i="9"/>
  <c r="E2926" i="9"/>
  <c r="E2927" i="9"/>
  <c r="E2928" i="9"/>
  <c r="E2929" i="9"/>
  <c r="E2930" i="9"/>
  <c r="E2931" i="9"/>
  <c r="E2932" i="9"/>
  <c r="E2933" i="9"/>
  <c r="E2934" i="9"/>
  <c r="E2935" i="9"/>
  <c r="E2936" i="9"/>
  <c r="E2937" i="9"/>
  <c r="E2938" i="9"/>
  <c r="E2939" i="9"/>
  <c r="E2940" i="9"/>
  <c r="E2941" i="9"/>
  <c r="E2942" i="9"/>
  <c r="E2943" i="9"/>
  <c r="E2944" i="9"/>
  <c r="E2945" i="9"/>
  <c r="E2946" i="9"/>
  <c r="E2947" i="9"/>
  <c r="E2948" i="9"/>
  <c r="E2949" i="9"/>
  <c r="E2950" i="9"/>
  <c r="E2951" i="9"/>
  <c r="E2952" i="9"/>
  <c r="E2953" i="9"/>
  <c r="E2954" i="9"/>
  <c r="E2955" i="9"/>
  <c r="E2956" i="9"/>
  <c r="E2957" i="9"/>
  <c r="E2958" i="9"/>
  <c r="E2959" i="9"/>
  <c r="E2960" i="9"/>
  <c r="E2961" i="9"/>
  <c r="E2962" i="9"/>
  <c r="E2963" i="9"/>
  <c r="E2964" i="9"/>
  <c r="E2965" i="9"/>
  <c r="E2966" i="9"/>
  <c r="E2967" i="9"/>
  <c r="E2968" i="9"/>
  <c r="E2969" i="9"/>
  <c r="E2970" i="9"/>
  <c r="E2971" i="9"/>
  <c r="E2972" i="9"/>
  <c r="E2973" i="9"/>
  <c r="E2974" i="9"/>
  <c r="E2975" i="9"/>
  <c r="E2976" i="9"/>
  <c r="E2977" i="9"/>
  <c r="E2978" i="9"/>
  <c r="E2979" i="9"/>
  <c r="E2980" i="9"/>
  <c r="E2981" i="9"/>
  <c r="E2982" i="9"/>
  <c r="E2983" i="9"/>
  <c r="E2984" i="9"/>
  <c r="E2985" i="9"/>
  <c r="E2986" i="9"/>
  <c r="E2987" i="9"/>
  <c r="E2988" i="9"/>
  <c r="E2989" i="9"/>
  <c r="E2990" i="9"/>
  <c r="E2991" i="9"/>
  <c r="E2992" i="9"/>
  <c r="E2993" i="9"/>
  <c r="E2994" i="9"/>
  <c r="E2995" i="9"/>
  <c r="E2996" i="9"/>
  <c r="E2997" i="9"/>
  <c r="E2998" i="9"/>
  <c r="E2999" i="9"/>
  <c r="E3000" i="9"/>
  <c r="E3001" i="9"/>
  <c r="E3002" i="9"/>
  <c r="E3003" i="9"/>
  <c r="E3004" i="9"/>
  <c r="E3005" i="9"/>
  <c r="E3006" i="9"/>
  <c r="E3007" i="9"/>
  <c r="E3008" i="9"/>
  <c r="E3009" i="9"/>
  <c r="E3010" i="9"/>
  <c r="E3011" i="9"/>
  <c r="E3012" i="9"/>
  <c r="E3013" i="9"/>
  <c r="E3014" i="9"/>
  <c r="E3015" i="9"/>
  <c r="E3016" i="9"/>
  <c r="E3017" i="9"/>
  <c r="E3018" i="9"/>
  <c r="E3019" i="9"/>
  <c r="E3020" i="9"/>
  <c r="E3021" i="9"/>
  <c r="E3022" i="9"/>
  <c r="E3023" i="9"/>
  <c r="E3024" i="9"/>
  <c r="E3025" i="9"/>
  <c r="E3026" i="9"/>
  <c r="E3027" i="9"/>
  <c r="E3028" i="9"/>
  <c r="E3029" i="9"/>
  <c r="E3030" i="9"/>
  <c r="E3031" i="9"/>
  <c r="E3032" i="9"/>
  <c r="E3033" i="9"/>
  <c r="E3034" i="9"/>
  <c r="E3035" i="9"/>
  <c r="E3036" i="9"/>
  <c r="E3037" i="9"/>
  <c r="E3038" i="9"/>
  <c r="E3039" i="9"/>
  <c r="E3040" i="9"/>
  <c r="E3041" i="9"/>
  <c r="E3042" i="9"/>
  <c r="E3043" i="9"/>
  <c r="E3044" i="9"/>
  <c r="E3045" i="9"/>
  <c r="E3046" i="9"/>
  <c r="E3047" i="9"/>
  <c r="E3048" i="9"/>
  <c r="E3049" i="9"/>
  <c r="E3050" i="9"/>
  <c r="E3051" i="9"/>
  <c r="E3052" i="9"/>
  <c r="E3053" i="9"/>
  <c r="E3054" i="9"/>
  <c r="E3055" i="9"/>
  <c r="E3056" i="9"/>
  <c r="E3057" i="9"/>
  <c r="E3058" i="9"/>
  <c r="E3059" i="9"/>
  <c r="E3060" i="9"/>
  <c r="E3061" i="9"/>
  <c r="E3062" i="9"/>
  <c r="E3063" i="9"/>
  <c r="E3064" i="9"/>
  <c r="E3065" i="9"/>
  <c r="E3066" i="9"/>
  <c r="E3067" i="9"/>
  <c r="E3068" i="9"/>
  <c r="E3069" i="9"/>
  <c r="E3070" i="9"/>
  <c r="E3071" i="9"/>
  <c r="E3072" i="9"/>
  <c r="E3073" i="9"/>
  <c r="E3074" i="9"/>
  <c r="E3075" i="9"/>
  <c r="E3076" i="9"/>
  <c r="E3077" i="9"/>
  <c r="E3078" i="9"/>
  <c r="E3079" i="9"/>
  <c r="E3080" i="9"/>
  <c r="E3081" i="9"/>
  <c r="E3082" i="9"/>
  <c r="E3083" i="9"/>
  <c r="E3084" i="9"/>
  <c r="E3085" i="9"/>
  <c r="E3086" i="9"/>
  <c r="E3087" i="9"/>
  <c r="E3088" i="9"/>
  <c r="E3089" i="9"/>
  <c r="E3090" i="9"/>
  <c r="E3091" i="9"/>
  <c r="E3092" i="9"/>
  <c r="E3093" i="9"/>
  <c r="E3094" i="9"/>
  <c r="E3095" i="9"/>
  <c r="E3096" i="9"/>
  <c r="E3097" i="9"/>
  <c r="E3098" i="9"/>
  <c r="E3099" i="9"/>
  <c r="E3100" i="9"/>
  <c r="E3101" i="9"/>
  <c r="E3102" i="9"/>
  <c r="E3103" i="9"/>
  <c r="E3104" i="9"/>
  <c r="E3105" i="9"/>
  <c r="E3106" i="9"/>
  <c r="E3107" i="9"/>
  <c r="E3108" i="9"/>
  <c r="E3109" i="9"/>
  <c r="E3110" i="9"/>
  <c r="E3111" i="9"/>
  <c r="E3112" i="9"/>
  <c r="E3113" i="9"/>
  <c r="E3114" i="9"/>
  <c r="E3115" i="9"/>
  <c r="E3116" i="9"/>
  <c r="E3117" i="9"/>
  <c r="E3118" i="9"/>
  <c r="E3119" i="9"/>
  <c r="E3120" i="9"/>
  <c r="E3121" i="9"/>
  <c r="E3122" i="9"/>
  <c r="E3123" i="9"/>
  <c r="E3124" i="9"/>
  <c r="E3125" i="9"/>
  <c r="E3126" i="9"/>
  <c r="E3127" i="9"/>
  <c r="E3128" i="9"/>
  <c r="E3129" i="9"/>
  <c r="E3130" i="9"/>
  <c r="E3131" i="9"/>
  <c r="E3132" i="9"/>
  <c r="E3133" i="9"/>
  <c r="E3134" i="9"/>
  <c r="E3135" i="9"/>
  <c r="E3136" i="9"/>
  <c r="E3137" i="9"/>
  <c r="E3138" i="9"/>
  <c r="E3139" i="9"/>
  <c r="E3140" i="9"/>
  <c r="E3141" i="9"/>
  <c r="E3142" i="9"/>
  <c r="E3143" i="9"/>
  <c r="E3144" i="9"/>
  <c r="E3145" i="9"/>
  <c r="E3146" i="9"/>
  <c r="E3147" i="9"/>
  <c r="E3148" i="9"/>
  <c r="E3149" i="9"/>
  <c r="E3150" i="9"/>
  <c r="E3151" i="9"/>
  <c r="E3152" i="9"/>
  <c r="E3153" i="9"/>
  <c r="E3154" i="9"/>
  <c r="E3155" i="9"/>
  <c r="E3156" i="9"/>
  <c r="E3157" i="9"/>
  <c r="E3158" i="9"/>
  <c r="E3159" i="9"/>
  <c r="E3160" i="9"/>
  <c r="E3161" i="9"/>
  <c r="E3162" i="9"/>
  <c r="E3163" i="9"/>
  <c r="E3164" i="9"/>
  <c r="E3165" i="9"/>
  <c r="E3166" i="9"/>
  <c r="E3167" i="9"/>
  <c r="E3168" i="9"/>
  <c r="E3169" i="9"/>
  <c r="E3170" i="9"/>
  <c r="E3171" i="9"/>
  <c r="E3172" i="9"/>
  <c r="E3173" i="9"/>
  <c r="E3174" i="9"/>
  <c r="E3175" i="9"/>
  <c r="E3176" i="9"/>
  <c r="E3177" i="9"/>
  <c r="E3178" i="9"/>
  <c r="E3179" i="9"/>
  <c r="E3180" i="9"/>
  <c r="E3181" i="9"/>
  <c r="E3182" i="9"/>
  <c r="E3183" i="9"/>
  <c r="E3184" i="9"/>
  <c r="E3185" i="9"/>
  <c r="E3186" i="9"/>
  <c r="E3187" i="9"/>
  <c r="E3188" i="9"/>
  <c r="E3189" i="9"/>
  <c r="E3190" i="9"/>
  <c r="E3191" i="9"/>
  <c r="E3192" i="9"/>
  <c r="E3193" i="9"/>
  <c r="E3194" i="9"/>
  <c r="E3195" i="9"/>
  <c r="E3196" i="9"/>
  <c r="E3197" i="9"/>
  <c r="E3198" i="9"/>
  <c r="E3199" i="9"/>
  <c r="E3200" i="9"/>
  <c r="E3201" i="9"/>
  <c r="E3202" i="9"/>
  <c r="E3203" i="9"/>
  <c r="E3204" i="9"/>
  <c r="E3205" i="9"/>
  <c r="E3206" i="9"/>
  <c r="E3207" i="9"/>
  <c r="E3208" i="9"/>
  <c r="E3209" i="9"/>
  <c r="E3210" i="9"/>
  <c r="E3211" i="9"/>
  <c r="E3212" i="9"/>
  <c r="E3213" i="9"/>
  <c r="E3214" i="9"/>
  <c r="E3215" i="9"/>
  <c r="E3216" i="9"/>
  <c r="E3217" i="9"/>
  <c r="E3218" i="9"/>
  <c r="E3219" i="9"/>
  <c r="E3220" i="9"/>
  <c r="E3221" i="9"/>
  <c r="E3222" i="9"/>
  <c r="E3223" i="9"/>
  <c r="E3224" i="9"/>
  <c r="E3225" i="9"/>
  <c r="E3226" i="9"/>
  <c r="E3227" i="9"/>
  <c r="E3228" i="9"/>
  <c r="E3229" i="9"/>
  <c r="E3230" i="9"/>
  <c r="E3231" i="9"/>
  <c r="E3232" i="9"/>
  <c r="E3233" i="9"/>
  <c r="E3234" i="9"/>
  <c r="E3235" i="9"/>
  <c r="E3236" i="9"/>
  <c r="E3237" i="9"/>
  <c r="E3238" i="9"/>
  <c r="E3239" i="9"/>
  <c r="E3240" i="9"/>
  <c r="E3241" i="9"/>
  <c r="E3242" i="9"/>
  <c r="E3243" i="9"/>
  <c r="E3244" i="9"/>
  <c r="E3245" i="9"/>
  <c r="E3246" i="9"/>
  <c r="E3247" i="9"/>
  <c r="E3248" i="9"/>
  <c r="E3249" i="9"/>
  <c r="E3250" i="9"/>
  <c r="E3251" i="9"/>
  <c r="E3252" i="9"/>
  <c r="E3253" i="9"/>
  <c r="E3254" i="9"/>
  <c r="E3255" i="9"/>
  <c r="E3256" i="9"/>
  <c r="E3257" i="9"/>
  <c r="E3258" i="9"/>
  <c r="E3259" i="9"/>
  <c r="E3260" i="9"/>
  <c r="E3261" i="9"/>
  <c r="E3262" i="9"/>
  <c r="E3263" i="9"/>
  <c r="E3264" i="9"/>
  <c r="E3265" i="9"/>
  <c r="E3266" i="9"/>
  <c r="E3267" i="9"/>
  <c r="E3268" i="9"/>
  <c r="E3269" i="9"/>
  <c r="E3270" i="9"/>
  <c r="E3271" i="9"/>
  <c r="E3272" i="9"/>
  <c r="E3273" i="9"/>
  <c r="E3274" i="9"/>
  <c r="E3275" i="9"/>
  <c r="E3276" i="9"/>
  <c r="E3277" i="9"/>
  <c r="E3278" i="9"/>
  <c r="E3279" i="9"/>
  <c r="E3280" i="9"/>
  <c r="E3281" i="9"/>
  <c r="E3282" i="9"/>
  <c r="E3283" i="9"/>
  <c r="E3284" i="9"/>
  <c r="E3285" i="9"/>
  <c r="E3286" i="9"/>
  <c r="E3287" i="9"/>
  <c r="E3288" i="9"/>
  <c r="E3289" i="9"/>
  <c r="E3290" i="9"/>
  <c r="E3291" i="9"/>
  <c r="E3292" i="9"/>
  <c r="E3293" i="9"/>
  <c r="E3294" i="9"/>
  <c r="E3295" i="9"/>
  <c r="E3296" i="9"/>
  <c r="E3297" i="9"/>
  <c r="E3298" i="9"/>
  <c r="E3299" i="9"/>
  <c r="E3300" i="9"/>
  <c r="E3301" i="9"/>
  <c r="E3302" i="9"/>
  <c r="E3303" i="9"/>
  <c r="E3304" i="9"/>
  <c r="E3305" i="9"/>
  <c r="E3306" i="9"/>
  <c r="E3307" i="9"/>
  <c r="E3308" i="9"/>
  <c r="E3309" i="9"/>
  <c r="E3310" i="9"/>
  <c r="E3311" i="9"/>
  <c r="E3312" i="9"/>
  <c r="E3313" i="9"/>
  <c r="E3314" i="9"/>
  <c r="E3315" i="9"/>
  <c r="E3316" i="9"/>
  <c r="E3317" i="9"/>
  <c r="E3318" i="9"/>
  <c r="E3319" i="9"/>
  <c r="E3320" i="9"/>
  <c r="E3321" i="9"/>
  <c r="E3322" i="9"/>
  <c r="E3323" i="9"/>
  <c r="E3324" i="9"/>
  <c r="E3325" i="9"/>
  <c r="E3326" i="9"/>
  <c r="E3327" i="9"/>
  <c r="E3328" i="9"/>
  <c r="E3329" i="9"/>
  <c r="E3330" i="9"/>
  <c r="E3331" i="9"/>
  <c r="E3332" i="9"/>
  <c r="E3333" i="9"/>
  <c r="E3334" i="9"/>
  <c r="E3335" i="9"/>
  <c r="E3336" i="9"/>
  <c r="E3337" i="9"/>
  <c r="E3338" i="9"/>
  <c r="E3339" i="9"/>
  <c r="E3340" i="9"/>
  <c r="E3341" i="9"/>
  <c r="E3342" i="9"/>
  <c r="E3343" i="9"/>
  <c r="E3344" i="9"/>
  <c r="E3345" i="9"/>
  <c r="E3346" i="9"/>
  <c r="E3347" i="9"/>
  <c r="E3348" i="9"/>
  <c r="E3349" i="9"/>
  <c r="E3350" i="9"/>
  <c r="E3351" i="9"/>
  <c r="E3352" i="9"/>
  <c r="E3353" i="9"/>
  <c r="E3354" i="9"/>
  <c r="E3355" i="9"/>
  <c r="E3356" i="9"/>
  <c r="E3357" i="9"/>
  <c r="E3358" i="9"/>
  <c r="E3359" i="9"/>
  <c r="E3360" i="9"/>
  <c r="E3361" i="9"/>
  <c r="E3362" i="9"/>
  <c r="E3363" i="9"/>
  <c r="E3364" i="9"/>
  <c r="E3365" i="9"/>
  <c r="E3366" i="9"/>
  <c r="E3367" i="9"/>
  <c r="E3368" i="9"/>
  <c r="E3369" i="9"/>
  <c r="E3370" i="9"/>
  <c r="E3371" i="9"/>
  <c r="E3372" i="9"/>
  <c r="E3373" i="9"/>
  <c r="E3374" i="9"/>
  <c r="E3375" i="9"/>
  <c r="E3376" i="9"/>
  <c r="E3377" i="9"/>
  <c r="E3378" i="9"/>
  <c r="E3379" i="9"/>
  <c r="E3380" i="9"/>
  <c r="E3381" i="9"/>
  <c r="E3382" i="9"/>
  <c r="E3383" i="9"/>
  <c r="E3384" i="9"/>
  <c r="E3385" i="9"/>
  <c r="E3386" i="9"/>
  <c r="E3387" i="9"/>
  <c r="E3388" i="9"/>
  <c r="E3389" i="9"/>
  <c r="E3390" i="9"/>
  <c r="E3391" i="9"/>
  <c r="E3392" i="9"/>
  <c r="E3393" i="9"/>
  <c r="E3394" i="9"/>
  <c r="E3395" i="9"/>
  <c r="E3396" i="9"/>
  <c r="E3397" i="9"/>
  <c r="E3398" i="9"/>
  <c r="E3399" i="9"/>
  <c r="E3400" i="9"/>
  <c r="E3401" i="9"/>
  <c r="E3402" i="9"/>
  <c r="E3403" i="9"/>
  <c r="E3404" i="9"/>
  <c r="E3405" i="9"/>
  <c r="E3406" i="9"/>
  <c r="E3407" i="9"/>
  <c r="E3408" i="9"/>
  <c r="E3409" i="9"/>
  <c r="E3410" i="9"/>
  <c r="E3411" i="9"/>
  <c r="E3412" i="9"/>
  <c r="E3413" i="9"/>
  <c r="E3414" i="9"/>
  <c r="E3415" i="9"/>
  <c r="E3416" i="9"/>
  <c r="E3417" i="9"/>
  <c r="E3418" i="9"/>
  <c r="E3419" i="9"/>
  <c r="E3420" i="9"/>
  <c r="E3421" i="9"/>
  <c r="E3422" i="9"/>
  <c r="E3423" i="9"/>
  <c r="E3424" i="9"/>
  <c r="E3425" i="9"/>
  <c r="E3426" i="9"/>
  <c r="E3427" i="9"/>
  <c r="E3428" i="9"/>
  <c r="E3429" i="9"/>
  <c r="E3430" i="9"/>
  <c r="E3431" i="9"/>
  <c r="E3432" i="9"/>
  <c r="E3433" i="9"/>
  <c r="E3434" i="9"/>
  <c r="E3435" i="9"/>
  <c r="E3436" i="9"/>
  <c r="E3437" i="9"/>
  <c r="E3438" i="9"/>
  <c r="E3439" i="9"/>
  <c r="E3440" i="9"/>
  <c r="E3441" i="9"/>
  <c r="E3442" i="9"/>
  <c r="E3443" i="9"/>
  <c r="E3444" i="9"/>
  <c r="E3445" i="9"/>
  <c r="E3446" i="9"/>
  <c r="E3447" i="9"/>
  <c r="E3448" i="9"/>
  <c r="E3449" i="9"/>
  <c r="E3450" i="9"/>
  <c r="E3451" i="9"/>
  <c r="E3452" i="9"/>
  <c r="E3453" i="9"/>
  <c r="E3454" i="9"/>
  <c r="E3455" i="9"/>
  <c r="E3456" i="9"/>
  <c r="E3457" i="9"/>
  <c r="E3458" i="9"/>
  <c r="E3459" i="9"/>
  <c r="E3460" i="9"/>
  <c r="E3461" i="9"/>
  <c r="E3462" i="9"/>
  <c r="E3463" i="9"/>
  <c r="E3464" i="9"/>
  <c r="E3465" i="9"/>
  <c r="E3466" i="9"/>
  <c r="E3467" i="9"/>
  <c r="E3468" i="9"/>
  <c r="E3469" i="9"/>
  <c r="E3470" i="9"/>
  <c r="E3471" i="9"/>
  <c r="E3472" i="9"/>
  <c r="E3473" i="9"/>
  <c r="E3474" i="9"/>
  <c r="E3475" i="9"/>
  <c r="E3476" i="9"/>
  <c r="E3477" i="9"/>
  <c r="E3478" i="9"/>
  <c r="E3479" i="9"/>
  <c r="E3480" i="9"/>
  <c r="E3481" i="9"/>
  <c r="E3482" i="9"/>
  <c r="E3483" i="9"/>
  <c r="E3484" i="9"/>
  <c r="E3485" i="9"/>
  <c r="E3486" i="9"/>
  <c r="E3487" i="9"/>
  <c r="E3488" i="9"/>
  <c r="E3489" i="9"/>
  <c r="E3490" i="9"/>
  <c r="E3491" i="9"/>
  <c r="E3492" i="9"/>
  <c r="E3493" i="9"/>
  <c r="E3494" i="9"/>
  <c r="E3495" i="9"/>
  <c r="E3496" i="9"/>
  <c r="E3497" i="9"/>
  <c r="E3498" i="9"/>
  <c r="E3499" i="9"/>
  <c r="E3500" i="9"/>
  <c r="E3501" i="9"/>
  <c r="E3502" i="9"/>
  <c r="E3503" i="9"/>
  <c r="E3504" i="9"/>
  <c r="E3505" i="9"/>
  <c r="E3506" i="9"/>
  <c r="E3507" i="9"/>
  <c r="E3508" i="9"/>
  <c r="E3509" i="9"/>
  <c r="E3510" i="9"/>
  <c r="E3511" i="9"/>
  <c r="E3512" i="9"/>
  <c r="E3513" i="9"/>
  <c r="E3514" i="9"/>
  <c r="E3515" i="9"/>
  <c r="E3516" i="9"/>
  <c r="E3517" i="9"/>
  <c r="E3518" i="9"/>
  <c r="E3519" i="9"/>
  <c r="E3520" i="9"/>
  <c r="E3521" i="9"/>
  <c r="E3522" i="9"/>
  <c r="E3523" i="9"/>
  <c r="E3524" i="9"/>
  <c r="E3525" i="9"/>
  <c r="E3526" i="9"/>
  <c r="E3527" i="9"/>
  <c r="E3528" i="9"/>
  <c r="E3529" i="9"/>
  <c r="E3530" i="9"/>
  <c r="E3531" i="9"/>
  <c r="E3532" i="9"/>
  <c r="E3533" i="9"/>
  <c r="E3534" i="9"/>
  <c r="E3535" i="9"/>
  <c r="E3536" i="9"/>
  <c r="E3537" i="9"/>
  <c r="E3538" i="9"/>
  <c r="E3539" i="9"/>
  <c r="E3540" i="9"/>
  <c r="E3541" i="9"/>
  <c r="E3542" i="9"/>
  <c r="E3543" i="9"/>
  <c r="E3544" i="9"/>
  <c r="E3545" i="9"/>
  <c r="E3546" i="9"/>
  <c r="E3547" i="9"/>
  <c r="E3548" i="9"/>
  <c r="E3549" i="9"/>
  <c r="E3550" i="9"/>
  <c r="E3551" i="9"/>
  <c r="E3552" i="9"/>
  <c r="E3553" i="9"/>
  <c r="E3554" i="9"/>
  <c r="E3555" i="9"/>
  <c r="E3556" i="9"/>
  <c r="E3557" i="9"/>
  <c r="E3558" i="9"/>
  <c r="E3559" i="9"/>
  <c r="E3560" i="9"/>
  <c r="E3561" i="9"/>
  <c r="E3562" i="9"/>
  <c r="E3563" i="9"/>
  <c r="E3564" i="9"/>
  <c r="E3565" i="9"/>
  <c r="E3566" i="9"/>
  <c r="E3567" i="9"/>
  <c r="E3568" i="9"/>
  <c r="E3569" i="9"/>
  <c r="E3570" i="9"/>
  <c r="E3571" i="9"/>
  <c r="E3572" i="9"/>
  <c r="E3573" i="9"/>
  <c r="E3574" i="9"/>
  <c r="E3575" i="9"/>
  <c r="E3576" i="9"/>
  <c r="E3577" i="9"/>
  <c r="E3578" i="9"/>
  <c r="E3579" i="9"/>
  <c r="E3580" i="9"/>
  <c r="E3581" i="9"/>
  <c r="E3582" i="9"/>
  <c r="E3583" i="9"/>
  <c r="E3584" i="9"/>
  <c r="E3585" i="9"/>
  <c r="E3586" i="9"/>
  <c r="E3587" i="9"/>
  <c r="E3588" i="9"/>
  <c r="E3589" i="9"/>
  <c r="E3590" i="9"/>
  <c r="E3591" i="9"/>
  <c r="E3592" i="9"/>
  <c r="E3593" i="9"/>
  <c r="E3594" i="9"/>
  <c r="E3595" i="9"/>
  <c r="E3596" i="9"/>
  <c r="E3597" i="9"/>
  <c r="E3598" i="9"/>
  <c r="E3599" i="9"/>
  <c r="E3600" i="9"/>
  <c r="E3601" i="9"/>
  <c r="E3602" i="9"/>
  <c r="E3603" i="9"/>
  <c r="E3604" i="9"/>
  <c r="E3605" i="9"/>
  <c r="E3606" i="9"/>
  <c r="E3607" i="9"/>
  <c r="E3608" i="9"/>
  <c r="E3609" i="9"/>
  <c r="E3610" i="9"/>
  <c r="E3611" i="9"/>
  <c r="E3612" i="9"/>
  <c r="E3613" i="9"/>
  <c r="E3614" i="9"/>
  <c r="E3615" i="9"/>
  <c r="E3616" i="9"/>
  <c r="E3617" i="9"/>
  <c r="E3618" i="9"/>
  <c r="E3619" i="9"/>
  <c r="E3620" i="9"/>
  <c r="E3621" i="9"/>
  <c r="E3622" i="9"/>
  <c r="E3623" i="9"/>
  <c r="E3624" i="9"/>
  <c r="E3625" i="9"/>
  <c r="E3626" i="9"/>
  <c r="E3627" i="9"/>
  <c r="E3628" i="9"/>
  <c r="E3629" i="9"/>
  <c r="E3630" i="9"/>
  <c r="E3631" i="9"/>
  <c r="E3632" i="9"/>
  <c r="E3633" i="9"/>
  <c r="E3634" i="9"/>
  <c r="E3635" i="9"/>
  <c r="E3636" i="9"/>
  <c r="E3637" i="9"/>
  <c r="E3638" i="9"/>
  <c r="E3639" i="9"/>
  <c r="E3640" i="9"/>
  <c r="E3641" i="9"/>
  <c r="E3642" i="9"/>
  <c r="E3643" i="9"/>
  <c r="E3644" i="9"/>
  <c r="E3645" i="9"/>
  <c r="E3646" i="9"/>
  <c r="E3647" i="9"/>
  <c r="E3648" i="9"/>
  <c r="E3649" i="9"/>
  <c r="E3650" i="9"/>
  <c r="E3651" i="9"/>
  <c r="E3652" i="9"/>
  <c r="E3653" i="9"/>
  <c r="E3654" i="9"/>
  <c r="E3655" i="9"/>
  <c r="E3656" i="9"/>
  <c r="E3657" i="9"/>
  <c r="E3658" i="9"/>
  <c r="E3659" i="9"/>
  <c r="E3660" i="9"/>
  <c r="E3661" i="9"/>
  <c r="E3662" i="9"/>
  <c r="E3663" i="9"/>
  <c r="E3664" i="9"/>
  <c r="E3665" i="9"/>
  <c r="E3666" i="9"/>
  <c r="E3667" i="9"/>
  <c r="E3668" i="9"/>
  <c r="E3669" i="9"/>
  <c r="E3670" i="9"/>
  <c r="E3671" i="9"/>
  <c r="E3672" i="9"/>
  <c r="E3673" i="9"/>
  <c r="E3674" i="9"/>
  <c r="E3675" i="9"/>
  <c r="E3676" i="9"/>
  <c r="E3677" i="9"/>
  <c r="E3678" i="9"/>
  <c r="E3679" i="9"/>
  <c r="E3680" i="9"/>
  <c r="E3681" i="9"/>
  <c r="E3682" i="9"/>
  <c r="E3683" i="9"/>
  <c r="E3684" i="9"/>
  <c r="E3685" i="9"/>
  <c r="E3686" i="9"/>
  <c r="E3687" i="9"/>
  <c r="E3688" i="9"/>
  <c r="E3689" i="9"/>
  <c r="E3690" i="9"/>
  <c r="E3691" i="9"/>
  <c r="E3692" i="9"/>
  <c r="E3693" i="9"/>
  <c r="E3694" i="9"/>
  <c r="E3695" i="9"/>
  <c r="E3696" i="9"/>
  <c r="E3697" i="9"/>
  <c r="E3698" i="9"/>
  <c r="E3699" i="9"/>
  <c r="E3700" i="9"/>
  <c r="E3701" i="9"/>
  <c r="E3702" i="9"/>
  <c r="E3703" i="9"/>
  <c r="E3704" i="9"/>
  <c r="E3705" i="9"/>
  <c r="E3706" i="9"/>
  <c r="E3707" i="9"/>
  <c r="E3708" i="9"/>
  <c r="E3709" i="9"/>
  <c r="E3710" i="9"/>
  <c r="E3711" i="9"/>
  <c r="E3712" i="9"/>
  <c r="E3713" i="9"/>
  <c r="E3714" i="9"/>
  <c r="E3715" i="9"/>
  <c r="E3716" i="9"/>
  <c r="E3717" i="9"/>
  <c r="E3718" i="9"/>
  <c r="E3719" i="9"/>
  <c r="E3720" i="9"/>
  <c r="E3721" i="9"/>
  <c r="E3722" i="9"/>
  <c r="E3723" i="9"/>
  <c r="E3724" i="9"/>
  <c r="E3725" i="9"/>
  <c r="E3726" i="9"/>
  <c r="E3727" i="9"/>
  <c r="E3728" i="9"/>
  <c r="E3729" i="9"/>
  <c r="E3730" i="9"/>
  <c r="E3731" i="9"/>
  <c r="E3732" i="9"/>
  <c r="E3733" i="9"/>
  <c r="E3734" i="9"/>
  <c r="E3735" i="9"/>
  <c r="E3736" i="9"/>
  <c r="E3737" i="9"/>
  <c r="E3738" i="9"/>
  <c r="E3739" i="9"/>
  <c r="E3740" i="9"/>
  <c r="E3741" i="9"/>
  <c r="E3742" i="9"/>
  <c r="E3743" i="9"/>
  <c r="E3744" i="9"/>
  <c r="E3745" i="9"/>
  <c r="E3746" i="9"/>
  <c r="E3747" i="9"/>
  <c r="E3748" i="9"/>
  <c r="E3749" i="9"/>
  <c r="E3750" i="9"/>
  <c r="E3751" i="9"/>
  <c r="E3752" i="9"/>
  <c r="E3753" i="9"/>
  <c r="E3754" i="9"/>
  <c r="E3755" i="9"/>
  <c r="E3756" i="9"/>
  <c r="E3757" i="9"/>
  <c r="E3758" i="9"/>
  <c r="E3759" i="9"/>
  <c r="E3760" i="9"/>
  <c r="E3761" i="9"/>
  <c r="E3762" i="9"/>
  <c r="E3763" i="9"/>
  <c r="E3764" i="9"/>
  <c r="E3765" i="9"/>
  <c r="E3766" i="9"/>
  <c r="E3767" i="9"/>
  <c r="E3768" i="9"/>
  <c r="E3769" i="9"/>
  <c r="E3770" i="9"/>
  <c r="E3771" i="9"/>
  <c r="E3772" i="9"/>
  <c r="E3773" i="9"/>
  <c r="E3774" i="9"/>
  <c r="E3775" i="9"/>
  <c r="E3776" i="9"/>
  <c r="E3777" i="9"/>
  <c r="E3778" i="9"/>
  <c r="E3779" i="9"/>
  <c r="E3780" i="9"/>
  <c r="E3781" i="9"/>
  <c r="E3782" i="9"/>
  <c r="E3783" i="9"/>
  <c r="E3784" i="9"/>
  <c r="E3785" i="9"/>
  <c r="E3786" i="9"/>
  <c r="E3787" i="9"/>
  <c r="E3788" i="9"/>
  <c r="E3789" i="9"/>
  <c r="E3790" i="9"/>
  <c r="E3791" i="9"/>
  <c r="E3792" i="9"/>
  <c r="E3793" i="9"/>
  <c r="E3794" i="9"/>
  <c r="E3795" i="9"/>
  <c r="E3796" i="9"/>
  <c r="E3797" i="9"/>
  <c r="E3798" i="9"/>
  <c r="E3799" i="9"/>
  <c r="E3800" i="9"/>
  <c r="E3801" i="9"/>
  <c r="E3802" i="9"/>
  <c r="E3803" i="9"/>
  <c r="E3804" i="9"/>
  <c r="E3805" i="9"/>
  <c r="E3806" i="9"/>
  <c r="E3807" i="9"/>
  <c r="E3808" i="9"/>
  <c r="E3809" i="9"/>
  <c r="E3810" i="9"/>
  <c r="E3811" i="9"/>
  <c r="E3812" i="9"/>
  <c r="E3813" i="9"/>
  <c r="E3814" i="9"/>
  <c r="E3815" i="9"/>
  <c r="E3816" i="9"/>
  <c r="E3817" i="9"/>
  <c r="E3818" i="9"/>
  <c r="E3819" i="9"/>
  <c r="E3820" i="9"/>
  <c r="E3821" i="9"/>
  <c r="E3822" i="9"/>
  <c r="E3823" i="9"/>
  <c r="E3824" i="9"/>
  <c r="E3825" i="9"/>
  <c r="E3826" i="9"/>
  <c r="E3827" i="9"/>
  <c r="E3828" i="9"/>
  <c r="E3829" i="9"/>
  <c r="E3830" i="9"/>
  <c r="E3831" i="9"/>
  <c r="E3832" i="9"/>
  <c r="E3833" i="9"/>
  <c r="E3834" i="9"/>
  <c r="E3835" i="9"/>
  <c r="E3836" i="9"/>
  <c r="E3837" i="9"/>
  <c r="E3838" i="9"/>
  <c r="E3839" i="9"/>
  <c r="E3840" i="9"/>
  <c r="E3841" i="9"/>
  <c r="E3842" i="9"/>
  <c r="E3843" i="9"/>
  <c r="E3844" i="9"/>
  <c r="E3845" i="9"/>
  <c r="E3846" i="9"/>
  <c r="E3847" i="9"/>
  <c r="E3848" i="9"/>
  <c r="E3849" i="9"/>
  <c r="E3850" i="9"/>
  <c r="E3851" i="9"/>
  <c r="E3852" i="9"/>
  <c r="E3853" i="9"/>
  <c r="E3854" i="9"/>
  <c r="E3855" i="9"/>
  <c r="E3856" i="9"/>
  <c r="E3857" i="9"/>
  <c r="E3858" i="9"/>
  <c r="E3859" i="9"/>
  <c r="E3860" i="9"/>
  <c r="E3861" i="9"/>
  <c r="E3862" i="9"/>
  <c r="E3863" i="9"/>
  <c r="E3864" i="9"/>
  <c r="E3865" i="9"/>
  <c r="E3866" i="9"/>
  <c r="E3867" i="9"/>
  <c r="E3868" i="9"/>
  <c r="E3869" i="9"/>
  <c r="E3870" i="9"/>
  <c r="E3871" i="9"/>
  <c r="E3872" i="9"/>
  <c r="E3873" i="9"/>
  <c r="E3874" i="9"/>
  <c r="E3875" i="9"/>
  <c r="E3876" i="9"/>
  <c r="E3877" i="9"/>
  <c r="E3878" i="9"/>
  <c r="E3879" i="9"/>
  <c r="E3880" i="9"/>
  <c r="E3881" i="9"/>
  <c r="E3882" i="9"/>
  <c r="E3883" i="9"/>
  <c r="E3884" i="9"/>
  <c r="E3885" i="9"/>
  <c r="E3886" i="9"/>
  <c r="E3887" i="9"/>
  <c r="E3888" i="9"/>
  <c r="E3889" i="9"/>
  <c r="E3890" i="9"/>
  <c r="E3891" i="9"/>
  <c r="E3892" i="9"/>
  <c r="E3893" i="9"/>
  <c r="E3894" i="9"/>
  <c r="E3895" i="9"/>
  <c r="E3896" i="9"/>
  <c r="E3897" i="9"/>
  <c r="E3898" i="9"/>
  <c r="E3899" i="9"/>
  <c r="E3900" i="9"/>
  <c r="E3901" i="9"/>
  <c r="E3902" i="9"/>
  <c r="E3903" i="9"/>
  <c r="E3904" i="9"/>
  <c r="E3905" i="9"/>
  <c r="E3906" i="9"/>
  <c r="E3907" i="9"/>
  <c r="E3908" i="9"/>
  <c r="E3909" i="9"/>
  <c r="E3910" i="9"/>
  <c r="E3911" i="9"/>
  <c r="E3912" i="9"/>
  <c r="E3913" i="9"/>
  <c r="E3914" i="9"/>
  <c r="E3915" i="9"/>
  <c r="E3916" i="9"/>
  <c r="E3917" i="9"/>
  <c r="E3918" i="9"/>
  <c r="E3919" i="9"/>
  <c r="E3920" i="9"/>
  <c r="E3921" i="9"/>
  <c r="E3922" i="9"/>
  <c r="E3923" i="9"/>
  <c r="E3924" i="9"/>
  <c r="E3925" i="9"/>
  <c r="E3926" i="9"/>
  <c r="E3927" i="9"/>
  <c r="E3928" i="9"/>
  <c r="E3929" i="9"/>
  <c r="E3930" i="9"/>
  <c r="E3931" i="9"/>
  <c r="E3932" i="9"/>
  <c r="E3933" i="9"/>
  <c r="E3934" i="9"/>
  <c r="E3935" i="9"/>
  <c r="E3936" i="9"/>
  <c r="E3937" i="9"/>
  <c r="E3938" i="9"/>
  <c r="E3939" i="9"/>
  <c r="E3940" i="9"/>
  <c r="E3941" i="9"/>
  <c r="E3942" i="9"/>
  <c r="E3943" i="9"/>
  <c r="E3944" i="9"/>
  <c r="E3945" i="9"/>
  <c r="E3946" i="9"/>
  <c r="E3947" i="9"/>
  <c r="E3948" i="9"/>
  <c r="E3949" i="9"/>
  <c r="E3950" i="9"/>
  <c r="E3951" i="9"/>
  <c r="E3952" i="9"/>
  <c r="E3953" i="9"/>
  <c r="E3954" i="9"/>
  <c r="E3955" i="9"/>
  <c r="E3956" i="9"/>
  <c r="E3957" i="9"/>
  <c r="E3958" i="9"/>
  <c r="E3959" i="9"/>
  <c r="E3960" i="9"/>
  <c r="E3961" i="9"/>
  <c r="E3962" i="9"/>
  <c r="E3963" i="9"/>
  <c r="E3964" i="9"/>
  <c r="E3965" i="9"/>
  <c r="E3966" i="9"/>
  <c r="E3967" i="9"/>
  <c r="E3968" i="9"/>
  <c r="E3969" i="9"/>
  <c r="E3970" i="9"/>
  <c r="E3971" i="9"/>
  <c r="E3972" i="9"/>
  <c r="E3973" i="9"/>
  <c r="E3974" i="9"/>
  <c r="E3975" i="9"/>
  <c r="E3976" i="9"/>
  <c r="E3977" i="9"/>
  <c r="E3978" i="9"/>
  <c r="E3979" i="9"/>
  <c r="E3980" i="9"/>
  <c r="E3981" i="9"/>
  <c r="E3982" i="9"/>
  <c r="E3983" i="9"/>
  <c r="E3984" i="9"/>
  <c r="E3985" i="9"/>
  <c r="E3986" i="9"/>
  <c r="E3987" i="9"/>
  <c r="E3988" i="9"/>
  <c r="E3989" i="9"/>
  <c r="E3990" i="9"/>
  <c r="E3991" i="9"/>
  <c r="E3992" i="9"/>
  <c r="E3993" i="9"/>
  <c r="E3994" i="9"/>
  <c r="E3995" i="9"/>
  <c r="E3996" i="9"/>
  <c r="E3997" i="9"/>
  <c r="E3998" i="9"/>
  <c r="E3999" i="9"/>
  <c r="E4000" i="9"/>
  <c r="E4001" i="9"/>
  <c r="E4002" i="9"/>
  <c r="E4003" i="9"/>
  <c r="E4004" i="9"/>
  <c r="E4005" i="9"/>
  <c r="E4006" i="9"/>
  <c r="E4007" i="9"/>
  <c r="E4008" i="9"/>
  <c r="E4009" i="9"/>
  <c r="E4010" i="9"/>
  <c r="E4011" i="9"/>
  <c r="E4012" i="9"/>
  <c r="E4013" i="9"/>
  <c r="E4014" i="9"/>
  <c r="E4015" i="9"/>
  <c r="E4016" i="9"/>
  <c r="E4017" i="9"/>
  <c r="E4018" i="9"/>
  <c r="E4019" i="9"/>
  <c r="E4020" i="9"/>
  <c r="E4021" i="9"/>
  <c r="E4022" i="9"/>
  <c r="E4023" i="9"/>
  <c r="E4024" i="9"/>
  <c r="E4025" i="9"/>
  <c r="E4026" i="9"/>
  <c r="E4027" i="9"/>
  <c r="E4028" i="9"/>
  <c r="E4029" i="9"/>
  <c r="E4030" i="9"/>
  <c r="E4031" i="9"/>
  <c r="E4032" i="9"/>
  <c r="E4033" i="9"/>
  <c r="E4034" i="9"/>
  <c r="E4035" i="9"/>
  <c r="E4036" i="9"/>
  <c r="E4037" i="9"/>
  <c r="E4038" i="9"/>
  <c r="E4039" i="9"/>
  <c r="E4040" i="9"/>
  <c r="E4041" i="9"/>
  <c r="E4042" i="9"/>
  <c r="E4043" i="9"/>
  <c r="E4044" i="9"/>
  <c r="E4045" i="9"/>
  <c r="E4046" i="9"/>
  <c r="E4047" i="9"/>
  <c r="E4048" i="9"/>
  <c r="E4049" i="9"/>
  <c r="E4050" i="9"/>
  <c r="E4051" i="9"/>
  <c r="E4052" i="9"/>
  <c r="E4053" i="9"/>
  <c r="E4054" i="9"/>
  <c r="E4055" i="9"/>
  <c r="E4056" i="9"/>
  <c r="E4057" i="9"/>
  <c r="E4058" i="9"/>
  <c r="E4059" i="9"/>
  <c r="E4060" i="9"/>
  <c r="E4061" i="9"/>
  <c r="E4062" i="9"/>
  <c r="E4063" i="9"/>
  <c r="E4064" i="9"/>
  <c r="E4065" i="9"/>
  <c r="E4066" i="9"/>
  <c r="E4067" i="9"/>
  <c r="E4068" i="9"/>
  <c r="E4069" i="9"/>
  <c r="E4070" i="9"/>
  <c r="E4071" i="9"/>
  <c r="E4072" i="9"/>
  <c r="E4073" i="9"/>
  <c r="E4074" i="9"/>
  <c r="E4075" i="9"/>
  <c r="E4076" i="9"/>
  <c r="E4077" i="9"/>
  <c r="E4078" i="9"/>
  <c r="E4079" i="9"/>
  <c r="E4080" i="9"/>
  <c r="E4081" i="9"/>
  <c r="E4082" i="9"/>
  <c r="E4083" i="9"/>
  <c r="E4084" i="9"/>
  <c r="E4085" i="9"/>
  <c r="E4086" i="9"/>
  <c r="E4087" i="9"/>
  <c r="E4088" i="9"/>
  <c r="E4089" i="9"/>
  <c r="E4090" i="9"/>
  <c r="E4091" i="9"/>
  <c r="E4092" i="9"/>
  <c r="E4093" i="9"/>
  <c r="E4094" i="9"/>
  <c r="E4095" i="9"/>
  <c r="E4096" i="9"/>
  <c r="E4097" i="9"/>
  <c r="E4098" i="9"/>
  <c r="E4099" i="9"/>
  <c r="E4100" i="9"/>
  <c r="E4101" i="9"/>
  <c r="E4102" i="9"/>
  <c r="E4103" i="9"/>
  <c r="E4104" i="9"/>
  <c r="E4105" i="9"/>
  <c r="E4106" i="9"/>
  <c r="E4107" i="9"/>
  <c r="E4108" i="9"/>
  <c r="E4109" i="9"/>
  <c r="E4110" i="9"/>
  <c r="E4111" i="9"/>
  <c r="E4112" i="9"/>
  <c r="E4113" i="9"/>
  <c r="E4114" i="9"/>
  <c r="E4115" i="9"/>
  <c r="E4116" i="9"/>
  <c r="E4117" i="9"/>
  <c r="E4118" i="9"/>
  <c r="E4119" i="9"/>
  <c r="E4120" i="9"/>
  <c r="E4121" i="9"/>
  <c r="E4122" i="9"/>
  <c r="E4123" i="9"/>
  <c r="E4124" i="9"/>
  <c r="E4125" i="9"/>
  <c r="E4126" i="9"/>
  <c r="E4127" i="9"/>
  <c r="E4128" i="9"/>
  <c r="E4129" i="9"/>
  <c r="E4130" i="9"/>
  <c r="E4131" i="9"/>
  <c r="E4132" i="9"/>
  <c r="E4133" i="9"/>
  <c r="E4134" i="9"/>
  <c r="E4135" i="9"/>
  <c r="E4136" i="9"/>
  <c r="E4137" i="9"/>
  <c r="E4138" i="9"/>
  <c r="E4139" i="9"/>
  <c r="E4140" i="9"/>
  <c r="E4141" i="9"/>
  <c r="E4142" i="9"/>
  <c r="E4143" i="9"/>
  <c r="E4144" i="9"/>
  <c r="E4145" i="9"/>
  <c r="E4146" i="9"/>
  <c r="E4147" i="9"/>
  <c r="E4148" i="9"/>
  <c r="E4149" i="9"/>
  <c r="E4150" i="9"/>
  <c r="E4151" i="9"/>
  <c r="E4152" i="9"/>
  <c r="E4153" i="9"/>
  <c r="E4154" i="9"/>
  <c r="E4155" i="9"/>
  <c r="E4156" i="9"/>
  <c r="E4157" i="9"/>
  <c r="E4158" i="9"/>
  <c r="E4159" i="9"/>
  <c r="E4160" i="9"/>
  <c r="E4161" i="9"/>
  <c r="E4162" i="9"/>
  <c r="E4163" i="9"/>
  <c r="E4164" i="9"/>
  <c r="E4165" i="9"/>
  <c r="E4166" i="9"/>
  <c r="E4167" i="9"/>
  <c r="E4168" i="9"/>
  <c r="E4169" i="9"/>
  <c r="E4170" i="9"/>
  <c r="E4171" i="9"/>
  <c r="E4172" i="9"/>
  <c r="E4173" i="9"/>
  <c r="E4174" i="9"/>
  <c r="E4175" i="9"/>
  <c r="E4176" i="9"/>
  <c r="E4177" i="9"/>
  <c r="E4178" i="9"/>
  <c r="E4179" i="9"/>
  <c r="E4180" i="9"/>
  <c r="E4181" i="9"/>
  <c r="E4182" i="9"/>
  <c r="E4183" i="9"/>
  <c r="E4184" i="9"/>
  <c r="E4185" i="9"/>
  <c r="E4186" i="9"/>
  <c r="E4187" i="9"/>
  <c r="E4188" i="9"/>
  <c r="E4189" i="9"/>
  <c r="E4190" i="9"/>
  <c r="E4191" i="9"/>
  <c r="E4192" i="9"/>
  <c r="E4193" i="9"/>
  <c r="E4194" i="9"/>
  <c r="E4195" i="9"/>
  <c r="E4196" i="9"/>
  <c r="E4197" i="9"/>
  <c r="E4198" i="9"/>
  <c r="E4199" i="9"/>
  <c r="E4200" i="9"/>
  <c r="E4201" i="9"/>
  <c r="E4202" i="9"/>
  <c r="E4203" i="9"/>
  <c r="E4204" i="9"/>
  <c r="E4205" i="9"/>
  <c r="E4206" i="9"/>
  <c r="E4207" i="9"/>
  <c r="E4208" i="9"/>
  <c r="E4209" i="9"/>
  <c r="E4210" i="9"/>
  <c r="E4211" i="9"/>
  <c r="E4212" i="9"/>
  <c r="E4213" i="9"/>
  <c r="E4214" i="9"/>
  <c r="E4215" i="9"/>
  <c r="E4216" i="9"/>
  <c r="E4217" i="9"/>
  <c r="E4218" i="9"/>
  <c r="E4219" i="9"/>
  <c r="E4220" i="9"/>
  <c r="E4221" i="9"/>
  <c r="E4222" i="9"/>
  <c r="E4223" i="9"/>
  <c r="E4224" i="9"/>
  <c r="E4225" i="9"/>
  <c r="E4226" i="9"/>
  <c r="E4227" i="9"/>
  <c r="E4228" i="9"/>
  <c r="E4229" i="9"/>
  <c r="E4230" i="9"/>
  <c r="E4231" i="9"/>
  <c r="E4232" i="9"/>
  <c r="E4233" i="9"/>
  <c r="E4234" i="9"/>
  <c r="E4235" i="9"/>
  <c r="E4236" i="9"/>
  <c r="E4237" i="9"/>
  <c r="E4238" i="9"/>
  <c r="E4239" i="9"/>
  <c r="E4240" i="9"/>
  <c r="E4241" i="9"/>
  <c r="E4242" i="9"/>
  <c r="E4243" i="9"/>
  <c r="E4244" i="9"/>
  <c r="E4245" i="9"/>
  <c r="E4246" i="9"/>
  <c r="E4247" i="9"/>
  <c r="E4248" i="9"/>
  <c r="E4249" i="9"/>
  <c r="E4250" i="9"/>
  <c r="E4251" i="9"/>
  <c r="E4252" i="9"/>
  <c r="E4253" i="9"/>
  <c r="E4254" i="9"/>
  <c r="E4255" i="9"/>
  <c r="E4256" i="9"/>
  <c r="E4257" i="9"/>
  <c r="E4258" i="9"/>
  <c r="E4259" i="9"/>
  <c r="E4260" i="9"/>
  <c r="E4261" i="9"/>
  <c r="E4262" i="9"/>
  <c r="E4263" i="9"/>
  <c r="E4264" i="9"/>
  <c r="E4265" i="9"/>
  <c r="E4266" i="9"/>
  <c r="E4267" i="9"/>
  <c r="E4268" i="9"/>
  <c r="E4269" i="9"/>
  <c r="E4270" i="9"/>
  <c r="E4271" i="9"/>
  <c r="E4272" i="9"/>
  <c r="E4273" i="9"/>
  <c r="E4274" i="9"/>
  <c r="E4275" i="9"/>
  <c r="E4276" i="9"/>
  <c r="E4277" i="9"/>
  <c r="E4278" i="9"/>
  <c r="E4279" i="9"/>
  <c r="E4280" i="9"/>
  <c r="E4281" i="9"/>
  <c r="E4282" i="9"/>
  <c r="E4283" i="9"/>
  <c r="E4284" i="9"/>
  <c r="E4285" i="9"/>
  <c r="E4286" i="9"/>
  <c r="E4287" i="9"/>
  <c r="E4288" i="9"/>
  <c r="E4289" i="9"/>
  <c r="E4290" i="9"/>
  <c r="E4291" i="9"/>
  <c r="E4292" i="9"/>
  <c r="E4293" i="9"/>
  <c r="E4294" i="9"/>
  <c r="E4295" i="9"/>
  <c r="E4296" i="9"/>
  <c r="E4297" i="9"/>
  <c r="E4298" i="9"/>
  <c r="E4299" i="9"/>
  <c r="E4300" i="9"/>
  <c r="E4301" i="9"/>
  <c r="E4302" i="9"/>
  <c r="E4303" i="9"/>
  <c r="E4304" i="9"/>
  <c r="E4305" i="9"/>
  <c r="E4306" i="9"/>
  <c r="E4307" i="9"/>
  <c r="E4308" i="9"/>
  <c r="E4309" i="9"/>
  <c r="E4310" i="9"/>
  <c r="E4311" i="9"/>
  <c r="E4312" i="9"/>
  <c r="E4313" i="9"/>
  <c r="E4314" i="9"/>
  <c r="E4315" i="9"/>
  <c r="E4316" i="9"/>
  <c r="E4317" i="9"/>
  <c r="E4318" i="9"/>
  <c r="E4319" i="9"/>
  <c r="E4320" i="9"/>
  <c r="E4321" i="9"/>
  <c r="E4322" i="9"/>
  <c r="E4323" i="9"/>
  <c r="E4324" i="9"/>
  <c r="E4325" i="9"/>
  <c r="E4326" i="9"/>
  <c r="E4327" i="9"/>
  <c r="E4328" i="9"/>
  <c r="E4329" i="9"/>
  <c r="E4330" i="9"/>
  <c r="E4331" i="9"/>
  <c r="E4332" i="9"/>
  <c r="E4333" i="9"/>
  <c r="E4334" i="9"/>
  <c r="E4335" i="9"/>
  <c r="E4336" i="9"/>
  <c r="E4337" i="9"/>
  <c r="E4338" i="9"/>
  <c r="E4339" i="9"/>
  <c r="E4340" i="9"/>
  <c r="E4341" i="9"/>
  <c r="E4342" i="9"/>
  <c r="E4343" i="9"/>
  <c r="E4344" i="9"/>
  <c r="E4345" i="9"/>
  <c r="E4346" i="9"/>
  <c r="E4347" i="9"/>
  <c r="E4348" i="9"/>
  <c r="E4349" i="9"/>
  <c r="E4350" i="9"/>
  <c r="E4351" i="9"/>
  <c r="E4352" i="9"/>
  <c r="E4353" i="9"/>
  <c r="E4354" i="9"/>
  <c r="E4355" i="9"/>
  <c r="E4356" i="9"/>
  <c r="E4357" i="9"/>
  <c r="E4358" i="9"/>
  <c r="E4359" i="9"/>
  <c r="E4360" i="9"/>
  <c r="E4361" i="9"/>
  <c r="E4362" i="9"/>
  <c r="E4363" i="9"/>
  <c r="E4364" i="9"/>
  <c r="E4365" i="9"/>
  <c r="E4366" i="9"/>
  <c r="E4367" i="9"/>
  <c r="E4368" i="9"/>
  <c r="E4369" i="9"/>
  <c r="E4370" i="9"/>
  <c r="E4371" i="9"/>
  <c r="E4372" i="9"/>
  <c r="E4373" i="9"/>
  <c r="E4374" i="9"/>
  <c r="E4375" i="9"/>
  <c r="E4376" i="9"/>
  <c r="E4377" i="9"/>
  <c r="E4378" i="9"/>
  <c r="E4379" i="9"/>
  <c r="E4380" i="9"/>
  <c r="E4381" i="9"/>
  <c r="E4382" i="9"/>
  <c r="E4383" i="9"/>
  <c r="E4384" i="9"/>
  <c r="E4385" i="9"/>
  <c r="E4386" i="9"/>
  <c r="E4387" i="9"/>
  <c r="E4388" i="9"/>
  <c r="E4389" i="9"/>
  <c r="E4390" i="9"/>
  <c r="E4391" i="9"/>
  <c r="E4392" i="9"/>
  <c r="E4393" i="9"/>
  <c r="E4394" i="9"/>
  <c r="E4395" i="9"/>
  <c r="E4396" i="9"/>
  <c r="E4397" i="9"/>
  <c r="E4398" i="9"/>
  <c r="E4399" i="9"/>
  <c r="E4400" i="9"/>
  <c r="E4401" i="9"/>
  <c r="E4402" i="9"/>
  <c r="E4403" i="9"/>
  <c r="E4404" i="9"/>
  <c r="E4405" i="9"/>
  <c r="E4406" i="9"/>
  <c r="E4407" i="9"/>
  <c r="E4408" i="9"/>
  <c r="E4409" i="9"/>
  <c r="E4410" i="9"/>
  <c r="E4411" i="9"/>
  <c r="E4412" i="9"/>
  <c r="E4413" i="9"/>
  <c r="E4414" i="9"/>
  <c r="E4415" i="9"/>
  <c r="E4416" i="9"/>
  <c r="E4417" i="9"/>
  <c r="E4418" i="9"/>
  <c r="E4419" i="9"/>
  <c r="E4420" i="9"/>
  <c r="E4421" i="9"/>
  <c r="E4422" i="9"/>
  <c r="E4423" i="9"/>
  <c r="E4424" i="9"/>
  <c r="E4425" i="9"/>
  <c r="E4426" i="9"/>
  <c r="E4427" i="9"/>
  <c r="E4428" i="9"/>
  <c r="E4429" i="9"/>
  <c r="E4430" i="9"/>
  <c r="E4431" i="9"/>
  <c r="E4432" i="9"/>
  <c r="E4433" i="9"/>
  <c r="E4434" i="9"/>
  <c r="E4435" i="9"/>
  <c r="E4436" i="9"/>
  <c r="E4437" i="9"/>
  <c r="E4438" i="9"/>
  <c r="E4439" i="9"/>
  <c r="E4440" i="9"/>
  <c r="E4441" i="9"/>
  <c r="E4442" i="9"/>
  <c r="E4443" i="9"/>
  <c r="E4444" i="9"/>
  <c r="E4445" i="9"/>
  <c r="E4446" i="9"/>
  <c r="E4447" i="9"/>
  <c r="E4448" i="9"/>
  <c r="E4449" i="9"/>
  <c r="E4450" i="9"/>
  <c r="E4451" i="9"/>
  <c r="E4452" i="9"/>
  <c r="E4453" i="9"/>
  <c r="E4454" i="9"/>
  <c r="E4455" i="9"/>
  <c r="E4456" i="9"/>
  <c r="E4457" i="9"/>
  <c r="E4458" i="9"/>
  <c r="E4459" i="9"/>
  <c r="E4460" i="9"/>
  <c r="E4461" i="9"/>
  <c r="E4462" i="9"/>
  <c r="E4463" i="9"/>
  <c r="E4464" i="9"/>
  <c r="E4465" i="9"/>
  <c r="E4466" i="9"/>
  <c r="E4467" i="9"/>
  <c r="E4468" i="9"/>
  <c r="E4469" i="9"/>
  <c r="E4470" i="9"/>
  <c r="E4471" i="9"/>
  <c r="E4472" i="9"/>
  <c r="E4473" i="9"/>
  <c r="E4474" i="9"/>
  <c r="E4475" i="9"/>
  <c r="E4476" i="9"/>
  <c r="E4477" i="9"/>
  <c r="E4478" i="9"/>
  <c r="E4479" i="9"/>
  <c r="E4480" i="9"/>
  <c r="E4481" i="9"/>
  <c r="E4482" i="9"/>
  <c r="E4483" i="9"/>
  <c r="E4484" i="9"/>
  <c r="E4485" i="9"/>
  <c r="E4486" i="9"/>
  <c r="E4487" i="9"/>
  <c r="E4488" i="9"/>
  <c r="E4489" i="9"/>
  <c r="E4490" i="9"/>
  <c r="E4491" i="9"/>
  <c r="E4492" i="9"/>
  <c r="E4493" i="9"/>
  <c r="E4494" i="9"/>
  <c r="E4495" i="9"/>
  <c r="E4496" i="9"/>
  <c r="E4497" i="9"/>
  <c r="E4498" i="9"/>
  <c r="E4499" i="9"/>
  <c r="E4500" i="9"/>
  <c r="E4501" i="9"/>
  <c r="E4502" i="9"/>
  <c r="E4503" i="9"/>
  <c r="E4504" i="9"/>
  <c r="E4505" i="9"/>
  <c r="E4506" i="9"/>
  <c r="E4507" i="9"/>
  <c r="E4508" i="9"/>
  <c r="E4509" i="9"/>
  <c r="E4510" i="9"/>
  <c r="E4511" i="9"/>
  <c r="E4512" i="9"/>
  <c r="E4513" i="9"/>
  <c r="E4514" i="9"/>
  <c r="E4515" i="9"/>
  <c r="E4516" i="9"/>
  <c r="E4517" i="9"/>
  <c r="E4518" i="9"/>
  <c r="E4519" i="9"/>
  <c r="E4520" i="9"/>
  <c r="E4521" i="9"/>
  <c r="E4522" i="9"/>
  <c r="E4523" i="9"/>
  <c r="E4524" i="9"/>
  <c r="E4525" i="9"/>
  <c r="E4526" i="9"/>
  <c r="E4527" i="9"/>
  <c r="E4528" i="9"/>
  <c r="E4529" i="9"/>
  <c r="E4530" i="9"/>
  <c r="E4531" i="9"/>
  <c r="E4532" i="9"/>
  <c r="E4533" i="9"/>
  <c r="E4534" i="9"/>
  <c r="E4535" i="9"/>
  <c r="E4536" i="9"/>
  <c r="E4537" i="9"/>
  <c r="E4538" i="9"/>
  <c r="E4539" i="9"/>
  <c r="E4540" i="9"/>
  <c r="E4541" i="9"/>
  <c r="E4542" i="9"/>
  <c r="E4543" i="9"/>
  <c r="E4544" i="9"/>
  <c r="E4545" i="9"/>
  <c r="E4546" i="9"/>
  <c r="E4547" i="9"/>
  <c r="E4548" i="9"/>
  <c r="E4549" i="9"/>
  <c r="E4550" i="9"/>
  <c r="E4551" i="9"/>
  <c r="E4552" i="9"/>
  <c r="E4553" i="9"/>
  <c r="E4554" i="9"/>
  <c r="E4555" i="9"/>
  <c r="E4556" i="9"/>
  <c r="E4557" i="9"/>
  <c r="E4558" i="9"/>
  <c r="E4559" i="9"/>
  <c r="E4560" i="9"/>
  <c r="E4561" i="9"/>
  <c r="E4562" i="9"/>
  <c r="E4563" i="9"/>
  <c r="E4564" i="9"/>
  <c r="E4565" i="9"/>
  <c r="E4566" i="9"/>
  <c r="E4567" i="9"/>
  <c r="E4568" i="9"/>
  <c r="E4569" i="9"/>
  <c r="E4570" i="9"/>
  <c r="E4571" i="9"/>
  <c r="E4572" i="9"/>
  <c r="E4573" i="9"/>
  <c r="E4574" i="9"/>
  <c r="E4575" i="9"/>
  <c r="E4576" i="9"/>
  <c r="E4577" i="9"/>
  <c r="E4578" i="9"/>
  <c r="E4579" i="9"/>
  <c r="E4580" i="9"/>
  <c r="E4581" i="9"/>
  <c r="E4582" i="9"/>
  <c r="E4583" i="9"/>
  <c r="E4584" i="9"/>
  <c r="E4585" i="9"/>
  <c r="E4586" i="9"/>
  <c r="E4587" i="9"/>
  <c r="E4588" i="9"/>
  <c r="E4589" i="9"/>
  <c r="E4590" i="9"/>
  <c r="E4591" i="9"/>
  <c r="E4592" i="9"/>
  <c r="E4593" i="9"/>
  <c r="E4594" i="9"/>
  <c r="E4595" i="9"/>
  <c r="E4596" i="9"/>
  <c r="E4597" i="9"/>
  <c r="E4598" i="9"/>
  <c r="E4599" i="9"/>
  <c r="E4600" i="9"/>
  <c r="E4601" i="9"/>
  <c r="E4602" i="9"/>
  <c r="E4603" i="9"/>
  <c r="E4604" i="9"/>
  <c r="E4605" i="9"/>
  <c r="E4606" i="9"/>
  <c r="E4607" i="9"/>
  <c r="E4608" i="9"/>
  <c r="E4609" i="9"/>
  <c r="E4610" i="9"/>
  <c r="E4611" i="9"/>
  <c r="E4612" i="9"/>
  <c r="E4613" i="9"/>
  <c r="E4614" i="9"/>
  <c r="E4615" i="9"/>
  <c r="E4616" i="9"/>
  <c r="E4617" i="9"/>
  <c r="E4618" i="9"/>
  <c r="E4619" i="9"/>
  <c r="E4620" i="9"/>
  <c r="E4621" i="9"/>
  <c r="E4622" i="9"/>
  <c r="E4623" i="9"/>
  <c r="E4624" i="9"/>
  <c r="E4625" i="9"/>
  <c r="E4626" i="9"/>
  <c r="E4627" i="9"/>
  <c r="E4628" i="9"/>
  <c r="E4629" i="9"/>
  <c r="E4630" i="9"/>
  <c r="E4631" i="9"/>
  <c r="E4632" i="9"/>
  <c r="E4633" i="9"/>
  <c r="E4634" i="9"/>
  <c r="E4635" i="9"/>
  <c r="E4636" i="9"/>
  <c r="E4637" i="9"/>
  <c r="E4638" i="9"/>
  <c r="E4639" i="9"/>
  <c r="E4640" i="9"/>
  <c r="E4641" i="9"/>
  <c r="E4642" i="9"/>
  <c r="E4643" i="9"/>
  <c r="E4644" i="9"/>
  <c r="E4645" i="9"/>
  <c r="E4646" i="9"/>
  <c r="E4647" i="9"/>
  <c r="E4648" i="9"/>
  <c r="E4649" i="9"/>
  <c r="E4650" i="9"/>
  <c r="E4651" i="9"/>
  <c r="E4652" i="9"/>
  <c r="E4653" i="9"/>
  <c r="E4654" i="9"/>
  <c r="E4655" i="9"/>
  <c r="E4656" i="9"/>
  <c r="E4657" i="9"/>
  <c r="E4658" i="9"/>
  <c r="E4659" i="9"/>
  <c r="E4660" i="9"/>
  <c r="E4661" i="9"/>
  <c r="E4662" i="9"/>
  <c r="E4663" i="9"/>
  <c r="E4664" i="9"/>
  <c r="E4665" i="9"/>
  <c r="E4666" i="9"/>
  <c r="E4667" i="9"/>
  <c r="E4668" i="9"/>
  <c r="E4669" i="9"/>
  <c r="E4670" i="9"/>
  <c r="E4671" i="9"/>
  <c r="E4672" i="9"/>
  <c r="E4673" i="9"/>
  <c r="E4674" i="9"/>
  <c r="E4675" i="9"/>
  <c r="E4676" i="9"/>
  <c r="E4677" i="9"/>
  <c r="E4678" i="9"/>
  <c r="E4679" i="9"/>
  <c r="E4680" i="9"/>
  <c r="E4681" i="9"/>
  <c r="E4682" i="9"/>
  <c r="E4683" i="9"/>
  <c r="E4684" i="9"/>
  <c r="E4685" i="9"/>
  <c r="E4686" i="9"/>
  <c r="E4687" i="9"/>
  <c r="E4688" i="9"/>
  <c r="E4689" i="9"/>
  <c r="E4690" i="9"/>
  <c r="E4691" i="9"/>
  <c r="E4692" i="9"/>
  <c r="E4693" i="9"/>
  <c r="E4694" i="9"/>
  <c r="E4695" i="9"/>
  <c r="E4696" i="9"/>
  <c r="E4697" i="9"/>
  <c r="E4698" i="9"/>
  <c r="E4699" i="9"/>
  <c r="E4700" i="9"/>
  <c r="E4701" i="9"/>
  <c r="E4702" i="9"/>
  <c r="E4703" i="9"/>
  <c r="E4704" i="9"/>
  <c r="E4705" i="9"/>
  <c r="E4706" i="9"/>
  <c r="E4707" i="9"/>
  <c r="E4708" i="9"/>
  <c r="E4709" i="9"/>
  <c r="E4710" i="9"/>
  <c r="E4711" i="9"/>
  <c r="E4712" i="9"/>
  <c r="E4713" i="9"/>
  <c r="E4714" i="9"/>
  <c r="E4715" i="9"/>
  <c r="E4716" i="9"/>
  <c r="E4717" i="9"/>
  <c r="E4718" i="9"/>
  <c r="E4719" i="9"/>
  <c r="E4720" i="9"/>
  <c r="E4721" i="9"/>
  <c r="E4722" i="9"/>
  <c r="E4723" i="9"/>
  <c r="E4724" i="9"/>
  <c r="E4725" i="9"/>
  <c r="E4726" i="9"/>
  <c r="E4727" i="9"/>
  <c r="E4728" i="9"/>
  <c r="E4729" i="9"/>
  <c r="E4730" i="9"/>
  <c r="E4731" i="9"/>
  <c r="E4732" i="9"/>
  <c r="E4733" i="9"/>
  <c r="E4734" i="9"/>
  <c r="E4735" i="9"/>
  <c r="E4736" i="9"/>
  <c r="E4737" i="9"/>
  <c r="E4738" i="9"/>
  <c r="E4739" i="9"/>
  <c r="E4740" i="9"/>
  <c r="E4741" i="9"/>
  <c r="E4742" i="9"/>
  <c r="E4743" i="9"/>
  <c r="E4744" i="9"/>
  <c r="E4745" i="9"/>
  <c r="E4746" i="9"/>
  <c r="E4747" i="9"/>
  <c r="E4748" i="9"/>
  <c r="E4749" i="9"/>
  <c r="E4750" i="9"/>
  <c r="E4751" i="9"/>
  <c r="E4752" i="9"/>
  <c r="E4753" i="9"/>
  <c r="E4754" i="9"/>
  <c r="E4755" i="9"/>
  <c r="E4756" i="9"/>
  <c r="E4757" i="9"/>
  <c r="E4758" i="9"/>
  <c r="E4759" i="9"/>
  <c r="E4760" i="9"/>
  <c r="E4761" i="9"/>
  <c r="E4762" i="9"/>
  <c r="E4763" i="9"/>
  <c r="E4764" i="9"/>
  <c r="E4765" i="9"/>
  <c r="E4766" i="9"/>
  <c r="E4767" i="9"/>
  <c r="E4768" i="9"/>
  <c r="E4769" i="9"/>
  <c r="E4770" i="9"/>
  <c r="E4771" i="9"/>
  <c r="E4772" i="9"/>
  <c r="E4773" i="9"/>
  <c r="E4774" i="9"/>
  <c r="E4775" i="9"/>
  <c r="E4776" i="9"/>
  <c r="E4777" i="9"/>
  <c r="E4778" i="9"/>
  <c r="E4779" i="9"/>
  <c r="E4780" i="9"/>
  <c r="E4781" i="9"/>
  <c r="E4782" i="9"/>
  <c r="E4783" i="9"/>
  <c r="E4784" i="9"/>
  <c r="E4785" i="9"/>
  <c r="E4786" i="9"/>
  <c r="E4787" i="9"/>
  <c r="E4788" i="9"/>
  <c r="E4789" i="9"/>
  <c r="E4790" i="9"/>
  <c r="E4791" i="9"/>
  <c r="E4792" i="9"/>
  <c r="E4793" i="9"/>
  <c r="E4794" i="9"/>
  <c r="E4795" i="9"/>
  <c r="E4796" i="9"/>
  <c r="E4797" i="9"/>
  <c r="E4798" i="9"/>
  <c r="E4799" i="9"/>
  <c r="E4800" i="9"/>
  <c r="E4801" i="9"/>
  <c r="E4802" i="9"/>
  <c r="E4803" i="9"/>
  <c r="E4804" i="9"/>
  <c r="E4805" i="9"/>
  <c r="E4806" i="9"/>
  <c r="E4807" i="9"/>
  <c r="E4808" i="9"/>
  <c r="E4809" i="9"/>
  <c r="E4810" i="9"/>
  <c r="E4811" i="9"/>
  <c r="E4812" i="9"/>
  <c r="E4813" i="9"/>
  <c r="E4814" i="9"/>
  <c r="E4815" i="9"/>
  <c r="E4816" i="9"/>
  <c r="E4817" i="9"/>
  <c r="E4818" i="9"/>
  <c r="E4819" i="9"/>
  <c r="E4820" i="9"/>
  <c r="E4821" i="9"/>
  <c r="E4822" i="9"/>
  <c r="E4823" i="9"/>
  <c r="E4824" i="9"/>
  <c r="E4825" i="9"/>
  <c r="E4826" i="9"/>
  <c r="E4827" i="9"/>
  <c r="E4828" i="9"/>
  <c r="E4829" i="9"/>
  <c r="E4830" i="9"/>
  <c r="E4831" i="9"/>
  <c r="E4832" i="9"/>
  <c r="E4833" i="9"/>
  <c r="E4834" i="9"/>
  <c r="E4835" i="9"/>
  <c r="E4836" i="9"/>
  <c r="E4837" i="9"/>
  <c r="E4838" i="9"/>
  <c r="E4839" i="9"/>
  <c r="E4840" i="9"/>
  <c r="E4841" i="9"/>
  <c r="E4842" i="9"/>
  <c r="E4843" i="9"/>
  <c r="E4844" i="9"/>
  <c r="E4845" i="9"/>
  <c r="E4846" i="9"/>
  <c r="E4847" i="9"/>
  <c r="E4848" i="9"/>
  <c r="E4849" i="9"/>
  <c r="E4850" i="9"/>
  <c r="E4851" i="9"/>
  <c r="E4852" i="9"/>
  <c r="E4853" i="9"/>
  <c r="E4854" i="9"/>
  <c r="E4855" i="9"/>
  <c r="E4856" i="9"/>
  <c r="E4857" i="9"/>
  <c r="E4858" i="9"/>
  <c r="E4859" i="9"/>
  <c r="E4860" i="9"/>
  <c r="E4861" i="9"/>
  <c r="E4862" i="9"/>
  <c r="E4863" i="9"/>
  <c r="E4864" i="9"/>
  <c r="E4865" i="9"/>
  <c r="E4866" i="9"/>
  <c r="E4867" i="9"/>
  <c r="E4868" i="9"/>
  <c r="E4869" i="9"/>
  <c r="E4870" i="9"/>
  <c r="E4871" i="9"/>
  <c r="E4872" i="9"/>
  <c r="E4873" i="9"/>
  <c r="E4874" i="9"/>
  <c r="E4875" i="9"/>
  <c r="E4876" i="9"/>
  <c r="E4877" i="9"/>
  <c r="E4878" i="9"/>
  <c r="E4879" i="9"/>
  <c r="E4880" i="9"/>
  <c r="E4881" i="9"/>
  <c r="E4882" i="9"/>
  <c r="E4883" i="9"/>
  <c r="E4884" i="9"/>
  <c r="E4885" i="9"/>
  <c r="E4886" i="9"/>
  <c r="E4887" i="9"/>
  <c r="E4888" i="9"/>
  <c r="E4889" i="9"/>
  <c r="E4890" i="9"/>
  <c r="E4891" i="9"/>
  <c r="E4892" i="9"/>
  <c r="E4893" i="9"/>
  <c r="E4894" i="9"/>
  <c r="E4895" i="9"/>
  <c r="E4896" i="9"/>
  <c r="E4897" i="9"/>
  <c r="E4898" i="9"/>
  <c r="E4899" i="9"/>
  <c r="E4900" i="9"/>
  <c r="E4901" i="9"/>
  <c r="E4902" i="9"/>
  <c r="E4903" i="9"/>
  <c r="E4904" i="9"/>
  <c r="E4905" i="9"/>
  <c r="E4906" i="9"/>
  <c r="E4907" i="9"/>
  <c r="E4908" i="9"/>
  <c r="E4909" i="9"/>
  <c r="E4910" i="9"/>
  <c r="E4911" i="9"/>
  <c r="E4912" i="9"/>
  <c r="E4913" i="9"/>
  <c r="E4914" i="9"/>
  <c r="E4915" i="9"/>
  <c r="E4916" i="9"/>
  <c r="E4917" i="9"/>
  <c r="E4918" i="9"/>
  <c r="E4919" i="9"/>
  <c r="E4920" i="9"/>
  <c r="E4921" i="9"/>
  <c r="E4922" i="9"/>
  <c r="E4923" i="9"/>
  <c r="E4924" i="9"/>
  <c r="E4925" i="9"/>
  <c r="E4926" i="9"/>
  <c r="E4927" i="9"/>
  <c r="E4928" i="9"/>
  <c r="E4929" i="9"/>
  <c r="E4930" i="9"/>
  <c r="E4931" i="9"/>
  <c r="E4932" i="9"/>
  <c r="E4933" i="9"/>
  <c r="E4934" i="9"/>
  <c r="E4935" i="9"/>
  <c r="E4936" i="9"/>
  <c r="E4937" i="9"/>
  <c r="E4938" i="9"/>
  <c r="E4939" i="9"/>
  <c r="E4940" i="9"/>
  <c r="E4941" i="9"/>
  <c r="E4942" i="9"/>
  <c r="E4943" i="9"/>
  <c r="E4944" i="9"/>
  <c r="E4945" i="9"/>
  <c r="E4946" i="9"/>
  <c r="E4947" i="9"/>
  <c r="E4948" i="9"/>
  <c r="E4949" i="9"/>
  <c r="E4950" i="9"/>
  <c r="E4951" i="9"/>
  <c r="E4952" i="9"/>
  <c r="E4953" i="9"/>
  <c r="E4954" i="9"/>
  <c r="E4955" i="9"/>
  <c r="E4956" i="9"/>
  <c r="E4957" i="9"/>
  <c r="E4958" i="9"/>
  <c r="E4959" i="9"/>
  <c r="E4960" i="9"/>
  <c r="E4961" i="9"/>
  <c r="E4962" i="9"/>
  <c r="E4963" i="9"/>
  <c r="E4964" i="9"/>
  <c r="E4965" i="9"/>
  <c r="E4966" i="9"/>
  <c r="E4967" i="9"/>
  <c r="E4968" i="9"/>
  <c r="E4969" i="9"/>
  <c r="E4970" i="9"/>
  <c r="E4971" i="9"/>
  <c r="E4972" i="9"/>
  <c r="E4973" i="9"/>
  <c r="E4974" i="9"/>
  <c r="E4975" i="9"/>
  <c r="E4976" i="9"/>
  <c r="E4977" i="9"/>
  <c r="E4978" i="9"/>
  <c r="E4979" i="9"/>
  <c r="E4980" i="9"/>
  <c r="E4981" i="9"/>
  <c r="E4982" i="9"/>
  <c r="E4983" i="9"/>
  <c r="E4984" i="9"/>
  <c r="E4985" i="9"/>
  <c r="E4986" i="9"/>
  <c r="E4987" i="9"/>
  <c r="E4988" i="9"/>
  <c r="E4989" i="9"/>
  <c r="E4990" i="9"/>
  <c r="E4991" i="9"/>
  <c r="E4992" i="9"/>
  <c r="E4993" i="9"/>
  <c r="E4994" i="9"/>
  <c r="E4995" i="9"/>
  <c r="E4996" i="9"/>
  <c r="E4997" i="9"/>
  <c r="E4998" i="9"/>
  <c r="E4999" i="9"/>
  <c r="E5000" i="9"/>
  <c r="E5001" i="9"/>
  <c r="E5002" i="9"/>
  <c r="E5003" i="9"/>
  <c r="E5004" i="9"/>
  <c r="E5005" i="9"/>
  <c r="E5006" i="9"/>
  <c r="E5007" i="9"/>
  <c r="E5008" i="9"/>
  <c r="E5009" i="9"/>
  <c r="E5010" i="9"/>
  <c r="E5011" i="9"/>
  <c r="E5012" i="9"/>
  <c r="E5013" i="9"/>
  <c r="E5014" i="9"/>
  <c r="E5015" i="9"/>
  <c r="E5016" i="9"/>
  <c r="D5016" i="9"/>
  <c r="F5016" i="9"/>
  <c r="G5016" i="9"/>
  <c r="H5016" i="9"/>
  <c r="F2" i="9"/>
  <c r="F3" i="9"/>
  <c r="F4" i="9"/>
  <c r="F5" i="9"/>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7" i="9"/>
  <c r="F68" i="9"/>
  <c r="F69" i="9"/>
  <c r="F70" i="9"/>
  <c r="F71" i="9"/>
  <c r="F72" i="9"/>
  <c r="F73" i="9"/>
  <c r="F74" i="9"/>
  <c r="F75" i="9"/>
  <c r="F76" i="9"/>
  <c r="F77" i="9"/>
  <c r="F78" i="9"/>
  <c r="F79" i="9"/>
  <c r="F80" i="9"/>
  <c r="F81" i="9"/>
  <c r="F82" i="9"/>
  <c r="F83" i="9"/>
  <c r="F84" i="9"/>
  <c r="F85" i="9"/>
  <c r="F86" i="9"/>
  <c r="F87" i="9"/>
  <c r="F88" i="9"/>
  <c r="F89" i="9"/>
  <c r="F90" i="9"/>
  <c r="F91" i="9"/>
  <c r="F92" i="9"/>
  <c r="F93" i="9"/>
  <c r="F94" i="9"/>
  <c r="F95" i="9"/>
  <c r="F96" i="9"/>
  <c r="F97" i="9"/>
  <c r="F98" i="9"/>
  <c r="F99" i="9"/>
  <c r="F100" i="9"/>
  <c r="F101" i="9"/>
  <c r="F102" i="9"/>
  <c r="F103" i="9"/>
  <c r="F104" i="9"/>
  <c r="F105" i="9"/>
  <c r="F106" i="9"/>
  <c r="F107" i="9"/>
  <c r="F108" i="9"/>
  <c r="F109" i="9"/>
  <c r="F110" i="9"/>
  <c r="F111" i="9"/>
  <c r="F112" i="9"/>
  <c r="F113" i="9"/>
  <c r="F114" i="9"/>
  <c r="F115" i="9"/>
  <c r="F116" i="9"/>
  <c r="F117" i="9"/>
  <c r="F118" i="9"/>
  <c r="F119" i="9"/>
  <c r="F120" i="9"/>
  <c r="F121" i="9"/>
  <c r="F122" i="9"/>
  <c r="F123" i="9"/>
  <c r="F124" i="9"/>
  <c r="F125" i="9"/>
  <c r="F126" i="9"/>
  <c r="F127" i="9"/>
  <c r="F128" i="9"/>
  <c r="F129" i="9"/>
  <c r="F130" i="9"/>
  <c r="F131" i="9"/>
  <c r="F132" i="9"/>
  <c r="F133" i="9"/>
  <c r="F134" i="9"/>
  <c r="F135" i="9"/>
  <c r="F136" i="9"/>
  <c r="F137" i="9"/>
  <c r="F138" i="9"/>
  <c r="F139" i="9"/>
  <c r="F140" i="9"/>
  <c r="F141" i="9"/>
  <c r="F142" i="9"/>
  <c r="F143" i="9"/>
  <c r="F144" i="9"/>
  <c r="F145" i="9"/>
  <c r="F146" i="9"/>
  <c r="F147" i="9"/>
  <c r="F148" i="9"/>
  <c r="F149" i="9"/>
  <c r="F150" i="9"/>
  <c r="F151" i="9"/>
  <c r="F152" i="9"/>
  <c r="F153" i="9"/>
  <c r="F154" i="9"/>
  <c r="F155" i="9"/>
  <c r="F156" i="9"/>
  <c r="F157" i="9"/>
  <c r="F158" i="9"/>
  <c r="F159" i="9"/>
  <c r="F160" i="9"/>
  <c r="F161" i="9"/>
  <c r="F162" i="9"/>
  <c r="F163" i="9"/>
  <c r="F164" i="9"/>
  <c r="F165" i="9"/>
  <c r="F166" i="9"/>
  <c r="F167" i="9"/>
  <c r="F168" i="9"/>
  <c r="F169" i="9"/>
  <c r="F170" i="9"/>
  <c r="F171" i="9"/>
  <c r="F172" i="9"/>
  <c r="F173" i="9"/>
  <c r="F174" i="9"/>
  <c r="F175" i="9"/>
  <c r="F176" i="9"/>
  <c r="F177" i="9"/>
  <c r="F178" i="9"/>
  <c r="F179" i="9"/>
  <c r="F180" i="9"/>
  <c r="F181" i="9"/>
  <c r="F182" i="9"/>
  <c r="F183" i="9"/>
  <c r="F184" i="9"/>
  <c r="F185" i="9"/>
  <c r="F186" i="9"/>
  <c r="F187" i="9"/>
  <c r="F188" i="9"/>
  <c r="F189" i="9"/>
  <c r="F190" i="9"/>
  <c r="F191" i="9"/>
  <c r="F192" i="9"/>
  <c r="F193" i="9"/>
  <c r="F194" i="9"/>
  <c r="F195" i="9"/>
  <c r="F196" i="9"/>
  <c r="F197" i="9"/>
  <c r="F198" i="9"/>
  <c r="F199" i="9"/>
  <c r="F200" i="9"/>
  <c r="F201" i="9"/>
  <c r="F202" i="9"/>
  <c r="F203" i="9"/>
  <c r="F204" i="9"/>
  <c r="F205" i="9"/>
  <c r="F206" i="9"/>
  <c r="F207" i="9"/>
  <c r="F208" i="9"/>
  <c r="F209" i="9"/>
  <c r="F210" i="9"/>
  <c r="F211" i="9"/>
  <c r="F212" i="9"/>
  <c r="F213" i="9"/>
  <c r="F214" i="9"/>
  <c r="F215" i="9"/>
  <c r="F216" i="9"/>
  <c r="F217" i="9"/>
  <c r="F218" i="9"/>
  <c r="F219" i="9"/>
  <c r="F220" i="9"/>
  <c r="F221" i="9"/>
  <c r="F222" i="9"/>
  <c r="F223" i="9"/>
  <c r="F224" i="9"/>
  <c r="F225" i="9"/>
  <c r="F226" i="9"/>
  <c r="F227" i="9"/>
  <c r="F228" i="9"/>
  <c r="F229" i="9"/>
  <c r="F230" i="9"/>
  <c r="F231" i="9"/>
  <c r="F232" i="9"/>
  <c r="F233" i="9"/>
  <c r="F234" i="9"/>
  <c r="F235" i="9"/>
  <c r="F236" i="9"/>
  <c r="F237" i="9"/>
  <c r="F238" i="9"/>
  <c r="F239" i="9"/>
  <c r="F240" i="9"/>
  <c r="F241" i="9"/>
  <c r="F242" i="9"/>
  <c r="F243" i="9"/>
  <c r="F244" i="9"/>
  <c r="F245" i="9"/>
  <c r="F246" i="9"/>
  <c r="F247" i="9"/>
  <c r="F248" i="9"/>
  <c r="F249" i="9"/>
  <c r="F250" i="9"/>
  <c r="F251" i="9"/>
  <c r="F252" i="9"/>
  <c r="F253" i="9"/>
  <c r="F254" i="9"/>
  <c r="F255" i="9"/>
  <c r="F256" i="9"/>
  <c r="F257" i="9"/>
  <c r="F258" i="9"/>
  <c r="F259" i="9"/>
  <c r="F260" i="9"/>
  <c r="F261" i="9"/>
  <c r="F262" i="9"/>
  <c r="F263" i="9"/>
  <c r="F264" i="9"/>
  <c r="F265" i="9"/>
  <c r="F266" i="9"/>
  <c r="F267" i="9"/>
  <c r="F268" i="9"/>
  <c r="F269" i="9"/>
  <c r="F270" i="9"/>
  <c r="F271" i="9"/>
  <c r="F272" i="9"/>
  <c r="F273" i="9"/>
  <c r="F274" i="9"/>
  <c r="F275" i="9"/>
  <c r="F276" i="9"/>
  <c r="F277" i="9"/>
  <c r="F278" i="9"/>
  <c r="F279" i="9"/>
  <c r="F280" i="9"/>
  <c r="F281" i="9"/>
  <c r="F282" i="9"/>
  <c r="F283" i="9"/>
  <c r="F284" i="9"/>
  <c r="F285" i="9"/>
  <c r="F286" i="9"/>
  <c r="F287" i="9"/>
  <c r="F288" i="9"/>
  <c r="F289" i="9"/>
  <c r="F290" i="9"/>
  <c r="F291" i="9"/>
  <c r="F292" i="9"/>
  <c r="F293" i="9"/>
  <c r="F294" i="9"/>
  <c r="F295" i="9"/>
  <c r="F296" i="9"/>
  <c r="F297" i="9"/>
  <c r="F298" i="9"/>
  <c r="F299" i="9"/>
  <c r="F300" i="9"/>
  <c r="F301" i="9"/>
  <c r="F302" i="9"/>
  <c r="F303" i="9"/>
  <c r="F304" i="9"/>
  <c r="F305" i="9"/>
  <c r="F306" i="9"/>
  <c r="F307" i="9"/>
  <c r="F308" i="9"/>
  <c r="F309" i="9"/>
  <c r="F310" i="9"/>
  <c r="F311" i="9"/>
  <c r="F312" i="9"/>
  <c r="F313" i="9"/>
  <c r="F314" i="9"/>
  <c r="F315" i="9"/>
  <c r="F316" i="9"/>
  <c r="F317" i="9"/>
  <c r="F318" i="9"/>
  <c r="F319" i="9"/>
  <c r="F320" i="9"/>
  <c r="F321" i="9"/>
  <c r="F322" i="9"/>
  <c r="F323" i="9"/>
  <c r="F324" i="9"/>
  <c r="F325" i="9"/>
  <c r="F326" i="9"/>
  <c r="F327" i="9"/>
  <c r="F328" i="9"/>
  <c r="F329" i="9"/>
  <c r="F330" i="9"/>
  <c r="F331" i="9"/>
  <c r="F332" i="9"/>
  <c r="F333" i="9"/>
  <c r="F334" i="9"/>
  <c r="F335" i="9"/>
  <c r="F336" i="9"/>
  <c r="F337" i="9"/>
  <c r="F338" i="9"/>
  <c r="F339" i="9"/>
  <c r="F340" i="9"/>
  <c r="F341" i="9"/>
  <c r="F342" i="9"/>
  <c r="F343" i="9"/>
  <c r="F344" i="9"/>
  <c r="F345" i="9"/>
  <c r="F346" i="9"/>
  <c r="F347" i="9"/>
  <c r="F348" i="9"/>
  <c r="F349" i="9"/>
  <c r="F350" i="9"/>
  <c r="F351" i="9"/>
  <c r="F352" i="9"/>
  <c r="F353" i="9"/>
  <c r="F354" i="9"/>
  <c r="F355" i="9"/>
  <c r="F356" i="9"/>
  <c r="F357" i="9"/>
  <c r="F358" i="9"/>
  <c r="F359" i="9"/>
  <c r="F360" i="9"/>
  <c r="F361" i="9"/>
  <c r="F362" i="9"/>
  <c r="F363" i="9"/>
  <c r="F364" i="9"/>
  <c r="F365" i="9"/>
  <c r="F366" i="9"/>
  <c r="F367" i="9"/>
  <c r="F368" i="9"/>
  <c r="F369" i="9"/>
  <c r="F370" i="9"/>
  <c r="F371" i="9"/>
  <c r="F372" i="9"/>
  <c r="F373" i="9"/>
  <c r="F374" i="9"/>
  <c r="F375" i="9"/>
  <c r="F376" i="9"/>
  <c r="F377" i="9"/>
  <c r="F378" i="9"/>
  <c r="F379" i="9"/>
  <c r="F380" i="9"/>
  <c r="F381" i="9"/>
  <c r="F382" i="9"/>
  <c r="F383" i="9"/>
  <c r="F384" i="9"/>
  <c r="F385" i="9"/>
  <c r="F386" i="9"/>
  <c r="F387" i="9"/>
  <c r="F388" i="9"/>
  <c r="F389" i="9"/>
  <c r="F390" i="9"/>
  <c r="F391" i="9"/>
  <c r="F392" i="9"/>
  <c r="F393" i="9"/>
  <c r="F394" i="9"/>
  <c r="F395" i="9"/>
  <c r="F396" i="9"/>
  <c r="F397" i="9"/>
  <c r="F398" i="9"/>
  <c r="F399" i="9"/>
  <c r="F400" i="9"/>
  <c r="F401" i="9"/>
  <c r="F402" i="9"/>
  <c r="F403" i="9"/>
  <c r="F404" i="9"/>
  <c r="F405" i="9"/>
  <c r="F406" i="9"/>
  <c r="F407" i="9"/>
  <c r="F408" i="9"/>
  <c r="F409" i="9"/>
  <c r="F410" i="9"/>
  <c r="F411" i="9"/>
  <c r="F412" i="9"/>
  <c r="F413" i="9"/>
  <c r="F414" i="9"/>
  <c r="F415" i="9"/>
  <c r="F416" i="9"/>
  <c r="F417" i="9"/>
  <c r="F418" i="9"/>
  <c r="F419" i="9"/>
  <c r="F420" i="9"/>
  <c r="F421" i="9"/>
  <c r="F422" i="9"/>
  <c r="F423" i="9"/>
  <c r="F424" i="9"/>
  <c r="F425" i="9"/>
  <c r="F426" i="9"/>
  <c r="F427" i="9"/>
  <c r="F428" i="9"/>
  <c r="F429" i="9"/>
  <c r="F430" i="9"/>
  <c r="F431" i="9"/>
  <c r="F432" i="9"/>
  <c r="F433" i="9"/>
  <c r="F434" i="9"/>
  <c r="F435" i="9"/>
  <c r="F436" i="9"/>
  <c r="F437" i="9"/>
  <c r="F438" i="9"/>
  <c r="F439" i="9"/>
  <c r="F440" i="9"/>
  <c r="F441" i="9"/>
  <c r="F442" i="9"/>
  <c r="F443" i="9"/>
  <c r="F444" i="9"/>
  <c r="F445" i="9"/>
  <c r="F446" i="9"/>
  <c r="F447" i="9"/>
  <c r="F448" i="9"/>
  <c r="F449" i="9"/>
  <c r="F450" i="9"/>
  <c r="F451" i="9"/>
  <c r="F452" i="9"/>
  <c r="F453" i="9"/>
  <c r="F454" i="9"/>
  <c r="F455" i="9"/>
  <c r="F456" i="9"/>
  <c r="F457" i="9"/>
  <c r="F458" i="9"/>
  <c r="F459" i="9"/>
  <c r="F460" i="9"/>
  <c r="F461" i="9"/>
  <c r="F462" i="9"/>
  <c r="F463" i="9"/>
  <c r="F464" i="9"/>
  <c r="F465" i="9"/>
  <c r="F466" i="9"/>
  <c r="F467" i="9"/>
  <c r="F468" i="9"/>
  <c r="F469" i="9"/>
  <c r="F470" i="9"/>
  <c r="F471" i="9"/>
  <c r="F472" i="9"/>
  <c r="F473" i="9"/>
  <c r="F474" i="9"/>
  <c r="F475" i="9"/>
  <c r="F476" i="9"/>
  <c r="F477" i="9"/>
  <c r="F478" i="9"/>
  <c r="F479" i="9"/>
  <c r="F480" i="9"/>
  <c r="F481" i="9"/>
  <c r="F482" i="9"/>
  <c r="F483" i="9"/>
  <c r="F484" i="9"/>
  <c r="F485" i="9"/>
  <c r="F486" i="9"/>
  <c r="F487" i="9"/>
  <c r="F488" i="9"/>
  <c r="F489" i="9"/>
  <c r="F490" i="9"/>
  <c r="F491" i="9"/>
  <c r="F492" i="9"/>
  <c r="F493" i="9"/>
  <c r="F494" i="9"/>
  <c r="F495" i="9"/>
  <c r="F496" i="9"/>
  <c r="F497" i="9"/>
  <c r="F498" i="9"/>
  <c r="F499" i="9"/>
  <c r="F500" i="9"/>
  <c r="F501" i="9"/>
  <c r="F502" i="9"/>
  <c r="F503" i="9"/>
  <c r="F504" i="9"/>
  <c r="F505" i="9"/>
  <c r="F506" i="9"/>
  <c r="F507" i="9"/>
  <c r="F508" i="9"/>
  <c r="F509" i="9"/>
  <c r="F510" i="9"/>
  <c r="F511" i="9"/>
  <c r="F512" i="9"/>
  <c r="F513" i="9"/>
  <c r="F514" i="9"/>
  <c r="F515" i="9"/>
  <c r="F516" i="9"/>
  <c r="F517" i="9"/>
  <c r="F518" i="9"/>
  <c r="F519" i="9"/>
  <c r="F520" i="9"/>
  <c r="F521" i="9"/>
  <c r="F522" i="9"/>
  <c r="F523" i="9"/>
  <c r="F524" i="9"/>
  <c r="F525" i="9"/>
  <c r="F526" i="9"/>
  <c r="F527" i="9"/>
  <c r="F528" i="9"/>
  <c r="F529" i="9"/>
  <c r="F530" i="9"/>
  <c r="F531" i="9"/>
  <c r="F532" i="9"/>
  <c r="F533" i="9"/>
  <c r="F534" i="9"/>
  <c r="F535" i="9"/>
  <c r="F536" i="9"/>
  <c r="F537" i="9"/>
  <c r="F538" i="9"/>
  <c r="F539" i="9"/>
  <c r="F540" i="9"/>
  <c r="F541" i="9"/>
  <c r="F542" i="9"/>
  <c r="F543" i="9"/>
  <c r="F544" i="9"/>
  <c r="F545" i="9"/>
  <c r="F546" i="9"/>
  <c r="F547" i="9"/>
  <c r="F548" i="9"/>
  <c r="F549" i="9"/>
  <c r="F550" i="9"/>
  <c r="F551" i="9"/>
  <c r="F552" i="9"/>
  <c r="F553" i="9"/>
  <c r="F554" i="9"/>
  <c r="F555" i="9"/>
  <c r="F556" i="9"/>
  <c r="F557" i="9"/>
  <c r="F558" i="9"/>
  <c r="F559" i="9"/>
  <c r="F560" i="9"/>
  <c r="F561" i="9"/>
  <c r="F562" i="9"/>
  <c r="F563" i="9"/>
  <c r="F564" i="9"/>
  <c r="F565" i="9"/>
  <c r="F566" i="9"/>
  <c r="F567" i="9"/>
  <c r="F568" i="9"/>
  <c r="F569" i="9"/>
  <c r="F570" i="9"/>
  <c r="F571" i="9"/>
  <c r="F572" i="9"/>
  <c r="F573" i="9"/>
  <c r="F574" i="9"/>
  <c r="F575" i="9"/>
  <c r="F576" i="9"/>
  <c r="F577" i="9"/>
  <c r="F578" i="9"/>
  <c r="F579" i="9"/>
  <c r="F580" i="9"/>
  <c r="F581" i="9"/>
  <c r="F582" i="9"/>
  <c r="F583" i="9"/>
  <c r="F584" i="9"/>
  <c r="F585" i="9"/>
  <c r="F586" i="9"/>
  <c r="F587" i="9"/>
  <c r="F588" i="9"/>
  <c r="F589" i="9"/>
  <c r="F590" i="9"/>
  <c r="F591" i="9"/>
  <c r="F592" i="9"/>
  <c r="F593" i="9"/>
  <c r="F594" i="9"/>
  <c r="F595" i="9"/>
  <c r="F596" i="9"/>
  <c r="F597" i="9"/>
  <c r="F598" i="9"/>
  <c r="F599" i="9"/>
  <c r="F600" i="9"/>
  <c r="F601" i="9"/>
  <c r="F602" i="9"/>
  <c r="F603" i="9"/>
  <c r="F604" i="9"/>
  <c r="F605" i="9"/>
  <c r="F606" i="9"/>
  <c r="F607" i="9"/>
  <c r="F608" i="9"/>
  <c r="F609" i="9"/>
  <c r="F610" i="9"/>
  <c r="F611" i="9"/>
  <c r="F612" i="9"/>
  <c r="F613" i="9"/>
  <c r="F614" i="9"/>
  <c r="F615" i="9"/>
  <c r="F616" i="9"/>
  <c r="F617" i="9"/>
  <c r="F618" i="9"/>
  <c r="F619" i="9"/>
  <c r="F620" i="9"/>
  <c r="F621" i="9"/>
  <c r="F622" i="9"/>
  <c r="F623" i="9"/>
  <c r="F624" i="9"/>
  <c r="F625" i="9"/>
  <c r="F626" i="9"/>
  <c r="F627" i="9"/>
  <c r="F628" i="9"/>
  <c r="F629" i="9"/>
  <c r="F630" i="9"/>
  <c r="F631" i="9"/>
  <c r="F632" i="9"/>
  <c r="F633" i="9"/>
  <c r="F634" i="9"/>
  <c r="F635" i="9"/>
  <c r="F636" i="9"/>
  <c r="F637" i="9"/>
  <c r="F638" i="9"/>
  <c r="F639" i="9"/>
  <c r="F640" i="9"/>
  <c r="F641" i="9"/>
  <c r="F642" i="9"/>
  <c r="F643" i="9"/>
  <c r="F644" i="9"/>
  <c r="F645" i="9"/>
  <c r="F646" i="9"/>
  <c r="F647" i="9"/>
  <c r="F648" i="9"/>
  <c r="F649" i="9"/>
  <c r="F650" i="9"/>
  <c r="F651" i="9"/>
  <c r="F652" i="9"/>
  <c r="F653" i="9"/>
  <c r="F654" i="9"/>
  <c r="F655" i="9"/>
  <c r="F656" i="9"/>
  <c r="F657" i="9"/>
  <c r="F658" i="9"/>
  <c r="F659" i="9"/>
  <c r="F660" i="9"/>
  <c r="F661" i="9"/>
  <c r="F662" i="9"/>
  <c r="F663" i="9"/>
  <c r="F664" i="9"/>
  <c r="F665" i="9"/>
  <c r="F666" i="9"/>
  <c r="F667" i="9"/>
  <c r="F668" i="9"/>
  <c r="F669" i="9"/>
  <c r="F670" i="9"/>
  <c r="F671" i="9"/>
  <c r="F672" i="9"/>
  <c r="F673" i="9"/>
  <c r="F674" i="9"/>
  <c r="F675" i="9"/>
  <c r="F676" i="9"/>
  <c r="F677" i="9"/>
  <c r="F678" i="9"/>
  <c r="F679" i="9"/>
  <c r="F680" i="9"/>
  <c r="F681" i="9"/>
  <c r="F682" i="9"/>
  <c r="F683" i="9"/>
  <c r="F684" i="9"/>
  <c r="F685" i="9"/>
  <c r="F686" i="9"/>
  <c r="F687" i="9"/>
  <c r="F688" i="9"/>
  <c r="F689" i="9"/>
  <c r="F690" i="9"/>
  <c r="F691" i="9"/>
  <c r="F692" i="9"/>
  <c r="F693" i="9"/>
  <c r="F694" i="9"/>
  <c r="F695" i="9"/>
  <c r="F696" i="9"/>
  <c r="F697" i="9"/>
  <c r="F698" i="9"/>
  <c r="F699" i="9"/>
  <c r="F700" i="9"/>
  <c r="F701" i="9"/>
  <c r="F702" i="9"/>
  <c r="F703" i="9"/>
  <c r="F704" i="9"/>
  <c r="F705" i="9"/>
  <c r="F706" i="9"/>
  <c r="F707" i="9"/>
  <c r="F708" i="9"/>
  <c r="F709" i="9"/>
  <c r="F710" i="9"/>
  <c r="F711" i="9"/>
  <c r="F712" i="9"/>
  <c r="F713" i="9"/>
  <c r="F714" i="9"/>
  <c r="F715" i="9"/>
  <c r="F716" i="9"/>
  <c r="F717" i="9"/>
  <c r="F718" i="9"/>
  <c r="F719" i="9"/>
  <c r="F720" i="9"/>
  <c r="F721" i="9"/>
  <c r="F722" i="9"/>
  <c r="F723" i="9"/>
  <c r="F724" i="9"/>
  <c r="F725" i="9"/>
  <c r="F726" i="9"/>
  <c r="F727" i="9"/>
  <c r="F728" i="9"/>
  <c r="F729" i="9"/>
  <c r="F730" i="9"/>
  <c r="F731" i="9"/>
  <c r="F732" i="9"/>
  <c r="F733" i="9"/>
  <c r="F734" i="9"/>
  <c r="F735" i="9"/>
  <c r="F736" i="9"/>
  <c r="F737" i="9"/>
  <c r="F738" i="9"/>
  <c r="F739" i="9"/>
  <c r="F740" i="9"/>
  <c r="F741" i="9"/>
  <c r="F742" i="9"/>
  <c r="F743" i="9"/>
  <c r="F744" i="9"/>
  <c r="F745" i="9"/>
  <c r="F746" i="9"/>
  <c r="F747" i="9"/>
  <c r="F748" i="9"/>
  <c r="F749" i="9"/>
  <c r="F750" i="9"/>
  <c r="F751" i="9"/>
  <c r="F752" i="9"/>
  <c r="F753" i="9"/>
  <c r="F754" i="9"/>
  <c r="F755" i="9"/>
  <c r="F756" i="9"/>
  <c r="F757" i="9"/>
  <c r="F758" i="9"/>
  <c r="F759" i="9"/>
  <c r="F760" i="9"/>
  <c r="F761" i="9"/>
  <c r="F762" i="9"/>
  <c r="F763" i="9"/>
  <c r="F764" i="9"/>
  <c r="F765" i="9"/>
  <c r="F766" i="9"/>
  <c r="F767" i="9"/>
  <c r="F768" i="9"/>
  <c r="F769" i="9"/>
  <c r="F770" i="9"/>
  <c r="F771" i="9"/>
  <c r="F772" i="9"/>
  <c r="F773" i="9"/>
  <c r="F774" i="9"/>
  <c r="F775" i="9"/>
  <c r="F776" i="9"/>
  <c r="F777" i="9"/>
  <c r="F778" i="9"/>
  <c r="F779" i="9"/>
  <c r="F780" i="9"/>
  <c r="F781" i="9"/>
  <c r="F782" i="9"/>
  <c r="F783" i="9"/>
  <c r="F784" i="9"/>
  <c r="F785" i="9"/>
  <c r="F786" i="9"/>
  <c r="F787" i="9"/>
  <c r="F788" i="9"/>
  <c r="F789" i="9"/>
  <c r="F790" i="9"/>
  <c r="F791" i="9"/>
  <c r="F792" i="9"/>
  <c r="F793" i="9"/>
  <c r="F794" i="9"/>
  <c r="F795" i="9"/>
  <c r="F796" i="9"/>
  <c r="F797" i="9"/>
  <c r="F798" i="9"/>
  <c r="F799" i="9"/>
  <c r="F800" i="9"/>
  <c r="F801" i="9"/>
  <c r="F802" i="9"/>
  <c r="F803" i="9"/>
  <c r="F804" i="9"/>
  <c r="F805" i="9"/>
  <c r="F806" i="9"/>
  <c r="F807" i="9"/>
  <c r="F808" i="9"/>
  <c r="F809" i="9"/>
  <c r="F810" i="9"/>
  <c r="F811" i="9"/>
  <c r="F812" i="9"/>
  <c r="F813" i="9"/>
  <c r="F814" i="9"/>
  <c r="F815" i="9"/>
  <c r="F816" i="9"/>
  <c r="F817" i="9"/>
  <c r="F818" i="9"/>
  <c r="F819" i="9"/>
  <c r="F820" i="9"/>
  <c r="F821" i="9"/>
  <c r="F822" i="9"/>
  <c r="F823" i="9"/>
  <c r="F824" i="9"/>
  <c r="F825" i="9"/>
  <c r="F826" i="9"/>
  <c r="F827" i="9"/>
  <c r="F828" i="9"/>
  <c r="F829" i="9"/>
  <c r="F830" i="9"/>
  <c r="F831" i="9"/>
  <c r="F832" i="9"/>
  <c r="F833" i="9"/>
  <c r="F834" i="9"/>
  <c r="F835" i="9"/>
  <c r="F836" i="9"/>
  <c r="F837" i="9"/>
  <c r="F838" i="9"/>
  <c r="F839" i="9"/>
  <c r="F840" i="9"/>
  <c r="F841" i="9"/>
  <c r="F842" i="9"/>
  <c r="F843" i="9"/>
  <c r="F844" i="9"/>
  <c r="F845" i="9"/>
  <c r="F846" i="9"/>
  <c r="F847" i="9"/>
  <c r="F848" i="9"/>
  <c r="F849" i="9"/>
  <c r="F850" i="9"/>
  <c r="F851" i="9"/>
  <c r="F852" i="9"/>
  <c r="F853" i="9"/>
  <c r="F854" i="9"/>
  <c r="F855" i="9"/>
  <c r="F856" i="9"/>
  <c r="F857" i="9"/>
  <c r="F858" i="9"/>
  <c r="F859" i="9"/>
  <c r="F860" i="9"/>
  <c r="F861" i="9"/>
  <c r="F862" i="9"/>
  <c r="F863" i="9"/>
  <c r="F864" i="9"/>
  <c r="F865" i="9"/>
  <c r="F866" i="9"/>
  <c r="F867" i="9"/>
  <c r="F868" i="9"/>
  <c r="F869" i="9"/>
  <c r="F870" i="9"/>
  <c r="F871" i="9"/>
  <c r="F872" i="9"/>
  <c r="F873" i="9"/>
  <c r="F874" i="9"/>
  <c r="F875" i="9"/>
  <c r="F876" i="9"/>
  <c r="F877" i="9"/>
  <c r="F878" i="9"/>
  <c r="F879" i="9"/>
  <c r="F880" i="9"/>
  <c r="F881" i="9"/>
  <c r="F882" i="9"/>
  <c r="F883" i="9"/>
  <c r="F884" i="9"/>
  <c r="F885" i="9"/>
  <c r="F886" i="9"/>
  <c r="F887" i="9"/>
  <c r="F888" i="9"/>
  <c r="F889" i="9"/>
  <c r="F890" i="9"/>
  <c r="F891" i="9"/>
  <c r="F892" i="9"/>
  <c r="F893" i="9"/>
  <c r="F894" i="9"/>
  <c r="F895" i="9"/>
  <c r="F896" i="9"/>
  <c r="F897" i="9"/>
  <c r="F898" i="9"/>
  <c r="F899" i="9"/>
  <c r="F900" i="9"/>
  <c r="F901" i="9"/>
  <c r="F902" i="9"/>
  <c r="F903" i="9"/>
  <c r="F904" i="9"/>
  <c r="F905" i="9"/>
  <c r="F906" i="9"/>
  <c r="F907" i="9"/>
  <c r="F908" i="9"/>
  <c r="F909" i="9"/>
  <c r="F910" i="9"/>
  <c r="F911" i="9"/>
  <c r="F912" i="9"/>
  <c r="F913" i="9"/>
  <c r="F914" i="9"/>
  <c r="F915" i="9"/>
  <c r="F916" i="9"/>
  <c r="F917" i="9"/>
  <c r="F918" i="9"/>
  <c r="F919" i="9"/>
  <c r="F920" i="9"/>
  <c r="F921" i="9"/>
  <c r="F922" i="9"/>
  <c r="F923" i="9"/>
  <c r="F924" i="9"/>
  <c r="F925" i="9"/>
  <c r="F926" i="9"/>
  <c r="F927" i="9"/>
  <c r="F928" i="9"/>
  <c r="F929" i="9"/>
  <c r="F930" i="9"/>
  <c r="F931" i="9"/>
  <c r="F932" i="9"/>
  <c r="F933" i="9"/>
  <c r="F934" i="9"/>
  <c r="F935" i="9"/>
  <c r="F936" i="9"/>
  <c r="F937" i="9"/>
  <c r="F938" i="9"/>
  <c r="F939" i="9"/>
  <c r="F940" i="9"/>
  <c r="F941" i="9"/>
  <c r="F942" i="9"/>
  <c r="F943" i="9"/>
  <c r="F944" i="9"/>
  <c r="F945" i="9"/>
  <c r="F946" i="9"/>
  <c r="F947" i="9"/>
  <c r="F948" i="9"/>
  <c r="F949" i="9"/>
  <c r="F950" i="9"/>
  <c r="F951" i="9"/>
  <c r="F952" i="9"/>
  <c r="F953" i="9"/>
  <c r="F954" i="9"/>
  <c r="F955" i="9"/>
  <c r="F956" i="9"/>
  <c r="F957" i="9"/>
  <c r="F958" i="9"/>
  <c r="F959" i="9"/>
  <c r="F960" i="9"/>
  <c r="F961" i="9"/>
  <c r="F962" i="9"/>
  <c r="F963" i="9"/>
  <c r="F964" i="9"/>
  <c r="F965" i="9"/>
  <c r="F966" i="9"/>
  <c r="F967" i="9"/>
  <c r="F968" i="9"/>
  <c r="F969" i="9"/>
  <c r="F970" i="9"/>
  <c r="F971" i="9"/>
  <c r="F972" i="9"/>
  <c r="F973" i="9"/>
  <c r="F974" i="9"/>
  <c r="F975" i="9"/>
  <c r="F976" i="9"/>
  <c r="F977" i="9"/>
  <c r="F978" i="9"/>
  <c r="F979" i="9"/>
  <c r="F980" i="9"/>
  <c r="F981" i="9"/>
  <c r="F982" i="9"/>
  <c r="F983" i="9"/>
  <c r="F984" i="9"/>
  <c r="F985" i="9"/>
  <c r="F986" i="9"/>
  <c r="F987" i="9"/>
  <c r="F988" i="9"/>
  <c r="F989" i="9"/>
  <c r="F990" i="9"/>
  <c r="F991" i="9"/>
  <c r="F992" i="9"/>
  <c r="F993" i="9"/>
  <c r="F994" i="9"/>
  <c r="F995" i="9"/>
  <c r="F996" i="9"/>
  <c r="F997" i="9"/>
  <c r="F998" i="9"/>
  <c r="F999" i="9"/>
  <c r="F1000" i="9"/>
  <c r="F1001" i="9"/>
  <c r="F1002" i="9"/>
  <c r="F1003" i="9"/>
  <c r="F1004" i="9"/>
  <c r="F1005" i="9"/>
  <c r="F1006" i="9"/>
  <c r="F1007" i="9"/>
  <c r="F1008" i="9"/>
  <c r="F1009" i="9"/>
  <c r="F1010" i="9"/>
  <c r="F1011" i="9"/>
  <c r="F1012" i="9"/>
  <c r="F1013" i="9"/>
  <c r="F1014" i="9"/>
  <c r="F1015" i="9"/>
  <c r="F1016" i="9"/>
  <c r="F1017" i="9"/>
  <c r="F1018" i="9"/>
  <c r="F1019" i="9"/>
  <c r="F1020" i="9"/>
  <c r="F1021" i="9"/>
  <c r="F1022" i="9"/>
  <c r="F1023" i="9"/>
  <c r="F1024" i="9"/>
  <c r="F1025" i="9"/>
  <c r="F1026" i="9"/>
  <c r="F1027" i="9"/>
  <c r="F1028" i="9"/>
  <c r="F1029" i="9"/>
  <c r="F1030" i="9"/>
  <c r="F1031" i="9"/>
  <c r="F1032" i="9"/>
  <c r="F1033" i="9"/>
  <c r="F1034" i="9"/>
  <c r="F1035" i="9"/>
  <c r="F1036" i="9"/>
  <c r="F1037" i="9"/>
  <c r="F1038" i="9"/>
  <c r="F1039" i="9"/>
  <c r="F1040" i="9"/>
  <c r="F1041" i="9"/>
  <c r="F1042" i="9"/>
  <c r="F1043" i="9"/>
  <c r="F1044" i="9"/>
  <c r="F1045" i="9"/>
  <c r="F1046" i="9"/>
  <c r="F1047" i="9"/>
  <c r="F1048" i="9"/>
  <c r="F1049" i="9"/>
  <c r="F1050" i="9"/>
  <c r="F1051" i="9"/>
  <c r="F1052" i="9"/>
  <c r="F1053" i="9"/>
  <c r="F1054" i="9"/>
  <c r="F1055" i="9"/>
  <c r="F1056" i="9"/>
  <c r="F1057" i="9"/>
  <c r="F1058" i="9"/>
  <c r="F1059" i="9"/>
  <c r="F1060" i="9"/>
  <c r="F1061" i="9"/>
  <c r="F1062" i="9"/>
  <c r="F1063" i="9"/>
  <c r="F1064" i="9"/>
  <c r="F1065" i="9"/>
  <c r="F1066" i="9"/>
  <c r="F1067" i="9"/>
  <c r="F1068" i="9"/>
  <c r="F1069" i="9"/>
  <c r="F1070" i="9"/>
  <c r="F1071" i="9"/>
  <c r="F1072" i="9"/>
  <c r="F1073" i="9"/>
  <c r="F1074" i="9"/>
  <c r="F1075" i="9"/>
  <c r="F1076" i="9"/>
  <c r="F1077" i="9"/>
  <c r="F1078" i="9"/>
  <c r="F1079" i="9"/>
  <c r="F1080" i="9"/>
  <c r="F1081" i="9"/>
  <c r="F1082" i="9"/>
  <c r="F1083" i="9"/>
  <c r="F1084" i="9"/>
  <c r="F1085" i="9"/>
  <c r="F1086" i="9"/>
  <c r="F1087" i="9"/>
  <c r="F1088" i="9"/>
  <c r="F1089" i="9"/>
  <c r="F1090" i="9"/>
  <c r="F1091" i="9"/>
  <c r="F1092" i="9"/>
  <c r="F1093" i="9"/>
  <c r="F1094" i="9"/>
  <c r="F1095" i="9"/>
  <c r="F1096" i="9"/>
  <c r="F1097" i="9"/>
  <c r="F1098" i="9"/>
  <c r="F1099" i="9"/>
  <c r="F1100" i="9"/>
  <c r="F1101" i="9"/>
  <c r="F1102" i="9"/>
  <c r="F1103" i="9"/>
  <c r="F1104" i="9"/>
  <c r="F1105" i="9"/>
  <c r="F1106" i="9"/>
  <c r="F1107" i="9"/>
  <c r="F1108" i="9"/>
  <c r="F1109" i="9"/>
  <c r="F1110" i="9"/>
  <c r="F1111" i="9"/>
  <c r="F1112" i="9"/>
  <c r="F1113" i="9"/>
  <c r="F1114" i="9"/>
  <c r="F1115" i="9"/>
  <c r="F1116" i="9"/>
  <c r="F1117" i="9"/>
  <c r="F1118" i="9"/>
  <c r="F1119" i="9"/>
  <c r="F1120" i="9"/>
  <c r="F1121" i="9"/>
  <c r="F1122" i="9"/>
  <c r="F1123" i="9"/>
  <c r="F1124" i="9"/>
  <c r="F1125" i="9"/>
  <c r="F1126" i="9"/>
  <c r="F1127" i="9"/>
  <c r="F1128" i="9"/>
  <c r="F1129" i="9"/>
  <c r="F1130" i="9"/>
  <c r="F1131" i="9"/>
  <c r="F1132" i="9"/>
  <c r="F1133" i="9"/>
  <c r="F1134" i="9"/>
  <c r="F1135" i="9"/>
  <c r="F1136" i="9"/>
  <c r="F1137" i="9"/>
  <c r="F1138" i="9"/>
  <c r="F1139" i="9"/>
  <c r="F1140" i="9"/>
  <c r="F1141" i="9"/>
  <c r="F1142" i="9"/>
  <c r="F1143" i="9"/>
  <c r="F1144" i="9"/>
  <c r="F1145" i="9"/>
  <c r="F1146" i="9"/>
  <c r="F1147" i="9"/>
  <c r="F1148" i="9"/>
  <c r="F1149" i="9"/>
  <c r="F1150" i="9"/>
  <c r="F1151" i="9"/>
  <c r="F1152" i="9"/>
  <c r="F1153" i="9"/>
  <c r="F1154" i="9"/>
  <c r="F1155" i="9"/>
  <c r="F1156" i="9"/>
  <c r="F1157" i="9"/>
  <c r="F1158" i="9"/>
  <c r="F1159" i="9"/>
  <c r="F1160" i="9"/>
  <c r="F1161" i="9"/>
  <c r="F1162" i="9"/>
  <c r="F1163" i="9"/>
  <c r="F1164" i="9"/>
  <c r="F1165" i="9"/>
  <c r="F1166" i="9"/>
  <c r="F1167" i="9"/>
  <c r="F1168" i="9"/>
  <c r="F1169" i="9"/>
  <c r="F1170" i="9"/>
  <c r="F1171" i="9"/>
  <c r="F1172" i="9"/>
  <c r="F1173" i="9"/>
  <c r="F1174" i="9"/>
  <c r="F1175" i="9"/>
  <c r="F1176" i="9"/>
  <c r="F1177" i="9"/>
  <c r="F1178" i="9"/>
  <c r="F1179" i="9"/>
  <c r="F1180" i="9"/>
  <c r="F1181" i="9"/>
  <c r="F1182" i="9"/>
  <c r="F1183" i="9"/>
  <c r="F1184" i="9"/>
  <c r="F1185" i="9"/>
  <c r="F1186" i="9"/>
  <c r="F1187" i="9"/>
  <c r="F1188" i="9"/>
  <c r="F1189" i="9"/>
  <c r="F1190" i="9"/>
  <c r="F1191" i="9"/>
  <c r="F1192" i="9"/>
  <c r="F1193" i="9"/>
  <c r="F1194" i="9"/>
  <c r="F1195" i="9"/>
  <c r="F1196" i="9"/>
  <c r="F1197" i="9"/>
  <c r="F1198" i="9"/>
  <c r="F1199" i="9"/>
  <c r="F1200" i="9"/>
  <c r="F1201" i="9"/>
  <c r="F1202" i="9"/>
  <c r="F1203" i="9"/>
  <c r="F1204" i="9"/>
  <c r="F1205" i="9"/>
  <c r="F1206" i="9"/>
  <c r="F1207" i="9"/>
  <c r="F1208" i="9"/>
  <c r="F1209" i="9"/>
  <c r="F1210" i="9"/>
  <c r="F1211" i="9"/>
  <c r="F1212" i="9"/>
  <c r="F1213" i="9"/>
  <c r="F1214" i="9"/>
  <c r="F1215" i="9"/>
  <c r="F1216" i="9"/>
  <c r="F1217" i="9"/>
  <c r="F1218" i="9"/>
  <c r="F1219" i="9"/>
  <c r="F1220" i="9"/>
  <c r="F1221" i="9"/>
  <c r="F1222" i="9"/>
  <c r="F1223" i="9"/>
  <c r="F1224" i="9"/>
  <c r="F1225" i="9"/>
  <c r="F1226" i="9"/>
  <c r="F1227" i="9"/>
  <c r="F1228" i="9"/>
  <c r="F1229" i="9"/>
  <c r="F1230" i="9"/>
  <c r="F1231" i="9"/>
  <c r="F1232" i="9"/>
  <c r="F1233" i="9"/>
  <c r="F1234" i="9"/>
  <c r="F1235" i="9"/>
  <c r="F1236" i="9"/>
  <c r="F1237" i="9"/>
  <c r="F1238" i="9"/>
  <c r="F1239" i="9"/>
  <c r="F1240" i="9"/>
  <c r="F1241" i="9"/>
  <c r="F1242" i="9"/>
  <c r="F1243" i="9"/>
  <c r="F1244" i="9"/>
  <c r="F1245" i="9"/>
  <c r="F1246" i="9"/>
  <c r="F1247" i="9"/>
  <c r="F1248" i="9"/>
  <c r="F1249" i="9"/>
  <c r="F1250" i="9"/>
  <c r="F1251" i="9"/>
  <c r="F1252" i="9"/>
  <c r="F1253" i="9"/>
  <c r="F1254" i="9"/>
  <c r="F1255" i="9"/>
  <c r="F1256" i="9"/>
  <c r="F1257" i="9"/>
  <c r="F1258" i="9"/>
  <c r="F1259" i="9"/>
  <c r="F1260" i="9"/>
  <c r="F1261" i="9"/>
  <c r="F1262" i="9"/>
  <c r="F1263" i="9"/>
  <c r="F1264" i="9"/>
  <c r="F1265" i="9"/>
  <c r="F1266" i="9"/>
  <c r="F1267" i="9"/>
  <c r="F1268" i="9"/>
  <c r="F1269" i="9"/>
  <c r="F1270" i="9"/>
  <c r="F1271" i="9"/>
  <c r="F1272" i="9"/>
  <c r="F1273" i="9"/>
  <c r="F1274" i="9"/>
  <c r="F1275" i="9"/>
  <c r="F1276" i="9"/>
  <c r="F1277" i="9"/>
  <c r="F1278" i="9"/>
  <c r="F1279" i="9"/>
  <c r="F1280" i="9"/>
  <c r="F1281" i="9"/>
  <c r="F1282" i="9"/>
  <c r="F1283" i="9"/>
  <c r="F1284" i="9"/>
  <c r="F1285" i="9"/>
  <c r="F1286" i="9"/>
  <c r="F1287" i="9"/>
  <c r="F1288" i="9"/>
  <c r="F1289" i="9"/>
  <c r="F1290" i="9"/>
  <c r="F1291" i="9"/>
  <c r="F1292" i="9"/>
  <c r="F1293" i="9"/>
  <c r="F1294" i="9"/>
  <c r="F1295" i="9"/>
  <c r="F1296" i="9"/>
  <c r="F1297" i="9"/>
  <c r="F1298" i="9"/>
  <c r="F1299" i="9"/>
  <c r="F1300" i="9"/>
  <c r="F1301" i="9"/>
  <c r="F1302" i="9"/>
  <c r="F1303" i="9"/>
  <c r="F1304" i="9"/>
  <c r="F1305" i="9"/>
  <c r="F1306" i="9"/>
  <c r="F1307" i="9"/>
  <c r="F1308" i="9"/>
  <c r="F1309" i="9"/>
  <c r="F1310" i="9"/>
  <c r="F1311" i="9"/>
  <c r="F1312" i="9"/>
  <c r="F1313" i="9"/>
  <c r="F1314" i="9"/>
  <c r="F1315" i="9"/>
  <c r="F1316" i="9"/>
  <c r="F1317" i="9"/>
  <c r="F1318" i="9"/>
  <c r="F1319" i="9"/>
  <c r="F1320" i="9"/>
  <c r="F1321" i="9"/>
  <c r="F1322" i="9"/>
  <c r="F1323" i="9"/>
  <c r="F1324" i="9"/>
  <c r="F1325" i="9"/>
  <c r="F1326" i="9"/>
  <c r="F1327" i="9"/>
  <c r="F1328" i="9"/>
  <c r="F1329" i="9"/>
  <c r="F1330" i="9"/>
  <c r="F1331" i="9"/>
  <c r="F1332" i="9"/>
  <c r="F1333" i="9"/>
  <c r="F1334" i="9"/>
  <c r="F1335" i="9"/>
  <c r="F1336" i="9"/>
  <c r="F1337" i="9"/>
  <c r="F1338" i="9"/>
  <c r="F1339" i="9"/>
  <c r="F1340" i="9"/>
  <c r="F1341" i="9"/>
  <c r="F1342" i="9"/>
  <c r="F1343" i="9"/>
  <c r="F1344" i="9"/>
  <c r="F1345" i="9"/>
  <c r="F1346" i="9"/>
  <c r="F1347" i="9"/>
  <c r="F1348" i="9"/>
  <c r="F1349" i="9"/>
  <c r="F1350" i="9"/>
  <c r="F1351" i="9"/>
  <c r="F1352" i="9"/>
  <c r="F1353" i="9"/>
  <c r="F1354" i="9"/>
  <c r="F1355" i="9"/>
  <c r="F1356" i="9"/>
  <c r="F1357" i="9"/>
  <c r="F1358" i="9"/>
  <c r="F1359" i="9"/>
  <c r="F1360" i="9"/>
  <c r="F1361" i="9"/>
  <c r="F1362" i="9"/>
  <c r="F1363" i="9"/>
  <c r="F1364" i="9"/>
  <c r="F1365" i="9"/>
  <c r="F1366" i="9"/>
  <c r="F1367" i="9"/>
  <c r="F1368" i="9"/>
  <c r="F1369" i="9"/>
  <c r="F1370" i="9"/>
  <c r="F1371" i="9"/>
  <c r="F1372" i="9"/>
  <c r="F1373" i="9"/>
  <c r="F1374" i="9"/>
  <c r="F1375" i="9"/>
  <c r="F1376" i="9"/>
  <c r="F1377" i="9"/>
  <c r="F1378" i="9"/>
  <c r="F1379" i="9"/>
  <c r="F1380" i="9"/>
  <c r="F1381" i="9"/>
  <c r="F1382" i="9"/>
  <c r="F1383" i="9"/>
  <c r="F1384" i="9"/>
  <c r="F1385" i="9"/>
  <c r="F1386" i="9"/>
  <c r="F1387" i="9"/>
  <c r="F1388" i="9"/>
  <c r="F1389" i="9"/>
  <c r="F1390" i="9"/>
  <c r="F1391" i="9"/>
  <c r="F1392" i="9"/>
  <c r="F1393" i="9"/>
  <c r="F1394" i="9"/>
  <c r="F1395" i="9"/>
  <c r="F1396" i="9"/>
  <c r="F1397" i="9"/>
  <c r="F1398" i="9"/>
  <c r="F1399" i="9"/>
  <c r="F1400" i="9"/>
  <c r="F1401" i="9"/>
  <c r="F1402" i="9"/>
  <c r="F1403" i="9"/>
  <c r="F1404" i="9"/>
  <c r="F1405" i="9"/>
  <c r="F1406" i="9"/>
  <c r="F1407" i="9"/>
  <c r="F1408" i="9"/>
  <c r="F1409" i="9"/>
  <c r="F1410" i="9"/>
  <c r="F1411" i="9"/>
  <c r="F1412" i="9"/>
  <c r="F1413" i="9"/>
  <c r="F1414" i="9"/>
  <c r="F1415" i="9"/>
  <c r="F1416" i="9"/>
  <c r="F1417" i="9"/>
  <c r="F1418" i="9"/>
  <c r="F1419" i="9"/>
  <c r="F1420" i="9"/>
  <c r="F1421" i="9"/>
  <c r="F1422" i="9"/>
  <c r="F1423" i="9"/>
  <c r="F1424" i="9"/>
  <c r="F1425" i="9"/>
  <c r="F1426" i="9"/>
  <c r="F1427" i="9"/>
  <c r="F1428" i="9"/>
  <c r="F1429" i="9"/>
  <c r="F1430" i="9"/>
  <c r="F1431" i="9"/>
  <c r="F1432" i="9"/>
  <c r="F1433" i="9"/>
  <c r="F1434" i="9"/>
  <c r="F1435" i="9"/>
  <c r="F1436" i="9"/>
  <c r="F1437" i="9"/>
  <c r="F1438" i="9"/>
  <c r="F1439" i="9"/>
  <c r="F1440" i="9"/>
  <c r="F1441" i="9"/>
  <c r="F1442" i="9"/>
  <c r="F1443" i="9"/>
  <c r="F1444" i="9"/>
  <c r="F1445" i="9"/>
  <c r="F1446" i="9"/>
  <c r="F1447" i="9"/>
  <c r="F1448" i="9"/>
  <c r="F1449" i="9"/>
  <c r="F1450" i="9"/>
  <c r="F1451" i="9"/>
  <c r="F1452" i="9"/>
  <c r="F1453" i="9"/>
  <c r="F1454" i="9"/>
  <c r="F1455" i="9"/>
  <c r="F1456" i="9"/>
  <c r="F1457" i="9"/>
  <c r="F1458" i="9"/>
  <c r="F1459" i="9"/>
  <c r="F1460" i="9"/>
  <c r="F1461" i="9"/>
  <c r="F1462" i="9"/>
  <c r="F1463" i="9"/>
  <c r="F1464" i="9"/>
  <c r="F1465" i="9"/>
  <c r="F1466" i="9"/>
  <c r="F1467" i="9"/>
  <c r="F1468" i="9"/>
  <c r="F1469" i="9"/>
  <c r="F1470" i="9"/>
  <c r="F1471" i="9"/>
  <c r="F1472" i="9"/>
  <c r="F1473" i="9"/>
  <c r="F1474" i="9"/>
  <c r="F1475" i="9"/>
  <c r="F1476" i="9"/>
  <c r="F1477" i="9"/>
  <c r="F1478" i="9"/>
  <c r="F1479" i="9"/>
  <c r="F1480" i="9"/>
  <c r="F1481" i="9"/>
  <c r="F1482" i="9"/>
  <c r="F1483" i="9"/>
  <c r="F1484" i="9"/>
  <c r="F1485" i="9"/>
  <c r="F1486" i="9"/>
  <c r="F1487" i="9"/>
  <c r="F1488" i="9"/>
  <c r="F1489" i="9"/>
  <c r="F1490" i="9"/>
  <c r="F1491" i="9"/>
  <c r="F1492" i="9"/>
  <c r="F1493" i="9"/>
  <c r="F1494" i="9"/>
  <c r="F1495" i="9"/>
  <c r="F1496" i="9"/>
  <c r="F1497" i="9"/>
  <c r="F1498" i="9"/>
  <c r="F1499" i="9"/>
  <c r="F1500" i="9"/>
  <c r="F1501" i="9"/>
  <c r="F1502" i="9"/>
  <c r="F1503" i="9"/>
  <c r="F1504" i="9"/>
  <c r="F1505" i="9"/>
  <c r="F1506" i="9"/>
  <c r="F1507" i="9"/>
  <c r="F1508" i="9"/>
  <c r="F1509" i="9"/>
  <c r="F1510" i="9"/>
  <c r="F1511" i="9"/>
  <c r="F1512" i="9"/>
  <c r="F1513" i="9"/>
  <c r="F1514" i="9"/>
  <c r="F1515" i="9"/>
  <c r="F1516" i="9"/>
  <c r="F1517" i="9"/>
  <c r="F1518" i="9"/>
  <c r="F1519" i="9"/>
  <c r="F1520" i="9"/>
  <c r="F1521" i="9"/>
  <c r="F1522" i="9"/>
  <c r="F1523" i="9"/>
  <c r="F1524" i="9"/>
  <c r="F1525" i="9"/>
  <c r="F1526" i="9"/>
  <c r="F1527" i="9"/>
  <c r="F1528" i="9"/>
  <c r="F1529" i="9"/>
  <c r="F1530" i="9"/>
  <c r="F1531" i="9"/>
  <c r="F1532" i="9"/>
  <c r="F1533" i="9"/>
  <c r="F1534" i="9"/>
  <c r="F1535" i="9"/>
  <c r="F1536" i="9"/>
  <c r="F1537" i="9"/>
  <c r="F1538" i="9"/>
  <c r="F1539" i="9"/>
  <c r="F1540" i="9"/>
  <c r="F1541" i="9"/>
  <c r="F1542" i="9"/>
  <c r="F1543" i="9"/>
  <c r="F1544" i="9"/>
  <c r="F1545" i="9"/>
  <c r="F1546" i="9"/>
  <c r="F1547" i="9"/>
  <c r="F1548" i="9"/>
  <c r="F1549" i="9"/>
  <c r="F1550" i="9"/>
  <c r="F1551" i="9"/>
  <c r="F1552" i="9"/>
  <c r="F1553" i="9"/>
  <c r="F1554" i="9"/>
  <c r="F1555" i="9"/>
  <c r="F1556" i="9"/>
  <c r="F1557" i="9"/>
  <c r="F1558" i="9"/>
  <c r="F1559" i="9"/>
  <c r="F1560" i="9"/>
  <c r="F1561" i="9"/>
  <c r="F1562" i="9"/>
  <c r="F1563" i="9"/>
  <c r="F1564" i="9"/>
  <c r="F1565" i="9"/>
  <c r="F1566" i="9"/>
  <c r="F1567" i="9"/>
  <c r="F1568" i="9"/>
  <c r="F1569" i="9"/>
  <c r="F1570" i="9"/>
  <c r="F1571" i="9"/>
  <c r="F1572" i="9"/>
  <c r="F1573" i="9"/>
  <c r="F1574" i="9"/>
  <c r="F1575" i="9"/>
  <c r="F1576" i="9"/>
  <c r="F1577" i="9"/>
  <c r="F1578" i="9"/>
  <c r="F1579" i="9"/>
  <c r="F1580" i="9"/>
  <c r="F1581" i="9"/>
  <c r="F1582" i="9"/>
  <c r="F1583" i="9"/>
  <c r="F1584" i="9"/>
  <c r="F1585" i="9"/>
  <c r="F1586" i="9"/>
  <c r="F1587" i="9"/>
  <c r="F1588" i="9"/>
  <c r="F1589" i="9"/>
  <c r="F1590" i="9"/>
  <c r="F1591" i="9"/>
  <c r="F1592" i="9"/>
  <c r="F1593" i="9"/>
  <c r="F1594" i="9"/>
  <c r="F1595" i="9"/>
  <c r="F1596" i="9"/>
  <c r="F1597" i="9"/>
  <c r="F1598" i="9"/>
  <c r="F1599" i="9"/>
  <c r="F1600" i="9"/>
  <c r="F1601" i="9"/>
  <c r="F1602" i="9"/>
  <c r="F1603" i="9"/>
  <c r="F1604" i="9"/>
  <c r="F1605" i="9"/>
  <c r="F1606" i="9"/>
  <c r="F1607" i="9"/>
  <c r="F1608" i="9"/>
  <c r="F1609" i="9"/>
  <c r="F1610" i="9"/>
  <c r="F1611" i="9"/>
  <c r="F1612" i="9"/>
  <c r="F1613" i="9"/>
  <c r="F1614" i="9"/>
  <c r="F1615" i="9"/>
  <c r="F1616" i="9"/>
  <c r="F1617" i="9"/>
  <c r="F1618" i="9"/>
  <c r="F1619" i="9"/>
  <c r="F1620" i="9"/>
  <c r="F1621" i="9"/>
  <c r="F1622" i="9"/>
  <c r="F1623" i="9"/>
  <c r="F1624" i="9"/>
  <c r="F1625" i="9"/>
  <c r="F1626" i="9"/>
  <c r="F1627" i="9"/>
  <c r="F1628" i="9"/>
  <c r="F1629" i="9"/>
  <c r="F1630" i="9"/>
  <c r="F1631" i="9"/>
  <c r="F1632" i="9"/>
  <c r="F1633" i="9"/>
  <c r="F1634" i="9"/>
  <c r="F1635" i="9"/>
  <c r="F1636" i="9"/>
  <c r="F1637" i="9"/>
  <c r="F1638" i="9"/>
  <c r="F1639" i="9"/>
  <c r="F1640" i="9"/>
  <c r="F1641" i="9"/>
  <c r="F1642" i="9"/>
  <c r="F1643" i="9"/>
  <c r="F1644" i="9"/>
  <c r="F1645" i="9"/>
  <c r="F1646" i="9"/>
  <c r="F1647" i="9"/>
  <c r="F1648" i="9"/>
  <c r="F1649" i="9"/>
  <c r="F1650" i="9"/>
  <c r="F1651" i="9"/>
  <c r="F1652" i="9"/>
  <c r="F1653" i="9"/>
  <c r="F1654" i="9"/>
  <c r="F1655" i="9"/>
  <c r="F1656" i="9"/>
  <c r="F1657" i="9"/>
  <c r="F1658" i="9"/>
  <c r="F1659" i="9"/>
  <c r="F1660" i="9"/>
  <c r="F1661" i="9"/>
  <c r="F1662" i="9"/>
  <c r="F1663" i="9"/>
  <c r="F1664" i="9"/>
  <c r="F1665" i="9"/>
  <c r="F1666" i="9"/>
  <c r="F1667" i="9"/>
  <c r="F1668" i="9"/>
  <c r="F1669" i="9"/>
  <c r="F1670" i="9"/>
  <c r="F1671" i="9"/>
  <c r="F1672" i="9"/>
  <c r="F1673" i="9"/>
  <c r="F1674" i="9"/>
  <c r="F1675" i="9"/>
  <c r="F1676" i="9"/>
  <c r="F1677" i="9"/>
  <c r="F1678" i="9"/>
  <c r="F1679" i="9"/>
  <c r="F1680" i="9"/>
  <c r="F1681" i="9"/>
  <c r="F1682" i="9"/>
  <c r="F1683" i="9"/>
  <c r="F1684" i="9"/>
  <c r="F1685" i="9"/>
  <c r="F1686" i="9"/>
  <c r="F1687" i="9"/>
  <c r="F1688" i="9"/>
  <c r="F1689" i="9"/>
  <c r="F1690" i="9"/>
  <c r="F1691" i="9"/>
  <c r="F1692" i="9"/>
  <c r="F1693" i="9"/>
  <c r="F1694" i="9"/>
  <c r="F1695" i="9"/>
  <c r="F1696" i="9"/>
  <c r="F1697" i="9"/>
  <c r="F1698" i="9"/>
  <c r="F1699" i="9"/>
  <c r="F1700" i="9"/>
  <c r="F1701" i="9"/>
  <c r="F1702" i="9"/>
  <c r="F1703" i="9"/>
  <c r="F1704" i="9"/>
  <c r="F1705" i="9"/>
  <c r="F1706" i="9"/>
  <c r="F1707" i="9"/>
  <c r="F1708" i="9"/>
  <c r="F1709" i="9"/>
  <c r="F1710" i="9"/>
  <c r="F1711" i="9"/>
  <c r="F1712" i="9"/>
  <c r="F1713" i="9"/>
  <c r="F1714" i="9"/>
  <c r="F1715" i="9"/>
  <c r="F1716" i="9"/>
  <c r="F1717" i="9"/>
  <c r="F1718" i="9"/>
  <c r="F1719" i="9"/>
  <c r="F1720" i="9"/>
  <c r="F1721" i="9"/>
  <c r="F1722" i="9"/>
  <c r="F1723" i="9"/>
  <c r="F1724" i="9"/>
  <c r="F1725" i="9"/>
  <c r="F1726" i="9"/>
  <c r="F1727" i="9"/>
  <c r="F1728" i="9"/>
  <c r="F1729" i="9"/>
  <c r="F1730" i="9"/>
  <c r="F1731" i="9"/>
  <c r="F1732" i="9"/>
  <c r="F1733" i="9"/>
  <c r="F1734" i="9"/>
  <c r="F1735" i="9"/>
  <c r="F1736" i="9"/>
  <c r="F1737" i="9"/>
  <c r="F1738" i="9"/>
  <c r="F1739" i="9"/>
  <c r="F1740" i="9"/>
  <c r="F1741" i="9"/>
  <c r="F1742" i="9"/>
  <c r="F1743" i="9"/>
  <c r="F1744" i="9"/>
  <c r="F1745" i="9"/>
  <c r="F1746" i="9"/>
  <c r="F1747" i="9"/>
  <c r="F1748" i="9"/>
  <c r="F1749" i="9"/>
  <c r="F1750" i="9"/>
  <c r="F1751" i="9"/>
  <c r="F1752" i="9"/>
  <c r="F1753" i="9"/>
  <c r="F1754" i="9"/>
  <c r="F1755" i="9"/>
  <c r="F1756" i="9"/>
  <c r="F1757" i="9"/>
  <c r="F1758" i="9"/>
  <c r="F1759" i="9"/>
  <c r="F1760" i="9"/>
  <c r="F1761" i="9"/>
  <c r="F1762" i="9"/>
  <c r="F1763" i="9"/>
  <c r="F1764" i="9"/>
  <c r="F1765" i="9"/>
  <c r="F1766" i="9"/>
  <c r="F1767" i="9"/>
  <c r="F1768" i="9"/>
  <c r="F1769" i="9"/>
  <c r="F1770" i="9"/>
  <c r="F1771" i="9"/>
  <c r="F1772" i="9"/>
  <c r="F1773" i="9"/>
  <c r="F1774" i="9"/>
  <c r="F1775" i="9"/>
  <c r="F1776" i="9"/>
  <c r="F1777" i="9"/>
  <c r="F1778" i="9"/>
  <c r="F1779" i="9"/>
  <c r="F1780" i="9"/>
  <c r="F1781" i="9"/>
  <c r="F1782" i="9"/>
  <c r="F1783" i="9"/>
  <c r="F1784" i="9"/>
  <c r="F1785" i="9"/>
  <c r="F1786" i="9"/>
  <c r="F1787" i="9"/>
  <c r="F1788" i="9"/>
  <c r="F1789" i="9"/>
  <c r="F1790" i="9"/>
  <c r="F1791" i="9"/>
  <c r="F1792" i="9"/>
  <c r="F1793" i="9"/>
  <c r="F1794" i="9"/>
  <c r="F1795" i="9"/>
  <c r="F1796" i="9"/>
  <c r="F1797" i="9"/>
  <c r="F1798" i="9"/>
  <c r="F1799" i="9"/>
  <c r="F1800" i="9"/>
  <c r="F1801" i="9"/>
  <c r="F1802" i="9"/>
  <c r="F1803" i="9"/>
  <c r="F1804" i="9"/>
  <c r="F1805" i="9"/>
  <c r="F1806" i="9"/>
  <c r="F1807" i="9"/>
  <c r="F1808" i="9"/>
  <c r="F1809" i="9"/>
  <c r="F1810" i="9"/>
  <c r="F1811" i="9"/>
  <c r="F1812" i="9"/>
  <c r="F1813" i="9"/>
  <c r="F1814" i="9"/>
  <c r="F1815" i="9"/>
  <c r="F1816" i="9"/>
  <c r="F1817" i="9"/>
  <c r="F1818" i="9"/>
  <c r="F1819" i="9"/>
  <c r="F1820" i="9"/>
  <c r="F1821" i="9"/>
  <c r="F1822" i="9"/>
  <c r="F1823" i="9"/>
  <c r="F1824" i="9"/>
  <c r="F1825" i="9"/>
  <c r="F1826" i="9"/>
  <c r="F1827" i="9"/>
  <c r="F1828" i="9"/>
  <c r="F1829" i="9"/>
  <c r="F1830" i="9"/>
  <c r="F1831" i="9"/>
  <c r="F1832" i="9"/>
  <c r="F1833" i="9"/>
  <c r="F1834" i="9"/>
  <c r="F1835" i="9"/>
  <c r="F1836" i="9"/>
  <c r="F1837" i="9"/>
  <c r="F1838" i="9"/>
  <c r="F1839" i="9"/>
  <c r="F1840" i="9"/>
  <c r="F1841" i="9"/>
  <c r="F1842" i="9"/>
  <c r="F1843" i="9"/>
  <c r="F1844" i="9"/>
  <c r="F1845" i="9"/>
  <c r="F1846" i="9"/>
  <c r="F1847" i="9"/>
  <c r="F1848" i="9"/>
  <c r="F1849" i="9"/>
  <c r="F1850" i="9"/>
  <c r="F1851" i="9"/>
  <c r="F1852" i="9"/>
  <c r="F1853" i="9"/>
  <c r="F1854" i="9"/>
  <c r="F1855" i="9"/>
  <c r="F1856" i="9"/>
  <c r="F1857" i="9"/>
  <c r="F1858" i="9"/>
  <c r="F1859" i="9"/>
  <c r="F1860" i="9"/>
  <c r="F1861" i="9"/>
  <c r="F1862" i="9"/>
  <c r="F1863" i="9"/>
  <c r="F1864" i="9"/>
  <c r="F1865" i="9"/>
  <c r="F1866" i="9"/>
  <c r="F1867" i="9"/>
  <c r="F1868" i="9"/>
  <c r="F1869" i="9"/>
  <c r="F1870" i="9"/>
  <c r="F1871" i="9"/>
  <c r="F1872" i="9"/>
  <c r="F1873" i="9"/>
  <c r="F1874" i="9"/>
  <c r="F1875" i="9"/>
  <c r="F1876" i="9"/>
  <c r="F1877" i="9"/>
  <c r="F1878" i="9"/>
  <c r="F1879" i="9"/>
  <c r="F1880" i="9"/>
  <c r="F1881" i="9"/>
  <c r="F1882" i="9"/>
  <c r="F1883" i="9"/>
  <c r="F1884" i="9"/>
  <c r="F1885" i="9"/>
  <c r="F1886" i="9"/>
  <c r="F1887" i="9"/>
  <c r="F1888" i="9"/>
  <c r="F1889" i="9"/>
  <c r="F1890" i="9"/>
  <c r="F1891" i="9"/>
  <c r="F1892" i="9"/>
  <c r="F1893" i="9"/>
  <c r="F1894" i="9"/>
  <c r="F1895" i="9"/>
  <c r="F1896" i="9"/>
  <c r="F1897" i="9"/>
  <c r="F1898" i="9"/>
  <c r="F1899" i="9"/>
  <c r="F1900" i="9"/>
  <c r="F1901" i="9"/>
  <c r="F1902" i="9"/>
  <c r="F1903" i="9"/>
  <c r="F1904" i="9"/>
  <c r="F1905" i="9"/>
  <c r="F1906" i="9"/>
  <c r="F1907" i="9"/>
  <c r="F1908" i="9"/>
  <c r="F1909" i="9"/>
  <c r="F1910" i="9"/>
  <c r="F1911" i="9"/>
  <c r="F1912" i="9"/>
  <c r="F1913" i="9"/>
  <c r="F1914" i="9"/>
  <c r="F1915" i="9"/>
  <c r="F1916" i="9"/>
  <c r="F1917" i="9"/>
  <c r="F1918" i="9"/>
  <c r="F1919" i="9"/>
  <c r="F1920" i="9"/>
  <c r="F1921" i="9"/>
  <c r="F1922" i="9"/>
  <c r="F1923" i="9"/>
  <c r="F1924" i="9"/>
  <c r="F1925" i="9"/>
  <c r="F1926" i="9"/>
  <c r="F1927" i="9"/>
  <c r="F1928" i="9"/>
  <c r="F1929" i="9"/>
  <c r="F1930" i="9"/>
  <c r="F1931" i="9"/>
  <c r="F1932" i="9"/>
  <c r="F1933" i="9"/>
  <c r="F1934" i="9"/>
  <c r="F1935" i="9"/>
  <c r="F1936" i="9"/>
  <c r="F1937" i="9"/>
  <c r="F1938" i="9"/>
  <c r="F1939" i="9"/>
  <c r="F1940" i="9"/>
  <c r="F1941" i="9"/>
  <c r="F1942" i="9"/>
  <c r="F1943" i="9"/>
  <c r="F1944" i="9"/>
  <c r="F1945" i="9"/>
  <c r="F1946" i="9"/>
  <c r="F1947" i="9"/>
  <c r="F1948" i="9"/>
  <c r="F1949" i="9"/>
  <c r="F1950" i="9"/>
  <c r="F1951" i="9"/>
  <c r="F1952" i="9"/>
  <c r="F1953" i="9"/>
  <c r="F1954" i="9"/>
  <c r="F1955" i="9"/>
  <c r="F1956" i="9"/>
  <c r="F1957" i="9"/>
  <c r="F1958" i="9"/>
  <c r="F1959" i="9"/>
  <c r="F1960" i="9"/>
  <c r="F1961" i="9"/>
  <c r="F1962" i="9"/>
  <c r="F1963" i="9"/>
  <c r="F1964" i="9"/>
  <c r="F1965" i="9"/>
  <c r="F1966" i="9"/>
  <c r="F1967" i="9"/>
  <c r="F1968" i="9"/>
  <c r="F1969" i="9"/>
  <c r="F1970" i="9"/>
  <c r="F1971" i="9"/>
  <c r="F1972" i="9"/>
  <c r="F1973" i="9"/>
  <c r="F1974" i="9"/>
  <c r="F1975" i="9"/>
  <c r="F1976" i="9"/>
  <c r="F1977" i="9"/>
  <c r="F1978" i="9"/>
  <c r="F1979" i="9"/>
  <c r="F1980" i="9"/>
  <c r="F1981" i="9"/>
  <c r="F1982" i="9"/>
  <c r="F1983" i="9"/>
  <c r="F1984" i="9"/>
  <c r="F1985" i="9"/>
  <c r="F1986" i="9"/>
  <c r="F1987" i="9"/>
  <c r="F1988" i="9"/>
  <c r="F1989" i="9"/>
  <c r="F1990" i="9"/>
  <c r="F1991" i="9"/>
  <c r="F1992" i="9"/>
  <c r="F1993" i="9"/>
  <c r="F1994" i="9"/>
  <c r="F1995" i="9"/>
  <c r="F1996" i="9"/>
  <c r="F1997" i="9"/>
  <c r="F1998" i="9"/>
  <c r="F1999" i="9"/>
  <c r="F2000" i="9"/>
  <c r="F2001" i="9"/>
  <c r="F2002" i="9"/>
  <c r="F2003" i="9"/>
  <c r="F2004" i="9"/>
  <c r="F2005" i="9"/>
  <c r="F2006" i="9"/>
  <c r="F2007" i="9"/>
  <c r="F2008" i="9"/>
  <c r="F2009" i="9"/>
  <c r="F2010" i="9"/>
  <c r="F2011" i="9"/>
  <c r="F2012" i="9"/>
  <c r="F2013" i="9"/>
  <c r="F2014" i="9"/>
  <c r="F2015" i="9"/>
  <c r="F2016" i="9"/>
  <c r="F2017" i="9"/>
  <c r="F2018" i="9"/>
  <c r="F2019" i="9"/>
  <c r="F2020" i="9"/>
  <c r="F2021" i="9"/>
  <c r="F2022" i="9"/>
  <c r="F2023" i="9"/>
  <c r="F2024" i="9"/>
  <c r="F2025" i="9"/>
  <c r="F2026" i="9"/>
  <c r="F2027" i="9"/>
  <c r="F2028" i="9"/>
  <c r="F2029" i="9"/>
  <c r="F2030" i="9"/>
  <c r="F2031" i="9"/>
  <c r="F2032" i="9"/>
  <c r="F2033" i="9"/>
  <c r="F2034" i="9"/>
  <c r="F2035" i="9"/>
  <c r="F2036" i="9"/>
  <c r="F2037" i="9"/>
  <c r="F2038" i="9"/>
  <c r="F2039" i="9"/>
  <c r="F2040" i="9"/>
  <c r="F2041" i="9"/>
  <c r="F2042" i="9"/>
  <c r="F2043" i="9"/>
  <c r="F2044" i="9"/>
  <c r="F2045" i="9"/>
  <c r="F2046" i="9"/>
  <c r="F2047" i="9"/>
  <c r="F2048" i="9"/>
  <c r="F2049" i="9"/>
  <c r="F2050" i="9"/>
  <c r="F2051" i="9"/>
  <c r="F2052" i="9"/>
  <c r="F2053" i="9"/>
  <c r="F2054" i="9"/>
  <c r="F2055" i="9"/>
  <c r="F2056" i="9"/>
  <c r="F2057" i="9"/>
  <c r="F2058" i="9"/>
  <c r="F2059" i="9"/>
  <c r="F2060" i="9"/>
  <c r="F2061" i="9"/>
  <c r="F2062" i="9"/>
  <c r="F2063" i="9"/>
  <c r="F2064" i="9"/>
  <c r="F2065" i="9"/>
  <c r="F2066" i="9"/>
  <c r="F2067" i="9"/>
  <c r="F2068" i="9"/>
  <c r="F2069" i="9"/>
  <c r="F2070" i="9"/>
  <c r="F2071" i="9"/>
  <c r="F2072" i="9"/>
  <c r="F2073" i="9"/>
  <c r="F2074" i="9"/>
  <c r="F2075" i="9"/>
  <c r="F2076" i="9"/>
  <c r="F2077" i="9"/>
  <c r="F2078" i="9"/>
  <c r="F2079" i="9"/>
  <c r="F2080" i="9"/>
  <c r="F2081" i="9"/>
  <c r="F2082" i="9"/>
  <c r="F2083" i="9"/>
  <c r="F2084" i="9"/>
  <c r="F2085" i="9"/>
  <c r="F2086" i="9"/>
  <c r="F2087" i="9"/>
  <c r="F2088" i="9"/>
  <c r="F2089" i="9"/>
  <c r="F2090" i="9"/>
  <c r="F2091" i="9"/>
  <c r="F2092" i="9"/>
  <c r="F2093" i="9"/>
  <c r="F2094" i="9"/>
  <c r="F2095" i="9"/>
  <c r="F2096" i="9"/>
  <c r="F2097" i="9"/>
  <c r="F2098" i="9"/>
  <c r="F2099" i="9"/>
  <c r="F2100" i="9"/>
  <c r="F2101" i="9"/>
  <c r="F2102" i="9"/>
  <c r="F2103" i="9"/>
  <c r="F2104" i="9"/>
  <c r="F2105" i="9"/>
  <c r="F2106" i="9"/>
  <c r="F2107" i="9"/>
  <c r="F2108" i="9"/>
  <c r="F2109" i="9"/>
  <c r="F2110" i="9"/>
  <c r="F2111" i="9"/>
  <c r="F2112" i="9"/>
  <c r="F2113" i="9"/>
  <c r="F2114" i="9"/>
  <c r="F2115" i="9"/>
  <c r="F2116" i="9"/>
  <c r="F2117" i="9"/>
  <c r="F2118" i="9"/>
  <c r="F2119" i="9"/>
  <c r="F2120" i="9"/>
  <c r="F2121" i="9"/>
  <c r="F2122" i="9"/>
  <c r="F2123" i="9"/>
  <c r="F2124" i="9"/>
  <c r="F2125" i="9"/>
  <c r="F2126" i="9"/>
  <c r="F2127" i="9"/>
  <c r="F2128" i="9"/>
  <c r="F2129" i="9"/>
  <c r="F2130" i="9"/>
  <c r="F2131" i="9"/>
  <c r="F2132" i="9"/>
  <c r="F2133" i="9"/>
  <c r="F2134" i="9"/>
  <c r="F2135" i="9"/>
  <c r="F2136" i="9"/>
  <c r="F2137" i="9"/>
  <c r="F2138" i="9"/>
  <c r="F2139" i="9"/>
  <c r="F2140" i="9"/>
  <c r="F2141" i="9"/>
  <c r="F2142" i="9"/>
  <c r="F2143" i="9"/>
  <c r="F2144" i="9"/>
  <c r="F2145" i="9"/>
  <c r="F2146" i="9"/>
  <c r="F2147" i="9"/>
  <c r="F2148" i="9"/>
  <c r="F2149" i="9"/>
  <c r="F2150" i="9"/>
  <c r="F2151" i="9"/>
  <c r="F2152" i="9"/>
  <c r="F2153" i="9"/>
  <c r="F2154" i="9"/>
  <c r="F2155" i="9"/>
  <c r="F2156" i="9"/>
  <c r="F2157" i="9"/>
  <c r="F2158" i="9"/>
  <c r="F2159" i="9"/>
  <c r="F2160" i="9"/>
  <c r="F2161" i="9"/>
  <c r="F2162" i="9"/>
  <c r="F2163" i="9"/>
  <c r="F2164" i="9"/>
  <c r="F2165" i="9"/>
  <c r="F2166" i="9"/>
  <c r="F2167" i="9"/>
  <c r="F2168" i="9"/>
  <c r="F2169" i="9"/>
  <c r="F2170" i="9"/>
  <c r="F2171" i="9"/>
  <c r="F2172" i="9"/>
  <c r="F2173" i="9"/>
  <c r="F2174" i="9"/>
  <c r="F2175" i="9"/>
  <c r="F2176" i="9"/>
  <c r="F2177" i="9"/>
  <c r="F2178" i="9"/>
  <c r="F2179" i="9"/>
  <c r="F2180" i="9"/>
  <c r="F2181" i="9"/>
  <c r="F2182" i="9"/>
  <c r="F2183" i="9"/>
  <c r="F2184" i="9"/>
  <c r="F2185" i="9"/>
  <c r="F2186" i="9"/>
  <c r="F2187" i="9"/>
  <c r="F2188" i="9"/>
  <c r="F2189" i="9"/>
  <c r="F2190" i="9"/>
  <c r="F2191" i="9"/>
  <c r="F2192" i="9"/>
  <c r="F2193" i="9"/>
  <c r="F2194" i="9"/>
  <c r="F2195" i="9"/>
  <c r="F2196" i="9"/>
  <c r="F2197" i="9"/>
  <c r="F2198" i="9"/>
  <c r="F2199" i="9"/>
  <c r="F2200" i="9"/>
  <c r="F2201" i="9"/>
  <c r="F2202" i="9"/>
  <c r="F2203" i="9"/>
  <c r="F2204" i="9"/>
  <c r="F2205" i="9"/>
  <c r="F2206" i="9"/>
  <c r="F2207" i="9"/>
  <c r="F2208" i="9"/>
  <c r="F2209" i="9"/>
  <c r="F2210" i="9"/>
  <c r="F2211" i="9"/>
  <c r="F2212" i="9"/>
  <c r="F2213" i="9"/>
  <c r="F2214" i="9"/>
  <c r="F2215" i="9"/>
  <c r="F2216" i="9"/>
  <c r="F2217" i="9"/>
  <c r="F2218" i="9"/>
  <c r="F2219" i="9"/>
  <c r="F2220" i="9"/>
  <c r="F2221" i="9"/>
  <c r="F2222" i="9"/>
  <c r="F2223" i="9"/>
  <c r="F2224" i="9"/>
  <c r="F2225" i="9"/>
  <c r="F2226" i="9"/>
  <c r="F2227" i="9"/>
  <c r="F2228" i="9"/>
  <c r="F2229" i="9"/>
  <c r="F2230" i="9"/>
  <c r="F2231" i="9"/>
  <c r="F2232" i="9"/>
  <c r="F2233" i="9"/>
  <c r="F2234" i="9"/>
  <c r="F2235" i="9"/>
  <c r="F2236" i="9"/>
  <c r="F2237" i="9"/>
  <c r="F2238" i="9"/>
  <c r="F2239" i="9"/>
  <c r="F2240" i="9"/>
  <c r="F2241" i="9"/>
  <c r="F2242" i="9"/>
  <c r="F2243" i="9"/>
  <c r="F2244" i="9"/>
  <c r="F2245" i="9"/>
  <c r="F2246" i="9"/>
  <c r="F2247" i="9"/>
  <c r="F2248" i="9"/>
  <c r="F2249" i="9"/>
  <c r="F2250" i="9"/>
  <c r="F2251" i="9"/>
  <c r="F2252" i="9"/>
  <c r="F2253" i="9"/>
  <c r="F2254" i="9"/>
  <c r="F2255" i="9"/>
  <c r="F2256" i="9"/>
  <c r="F2257" i="9"/>
  <c r="F2258" i="9"/>
  <c r="F2259" i="9"/>
  <c r="F2260" i="9"/>
  <c r="F2261" i="9"/>
  <c r="F2262" i="9"/>
  <c r="F2263" i="9"/>
  <c r="F2264" i="9"/>
  <c r="F2265" i="9"/>
  <c r="F2266" i="9"/>
  <c r="F2267" i="9"/>
  <c r="F2268" i="9"/>
  <c r="F2269" i="9"/>
  <c r="F2270" i="9"/>
  <c r="F2271" i="9"/>
  <c r="F2272" i="9"/>
  <c r="F2273" i="9"/>
  <c r="F2274" i="9"/>
  <c r="F2275" i="9"/>
  <c r="F2276" i="9"/>
  <c r="F2277" i="9"/>
  <c r="F2278" i="9"/>
  <c r="F2279" i="9"/>
  <c r="F2280" i="9"/>
  <c r="F2281" i="9"/>
  <c r="F2282" i="9"/>
  <c r="F2283" i="9"/>
  <c r="F2284" i="9"/>
  <c r="F2285" i="9"/>
  <c r="F2286" i="9"/>
  <c r="F2287" i="9"/>
  <c r="F2288" i="9"/>
  <c r="F2289" i="9"/>
  <c r="F2290" i="9"/>
  <c r="F2291" i="9"/>
  <c r="F2292" i="9"/>
  <c r="F2293" i="9"/>
  <c r="F2294" i="9"/>
  <c r="F2295" i="9"/>
  <c r="F2296" i="9"/>
  <c r="F2297" i="9"/>
  <c r="F2298" i="9"/>
  <c r="F2299" i="9"/>
  <c r="F2300" i="9"/>
  <c r="F2301" i="9"/>
  <c r="F2302" i="9"/>
  <c r="F2303" i="9"/>
  <c r="F2304" i="9"/>
  <c r="F2305" i="9"/>
  <c r="F2306" i="9"/>
  <c r="F2307" i="9"/>
  <c r="F2308" i="9"/>
  <c r="F2309" i="9"/>
  <c r="F2310" i="9"/>
  <c r="F2311" i="9"/>
  <c r="F2312" i="9"/>
  <c r="F2313" i="9"/>
  <c r="F2314" i="9"/>
  <c r="F2315" i="9"/>
  <c r="F2316" i="9"/>
  <c r="F2317" i="9"/>
  <c r="F2318" i="9"/>
  <c r="F2319" i="9"/>
  <c r="F2320" i="9"/>
  <c r="F2321" i="9"/>
  <c r="F2322" i="9"/>
  <c r="F2323" i="9"/>
  <c r="F2324" i="9"/>
  <c r="F2325" i="9"/>
  <c r="F2326" i="9"/>
  <c r="F2327" i="9"/>
  <c r="F2328" i="9"/>
  <c r="F2329" i="9"/>
  <c r="F2330" i="9"/>
  <c r="F2331" i="9"/>
  <c r="F2332" i="9"/>
  <c r="F2333" i="9"/>
  <c r="F2334" i="9"/>
  <c r="F2335" i="9"/>
  <c r="F2336" i="9"/>
  <c r="F2337" i="9"/>
  <c r="F2338" i="9"/>
  <c r="F2339" i="9"/>
  <c r="F2340" i="9"/>
  <c r="F2341" i="9"/>
  <c r="F2342" i="9"/>
  <c r="F2343" i="9"/>
  <c r="F2344" i="9"/>
  <c r="F2345" i="9"/>
  <c r="F2346" i="9"/>
  <c r="F2347" i="9"/>
  <c r="F2348" i="9"/>
  <c r="F2349" i="9"/>
  <c r="F2350" i="9"/>
  <c r="F2351" i="9"/>
  <c r="F2352" i="9"/>
  <c r="F2353" i="9"/>
  <c r="F2354" i="9"/>
  <c r="F2355" i="9"/>
  <c r="F2356" i="9"/>
  <c r="F2357" i="9"/>
  <c r="F2358" i="9"/>
  <c r="F2359" i="9"/>
  <c r="F2360" i="9"/>
  <c r="F2361" i="9"/>
  <c r="F2362" i="9"/>
  <c r="F2363" i="9"/>
  <c r="F2364" i="9"/>
  <c r="F2365" i="9"/>
  <c r="F2366" i="9"/>
  <c r="F2367" i="9"/>
  <c r="F2368" i="9"/>
  <c r="F2369" i="9"/>
  <c r="F2370" i="9"/>
  <c r="F2371" i="9"/>
  <c r="F2372" i="9"/>
  <c r="F2373" i="9"/>
  <c r="F2374" i="9"/>
  <c r="F2375" i="9"/>
  <c r="F2376" i="9"/>
  <c r="F2377" i="9"/>
  <c r="F2378" i="9"/>
  <c r="F2379" i="9"/>
  <c r="F2380" i="9"/>
  <c r="F2381" i="9"/>
  <c r="F2382" i="9"/>
  <c r="F2383" i="9"/>
  <c r="F2384" i="9"/>
  <c r="F2385" i="9"/>
  <c r="F2386" i="9"/>
  <c r="F2387" i="9"/>
  <c r="F2388" i="9"/>
  <c r="F2389" i="9"/>
  <c r="F2390" i="9"/>
  <c r="F2391" i="9"/>
  <c r="F2392" i="9"/>
  <c r="F2393" i="9"/>
  <c r="F2394" i="9"/>
  <c r="F2395" i="9"/>
  <c r="F2396" i="9"/>
  <c r="F2397" i="9"/>
  <c r="F2398" i="9"/>
  <c r="F2399" i="9"/>
  <c r="F2400" i="9"/>
  <c r="F2401" i="9"/>
  <c r="F2402" i="9"/>
  <c r="F2403" i="9"/>
  <c r="F2404" i="9"/>
  <c r="F2405" i="9"/>
  <c r="F2406" i="9"/>
  <c r="F2407" i="9"/>
  <c r="F2408" i="9"/>
  <c r="F2409" i="9"/>
  <c r="F2410" i="9"/>
  <c r="F2411" i="9"/>
  <c r="F2412" i="9"/>
  <c r="F2413" i="9"/>
  <c r="F2414" i="9"/>
  <c r="F2415" i="9"/>
  <c r="F2416" i="9"/>
  <c r="F2417" i="9"/>
  <c r="F2418" i="9"/>
  <c r="F2419" i="9"/>
  <c r="F2420" i="9"/>
  <c r="F2421" i="9"/>
  <c r="F2422" i="9"/>
  <c r="F2423" i="9"/>
  <c r="F2424" i="9"/>
  <c r="F2425" i="9"/>
  <c r="F2426" i="9"/>
  <c r="F2427" i="9"/>
  <c r="F2428" i="9"/>
  <c r="F2429" i="9"/>
  <c r="F2430" i="9"/>
  <c r="F2431" i="9"/>
  <c r="F2432" i="9"/>
  <c r="F2433" i="9"/>
  <c r="F2434" i="9"/>
  <c r="F2435" i="9"/>
  <c r="F2436" i="9"/>
  <c r="F2437" i="9"/>
  <c r="F2438" i="9"/>
  <c r="F2439" i="9"/>
  <c r="F2440" i="9"/>
  <c r="F2441" i="9"/>
  <c r="F2442" i="9"/>
  <c r="F2443" i="9"/>
  <c r="F2444" i="9"/>
  <c r="F2445" i="9"/>
  <c r="F2446" i="9"/>
  <c r="F2447" i="9"/>
  <c r="F2448" i="9"/>
  <c r="F2449" i="9"/>
  <c r="F2450" i="9"/>
  <c r="F2451" i="9"/>
  <c r="F2452" i="9"/>
  <c r="F2453" i="9"/>
  <c r="F2454" i="9"/>
  <c r="F2455" i="9"/>
  <c r="F2456" i="9"/>
  <c r="F2457" i="9"/>
  <c r="F2458" i="9"/>
  <c r="F2459" i="9"/>
  <c r="F2460" i="9"/>
  <c r="F2461" i="9"/>
  <c r="F2462" i="9"/>
  <c r="F2463" i="9"/>
  <c r="F2464" i="9"/>
  <c r="F2465" i="9"/>
  <c r="F2466" i="9"/>
  <c r="F2467" i="9"/>
  <c r="F2468" i="9"/>
  <c r="F2469" i="9"/>
  <c r="F2470" i="9"/>
  <c r="F2471" i="9"/>
  <c r="F2472" i="9"/>
  <c r="F2473" i="9"/>
  <c r="F2474" i="9"/>
  <c r="F2475" i="9"/>
  <c r="F2476" i="9"/>
  <c r="F2477" i="9"/>
  <c r="F2478" i="9"/>
  <c r="F2479" i="9"/>
  <c r="F2480" i="9"/>
  <c r="F2481" i="9"/>
  <c r="F2482" i="9"/>
  <c r="F2483" i="9"/>
  <c r="F2484" i="9"/>
  <c r="F2485" i="9"/>
  <c r="F2486" i="9"/>
  <c r="F2487" i="9"/>
  <c r="F2488" i="9"/>
  <c r="F2489" i="9"/>
  <c r="F2490" i="9"/>
  <c r="F2491" i="9"/>
  <c r="F2492" i="9"/>
  <c r="F2493" i="9"/>
  <c r="F2494" i="9"/>
  <c r="F2495" i="9"/>
  <c r="F2496" i="9"/>
  <c r="F2497" i="9"/>
  <c r="F2498" i="9"/>
  <c r="F2499" i="9"/>
  <c r="F2500" i="9"/>
  <c r="F2501" i="9"/>
  <c r="F2502" i="9"/>
  <c r="F2503" i="9"/>
  <c r="F2504" i="9"/>
  <c r="F2505" i="9"/>
  <c r="F2506" i="9"/>
  <c r="F2507" i="9"/>
  <c r="F2508" i="9"/>
  <c r="F2509" i="9"/>
  <c r="F2510" i="9"/>
  <c r="F2511" i="9"/>
  <c r="F2512" i="9"/>
  <c r="F2513" i="9"/>
  <c r="F2514" i="9"/>
  <c r="F2515" i="9"/>
  <c r="F2516" i="9"/>
  <c r="F2517" i="9"/>
  <c r="F2518" i="9"/>
  <c r="F2519" i="9"/>
  <c r="F2520" i="9"/>
  <c r="F2521" i="9"/>
  <c r="F2522" i="9"/>
  <c r="F2523" i="9"/>
  <c r="F2524" i="9"/>
  <c r="F2525" i="9"/>
  <c r="F2526" i="9"/>
  <c r="F2527" i="9"/>
  <c r="F2528" i="9"/>
  <c r="F2529" i="9"/>
  <c r="F2530" i="9"/>
  <c r="F2531" i="9"/>
  <c r="F2532" i="9"/>
  <c r="F2533" i="9"/>
  <c r="F2534" i="9"/>
  <c r="F2535" i="9"/>
  <c r="F2536" i="9"/>
  <c r="F2537" i="9"/>
  <c r="F2538" i="9"/>
  <c r="F2539" i="9"/>
  <c r="F2540" i="9"/>
  <c r="F2541" i="9"/>
  <c r="F2542" i="9"/>
  <c r="F2543" i="9"/>
  <c r="F2544" i="9"/>
  <c r="F2545" i="9"/>
  <c r="F2546" i="9"/>
  <c r="F2547" i="9"/>
  <c r="F2548" i="9"/>
  <c r="F2549" i="9"/>
  <c r="F2550" i="9"/>
  <c r="F2551" i="9"/>
  <c r="F2552" i="9"/>
  <c r="F2553" i="9"/>
  <c r="F2554" i="9"/>
  <c r="F2555" i="9"/>
  <c r="F2556" i="9"/>
  <c r="F2557" i="9"/>
  <c r="F2558" i="9"/>
  <c r="F2559" i="9"/>
  <c r="F2560" i="9"/>
  <c r="F2561" i="9"/>
  <c r="F2562" i="9"/>
  <c r="F2563" i="9"/>
  <c r="F2564" i="9"/>
  <c r="F2565" i="9"/>
  <c r="F2566" i="9"/>
  <c r="F2567" i="9"/>
  <c r="F2568" i="9"/>
  <c r="F2569" i="9"/>
  <c r="F2570" i="9"/>
  <c r="F2571" i="9"/>
  <c r="F2572" i="9"/>
  <c r="F2573" i="9"/>
  <c r="F2574" i="9"/>
  <c r="F2575" i="9"/>
  <c r="F2576" i="9"/>
  <c r="F2577" i="9"/>
  <c r="F2578" i="9"/>
  <c r="F2579" i="9"/>
  <c r="F2580" i="9"/>
  <c r="F2581" i="9"/>
  <c r="F2582" i="9"/>
  <c r="F2583" i="9"/>
  <c r="F2584" i="9"/>
  <c r="F2585" i="9"/>
  <c r="F2586" i="9"/>
  <c r="F2587" i="9"/>
  <c r="F2588" i="9"/>
  <c r="F2589" i="9"/>
  <c r="F2590" i="9"/>
  <c r="F2591" i="9"/>
  <c r="F2592" i="9"/>
  <c r="F2593" i="9"/>
  <c r="F2594" i="9"/>
  <c r="F2595" i="9"/>
  <c r="F2596" i="9"/>
  <c r="F2597" i="9"/>
  <c r="F2598" i="9"/>
  <c r="F2599" i="9"/>
  <c r="F2600" i="9"/>
  <c r="F2601" i="9"/>
  <c r="F2602" i="9"/>
  <c r="F2603" i="9"/>
  <c r="F2604" i="9"/>
  <c r="F2605" i="9"/>
  <c r="F2606" i="9"/>
  <c r="F2607" i="9"/>
  <c r="F2608" i="9"/>
  <c r="F2609" i="9"/>
  <c r="F2610" i="9"/>
  <c r="F2611" i="9"/>
  <c r="F2612" i="9"/>
  <c r="F2613" i="9"/>
  <c r="F2614" i="9"/>
  <c r="F2615" i="9"/>
  <c r="F2616" i="9"/>
  <c r="F2617" i="9"/>
  <c r="F2618" i="9"/>
  <c r="F2619" i="9"/>
  <c r="F2620" i="9"/>
  <c r="F2621" i="9"/>
  <c r="F2622" i="9"/>
  <c r="F2623" i="9"/>
  <c r="F2624" i="9"/>
  <c r="F2625" i="9"/>
  <c r="F2626" i="9"/>
  <c r="F2627" i="9"/>
  <c r="F2628" i="9"/>
  <c r="F2629" i="9"/>
  <c r="F2630" i="9"/>
  <c r="F2631" i="9"/>
  <c r="F2632" i="9"/>
  <c r="F2633" i="9"/>
  <c r="F2634" i="9"/>
  <c r="F2635" i="9"/>
  <c r="F2636" i="9"/>
  <c r="F2637" i="9"/>
  <c r="F2638" i="9"/>
  <c r="F2639" i="9"/>
  <c r="F2640" i="9"/>
  <c r="F2641" i="9"/>
  <c r="F2642" i="9"/>
  <c r="F2643" i="9"/>
  <c r="F2644" i="9"/>
  <c r="F2645" i="9"/>
  <c r="F2646" i="9"/>
  <c r="F2647" i="9"/>
  <c r="F2648" i="9"/>
  <c r="F2649" i="9"/>
  <c r="F2650" i="9"/>
  <c r="F2651" i="9"/>
  <c r="F2652" i="9"/>
  <c r="F2653" i="9"/>
  <c r="F2654" i="9"/>
  <c r="F2655" i="9"/>
  <c r="F2656" i="9"/>
  <c r="F2657" i="9"/>
  <c r="F2658" i="9"/>
  <c r="F2659" i="9"/>
  <c r="F2660" i="9"/>
  <c r="F2661" i="9"/>
  <c r="F2662" i="9"/>
  <c r="F2663" i="9"/>
  <c r="F2664" i="9"/>
  <c r="F2665" i="9"/>
  <c r="F2666" i="9"/>
  <c r="F2667" i="9"/>
  <c r="F2668" i="9"/>
  <c r="F2669" i="9"/>
  <c r="F2670" i="9"/>
  <c r="F2671" i="9"/>
  <c r="F2672" i="9"/>
  <c r="F2673" i="9"/>
  <c r="F2674" i="9"/>
  <c r="F2675" i="9"/>
  <c r="F2676" i="9"/>
  <c r="F2677" i="9"/>
  <c r="F2678" i="9"/>
  <c r="F2679" i="9"/>
  <c r="F2680" i="9"/>
  <c r="F2681" i="9"/>
  <c r="F2682" i="9"/>
  <c r="F2683" i="9"/>
  <c r="F2684" i="9"/>
  <c r="F2685" i="9"/>
  <c r="F2686" i="9"/>
  <c r="F2687" i="9"/>
  <c r="F2688" i="9"/>
  <c r="F2689" i="9"/>
  <c r="F2690" i="9"/>
  <c r="F2691" i="9"/>
  <c r="F2692" i="9"/>
  <c r="F2693" i="9"/>
  <c r="F2694" i="9"/>
  <c r="F2695" i="9"/>
  <c r="F2696" i="9"/>
  <c r="F2697" i="9"/>
  <c r="F2698" i="9"/>
  <c r="F2699" i="9"/>
  <c r="F2700" i="9"/>
  <c r="F2701" i="9"/>
  <c r="F2702" i="9"/>
  <c r="F2703" i="9"/>
  <c r="F2704" i="9"/>
  <c r="F2705" i="9"/>
  <c r="F2706" i="9"/>
  <c r="F2707" i="9"/>
  <c r="F2708" i="9"/>
  <c r="F2709" i="9"/>
  <c r="F2710" i="9"/>
  <c r="F2711" i="9"/>
  <c r="F2712" i="9"/>
  <c r="F2713" i="9"/>
  <c r="F2714" i="9"/>
  <c r="F2715" i="9"/>
  <c r="F2716" i="9"/>
  <c r="F2717" i="9"/>
  <c r="F2718" i="9"/>
  <c r="F2719" i="9"/>
  <c r="F2720" i="9"/>
  <c r="F2721" i="9"/>
  <c r="F2722" i="9"/>
  <c r="F2723" i="9"/>
  <c r="F2724" i="9"/>
  <c r="F2725" i="9"/>
  <c r="F2726" i="9"/>
  <c r="F2727" i="9"/>
  <c r="F2728" i="9"/>
  <c r="F2729" i="9"/>
  <c r="F2730" i="9"/>
  <c r="F2731" i="9"/>
  <c r="F2732" i="9"/>
  <c r="F2733" i="9"/>
  <c r="F2734" i="9"/>
  <c r="F2735" i="9"/>
  <c r="F2736" i="9"/>
  <c r="F2737" i="9"/>
  <c r="F2738" i="9"/>
  <c r="F2739" i="9"/>
  <c r="F2740" i="9"/>
  <c r="F2741" i="9"/>
  <c r="F2742" i="9"/>
  <c r="F2743" i="9"/>
  <c r="F2744" i="9"/>
  <c r="F2745" i="9"/>
  <c r="F2746" i="9"/>
  <c r="F2747" i="9"/>
  <c r="F2748" i="9"/>
  <c r="F2749" i="9"/>
  <c r="F2750" i="9"/>
  <c r="F2751" i="9"/>
  <c r="F2752" i="9"/>
  <c r="F2753" i="9"/>
  <c r="F2754" i="9"/>
  <c r="F2755" i="9"/>
  <c r="F2756" i="9"/>
  <c r="F2757" i="9"/>
  <c r="F2758" i="9"/>
  <c r="F2759" i="9"/>
  <c r="F2760" i="9"/>
  <c r="F2761" i="9"/>
  <c r="F2762" i="9"/>
  <c r="F2763" i="9"/>
  <c r="F2764" i="9"/>
  <c r="F2765" i="9"/>
  <c r="F2766" i="9"/>
  <c r="F2767" i="9"/>
  <c r="F2768" i="9"/>
  <c r="F2769" i="9"/>
  <c r="F2770" i="9"/>
  <c r="F2771" i="9"/>
  <c r="F2772" i="9"/>
  <c r="F2773" i="9"/>
  <c r="F2774" i="9"/>
  <c r="F2775" i="9"/>
  <c r="F2776" i="9"/>
  <c r="F2777" i="9"/>
  <c r="F2778" i="9"/>
  <c r="F2779" i="9"/>
  <c r="F2780" i="9"/>
  <c r="F2781" i="9"/>
  <c r="F2782" i="9"/>
  <c r="F2783" i="9"/>
  <c r="F2784" i="9"/>
  <c r="F2785" i="9"/>
  <c r="F2786" i="9"/>
  <c r="F2787" i="9"/>
  <c r="F2788" i="9"/>
  <c r="F2789" i="9"/>
  <c r="F2790" i="9"/>
  <c r="F2791" i="9"/>
  <c r="F2792" i="9"/>
  <c r="F2793" i="9"/>
  <c r="F2794" i="9"/>
  <c r="F2795" i="9"/>
  <c r="F2796" i="9"/>
  <c r="F2797" i="9"/>
  <c r="F2798" i="9"/>
  <c r="F2799" i="9"/>
  <c r="F2800" i="9"/>
  <c r="F2801" i="9"/>
  <c r="F2802" i="9"/>
  <c r="F2803" i="9"/>
  <c r="F2804" i="9"/>
  <c r="F2805" i="9"/>
  <c r="F2806" i="9"/>
  <c r="F2807" i="9"/>
  <c r="F2808" i="9"/>
  <c r="F2809" i="9"/>
  <c r="F2810" i="9"/>
  <c r="F2811" i="9"/>
  <c r="F2812" i="9"/>
  <c r="F2813" i="9"/>
  <c r="F2814" i="9"/>
  <c r="F2815" i="9"/>
  <c r="F2816" i="9"/>
  <c r="F2817" i="9"/>
  <c r="F2818" i="9"/>
  <c r="F2819" i="9"/>
  <c r="F2820" i="9"/>
  <c r="F2821" i="9"/>
  <c r="F2822" i="9"/>
  <c r="F2823" i="9"/>
  <c r="F2824" i="9"/>
  <c r="F2825" i="9"/>
  <c r="F2826" i="9"/>
  <c r="F2827" i="9"/>
  <c r="F2828" i="9"/>
  <c r="F2829" i="9"/>
  <c r="F2830" i="9"/>
  <c r="F2831" i="9"/>
  <c r="F2832" i="9"/>
  <c r="F2833" i="9"/>
  <c r="F2834" i="9"/>
  <c r="F2835" i="9"/>
  <c r="F2836" i="9"/>
  <c r="F2837" i="9"/>
  <c r="F2838" i="9"/>
  <c r="F2839" i="9"/>
  <c r="F2840" i="9"/>
  <c r="F2841" i="9"/>
  <c r="F2842" i="9"/>
  <c r="F2843" i="9"/>
  <c r="F2844" i="9"/>
  <c r="F2845" i="9"/>
  <c r="F2846" i="9"/>
  <c r="F2847" i="9"/>
  <c r="F2848" i="9"/>
  <c r="F2849" i="9"/>
  <c r="F2850" i="9"/>
  <c r="F2851" i="9"/>
  <c r="F2852" i="9"/>
  <c r="F2853" i="9"/>
  <c r="F2854" i="9"/>
  <c r="F2855" i="9"/>
  <c r="F2856" i="9"/>
  <c r="F2857" i="9"/>
  <c r="F2858" i="9"/>
  <c r="F2859" i="9"/>
  <c r="F2860" i="9"/>
  <c r="F2861" i="9"/>
  <c r="F2862" i="9"/>
  <c r="F2863" i="9"/>
  <c r="F2864" i="9"/>
  <c r="F2865" i="9"/>
  <c r="F2866" i="9"/>
  <c r="F2867" i="9"/>
  <c r="F2868" i="9"/>
  <c r="F2869" i="9"/>
  <c r="F2870" i="9"/>
  <c r="F2871" i="9"/>
  <c r="F2872" i="9"/>
  <c r="F2873" i="9"/>
  <c r="F2874" i="9"/>
  <c r="F2875" i="9"/>
  <c r="F2876" i="9"/>
  <c r="F2877" i="9"/>
  <c r="F2878" i="9"/>
  <c r="F2879" i="9"/>
  <c r="F2880" i="9"/>
  <c r="F2881" i="9"/>
  <c r="F2882" i="9"/>
  <c r="F2883" i="9"/>
  <c r="F2884" i="9"/>
  <c r="F2885" i="9"/>
  <c r="F2886" i="9"/>
  <c r="F2887" i="9"/>
  <c r="F2888" i="9"/>
  <c r="F2889" i="9"/>
  <c r="F2890" i="9"/>
  <c r="F2891" i="9"/>
  <c r="F2892" i="9"/>
  <c r="F2893" i="9"/>
  <c r="F2894" i="9"/>
  <c r="F2895" i="9"/>
  <c r="F2896" i="9"/>
  <c r="F2897" i="9"/>
  <c r="F2898" i="9"/>
  <c r="F2899" i="9"/>
  <c r="F2900" i="9"/>
  <c r="F2901" i="9"/>
  <c r="F2902" i="9"/>
  <c r="F2903" i="9"/>
  <c r="F2904" i="9"/>
  <c r="F2905" i="9"/>
  <c r="F2906" i="9"/>
  <c r="F2907" i="9"/>
  <c r="F2908" i="9"/>
  <c r="F2909" i="9"/>
  <c r="F2910" i="9"/>
  <c r="F2911" i="9"/>
  <c r="F2912" i="9"/>
  <c r="F2913" i="9"/>
  <c r="F2914" i="9"/>
  <c r="F2915" i="9"/>
  <c r="F2916" i="9"/>
  <c r="F2917" i="9"/>
  <c r="F2918" i="9"/>
  <c r="F2919" i="9"/>
  <c r="F2920" i="9"/>
  <c r="F2921" i="9"/>
  <c r="F2922" i="9"/>
  <c r="F2923" i="9"/>
  <c r="F2924" i="9"/>
  <c r="F2925" i="9"/>
  <c r="F2926" i="9"/>
  <c r="F2927" i="9"/>
  <c r="F2928" i="9"/>
  <c r="F2929" i="9"/>
  <c r="F2930" i="9"/>
  <c r="F2931" i="9"/>
  <c r="F2932" i="9"/>
  <c r="F2933" i="9"/>
  <c r="F2934" i="9"/>
  <c r="F2935" i="9"/>
  <c r="F2936" i="9"/>
  <c r="F2937" i="9"/>
  <c r="F2938" i="9"/>
  <c r="F2939" i="9"/>
  <c r="F2940" i="9"/>
  <c r="F2941" i="9"/>
  <c r="F2942" i="9"/>
  <c r="F2943" i="9"/>
  <c r="F2944" i="9"/>
  <c r="F2945" i="9"/>
  <c r="F2946" i="9"/>
  <c r="F2947" i="9"/>
  <c r="F2948" i="9"/>
  <c r="F2949" i="9"/>
  <c r="F2950" i="9"/>
  <c r="F2951" i="9"/>
  <c r="F2952" i="9"/>
  <c r="F2953" i="9"/>
  <c r="F2954" i="9"/>
  <c r="F2955" i="9"/>
  <c r="F2956" i="9"/>
  <c r="F2957" i="9"/>
  <c r="F2958" i="9"/>
  <c r="F2959" i="9"/>
  <c r="F2960" i="9"/>
  <c r="F2961" i="9"/>
  <c r="F2962" i="9"/>
  <c r="F2963" i="9"/>
  <c r="F2964" i="9"/>
  <c r="F2965" i="9"/>
  <c r="F2966" i="9"/>
  <c r="F2967" i="9"/>
  <c r="F2968" i="9"/>
  <c r="F2969" i="9"/>
  <c r="F2970" i="9"/>
  <c r="F2971" i="9"/>
  <c r="F2972" i="9"/>
  <c r="F2973" i="9"/>
  <c r="F2974" i="9"/>
  <c r="F2975" i="9"/>
  <c r="F2976" i="9"/>
  <c r="F2977" i="9"/>
  <c r="F2978" i="9"/>
  <c r="F2979" i="9"/>
  <c r="F2980" i="9"/>
  <c r="F2981" i="9"/>
  <c r="F2982" i="9"/>
  <c r="F2983" i="9"/>
  <c r="F2984" i="9"/>
  <c r="F2985" i="9"/>
  <c r="F2986" i="9"/>
  <c r="F2987" i="9"/>
  <c r="F2988" i="9"/>
  <c r="F2989" i="9"/>
  <c r="F2990" i="9"/>
  <c r="F2991" i="9"/>
  <c r="F2992" i="9"/>
  <c r="F2993" i="9"/>
  <c r="F2994" i="9"/>
  <c r="F2995" i="9"/>
  <c r="F2996" i="9"/>
  <c r="F2997" i="9"/>
  <c r="F2998" i="9"/>
  <c r="F2999" i="9"/>
  <c r="F3000" i="9"/>
  <c r="F3001" i="9"/>
  <c r="F3002" i="9"/>
  <c r="F3003" i="9"/>
  <c r="F3004" i="9"/>
  <c r="F3005" i="9"/>
  <c r="F3006" i="9"/>
  <c r="F3007" i="9"/>
  <c r="F3008" i="9"/>
  <c r="F3009" i="9"/>
  <c r="F3010" i="9"/>
  <c r="F3011" i="9"/>
  <c r="F3012" i="9"/>
  <c r="F3013" i="9"/>
  <c r="F3014" i="9"/>
  <c r="F3015" i="9"/>
  <c r="F3016" i="9"/>
  <c r="F3017" i="9"/>
  <c r="F3018" i="9"/>
  <c r="F3019" i="9"/>
  <c r="F3020" i="9"/>
  <c r="F3021" i="9"/>
  <c r="F3022" i="9"/>
  <c r="F3023" i="9"/>
  <c r="F3024" i="9"/>
  <c r="F3025" i="9"/>
  <c r="F3026" i="9"/>
  <c r="F3027" i="9"/>
  <c r="F3028" i="9"/>
  <c r="F3029" i="9"/>
  <c r="F3030" i="9"/>
  <c r="F3031" i="9"/>
  <c r="F3032" i="9"/>
  <c r="F3033" i="9"/>
  <c r="F3034" i="9"/>
  <c r="F3035" i="9"/>
  <c r="F3036" i="9"/>
  <c r="F3037" i="9"/>
  <c r="F3038" i="9"/>
  <c r="F3039" i="9"/>
  <c r="F3040" i="9"/>
  <c r="F3041" i="9"/>
  <c r="F3042" i="9"/>
  <c r="F3043" i="9"/>
  <c r="F3044" i="9"/>
  <c r="F3045" i="9"/>
  <c r="F3046" i="9"/>
  <c r="F3047" i="9"/>
  <c r="F3048" i="9"/>
  <c r="F3049" i="9"/>
  <c r="F3050" i="9"/>
  <c r="F3051" i="9"/>
  <c r="F3052" i="9"/>
  <c r="F3053" i="9"/>
  <c r="F3054" i="9"/>
  <c r="F3055" i="9"/>
  <c r="F3056" i="9"/>
  <c r="F3057" i="9"/>
  <c r="F3058" i="9"/>
  <c r="F3059" i="9"/>
  <c r="F3060" i="9"/>
  <c r="F3061" i="9"/>
  <c r="F3062" i="9"/>
  <c r="F3063" i="9"/>
  <c r="F3064" i="9"/>
  <c r="F3065" i="9"/>
  <c r="F3066" i="9"/>
  <c r="F3067" i="9"/>
  <c r="F3068" i="9"/>
  <c r="F3069" i="9"/>
  <c r="F3070" i="9"/>
  <c r="F3071" i="9"/>
  <c r="F3072" i="9"/>
  <c r="F3073" i="9"/>
  <c r="F3074" i="9"/>
  <c r="F3075" i="9"/>
  <c r="F3076" i="9"/>
  <c r="F3077" i="9"/>
  <c r="F3078" i="9"/>
  <c r="F3079" i="9"/>
  <c r="F3080" i="9"/>
  <c r="F3081" i="9"/>
  <c r="F3082" i="9"/>
  <c r="F3083" i="9"/>
  <c r="F3084" i="9"/>
  <c r="F3085" i="9"/>
  <c r="F3086" i="9"/>
  <c r="F3087" i="9"/>
  <c r="F3088" i="9"/>
  <c r="F3089" i="9"/>
  <c r="F3090" i="9"/>
  <c r="F3091" i="9"/>
  <c r="F3092" i="9"/>
  <c r="F3093" i="9"/>
  <c r="F3094" i="9"/>
  <c r="F3095" i="9"/>
  <c r="F3096" i="9"/>
  <c r="F3097" i="9"/>
  <c r="F3098" i="9"/>
  <c r="F3099" i="9"/>
  <c r="F3100" i="9"/>
  <c r="F3101" i="9"/>
  <c r="F3102" i="9"/>
  <c r="F3103" i="9"/>
  <c r="F3104" i="9"/>
  <c r="F3105" i="9"/>
  <c r="F3106" i="9"/>
  <c r="F3107" i="9"/>
  <c r="F3108" i="9"/>
  <c r="F3109" i="9"/>
  <c r="F3110" i="9"/>
  <c r="F3111" i="9"/>
  <c r="F3112" i="9"/>
  <c r="F3113" i="9"/>
  <c r="F3114" i="9"/>
  <c r="F3115" i="9"/>
  <c r="F3116" i="9"/>
  <c r="F3117" i="9"/>
  <c r="F3118" i="9"/>
  <c r="F3119" i="9"/>
  <c r="F3120" i="9"/>
  <c r="F3121" i="9"/>
  <c r="F3122" i="9"/>
  <c r="F3123" i="9"/>
  <c r="F3124" i="9"/>
  <c r="F3125" i="9"/>
  <c r="F3126" i="9"/>
  <c r="F3127" i="9"/>
  <c r="F3128" i="9"/>
  <c r="F3129" i="9"/>
  <c r="F3130" i="9"/>
  <c r="F3131" i="9"/>
  <c r="F3132" i="9"/>
  <c r="F3133" i="9"/>
  <c r="F3134" i="9"/>
  <c r="F3135" i="9"/>
  <c r="F3136" i="9"/>
  <c r="F3137" i="9"/>
  <c r="F3138" i="9"/>
  <c r="F3139" i="9"/>
  <c r="F3140" i="9"/>
  <c r="F3141" i="9"/>
  <c r="F3142" i="9"/>
  <c r="F3143" i="9"/>
  <c r="F3144" i="9"/>
  <c r="F3145" i="9"/>
  <c r="F3146" i="9"/>
  <c r="F3147" i="9"/>
  <c r="F3148" i="9"/>
  <c r="F3149" i="9"/>
  <c r="F3150" i="9"/>
  <c r="F3151" i="9"/>
  <c r="F3152" i="9"/>
  <c r="F3153" i="9"/>
  <c r="F3154" i="9"/>
  <c r="F3155" i="9"/>
  <c r="F3156" i="9"/>
  <c r="F3157" i="9"/>
  <c r="F3158" i="9"/>
  <c r="F3159" i="9"/>
  <c r="F3160" i="9"/>
  <c r="F3161" i="9"/>
  <c r="F3162" i="9"/>
  <c r="F3163" i="9"/>
  <c r="F3164" i="9"/>
  <c r="F3165" i="9"/>
  <c r="F3166" i="9"/>
  <c r="F3167" i="9"/>
  <c r="F3168" i="9"/>
  <c r="F3169" i="9"/>
  <c r="F3170" i="9"/>
  <c r="F3171" i="9"/>
  <c r="F3172" i="9"/>
  <c r="F3173" i="9"/>
  <c r="F3174" i="9"/>
  <c r="F3175" i="9"/>
  <c r="F3176" i="9"/>
  <c r="F3177" i="9"/>
  <c r="F3178" i="9"/>
  <c r="F3179" i="9"/>
  <c r="F3180" i="9"/>
  <c r="F3181" i="9"/>
  <c r="F3182" i="9"/>
  <c r="F3183" i="9"/>
  <c r="F3184" i="9"/>
  <c r="F3185" i="9"/>
  <c r="F3186" i="9"/>
  <c r="F3187" i="9"/>
  <c r="F3188" i="9"/>
  <c r="F3189" i="9"/>
  <c r="F3190" i="9"/>
  <c r="F3191" i="9"/>
  <c r="F3192" i="9"/>
  <c r="F3193" i="9"/>
  <c r="F3194" i="9"/>
  <c r="F3195" i="9"/>
  <c r="F3196" i="9"/>
  <c r="F3197" i="9"/>
  <c r="F3198" i="9"/>
  <c r="F3199" i="9"/>
  <c r="F3200" i="9"/>
  <c r="F3201" i="9"/>
  <c r="F3202" i="9"/>
  <c r="F3203" i="9"/>
  <c r="F3204" i="9"/>
  <c r="F3205" i="9"/>
  <c r="F3206" i="9"/>
  <c r="F3207" i="9"/>
  <c r="F3208" i="9"/>
  <c r="F3209" i="9"/>
  <c r="F3210" i="9"/>
  <c r="F3211" i="9"/>
  <c r="F3212" i="9"/>
  <c r="F3213" i="9"/>
  <c r="F3214" i="9"/>
  <c r="F3215" i="9"/>
  <c r="F3216" i="9"/>
  <c r="F3217" i="9"/>
  <c r="F3218" i="9"/>
  <c r="F3219" i="9"/>
  <c r="F3220" i="9"/>
  <c r="F3221" i="9"/>
  <c r="F3222" i="9"/>
  <c r="F3223" i="9"/>
  <c r="F3224" i="9"/>
  <c r="F3225" i="9"/>
  <c r="F3226" i="9"/>
  <c r="F3227" i="9"/>
  <c r="F3228" i="9"/>
  <c r="F3229" i="9"/>
  <c r="F3230" i="9"/>
  <c r="F3231" i="9"/>
  <c r="F3232" i="9"/>
  <c r="F3233" i="9"/>
  <c r="F3234" i="9"/>
  <c r="F3235" i="9"/>
  <c r="F3236" i="9"/>
  <c r="F3237" i="9"/>
  <c r="F3238" i="9"/>
  <c r="F3239" i="9"/>
  <c r="F3240" i="9"/>
  <c r="F3241" i="9"/>
  <c r="F3242" i="9"/>
  <c r="F3243" i="9"/>
  <c r="F3244" i="9"/>
  <c r="F3245" i="9"/>
  <c r="F3246" i="9"/>
  <c r="F3247" i="9"/>
  <c r="F3248" i="9"/>
  <c r="F3249" i="9"/>
  <c r="F3250" i="9"/>
  <c r="F3251" i="9"/>
  <c r="F3252" i="9"/>
  <c r="F3253" i="9"/>
  <c r="F3254" i="9"/>
  <c r="F3255" i="9"/>
  <c r="F3256" i="9"/>
  <c r="F3257" i="9"/>
  <c r="F3258" i="9"/>
  <c r="F3259" i="9"/>
  <c r="F3260" i="9"/>
  <c r="F3261" i="9"/>
  <c r="F3262" i="9"/>
  <c r="F3263" i="9"/>
  <c r="F3264" i="9"/>
  <c r="F3265" i="9"/>
  <c r="F3266" i="9"/>
  <c r="F3267" i="9"/>
  <c r="F3268" i="9"/>
  <c r="F3269" i="9"/>
  <c r="F3270" i="9"/>
  <c r="F3271" i="9"/>
  <c r="F3272" i="9"/>
  <c r="F3273" i="9"/>
  <c r="F3274" i="9"/>
  <c r="F3275" i="9"/>
  <c r="F3276" i="9"/>
  <c r="F3277" i="9"/>
  <c r="F3278" i="9"/>
  <c r="F3279" i="9"/>
  <c r="F3280" i="9"/>
  <c r="F3281" i="9"/>
  <c r="F3282" i="9"/>
  <c r="F3283" i="9"/>
  <c r="F3284" i="9"/>
  <c r="F3285" i="9"/>
  <c r="F3286" i="9"/>
  <c r="F3287" i="9"/>
  <c r="F3288" i="9"/>
  <c r="F3289" i="9"/>
  <c r="F3290" i="9"/>
  <c r="F3291" i="9"/>
  <c r="F3292" i="9"/>
  <c r="F3293" i="9"/>
  <c r="F3294" i="9"/>
  <c r="F3295" i="9"/>
  <c r="F3296" i="9"/>
  <c r="F3297" i="9"/>
  <c r="F3298" i="9"/>
  <c r="F3299" i="9"/>
  <c r="F3300" i="9"/>
  <c r="F3301" i="9"/>
  <c r="F3302" i="9"/>
  <c r="F3303" i="9"/>
  <c r="F3304" i="9"/>
  <c r="F3305" i="9"/>
  <c r="F3306" i="9"/>
  <c r="F3307" i="9"/>
  <c r="F3308" i="9"/>
  <c r="F3309" i="9"/>
  <c r="F3310" i="9"/>
  <c r="F3311" i="9"/>
  <c r="F3312" i="9"/>
  <c r="F3313" i="9"/>
  <c r="F3314" i="9"/>
  <c r="F3315" i="9"/>
  <c r="F3316" i="9"/>
  <c r="F3317" i="9"/>
  <c r="F3318" i="9"/>
  <c r="F3319" i="9"/>
  <c r="F3320" i="9"/>
  <c r="F3321" i="9"/>
  <c r="F3322" i="9"/>
  <c r="F3323" i="9"/>
  <c r="F3324" i="9"/>
  <c r="F3325" i="9"/>
  <c r="F3326" i="9"/>
  <c r="F3327" i="9"/>
  <c r="F3328" i="9"/>
  <c r="F3329" i="9"/>
  <c r="F3330" i="9"/>
  <c r="F3331" i="9"/>
  <c r="F3332" i="9"/>
  <c r="F3333" i="9"/>
  <c r="F3334" i="9"/>
  <c r="F3335" i="9"/>
  <c r="F3336" i="9"/>
  <c r="F3337" i="9"/>
  <c r="F3338" i="9"/>
  <c r="F3339" i="9"/>
  <c r="F3340" i="9"/>
  <c r="F3341" i="9"/>
  <c r="F3342" i="9"/>
  <c r="F3343" i="9"/>
  <c r="F3344" i="9"/>
  <c r="F3345" i="9"/>
  <c r="F3346" i="9"/>
  <c r="F3347" i="9"/>
  <c r="F3348" i="9"/>
  <c r="F3349" i="9"/>
  <c r="F3350" i="9"/>
  <c r="F3351" i="9"/>
  <c r="F3352" i="9"/>
  <c r="F3353" i="9"/>
  <c r="F3354" i="9"/>
  <c r="F3355" i="9"/>
  <c r="F3356" i="9"/>
  <c r="F3357" i="9"/>
  <c r="F3358" i="9"/>
  <c r="F3359" i="9"/>
  <c r="F3360" i="9"/>
  <c r="F3361" i="9"/>
  <c r="F3362" i="9"/>
  <c r="F3363" i="9"/>
  <c r="F3364" i="9"/>
  <c r="F3365" i="9"/>
  <c r="F3366" i="9"/>
  <c r="F3367" i="9"/>
  <c r="F3368" i="9"/>
  <c r="F3369" i="9"/>
  <c r="F3370" i="9"/>
  <c r="F3371" i="9"/>
  <c r="F3372" i="9"/>
  <c r="F3373" i="9"/>
  <c r="F3374" i="9"/>
  <c r="F3375" i="9"/>
  <c r="F3376" i="9"/>
  <c r="F3377" i="9"/>
  <c r="F3378" i="9"/>
  <c r="F3379" i="9"/>
  <c r="F3380" i="9"/>
  <c r="F3381" i="9"/>
  <c r="F3382" i="9"/>
  <c r="F3383" i="9"/>
  <c r="F3384" i="9"/>
  <c r="F3385" i="9"/>
  <c r="F3386" i="9"/>
  <c r="F3387" i="9"/>
  <c r="F3388" i="9"/>
  <c r="F3389" i="9"/>
  <c r="F3390" i="9"/>
  <c r="F3391" i="9"/>
  <c r="F3392" i="9"/>
  <c r="F3393" i="9"/>
  <c r="F3394" i="9"/>
  <c r="F3395" i="9"/>
  <c r="F3396" i="9"/>
  <c r="F3397" i="9"/>
  <c r="F3398" i="9"/>
  <c r="F3399" i="9"/>
  <c r="F3400" i="9"/>
  <c r="F3401" i="9"/>
  <c r="F3402" i="9"/>
  <c r="F3403" i="9"/>
  <c r="F3404" i="9"/>
  <c r="F3405" i="9"/>
  <c r="F3406" i="9"/>
  <c r="F3407" i="9"/>
  <c r="F3408" i="9"/>
  <c r="F3409" i="9"/>
  <c r="F3410" i="9"/>
  <c r="F3411" i="9"/>
  <c r="F3412" i="9"/>
  <c r="F3413" i="9"/>
  <c r="F3414" i="9"/>
  <c r="F3415" i="9"/>
  <c r="F3416" i="9"/>
  <c r="F3417" i="9"/>
  <c r="F3418" i="9"/>
  <c r="F3419" i="9"/>
  <c r="F3420" i="9"/>
  <c r="F3421" i="9"/>
  <c r="F3422" i="9"/>
  <c r="F3423" i="9"/>
  <c r="F3424" i="9"/>
  <c r="F3425" i="9"/>
  <c r="F3426" i="9"/>
  <c r="F3427" i="9"/>
  <c r="F3428" i="9"/>
  <c r="F3429" i="9"/>
  <c r="F3430" i="9"/>
  <c r="F3431" i="9"/>
  <c r="F3432" i="9"/>
  <c r="F3433" i="9"/>
  <c r="F3434" i="9"/>
  <c r="F3435" i="9"/>
  <c r="F3436" i="9"/>
  <c r="F3437" i="9"/>
  <c r="F3438" i="9"/>
  <c r="F3439" i="9"/>
  <c r="F3440" i="9"/>
  <c r="F3441" i="9"/>
  <c r="F3442" i="9"/>
  <c r="F3443" i="9"/>
  <c r="F3444" i="9"/>
  <c r="F3445" i="9"/>
  <c r="F3446" i="9"/>
  <c r="F3447" i="9"/>
  <c r="F3448" i="9"/>
  <c r="F3449" i="9"/>
  <c r="F3450" i="9"/>
  <c r="F3451" i="9"/>
  <c r="F3452" i="9"/>
  <c r="F3453" i="9"/>
  <c r="F3454" i="9"/>
  <c r="F3455" i="9"/>
  <c r="F3456" i="9"/>
  <c r="F3457" i="9"/>
  <c r="F3458" i="9"/>
  <c r="F3459" i="9"/>
  <c r="F3460" i="9"/>
  <c r="F3461" i="9"/>
  <c r="F3462" i="9"/>
  <c r="F3463" i="9"/>
  <c r="F3464" i="9"/>
  <c r="F3465" i="9"/>
  <c r="F3466" i="9"/>
  <c r="F3467" i="9"/>
  <c r="F3468" i="9"/>
  <c r="F3469" i="9"/>
  <c r="F3470" i="9"/>
  <c r="F3471" i="9"/>
  <c r="F3472" i="9"/>
  <c r="F3473" i="9"/>
  <c r="F3474" i="9"/>
  <c r="F3475" i="9"/>
  <c r="F3476" i="9"/>
  <c r="F3477" i="9"/>
  <c r="F3478" i="9"/>
  <c r="F3479" i="9"/>
  <c r="F3480" i="9"/>
  <c r="F3481" i="9"/>
  <c r="F3482" i="9"/>
  <c r="F3483" i="9"/>
  <c r="F3484" i="9"/>
  <c r="F3485" i="9"/>
  <c r="F3486" i="9"/>
  <c r="F3487" i="9"/>
  <c r="F3488" i="9"/>
  <c r="F3489" i="9"/>
  <c r="F3490" i="9"/>
  <c r="F3491" i="9"/>
  <c r="F3492" i="9"/>
  <c r="F3493" i="9"/>
  <c r="F3494" i="9"/>
  <c r="F3495" i="9"/>
  <c r="F3496" i="9"/>
  <c r="F3497" i="9"/>
  <c r="F3498" i="9"/>
  <c r="F3499" i="9"/>
  <c r="F3500" i="9"/>
  <c r="F3501" i="9"/>
  <c r="F3502" i="9"/>
  <c r="F3503" i="9"/>
  <c r="F3504" i="9"/>
  <c r="F3505" i="9"/>
  <c r="F3506" i="9"/>
  <c r="F3507" i="9"/>
  <c r="F3508" i="9"/>
  <c r="F3509" i="9"/>
  <c r="F3510" i="9"/>
  <c r="F3511" i="9"/>
  <c r="F3512" i="9"/>
  <c r="F3513" i="9"/>
  <c r="F3514" i="9"/>
  <c r="F3515" i="9"/>
  <c r="F3516" i="9"/>
  <c r="F3517" i="9"/>
  <c r="F3518" i="9"/>
  <c r="F3519" i="9"/>
  <c r="F3520" i="9"/>
  <c r="F3521" i="9"/>
  <c r="F3522" i="9"/>
  <c r="F3523" i="9"/>
  <c r="F3524" i="9"/>
  <c r="F3525" i="9"/>
  <c r="F3526" i="9"/>
  <c r="F3527" i="9"/>
  <c r="F3528" i="9"/>
  <c r="F3529" i="9"/>
  <c r="F3530" i="9"/>
  <c r="F3531" i="9"/>
  <c r="F3532" i="9"/>
  <c r="F3533" i="9"/>
  <c r="F3534" i="9"/>
  <c r="F3535" i="9"/>
  <c r="F3536" i="9"/>
  <c r="F3537" i="9"/>
  <c r="F3538" i="9"/>
  <c r="F3539" i="9"/>
  <c r="F3540" i="9"/>
  <c r="F3541" i="9"/>
  <c r="F3542" i="9"/>
  <c r="F3543" i="9"/>
  <c r="F3544" i="9"/>
  <c r="F3545" i="9"/>
  <c r="F3546" i="9"/>
  <c r="F3547" i="9"/>
  <c r="F3548" i="9"/>
  <c r="F3549" i="9"/>
  <c r="F3550" i="9"/>
  <c r="F3551" i="9"/>
  <c r="F3552" i="9"/>
  <c r="F3553" i="9"/>
  <c r="F3554" i="9"/>
  <c r="F3555" i="9"/>
  <c r="F3556" i="9"/>
  <c r="F3557" i="9"/>
  <c r="F3558" i="9"/>
  <c r="F3559" i="9"/>
  <c r="F3560" i="9"/>
  <c r="F3561" i="9"/>
  <c r="F3562" i="9"/>
  <c r="F3563" i="9"/>
  <c r="F3564" i="9"/>
  <c r="F3565" i="9"/>
  <c r="F3566" i="9"/>
  <c r="F3567" i="9"/>
  <c r="F3568" i="9"/>
  <c r="F3569" i="9"/>
  <c r="F3570" i="9"/>
  <c r="F3571" i="9"/>
  <c r="F3572" i="9"/>
  <c r="F3573" i="9"/>
  <c r="F3574" i="9"/>
  <c r="F3575" i="9"/>
  <c r="F3576" i="9"/>
  <c r="F3577" i="9"/>
  <c r="F3578" i="9"/>
  <c r="F3579" i="9"/>
  <c r="F3580" i="9"/>
  <c r="F3581" i="9"/>
  <c r="F3582" i="9"/>
  <c r="F3583" i="9"/>
  <c r="F3584" i="9"/>
  <c r="F3585" i="9"/>
  <c r="F3586" i="9"/>
  <c r="F3587" i="9"/>
  <c r="F3588" i="9"/>
  <c r="F3589" i="9"/>
  <c r="F3590" i="9"/>
  <c r="F3591" i="9"/>
  <c r="F3592" i="9"/>
  <c r="F3593" i="9"/>
  <c r="F3594" i="9"/>
  <c r="F3595" i="9"/>
  <c r="F3596" i="9"/>
  <c r="F3597" i="9"/>
  <c r="F3598" i="9"/>
  <c r="F3599" i="9"/>
  <c r="F3600" i="9"/>
  <c r="F3601" i="9"/>
  <c r="F3602" i="9"/>
  <c r="F3603" i="9"/>
  <c r="F3604" i="9"/>
  <c r="F3605" i="9"/>
  <c r="F3606" i="9"/>
  <c r="F3607" i="9"/>
  <c r="F3608" i="9"/>
  <c r="F3609" i="9"/>
  <c r="F3610" i="9"/>
  <c r="F3611" i="9"/>
  <c r="F3612" i="9"/>
  <c r="F3613" i="9"/>
  <c r="F3614" i="9"/>
  <c r="F3615" i="9"/>
  <c r="F3616" i="9"/>
  <c r="F3617" i="9"/>
  <c r="F3618" i="9"/>
  <c r="F3619" i="9"/>
  <c r="F3620" i="9"/>
  <c r="F3621" i="9"/>
  <c r="F3622" i="9"/>
  <c r="F3623" i="9"/>
  <c r="F3624" i="9"/>
  <c r="F3625" i="9"/>
  <c r="F3626" i="9"/>
  <c r="F3627" i="9"/>
  <c r="F3628" i="9"/>
  <c r="F3629" i="9"/>
  <c r="F3630" i="9"/>
  <c r="F3631" i="9"/>
  <c r="F3632" i="9"/>
  <c r="F3633" i="9"/>
  <c r="F3634" i="9"/>
  <c r="F3635" i="9"/>
  <c r="F3636" i="9"/>
  <c r="F3637" i="9"/>
  <c r="F3638" i="9"/>
  <c r="F3639" i="9"/>
  <c r="F3640" i="9"/>
  <c r="F3641" i="9"/>
  <c r="F3642" i="9"/>
  <c r="F3643" i="9"/>
  <c r="F3644" i="9"/>
  <c r="F3645" i="9"/>
  <c r="F3646" i="9"/>
  <c r="F3647" i="9"/>
  <c r="F3648" i="9"/>
  <c r="F3649" i="9"/>
  <c r="F3650" i="9"/>
  <c r="F3651" i="9"/>
  <c r="F3652" i="9"/>
  <c r="F3653" i="9"/>
  <c r="F3654" i="9"/>
  <c r="F3655" i="9"/>
  <c r="F3656" i="9"/>
  <c r="F3657" i="9"/>
  <c r="F3658" i="9"/>
  <c r="F3659" i="9"/>
  <c r="F3660" i="9"/>
  <c r="F3661" i="9"/>
  <c r="F3662" i="9"/>
  <c r="F3663" i="9"/>
  <c r="F3664" i="9"/>
  <c r="F3665" i="9"/>
  <c r="F3666" i="9"/>
  <c r="F3667" i="9"/>
  <c r="F3668" i="9"/>
  <c r="F3669" i="9"/>
  <c r="F3670" i="9"/>
  <c r="F3671" i="9"/>
  <c r="F3672" i="9"/>
  <c r="F3673" i="9"/>
  <c r="F3674" i="9"/>
  <c r="F3675" i="9"/>
  <c r="F3676" i="9"/>
  <c r="F3677" i="9"/>
  <c r="F3678" i="9"/>
  <c r="F3679" i="9"/>
  <c r="F3680" i="9"/>
  <c r="F3681" i="9"/>
  <c r="F3682" i="9"/>
  <c r="F3683" i="9"/>
  <c r="F3684" i="9"/>
  <c r="F3685" i="9"/>
  <c r="F3686" i="9"/>
  <c r="F3687" i="9"/>
  <c r="F3688" i="9"/>
  <c r="F3689" i="9"/>
  <c r="F3690" i="9"/>
  <c r="F3691" i="9"/>
  <c r="F3692" i="9"/>
  <c r="F3693" i="9"/>
  <c r="F3694" i="9"/>
  <c r="F3695" i="9"/>
  <c r="F3696" i="9"/>
  <c r="F3697" i="9"/>
  <c r="F3698" i="9"/>
  <c r="F3699" i="9"/>
  <c r="F3700" i="9"/>
  <c r="F3701" i="9"/>
  <c r="F3702" i="9"/>
  <c r="F3703" i="9"/>
  <c r="F3704" i="9"/>
  <c r="F3705" i="9"/>
  <c r="F3706" i="9"/>
  <c r="F3707" i="9"/>
  <c r="F3708" i="9"/>
  <c r="F3709" i="9"/>
  <c r="F3710" i="9"/>
  <c r="F3711" i="9"/>
  <c r="F3712" i="9"/>
  <c r="F3713" i="9"/>
  <c r="F3714" i="9"/>
  <c r="F3715" i="9"/>
  <c r="F3716" i="9"/>
  <c r="F3717" i="9"/>
  <c r="F3718" i="9"/>
  <c r="F3719" i="9"/>
  <c r="F3720" i="9"/>
  <c r="F3721" i="9"/>
  <c r="F3722" i="9"/>
  <c r="F3723" i="9"/>
  <c r="F3724" i="9"/>
  <c r="F3725" i="9"/>
  <c r="F3726" i="9"/>
  <c r="F3727" i="9"/>
  <c r="F3728" i="9"/>
  <c r="F3729" i="9"/>
  <c r="F3730" i="9"/>
  <c r="F3731" i="9"/>
  <c r="F3732" i="9"/>
  <c r="F3733" i="9"/>
  <c r="F3734" i="9"/>
  <c r="F3735" i="9"/>
  <c r="F3736" i="9"/>
  <c r="F3737" i="9"/>
  <c r="F3738" i="9"/>
  <c r="F3739" i="9"/>
  <c r="F3740" i="9"/>
  <c r="F3741" i="9"/>
  <c r="F3742" i="9"/>
  <c r="F3743" i="9"/>
  <c r="F3744" i="9"/>
  <c r="F3745" i="9"/>
  <c r="F3746" i="9"/>
  <c r="F3747" i="9"/>
  <c r="F3748" i="9"/>
  <c r="F3749" i="9"/>
  <c r="F3750" i="9"/>
  <c r="F3751" i="9"/>
  <c r="F3752" i="9"/>
  <c r="F3753" i="9"/>
  <c r="F3754" i="9"/>
  <c r="F3755" i="9"/>
  <c r="F3756" i="9"/>
  <c r="F3757" i="9"/>
  <c r="F3758" i="9"/>
  <c r="F3759" i="9"/>
  <c r="F3760" i="9"/>
  <c r="F3761" i="9"/>
  <c r="F3762" i="9"/>
  <c r="F3763" i="9"/>
  <c r="F3764" i="9"/>
  <c r="F3765" i="9"/>
  <c r="F3766" i="9"/>
  <c r="F3767" i="9"/>
  <c r="F3768" i="9"/>
  <c r="F3769" i="9"/>
  <c r="F3770" i="9"/>
  <c r="F3771" i="9"/>
  <c r="F3772" i="9"/>
  <c r="F3773" i="9"/>
  <c r="F3774" i="9"/>
  <c r="F3775" i="9"/>
  <c r="F3776" i="9"/>
  <c r="F3777" i="9"/>
  <c r="F3778" i="9"/>
  <c r="F3779" i="9"/>
  <c r="F3780" i="9"/>
  <c r="F3781" i="9"/>
  <c r="F3782" i="9"/>
  <c r="F3783" i="9"/>
  <c r="F3784" i="9"/>
  <c r="F3785" i="9"/>
  <c r="F3786" i="9"/>
  <c r="F3787" i="9"/>
  <c r="F3788" i="9"/>
  <c r="F3789" i="9"/>
  <c r="F3790" i="9"/>
  <c r="F3791" i="9"/>
  <c r="F3792" i="9"/>
  <c r="F3793" i="9"/>
  <c r="F3794" i="9"/>
  <c r="F3795" i="9"/>
  <c r="F3796" i="9"/>
  <c r="F3797" i="9"/>
  <c r="F3798" i="9"/>
  <c r="F3799" i="9"/>
  <c r="F3800" i="9"/>
  <c r="F3801" i="9"/>
  <c r="F3802" i="9"/>
  <c r="F3803" i="9"/>
  <c r="F3804" i="9"/>
  <c r="F3805" i="9"/>
  <c r="F3806" i="9"/>
  <c r="F3807" i="9"/>
  <c r="F3808" i="9"/>
  <c r="F3809" i="9"/>
  <c r="F3810" i="9"/>
  <c r="F3811" i="9"/>
  <c r="F3812" i="9"/>
  <c r="F3813" i="9"/>
  <c r="F3814" i="9"/>
  <c r="F3815" i="9"/>
  <c r="F3816" i="9"/>
  <c r="F3817" i="9"/>
  <c r="F3818" i="9"/>
  <c r="F3819" i="9"/>
  <c r="F3820" i="9"/>
  <c r="F3821" i="9"/>
  <c r="F3822" i="9"/>
  <c r="F3823" i="9"/>
  <c r="F3824" i="9"/>
  <c r="F3825" i="9"/>
  <c r="F3826" i="9"/>
  <c r="F3827" i="9"/>
  <c r="F3828" i="9"/>
  <c r="F3829" i="9"/>
  <c r="F3830" i="9"/>
  <c r="F3831" i="9"/>
  <c r="F3832" i="9"/>
  <c r="F3833" i="9"/>
  <c r="F3834" i="9"/>
  <c r="F3835" i="9"/>
  <c r="F3836" i="9"/>
  <c r="F3837" i="9"/>
  <c r="F3838" i="9"/>
  <c r="F3839" i="9"/>
  <c r="F3840" i="9"/>
  <c r="F3841" i="9"/>
  <c r="F3842" i="9"/>
  <c r="F3843" i="9"/>
  <c r="F3844" i="9"/>
  <c r="F3845" i="9"/>
  <c r="F3846" i="9"/>
  <c r="F3847" i="9"/>
  <c r="F3848" i="9"/>
  <c r="F3849" i="9"/>
  <c r="F3850" i="9"/>
  <c r="F3851" i="9"/>
  <c r="F3852" i="9"/>
  <c r="F3853" i="9"/>
  <c r="F3854" i="9"/>
  <c r="F3855" i="9"/>
  <c r="F3856" i="9"/>
  <c r="F3857" i="9"/>
  <c r="F3858" i="9"/>
  <c r="F3859" i="9"/>
  <c r="F3860" i="9"/>
  <c r="F3861" i="9"/>
  <c r="F3862" i="9"/>
  <c r="F3863" i="9"/>
  <c r="F3864" i="9"/>
  <c r="F3865" i="9"/>
  <c r="F3866" i="9"/>
  <c r="F3867" i="9"/>
  <c r="F3868" i="9"/>
  <c r="F3869" i="9"/>
  <c r="F3870" i="9"/>
  <c r="F3871" i="9"/>
  <c r="F3872" i="9"/>
  <c r="F3873" i="9"/>
  <c r="F3874" i="9"/>
  <c r="F3875" i="9"/>
  <c r="F3876" i="9"/>
  <c r="F3877" i="9"/>
  <c r="F3878" i="9"/>
  <c r="F3879" i="9"/>
  <c r="F3880" i="9"/>
  <c r="F3881" i="9"/>
  <c r="F3882" i="9"/>
  <c r="F3883" i="9"/>
  <c r="F3884" i="9"/>
  <c r="F3885" i="9"/>
  <c r="F3886" i="9"/>
  <c r="F3887" i="9"/>
  <c r="F3888" i="9"/>
  <c r="F3889" i="9"/>
  <c r="F3890" i="9"/>
  <c r="F3891" i="9"/>
  <c r="F3892" i="9"/>
  <c r="F3893" i="9"/>
  <c r="F3894" i="9"/>
  <c r="F3895" i="9"/>
  <c r="F3896" i="9"/>
  <c r="F3897" i="9"/>
  <c r="F3898" i="9"/>
  <c r="F3899" i="9"/>
  <c r="F3900" i="9"/>
  <c r="F3901" i="9"/>
  <c r="F3902" i="9"/>
  <c r="F3903" i="9"/>
  <c r="F3904" i="9"/>
  <c r="F3905" i="9"/>
  <c r="F3906" i="9"/>
  <c r="F3907" i="9"/>
  <c r="F3908" i="9"/>
  <c r="F3909" i="9"/>
  <c r="F3910" i="9"/>
  <c r="F3911" i="9"/>
  <c r="F3912" i="9"/>
  <c r="F3913" i="9"/>
  <c r="F3914" i="9"/>
  <c r="F3915" i="9"/>
  <c r="F3916" i="9"/>
  <c r="F3917" i="9"/>
  <c r="F3918" i="9"/>
  <c r="F3919" i="9"/>
  <c r="F3920" i="9"/>
  <c r="F3921" i="9"/>
  <c r="F3922" i="9"/>
  <c r="F3923" i="9"/>
  <c r="F3924" i="9"/>
  <c r="F3925" i="9"/>
  <c r="F3926" i="9"/>
  <c r="F3927" i="9"/>
  <c r="F3928" i="9"/>
  <c r="F3929" i="9"/>
  <c r="F3930" i="9"/>
  <c r="F3931" i="9"/>
  <c r="F3932" i="9"/>
  <c r="F3933" i="9"/>
  <c r="F3934" i="9"/>
  <c r="F3935" i="9"/>
  <c r="F3936" i="9"/>
  <c r="F3937" i="9"/>
  <c r="F3938" i="9"/>
  <c r="F3939" i="9"/>
  <c r="F3940" i="9"/>
  <c r="F3941" i="9"/>
  <c r="F3942" i="9"/>
  <c r="F3943" i="9"/>
  <c r="F3944" i="9"/>
  <c r="F3945" i="9"/>
  <c r="F3946" i="9"/>
  <c r="F3947" i="9"/>
  <c r="F3948" i="9"/>
  <c r="F3949" i="9"/>
  <c r="F3950" i="9"/>
  <c r="F3951" i="9"/>
  <c r="F3952" i="9"/>
  <c r="F3953" i="9"/>
  <c r="F3954" i="9"/>
  <c r="F3955" i="9"/>
  <c r="F3956" i="9"/>
  <c r="F3957" i="9"/>
  <c r="F3958" i="9"/>
  <c r="F3959" i="9"/>
  <c r="F3960" i="9"/>
  <c r="F3961" i="9"/>
  <c r="F3962" i="9"/>
  <c r="F3963" i="9"/>
  <c r="F3964" i="9"/>
  <c r="F3965" i="9"/>
  <c r="F3966" i="9"/>
  <c r="F3967" i="9"/>
  <c r="F3968" i="9"/>
  <c r="F3969" i="9"/>
  <c r="F3970" i="9"/>
  <c r="F3971" i="9"/>
  <c r="F3972" i="9"/>
  <c r="F3973" i="9"/>
  <c r="F3974" i="9"/>
  <c r="F3975" i="9"/>
  <c r="F3976" i="9"/>
  <c r="F3977" i="9"/>
  <c r="F3978" i="9"/>
  <c r="F3979" i="9"/>
  <c r="F3980" i="9"/>
  <c r="F3981" i="9"/>
  <c r="F3982" i="9"/>
  <c r="F3983" i="9"/>
  <c r="F3984" i="9"/>
  <c r="F3985" i="9"/>
  <c r="F3986" i="9"/>
  <c r="F3987" i="9"/>
  <c r="F3988" i="9"/>
  <c r="F3989" i="9"/>
  <c r="F3990" i="9"/>
  <c r="F3991" i="9"/>
  <c r="F3992" i="9"/>
  <c r="F3993" i="9"/>
  <c r="F3994" i="9"/>
  <c r="F3995" i="9"/>
  <c r="F3996" i="9"/>
  <c r="F3997" i="9"/>
  <c r="F3998" i="9"/>
  <c r="F3999" i="9"/>
  <c r="F4000" i="9"/>
  <c r="F4001" i="9"/>
  <c r="F4002" i="9"/>
  <c r="F4003" i="9"/>
  <c r="F4004" i="9"/>
  <c r="F4005" i="9"/>
  <c r="F4006" i="9"/>
  <c r="F4007" i="9"/>
  <c r="F4008" i="9"/>
  <c r="F4009" i="9"/>
  <c r="F4010" i="9"/>
  <c r="F4011" i="9"/>
  <c r="F4012" i="9"/>
  <c r="F4013" i="9"/>
  <c r="F4014" i="9"/>
  <c r="F4015" i="9"/>
  <c r="F4016" i="9"/>
  <c r="F4017" i="9"/>
  <c r="F4018" i="9"/>
  <c r="F4019" i="9"/>
  <c r="F4020" i="9"/>
  <c r="F4021" i="9"/>
  <c r="F4022" i="9"/>
  <c r="F4023" i="9"/>
  <c r="F4024" i="9"/>
  <c r="F4025" i="9"/>
  <c r="F4026" i="9"/>
  <c r="F4027" i="9"/>
  <c r="F4028" i="9"/>
  <c r="F4029" i="9"/>
  <c r="F4030" i="9"/>
  <c r="F4031" i="9"/>
  <c r="F4032" i="9"/>
  <c r="F4033" i="9"/>
  <c r="F4034" i="9"/>
  <c r="F4035" i="9"/>
  <c r="F4036" i="9"/>
  <c r="F4037" i="9"/>
  <c r="F4038" i="9"/>
  <c r="F4039" i="9"/>
  <c r="F4040" i="9"/>
  <c r="F4041" i="9"/>
  <c r="F4042" i="9"/>
  <c r="F4043" i="9"/>
  <c r="F4044" i="9"/>
  <c r="F4045" i="9"/>
  <c r="F4046" i="9"/>
  <c r="F4047" i="9"/>
  <c r="F4048" i="9"/>
  <c r="F4049" i="9"/>
  <c r="F4050" i="9"/>
  <c r="F4051" i="9"/>
  <c r="F4052" i="9"/>
  <c r="F4053" i="9"/>
  <c r="F4054" i="9"/>
  <c r="F4055" i="9"/>
  <c r="F4056" i="9"/>
  <c r="F4057" i="9"/>
  <c r="F4058" i="9"/>
  <c r="F4059" i="9"/>
  <c r="F4060" i="9"/>
  <c r="F4061" i="9"/>
  <c r="F4062" i="9"/>
  <c r="F4063" i="9"/>
  <c r="F4064" i="9"/>
  <c r="F4065" i="9"/>
  <c r="F4066" i="9"/>
  <c r="F4067" i="9"/>
  <c r="F4068" i="9"/>
  <c r="F4069" i="9"/>
  <c r="F4070" i="9"/>
  <c r="F4071" i="9"/>
  <c r="F4072" i="9"/>
  <c r="F4073" i="9"/>
  <c r="F4074" i="9"/>
  <c r="F4075" i="9"/>
  <c r="F4076" i="9"/>
  <c r="F4077" i="9"/>
  <c r="F4078" i="9"/>
  <c r="F4079" i="9"/>
  <c r="F4080" i="9"/>
  <c r="F4081" i="9"/>
  <c r="F4082" i="9"/>
  <c r="F4083" i="9"/>
  <c r="F4084" i="9"/>
  <c r="F4085" i="9"/>
  <c r="F4086" i="9"/>
  <c r="F4087" i="9"/>
  <c r="F4088" i="9"/>
  <c r="F4089" i="9"/>
  <c r="F4090" i="9"/>
  <c r="F4091" i="9"/>
  <c r="F4092" i="9"/>
  <c r="F4093" i="9"/>
  <c r="F4094" i="9"/>
  <c r="F4095" i="9"/>
  <c r="F4096" i="9"/>
  <c r="F4097" i="9"/>
  <c r="F4098" i="9"/>
  <c r="F4099" i="9"/>
  <c r="F4100" i="9"/>
  <c r="F4101" i="9"/>
  <c r="F4102" i="9"/>
  <c r="F4103" i="9"/>
  <c r="F4104" i="9"/>
  <c r="F4105" i="9"/>
  <c r="F4106" i="9"/>
  <c r="F4107" i="9"/>
  <c r="F4108" i="9"/>
  <c r="F4109" i="9"/>
  <c r="F4110" i="9"/>
  <c r="F4111" i="9"/>
  <c r="F4112" i="9"/>
  <c r="F4113" i="9"/>
  <c r="F4114" i="9"/>
  <c r="F4115" i="9"/>
  <c r="F4116" i="9"/>
  <c r="F4117" i="9"/>
  <c r="F4118" i="9"/>
  <c r="F4119" i="9"/>
  <c r="F4120" i="9"/>
  <c r="F4121" i="9"/>
  <c r="F4122" i="9"/>
  <c r="F4123" i="9"/>
  <c r="F4124" i="9"/>
  <c r="F4125" i="9"/>
  <c r="F4126" i="9"/>
  <c r="F4127" i="9"/>
  <c r="F4128" i="9"/>
  <c r="F4129" i="9"/>
  <c r="F4130" i="9"/>
  <c r="F4131" i="9"/>
  <c r="F4132" i="9"/>
  <c r="F4133" i="9"/>
  <c r="F4134" i="9"/>
  <c r="F4135" i="9"/>
  <c r="F4136" i="9"/>
  <c r="F4137" i="9"/>
  <c r="F4138" i="9"/>
  <c r="F4139" i="9"/>
  <c r="F4140" i="9"/>
  <c r="F4141" i="9"/>
  <c r="F4142" i="9"/>
  <c r="F4143" i="9"/>
  <c r="F4144" i="9"/>
  <c r="F4145" i="9"/>
  <c r="F4146" i="9"/>
  <c r="F4147" i="9"/>
  <c r="F4148" i="9"/>
  <c r="F4149" i="9"/>
  <c r="F4150" i="9"/>
  <c r="F4151" i="9"/>
  <c r="F4152" i="9"/>
  <c r="F4153" i="9"/>
  <c r="F4154" i="9"/>
  <c r="F4155" i="9"/>
  <c r="F4156" i="9"/>
  <c r="F4157" i="9"/>
  <c r="F4158" i="9"/>
  <c r="F4159" i="9"/>
  <c r="F4160" i="9"/>
  <c r="F4161" i="9"/>
  <c r="F4162" i="9"/>
  <c r="F4163" i="9"/>
  <c r="F4164" i="9"/>
  <c r="F4165" i="9"/>
  <c r="F4166" i="9"/>
  <c r="F4167" i="9"/>
  <c r="F4168" i="9"/>
  <c r="F4169" i="9"/>
  <c r="F4170" i="9"/>
  <c r="F4171" i="9"/>
  <c r="F4172" i="9"/>
  <c r="F4173" i="9"/>
  <c r="F4174" i="9"/>
  <c r="F4175" i="9"/>
  <c r="F4176" i="9"/>
  <c r="F4177" i="9"/>
  <c r="F4178" i="9"/>
  <c r="F4179" i="9"/>
  <c r="F4180" i="9"/>
  <c r="F4181" i="9"/>
  <c r="F4182" i="9"/>
  <c r="F4183" i="9"/>
  <c r="F4184" i="9"/>
  <c r="F4185" i="9"/>
  <c r="F4186" i="9"/>
  <c r="F4187" i="9"/>
  <c r="F4188" i="9"/>
  <c r="F4189" i="9"/>
  <c r="F4190" i="9"/>
  <c r="F4191" i="9"/>
  <c r="F4192" i="9"/>
  <c r="F4193" i="9"/>
  <c r="F4194" i="9"/>
  <c r="F4195" i="9"/>
  <c r="F4196" i="9"/>
  <c r="F4197" i="9"/>
  <c r="F4198" i="9"/>
  <c r="F4199" i="9"/>
  <c r="F4200" i="9"/>
  <c r="F4201" i="9"/>
  <c r="F4202" i="9"/>
  <c r="F4203" i="9"/>
  <c r="F4204" i="9"/>
  <c r="F4205" i="9"/>
  <c r="F4206" i="9"/>
  <c r="F4207" i="9"/>
  <c r="F4208" i="9"/>
  <c r="F4209" i="9"/>
  <c r="F4210" i="9"/>
  <c r="F4211" i="9"/>
  <c r="F4212" i="9"/>
  <c r="F4213" i="9"/>
  <c r="F4214" i="9"/>
  <c r="F4215" i="9"/>
  <c r="F4216" i="9"/>
  <c r="F4217" i="9"/>
  <c r="F4218" i="9"/>
  <c r="F4219" i="9"/>
  <c r="F4220" i="9"/>
  <c r="F4221" i="9"/>
  <c r="F4222" i="9"/>
  <c r="F4223" i="9"/>
  <c r="F4224" i="9"/>
  <c r="F4225" i="9"/>
  <c r="F4226" i="9"/>
  <c r="F4227" i="9"/>
  <c r="F4228" i="9"/>
  <c r="F4229" i="9"/>
  <c r="F4230" i="9"/>
  <c r="F4231" i="9"/>
  <c r="F4232" i="9"/>
  <c r="F4233" i="9"/>
  <c r="F4234" i="9"/>
  <c r="F4235" i="9"/>
  <c r="F4236" i="9"/>
  <c r="F4237" i="9"/>
  <c r="F4238" i="9"/>
  <c r="F4239" i="9"/>
  <c r="F4240" i="9"/>
  <c r="F4241" i="9"/>
  <c r="F4242" i="9"/>
  <c r="F4243" i="9"/>
  <c r="F4244" i="9"/>
  <c r="F4245" i="9"/>
  <c r="F4246" i="9"/>
  <c r="F4247" i="9"/>
  <c r="F4248" i="9"/>
  <c r="F4249" i="9"/>
  <c r="F4250" i="9"/>
  <c r="F4251" i="9"/>
  <c r="F4252" i="9"/>
  <c r="F4253" i="9"/>
  <c r="F4254" i="9"/>
  <c r="F4255" i="9"/>
  <c r="F4256" i="9"/>
  <c r="F4257" i="9"/>
  <c r="F4258" i="9"/>
  <c r="F4259" i="9"/>
  <c r="F4260" i="9"/>
  <c r="F4261" i="9"/>
  <c r="F4262" i="9"/>
  <c r="F4263" i="9"/>
  <c r="F4264" i="9"/>
  <c r="F4265" i="9"/>
  <c r="F4266" i="9"/>
  <c r="F4267" i="9"/>
  <c r="F4268" i="9"/>
  <c r="F4269" i="9"/>
  <c r="F4270" i="9"/>
  <c r="F4271" i="9"/>
  <c r="F4272" i="9"/>
  <c r="F4273" i="9"/>
  <c r="F4274" i="9"/>
  <c r="F4275" i="9"/>
  <c r="F4276" i="9"/>
  <c r="F4277" i="9"/>
  <c r="F4278" i="9"/>
  <c r="F4279" i="9"/>
  <c r="F4280" i="9"/>
  <c r="F4281" i="9"/>
  <c r="F4282" i="9"/>
  <c r="F4283" i="9"/>
  <c r="F4284" i="9"/>
  <c r="F4285" i="9"/>
  <c r="F4286" i="9"/>
  <c r="F4287" i="9"/>
  <c r="F4288" i="9"/>
  <c r="F4289" i="9"/>
  <c r="F4290" i="9"/>
  <c r="F4291" i="9"/>
  <c r="F4292" i="9"/>
  <c r="F4293" i="9"/>
  <c r="F4294" i="9"/>
  <c r="F4295" i="9"/>
  <c r="F4296" i="9"/>
  <c r="F4297" i="9"/>
  <c r="F4298" i="9"/>
  <c r="F4299" i="9"/>
  <c r="F4300" i="9"/>
  <c r="F4301" i="9"/>
  <c r="F4302" i="9"/>
  <c r="F4303" i="9"/>
  <c r="F4304" i="9"/>
  <c r="F4305" i="9"/>
  <c r="F4306" i="9"/>
  <c r="F4307" i="9"/>
  <c r="F4308" i="9"/>
  <c r="F4309" i="9"/>
  <c r="F4310" i="9"/>
  <c r="F4311" i="9"/>
  <c r="F4312" i="9"/>
  <c r="F4313" i="9"/>
  <c r="F4314" i="9"/>
  <c r="F4315" i="9"/>
  <c r="F4316" i="9"/>
  <c r="F4317" i="9"/>
  <c r="F4318" i="9"/>
  <c r="F4319" i="9"/>
  <c r="F4320" i="9"/>
  <c r="F4321" i="9"/>
  <c r="F4322" i="9"/>
  <c r="F4323" i="9"/>
  <c r="F4324" i="9"/>
  <c r="F4325" i="9"/>
  <c r="F4326" i="9"/>
  <c r="F4327" i="9"/>
  <c r="F4328" i="9"/>
  <c r="F4329" i="9"/>
  <c r="F4330" i="9"/>
  <c r="F4331" i="9"/>
  <c r="F4332" i="9"/>
  <c r="F4333" i="9"/>
  <c r="F4334" i="9"/>
  <c r="F4335" i="9"/>
  <c r="F4336" i="9"/>
  <c r="F4337" i="9"/>
  <c r="F4338" i="9"/>
  <c r="F4339" i="9"/>
  <c r="F4340" i="9"/>
  <c r="F4341" i="9"/>
  <c r="F4342" i="9"/>
  <c r="F4343" i="9"/>
  <c r="F4344" i="9"/>
  <c r="F4345" i="9"/>
  <c r="F4346" i="9"/>
  <c r="F4347" i="9"/>
  <c r="F4348" i="9"/>
  <c r="F4349" i="9"/>
  <c r="F4350" i="9"/>
  <c r="F4351" i="9"/>
  <c r="F4352" i="9"/>
  <c r="F4353" i="9"/>
  <c r="F4354" i="9"/>
  <c r="F4355" i="9"/>
  <c r="F4356" i="9"/>
  <c r="F4357" i="9"/>
  <c r="F4358" i="9"/>
  <c r="F4359" i="9"/>
  <c r="F4360" i="9"/>
  <c r="F4361" i="9"/>
  <c r="F4362" i="9"/>
  <c r="F4363" i="9"/>
  <c r="F4364" i="9"/>
  <c r="F4365" i="9"/>
  <c r="F4366" i="9"/>
  <c r="F4367" i="9"/>
  <c r="F4368" i="9"/>
  <c r="F4369" i="9"/>
  <c r="F4370" i="9"/>
  <c r="F4371" i="9"/>
  <c r="F4372" i="9"/>
  <c r="F4373" i="9"/>
  <c r="F4374" i="9"/>
  <c r="F4375" i="9"/>
  <c r="F4376" i="9"/>
  <c r="F4377" i="9"/>
  <c r="F4378" i="9"/>
  <c r="F4379" i="9"/>
  <c r="F4380" i="9"/>
  <c r="F4381" i="9"/>
  <c r="F4382" i="9"/>
  <c r="F4383" i="9"/>
  <c r="F4384" i="9"/>
  <c r="F4385" i="9"/>
  <c r="F4386" i="9"/>
  <c r="F4387" i="9"/>
  <c r="F4388" i="9"/>
  <c r="F4389" i="9"/>
  <c r="F4390" i="9"/>
  <c r="F4391" i="9"/>
  <c r="F4392" i="9"/>
  <c r="F4393" i="9"/>
  <c r="F4394" i="9"/>
  <c r="F4395" i="9"/>
  <c r="F4396" i="9"/>
  <c r="F4397" i="9"/>
  <c r="F4398" i="9"/>
  <c r="F4399" i="9"/>
  <c r="F4400" i="9"/>
  <c r="F4401" i="9"/>
  <c r="F4402" i="9"/>
  <c r="F4403" i="9"/>
  <c r="F4404" i="9"/>
  <c r="F4405" i="9"/>
  <c r="F4406" i="9"/>
  <c r="F4407" i="9"/>
  <c r="F4408" i="9"/>
  <c r="F4409" i="9"/>
  <c r="F4410" i="9"/>
  <c r="F4411" i="9"/>
  <c r="F4412" i="9"/>
  <c r="F4413" i="9"/>
  <c r="F4414" i="9"/>
  <c r="F4415" i="9"/>
  <c r="F4416" i="9"/>
  <c r="F4417" i="9"/>
  <c r="F4418" i="9"/>
  <c r="F4419" i="9"/>
  <c r="F4420" i="9"/>
  <c r="F4421" i="9"/>
  <c r="F4422" i="9"/>
  <c r="F4423" i="9"/>
  <c r="F4424" i="9"/>
  <c r="F4425" i="9"/>
  <c r="F4426" i="9"/>
  <c r="F4427" i="9"/>
  <c r="F4428" i="9"/>
  <c r="F4429" i="9"/>
  <c r="F4430" i="9"/>
  <c r="F4431" i="9"/>
  <c r="F4432" i="9"/>
  <c r="F4433" i="9"/>
  <c r="F4434" i="9"/>
  <c r="F4435" i="9"/>
  <c r="F4436" i="9"/>
  <c r="F4437" i="9"/>
  <c r="F4438" i="9"/>
  <c r="F4439" i="9"/>
  <c r="F4440" i="9"/>
  <c r="F4441" i="9"/>
  <c r="F4442" i="9"/>
  <c r="F4443" i="9"/>
  <c r="F4444" i="9"/>
  <c r="F4445" i="9"/>
  <c r="F4446" i="9"/>
  <c r="F4447" i="9"/>
  <c r="F4448" i="9"/>
  <c r="F4449" i="9"/>
  <c r="F4450" i="9"/>
  <c r="F4451" i="9"/>
  <c r="F4452" i="9"/>
  <c r="F4453" i="9"/>
  <c r="F4454" i="9"/>
  <c r="F4455" i="9"/>
  <c r="F4456" i="9"/>
  <c r="F4457" i="9"/>
  <c r="F4458" i="9"/>
  <c r="F4459" i="9"/>
  <c r="F4460" i="9"/>
  <c r="F4461" i="9"/>
  <c r="F4462" i="9"/>
  <c r="F4463" i="9"/>
  <c r="F4464" i="9"/>
  <c r="F4465" i="9"/>
  <c r="F4466" i="9"/>
  <c r="F4467" i="9"/>
  <c r="F4468" i="9"/>
  <c r="F4469" i="9"/>
  <c r="F4470" i="9"/>
  <c r="F4471" i="9"/>
  <c r="F4472" i="9"/>
  <c r="F4473" i="9"/>
  <c r="F4474" i="9"/>
  <c r="F4475" i="9"/>
  <c r="F4476" i="9"/>
  <c r="F4477" i="9"/>
  <c r="F4478" i="9"/>
  <c r="F4479" i="9"/>
  <c r="F4480" i="9"/>
  <c r="F4481" i="9"/>
  <c r="F4482" i="9"/>
  <c r="F4483" i="9"/>
  <c r="F4484" i="9"/>
  <c r="F4485" i="9"/>
  <c r="F4486" i="9"/>
  <c r="F4487" i="9"/>
  <c r="F4488" i="9"/>
  <c r="F4489" i="9"/>
  <c r="F4490" i="9"/>
  <c r="F4491" i="9"/>
  <c r="F4492" i="9"/>
  <c r="F4493" i="9"/>
  <c r="F4494" i="9"/>
  <c r="F4495" i="9"/>
  <c r="F4496" i="9"/>
  <c r="F4497" i="9"/>
  <c r="F4498" i="9"/>
  <c r="F4499" i="9"/>
  <c r="F4500" i="9"/>
  <c r="F4501" i="9"/>
  <c r="F4502" i="9"/>
  <c r="F4503" i="9"/>
  <c r="F4504" i="9"/>
  <c r="F4505" i="9"/>
  <c r="F4506" i="9"/>
  <c r="F4507" i="9"/>
  <c r="F4508" i="9"/>
  <c r="F4509" i="9"/>
  <c r="F4510" i="9"/>
  <c r="F4511" i="9"/>
  <c r="F4512" i="9"/>
  <c r="F4513" i="9"/>
  <c r="F4514" i="9"/>
  <c r="F4515" i="9"/>
  <c r="F4516" i="9"/>
  <c r="F4517" i="9"/>
  <c r="F4518" i="9"/>
  <c r="F4519" i="9"/>
  <c r="F4520" i="9"/>
  <c r="F4521" i="9"/>
  <c r="F4522" i="9"/>
  <c r="F4523" i="9"/>
  <c r="F4524" i="9"/>
  <c r="F4525" i="9"/>
  <c r="F4526" i="9"/>
  <c r="F4527" i="9"/>
  <c r="F4528" i="9"/>
  <c r="F4529" i="9"/>
  <c r="F4530" i="9"/>
  <c r="F4531" i="9"/>
  <c r="F4532" i="9"/>
  <c r="F4533" i="9"/>
  <c r="F4534" i="9"/>
  <c r="F4535" i="9"/>
  <c r="F4536" i="9"/>
  <c r="F4537" i="9"/>
  <c r="F4538" i="9"/>
  <c r="F4539" i="9"/>
  <c r="F4540" i="9"/>
  <c r="F4541" i="9"/>
  <c r="F4542" i="9"/>
  <c r="F4543" i="9"/>
  <c r="F4544" i="9"/>
  <c r="F4545" i="9"/>
  <c r="F4546" i="9"/>
  <c r="F4547" i="9"/>
  <c r="F4548" i="9"/>
  <c r="F4549" i="9"/>
  <c r="F4550" i="9"/>
  <c r="F4551" i="9"/>
  <c r="F4552" i="9"/>
  <c r="F4553" i="9"/>
  <c r="F4554" i="9"/>
  <c r="F4555" i="9"/>
  <c r="F4556" i="9"/>
  <c r="F4557" i="9"/>
  <c r="F4558" i="9"/>
  <c r="F4559" i="9"/>
  <c r="F4560" i="9"/>
  <c r="F4561" i="9"/>
  <c r="F4562" i="9"/>
  <c r="F4563" i="9"/>
  <c r="F4564" i="9"/>
  <c r="F4565" i="9"/>
  <c r="F4566" i="9"/>
  <c r="F4567" i="9"/>
  <c r="F4568" i="9"/>
  <c r="F4569" i="9"/>
  <c r="F4570" i="9"/>
  <c r="F4571" i="9"/>
  <c r="F4572" i="9"/>
  <c r="F4573" i="9"/>
  <c r="F4574" i="9"/>
  <c r="F4575" i="9"/>
  <c r="F4576" i="9"/>
  <c r="F4577" i="9"/>
  <c r="F4578" i="9"/>
  <c r="F4579" i="9"/>
  <c r="F4580" i="9"/>
  <c r="F4581" i="9"/>
  <c r="F4582" i="9"/>
  <c r="F4583" i="9"/>
  <c r="F4584" i="9"/>
  <c r="F4585" i="9"/>
  <c r="F4586" i="9"/>
  <c r="F4587" i="9"/>
  <c r="F4588" i="9"/>
  <c r="F4589" i="9"/>
  <c r="F4590" i="9"/>
  <c r="F4591" i="9"/>
  <c r="F4592" i="9"/>
  <c r="F4593" i="9"/>
  <c r="F4594" i="9"/>
  <c r="F4595" i="9"/>
  <c r="F4596" i="9"/>
  <c r="F4597" i="9"/>
  <c r="F4598" i="9"/>
  <c r="F4599" i="9"/>
  <c r="F4600" i="9"/>
  <c r="F4601" i="9"/>
  <c r="F4602" i="9"/>
  <c r="F4603" i="9"/>
  <c r="F4604" i="9"/>
  <c r="F4605" i="9"/>
  <c r="F4606" i="9"/>
  <c r="F4607" i="9"/>
  <c r="F4608" i="9"/>
  <c r="F4609" i="9"/>
  <c r="F4610" i="9"/>
  <c r="F4611" i="9"/>
  <c r="F4612" i="9"/>
  <c r="F4613" i="9"/>
  <c r="F4614" i="9"/>
  <c r="F4615" i="9"/>
  <c r="F4616" i="9"/>
  <c r="F4617" i="9"/>
  <c r="F4618" i="9"/>
  <c r="F4619" i="9"/>
  <c r="F4620" i="9"/>
  <c r="F4621" i="9"/>
  <c r="F4622" i="9"/>
  <c r="F4623" i="9"/>
  <c r="F4624" i="9"/>
  <c r="F4625" i="9"/>
  <c r="F4626" i="9"/>
  <c r="F4627" i="9"/>
  <c r="F4628" i="9"/>
  <c r="F4629" i="9"/>
  <c r="F4630" i="9"/>
  <c r="F4631" i="9"/>
  <c r="F4632" i="9"/>
  <c r="F4633" i="9"/>
  <c r="F4634" i="9"/>
  <c r="F4635" i="9"/>
  <c r="F4636" i="9"/>
  <c r="F4637" i="9"/>
  <c r="F4638" i="9"/>
  <c r="F4639" i="9"/>
  <c r="F4640" i="9"/>
  <c r="F4641" i="9"/>
  <c r="F4642" i="9"/>
  <c r="F4643" i="9"/>
  <c r="F4644" i="9"/>
  <c r="F4645" i="9"/>
  <c r="F4646" i="9"/>
  <c r="F4647" i="9"/>
  <c r="F4648" i="9"/>
  <c r="F4649" i="9"/>
  <c r="F4650" i="9"/>
  <c r="F4651" i="9"/>
  <c r="F4652" i="9"/>
  <c r="F4653" i="9"/>
  <c r="F4654" i="9"/>
  <c r="F4655" i="9"/>
  <c r="F4656" i="9"/>
  <c r="F4657" i="9"/>
  <c r="F4658" i="9"/>
  <c r="F4659" i="9"/>
  <c r="F4660" i="9"/>
  <c r="F4661" i="9"/>
  <c r="F4662" i="9"/>
  <c r="F4663" i="9"/>
  <c r="F4664" i="9"/>
  <c r="F4665" i="9"/>
  <c r="F4666" i="9"/>
  <c r="F4667" i="9"/>
  <c r="F4668" i="9"/>
  <c r="F4669" i="9"/>
  <c r="F4670" i="9"/>
  <c r="F4671" i="9"/>
  <c r="F4672" i="9"/>
  <c r="F4673" i="9"/>
  <c r="F4674" i="9"/>
  <c r="F4675" i="9"/>
  <c r="F4676" i="9"/>
  <c r="F4677" i="9"/>
  <c r="F4678" i="9"/>
  <c r="F4679" i="9"/>
  <c r="F4680" i="9"/>
  <c r="F4681" i="9"/>
  <c r="F4682" i="9"/>
  <c r="F4683" i="9"/>
  <c r="F4684" i="9"/>
  <c r="F4685" i="9"/>
  <c r="F4686" i="9"/>
  <c r="F4687" i="9"/>
  <c r="F4688" i="9"/>
  <c r="F4689" i="9"/>
  <c r="F4690" i="9"/>
  <c r="F4691" i="9"/>
  <c r="F4692" i="9"/>
  <c r="F4693" i="9"/>
  <c r="F4694" i="9"/>
  <c r="F4695" i="9"/>
  <c r="F4696" i="9"/>
  <c r="F4697" i="9"/>
  <c r="F4698" i="9"/>
  <c r="F4699" i="9"/>
  <c r="F4700" i="9"/>
  <c r="F4701" i="9"/>
  <c r="F4702" i="9"/>
  <c r="F4703" i="9"/>
  <c r="F4704" i="9"/>
  <c r="F4705" i="9"/>
  <c r="F4706" i="9"/>
  <c r="F4707" i="9"/>
  <c r="F4708" i="9"/>
  <c r="F4709" i="9"/>
  <c r="F4710" i="9"/>
  <c r="F4711" i="9"/>
  <c r="F4712" i="9"/>
  <c r="F4713" i="9"/>
  <c r="F4714" i="9"/>
  <c r="F4715" i="9"/>
  <c r="F4716" i="9"/>
  <c r="F4717" i="9"/>
  <c r="F4718" i="9"/>
  <c r="F4719" i="9"/>
  <c r="F4720" i="9"/>
  <c r="F4721" i="9"/>
  <c r="F4722" i="9"/>
  <c r="F4723" i="9"/>
  <c r="F4724" i="9"/>
  <c r="F4725" i="9"/>
  <c r="F4726" i="9"/>
  <c r="F4727" i="9"/>
  <c r="F4728" i="9"/>
  <c r="F4729" i="9"/>
  <c r="F4730" i="9"/>
  <c r="F4731" i="9"/>
  <c r="F4732" i="9"/>
  <c r="F4733" i="9"/>
  <c r="F4734" i="9"/>
  <c r="F4735" i="9"/>
  <c r="F4736" i="9"/>
  <c r="F4737" i="9"/>
  <c r="F4738" i="9"/>
  <c r="F4739" i="9"/>
  <c r="F4740" i="9"/>
  <c r="F4741" i="9"/>
  <c r="F4742" i="9"/>
  <c r="F4743" i="9"/>
  <c r="F4744" i="9"/>
  <c r="F4745" i="9"/>
  <c r="F4746" i="9"/>
  <c r="F4747" i="9"/>
  <c r="F4748" i="9"/>
  <c r="F4749" i="9"/>
  <c r="F4750" i="9"/>
  <c r="F4751" i="9"/>
  <c r="F4752" i="9"/>
  <c r="F4753" i="9"/>
  <c r="F4754" i="9"/>
  <c r="F4755" i="9"/>
  <c r="F4756" i="9"/>
  <c r="F4757" i="9"/>
  <c r="F4758" i="9"/>
  <c r="F4759" i="9"/>
  <c r="F4760" i="9"/>
  <c r="F4761" i="9"/>
  <c r="F4762" i="9"/>
  <c r="F4763" i="9"/>
  <c r="F4764" i="9"/>
  <c r="F4765" i="9"/>
  <c r="F4766" i="9"/>
  <c r="F4767" i="9"/>
  <c r="F4768" i="9"/>
  <c r="F4769" i="9"/>
  <c r="F4770" i="9"/>
  <c r="F4771" i="9"/>
  <c r="F4772" i="9"/>
  <c r="F4773" i="9"/>
  <c r="F4774" i="9"/>
  <c r="F4775" i="9"/>
  <c r="F4776" i="9"/>
  <c r="F4777" i="9"/>
  <c r="F4778" i="9"/>
  <c r="F4779" i="9"/>
  <c r="F4780" i="9"/>
  <c r="F4781" i="9"/>
  <c r="F4782" i="9"/>
  <c r="F4783" i="9"/>
  <c r="F4784" i="9"/>
  <c r="F4785" i="9"/>
  <c r="F4786" i="9"/>
  <c r="F4787" i="9"/>
  <c r="F4788" i="9"/>
  <c r="F4789" i="9"/>
  <c r="F4790" i="9"/>
  <c r="F4791" i="9"/>
  <c r="F4792" i="9"/>
  <c r="F4793" i="9"/>
  <c r="F4794" i="9"/>
  <c r="F4795" i="9"/>
  <c r="F4796" i="9"/>
  <c r="F4797" i="9"/>
  <c r="F4798" i="9"/>
  <c r="F4799" i="9"/>
  <c r="F4800" i="9"/>
  <c r="F4801" i="9"/>
  <c r="F4802" i="9"/>
  <c r="F4803" i="9"/>
  <c r="F4804" i="9"/>
  <c r="F4805" i="9"/>
  <c r="F4806" i="9"/>
  <c r="F4807" i="9"/>
  <c r="F4808" i="9"/>
  <c r="F4809" i="9"/>
  <c r="F4810" i="9"/>
  <c r="F4811" i="9"/>
  <c r="F4812" i="9"/>
  <c r="F4813" i="9"/>
  <c r="F4814" i="9"/>
  <c r="F4815" i="9"/>
  <c r="F4816" i="9"/>
  <c r="F4817" i="9"/>
  <c r="F4818" i="9"/>
  <c r="F4819" i="9"/>
  <c r="F4820" i="9"/>
  <c r="F4821" i="9"/>
  <c r="F4822" i="9"/>
  <c r="F4823" i="9"/>
  <c r="F4824" i="9"/>
  <c r="F4825" i="9"/>
  <c r="F4826" i="9"/>
  <c r="F4827" i="9"/>
  <c r="F4828" i="9"/>
  <c r="F4829" i="9"/>
  <c r="F4830" i="9"/>
  <c r="F4831" i="9"/>
  <c r="F4832" i="9"/>
  <c r="F4833" i="9"/>
  <c r="F4834" i="9"/>
  <c r="F4835" i="9"/>
  <c r="F4836" i="9"/>
  <c r="F4837" i="9"/>
  <c r="F4838" i="9"/>
  <c r="F4839" i="9"/>
  <c r="F4840" i="9"/>
  <c r="F4841" i="9"/>
  <c r="F4842" i="9"/>
  <c r="F4843" i="9"/>
  <c r="F4844" i="9"/>
  <c r="F4845" i="9"/>
  <c r="F4846" i="9"/>
  <c r="F4847" i="9"/>
  <c r="F4848" i="9"/>
  <c r="F4849" i="9"/>
  <c r="F4850" i="9"/>
  <c r="F4851" i="9"/>
  <c r="F4852" i="9"/>
  <c r="F4853" i="9"/>
  <c r="F4854" i="9"/>
  <c r="F4855" i="9"/>
  <c r="F4856" i="9"/>
  <c r="F4857" i="9"/>
  <c r="F4858" i="9"/>
  <c r="F4859" i="9"/>
  <c r="F4860" i="9"/>
  <c r="F4861" i="9"/>
  <c r="F4862" i="9"/>
  <c r="F4863" i="9"/>
  <c r="F4864" i="9"/>
  <c r="F4865" i="9"/>
  <c r="F4866" i="9"/>
  <c r="F4867" i="9"/>
  <c r="F4868" i="9"/>
  <c r="F4869" i="9"/>
  <c r="F4870" i="9"/>
  <c r="F4871" i="9"/>
  <c r="F4872" i="9"/>
  <c r="F4873" i="9"/>
  <c r="F4874" i="9"/>
  <c r="F4875" i="9"/>
  <c r="F4876" i="9"/>
  <c r="F4877" i="9"/>
  <c r="F4878" i="9"/>
  <c r="F4879" i="9"/>
  <c r="F4880" i="9"/>
  <c r="F4881" i="9"/>
  <c r="F4882" i="9"/>
  <c r="F4883" i="9"/>
  <c r="F4884" i="9"/>
  <c r="F4885" i="9"/>
  <c r="F4886" i="9"/>
  <c r="F4887" i="9"/>
  <c r="F4888" i="9"/>
  <c r="F4889" i="9"/>
  <c r="F4890" i="9"/>
  <c r="F4891" i="9"/>
  <c r="F4892" i="9"/>
  <c r="F4893" i="9"/>
  <c r="F4894" i="9"/>
  <c r="F4895" i="9"/>
  <c r="F4896" i="9"/>
  <c r="F4897" i="9"/>
  <c r="F4898" i="9"/>
  <c r="F4899" i="9"/>
  <c r="F4900" i="9"/>
  <c r="F4901" i="9"/>
  <c r="F4902" i="9"/>
  <c r="F4903" i="9"/>
  <c r="F4904" i="9"/>
  <c r="F4905" i="9"/>
  <c r="F4906" i="9"/>
  <c r="F4907" i="9"/>
  <c r="F4908" i="9"/>
  <c r="F4909" i="9"/>
  <c r="F4910" i="9"/>
  <c r="F4911" i="9"/>
  <c r="F4912" i="9"/>
  <c r="F4913" i="9"/>
  <c r="F4914" i="9"/>
  <c r="F4915" i="9"/>
  <c r="F4916" i="9"/>
  <c r="F4917" i="9"/>
  <c r="F4918" i="9"/>
  <c r="F4919" i="9"/>
  <c r="F4920" i="9"/>
  <c r="F4921" i="9"/>
  <c r="F4922" i="9"/>
  <c r="F4923" i="9"/>
  <c r="F4924" i="9"/>
  <c r="F4925" i="9"/>
  <c r="F4926" i="9"/>
  <c r="F4927" i="9"/>
  <c r="F4928" i="9"/>
  <c r="F4929" i="9"/>
  <c r="F4930" i="9"/>
  <c r="F4931" i="9"/>
  <c r="F4932" i="9"/>
  <c r="F4933" i="9"/>
  <c r="F4934" i="9"/>
  <c r="F4935" i="9"/>
  <c r="F4936" i="9"/>
  <c r="F4937" i="9"/>
  <c r="F4938" i="9"/>
  <c r="F4939" i="9"/>
  <c r="F4940" i="9"/>
  <c r="F4941" i="9"/>
  <c r="F4942" i="9"/>
  <c r="F4943" i="9"/>
  <c r="F4944" i="9"/>
  <c r="F4945" i="9"/>
  <c r="F4946" i="9"/>
  <c r="F4947" i="9"/>
  <c r="F4948" i="9"/>
  <c r="F4949" i="9"/>
  <c r="F4950" i="9"/>
  <c r="F4951" i="9"/>
  <c r="F4952" i="9"/>
  <c r="F4953" i="9"/>
  <c r="F4954" i="9"/>
  <c r="F4955" i="9"/>
  <c r="F4956" i="9"/>
  <c r="F4957" i="9"/>
  <c r="F4958" i="9"/>
  <c r="F4959" i="9"/>
  <c r="F4960" i="9"/>
  <c r="F4961" i="9"/>
  <c r="F4962" i="9"/>
  <c r="F4963" i="9"/>
  <c r="F4964" i="9"/>
  <c r="F4965" i="9"/>
  <c r="F4966" i="9"/>
  <c r="F4967" i="9"/>
  <c r="F4968" i="9"/>
  <c r="F4969" i="9"/>
  <c r="F4970" i="9"/>
  <c r="F4971" i="9"/>
  <c r="F4972" i="9"/>
  <c r="F4973" i="9"/>
  <c r="F4974" i="9"/>
  <c r="F4975" i="9"/>
  <c r="F4976" i="9"/>
  <c r="F4977" i="9"/>
  <c r="F4978" i="9"/>
  <c r="F4979" i="9"/>
  <c r="F4980" i="9"/>
  <c r="F4981" i="9"/>
  <c r="F4982" i="9"/>
  <c r="F4983" i="9"/>
  <c r="F4984" i="9"/>
  <c r="F4985" i="9"/>
  <c r="F4986" i="9"/>
  <c r="F4987" i="9"/>
  <c r="F4988" i="9"/>
  <c r="F4989" i="9"/>
  <c r="F4990" i="9"/>
  <c r="F4991" i="9"/>
  <c r="F4992" i="9"/>
  <c r="F4993" i="9"/>
  <c r="F4994" i="9"/>
  <c r="F4995" i="9"/>
  <c r="F4996" i="9"/>
  <c r="F4997" i="9"/>
  <c r="F4998" i="9"/>
  <c r="F4999" i="9"/>
  <c r="F5000" i="9"/>
  <c r="F5001" i="9"/>
  <c r="F5002" i="9"/>
  <c r="F5003" i="9"/>
  <c r="F5004" i="9"/>
  <c r="F5005" i="9"/>
  <c r="F5006" i="9"/>
  <c r="F5007" i="9"/>
  <c r="F5008" i="9"/>
  <c r="F5009" i="9"/>
  <c r="F5010" i="9"/>
  <c r="F5011" i="9"/>
  <c r="F5012" i="9"/>
  <c r="F5013" i="9"/>
  <c r="F5014" i="9"/>
  <c r="F5015" i="9"/>
  <c r="D4" i="9"/>
  <c r="D2" i="9"/>
  <c r="D3" i="9"/>
  <c r="D5" i="9"/>
  <c r="D6" i="9"/>
  <c r="D7" i="9"/>
  <c r="D8" i="9"/>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01" i="9"/>
  <c r="D202" i="9"/>
  <c r="D203" i="9"/>
  <c r="D204" i="9"/>
  <c r="D205" i="9"/>
  <c r="D206" i="9"/>
  <c r="D207" i="9"/>
  <c r="D208" i="9"/>
  <c r="D209" i="9"/>
  <c r="D210" i="9"/>
  <c r="D211" i="9"/>
  <c r="D212" i="9"/>
  <c r="D213" i="9"/>
  <c r="D214" i="9"/>
  <c r="D215" i="9"/>
  <c r="D216" i="9"/>
  <c r="D217" i="9"/>
  <c r="D218" i="9"/>
  <c r="D219" i="9"/>
  <c r="D220" i="9"/>
  <c r="D221" i="9"/>
  <c r="D222" i="9"/>
  <c r="D223" i="9"/>
  <c r="D224" i="9"/>
  <c r="D225" i="9"/>
  <c r="D226" i="9"/>
  <c r="D227" i="9"/>
  <c r="D228" i="9"/>
  <c r="D229" i="9"/>
  <c r="D230" i="9"/>
  <c r="D231" i="9"/>
  <c r="D232" i="9"/>
  <c r="D233" i="9"/>
  <c r="D234" i="9"/>
  <c r="D235" i="9"/>
  <c r="D236" i="9"/>
  <c r="D237" i="9"/>
  <c r="D238" i="9"/>
  <c r="D239" i="9"/>
  <c r="D240" i="9"/>
  <c r="D241" i="9"/>
  <c r="D242" i="9"/>
  <c r="D243" i="9"/>
  <c r="D244" i="9"/>
  <c r="D245" i="9"/>
  <c r="D246" i="9"/>
  <c r="D247" i="9"/>
  <c r="D248" i="9"/>
  <c r="D249" i="9"/>
  <c r="D250" i="9"/>
  <c r="D251" i="9"/>
  <c r="D252" i="9"/>
  <c r="D253" i="9"/>
  <c r="D254" i="9"/>
  <c r="D255" i="9"/>
  <c r="D256" i="9"/>
  <c r="D257" i="9"/>
  <c r="D258" i="9"/>
  <c r="D259" i="9"/>
  <c r="D260" i="9"/>
  <c r="D261" i="9"/>
  <c r="D262" i="9"/>
  <c r="D263" i="9"/>
  <c r="D264" i="9"/>
  <c r="D265" i="9"/>
  <c r="D266" i="9"/>
  <c r="D267" i="9"/>
  <c r="D268" i="9"/>
  <c r="D269" i="9"/>
  <c r="D270" i="9"/>
  <c r="D271" i="9"/>
  <c r="D272" i="9"/>
  <c r="D273" i="9"/>
  <c r="D274" i="9"/>
  <c r="D275" i="9"/>
  <c r="D276" i="9"/>
  <c r="D277" i="9"/>
  <c r="D278" i="9"/>
  <c r="D279" i="9"/>
  <c r="D280" i="9"/>
  <c r="D281" i="9"/>
  <c r="D282" i="9"/>
  <c r="D283" i="9"/>
  <c r="D284" i="9"/>
  <c r="D285" i="9"/>
  <c r="D286" i="9"/>
  <c r="D287" i="9"/>
  <c r="D288" i="9"/>
  <c r="D289" i="9"/>
  <c r="D290" i="9"/>
  <c r="D291" i="9"/>
  <c r="D292" i="9"/>
  <c r="D293" i="9"/>
  <c r="D294" i="9"/>
  <c r="D295" i="9"/>
  <c r="D296" i="9"/>
  <c r="D297" i="9"/>
  <c r="D298" i="9"/>
  <c r="D299" i="9"/>
  <c r="D300" i="9"/>
  <c r="D301" i="9"/>
  <c r="D302" i="9"/>
  <c r="D303" i="9"/>
  <c r="D304" i="9"/>
  <c r="D305" i="9"/>
  <c r="D306" i="9"/>
  <c r="D307" i="9"/>
  <c r="D308" i="9"/>
  <c r="D309" i="9"/>
  <c r="D310" i="9"/>
  <c r="D311" i="9"/>
  <c r="D312" i="9"/>
  <c r="D313" i="9"/>
  <c r="D314" i="9"/>
  <c r="D315" i="9"/>
  <c r="D316" i="9"/>
  <c r="D317" i="9"/>
  <c r="D318" i="9"/>
  <c r="D319" i="9"/>
  <c r="D320" i="9"/>
  <c r="D321" i="9"/>
  <c r="D322" i="9"/>
  <c r="D323" i="9"/>
  <c r="D324" i="9"/>
  <c r="D325" i="9"/>
  <c r="D326" i="9"/>
  <c r="D327" i="9"/>
  <c r="D328" i="9"/>
  <c r="D329" i="9"/>
  <c r="D330" i="9"/>
  <c r="D331" i="9"/>
  <c r="D332" i="9"/>
  <c r="D333" i="9"/>
  <c r="D334" i="9"/>
  <c r="D335" i="9"/>
  <c r="D336" i="9"/>
  <c r="D337" i="9"/>
  <c r="D338" i="9"/>
  <c r="D339" i="9"/>
  <c r="D340" i="9"/>
  <c r="D341" i="9"/>
  <c r="D342" i="9"/>
  <c r="D343" i="9"/>
  <c r="D344" i="9"/>
  <c r="D345" i="9"/>
  <c r="D346" i="9"/>
  <c r="D347" i="9"/>
  <c r="D348" i="9"/>
  <c r="D349" i="9"/>
  <c r="D350" i="9"/>
  <c r="D351" i="9"/>
  <c r="D352" i="9"/>
  <c r="D353" i="9"/>
  <c r="D354" i="9"/>
  <c r="D355" i="9"/>
  <c r="D356" i="9"/>
  <c r="D357" i="9"/>
  <c r="D358" i="9"/>
  <c r="D359" i="9"/>
  <c r="D360" i="9"/>
  <c r="D361" i="9"/>
  <c r="D362" i="9"/>
  <c r="D363" i="9"/>
  <c r="D364" i="9"/>
  <c r="D365" i="9"/>
  <c r="D366" i="9"/>
  <c r="D367" i="9"/>
  <c r="D368" i="9"/>
  <c r="D369" i="9"/>
  <c r="D370" i="9"/>
  <c r="D371" i="9"/>
  <c r="D372" i="9"/>
  <c r="D373" i="9"/>
  <c r="D374" i="9"/>
  <c r="D375" i="9"/>
  <c r="D376" i="9"/>
  <c r="D377" i="9"/>
  <c r="D378" i="9"/>
  <c r="D379" i="9"/>
  <c r="D380" i="9"/>
  <c r="D381" i="9"/>
  <c r="D382" i="9"/>
  <c r="D383" i="9"/>
  <c r="D384" i="9"/>
  <c r="D385" i="9"/>
  <c r="D386" i="9"/>
  <c r="D387" i="9"/>
  <c r="D388" i="9"/>
  <c r="D389" i="9"/>
  <c r="D390" i="9"/>
  <c r="D391" i="9"/>
  <c r="D392" i="9"/>
  <c r="D393" i="9"/>
  <c r="D394" i="9"/>
  <c r="D395" i="9"/>
  <c r="D396" i="9"/>
  <c r="D397" i="9"/>
  <c r="D398" i="9"/>
  <c r="D399" i="9"/>
  <c r="D400" i="9"/>
  <c r="D401" i="9"/>
  <c r="D402" i="9"/>
  <c r="D403" i="9"/>
  <c r="D404" i="9"/>
  <c r="D405" i="9"/>
  <c r="D406" i="9"/>
  <c r="D407" i="9"/>
  <c r="D408" i="9"/>
  <c r="D409" i="9"/>
  <c r="D410" i="9"/>
  <c r="D411" i="9"/>
  <c r="D412" i="9"/>
  <c r="D413" i="9"/>
  <c r="D414" i="9"/>
  <c r="D415" i="9"/>
  <c r="D416" i="9"/>
  <c r="D417" i="9"/>
  <c r="D418" i="9"/>
  <c r="D419" i="9"/>
  <c r="D420" i="9"/>
  <c r="D421" i="9"/>
  <c r="D422" i="9"/>
  <c r="D423" i="9"/>
  <c r="D424" i="9"/>
  <c r="D425" i="9"/>
  <c r="D426" i="9"/>
  <c r="D427" i="9"/>
  <c r="D428" i="9"/>
  <c r="D429" i="9"/>
  <c r="D430" i="9"/>
  <c r="D431" i="9"/>
  <c r="D432" i="9"/>
  <c r="D433" i="9"/>
  <c r="D434" i="9"/>
  <c r="D435" i="9"/>
  <c r="D436" i="9"/>
  <c r="D437" i="9"/>
  <c r="D438" i="9"/>
  <c r="D439" i="9"/>
  <c r="D440" i="9"/>
  <c r="D441" i="9"/>
  <c r="D442" i="9"/>
  <c r="D443" i="9"/>
  <c r="D444" i="9"/>
  <c r="D445" i="9"/>
  <c r="D446" i="9"/>
  <c r="D447" i="9"/>
  <c r="D448" i="9"/>
  <c r="D449" i="9"/>
  <c r="D450" i="9"/>
  <c r="D451" i="9"/>
  <c r="D452" i="9"/>
  <c r="D453" i="9"/>
  <c r="D454" i="9"/>
  <c r="D455" i="9"/>
  <c r="D456" i="9"/>
  <c r="D457" i="9"/>
  <c r="D458" i="9"/>
  <c r="D459" i="9"/>
  <c r="D460" i="9"/>
  <c r="D461" i="9"/>
  <c r="D462" i="9"/>
  <c r="D463" i="9"/>
  <c r="D464" i="9"/>
  <c r="D465" i="9"/>
  <c r="D466" i="9"/>
  <c r="D467" i="9"/>
  <c r="D468" i="9"/>
  <c r="D469" i="9"/>
  <c r="D470" i="9"/>
  <c r="D471" i="9"/>
  <c r="D472" i="9"/>
  <c r="D473" i="9"/>
  <c r="D474" i="9"/>
  <c r="D475" i="9"/>
  <c r="D476" i="9"/>
  <c r="D477" i="9"/>
  <c r="D478" i="9"/>
  <c r="D479" i="9"/>
  <c r="D480" i="9"/>
  <c r="D481" i="9"/>
  <c r="D482" i="9"/>
  <c r="D483" i="9"/>
  <c r="D484" i="9"/>
  <c r="D485" i="9"/>
  <c r="D486" i="9"/>
  <c r="D487" i="9"/>
  <c r="D488" i="9"/>
  <c r="D489" i="9"/>
  <c r="D490" i="9"/>
  <c r="D491" i="9"/>
  <c r="D492" i="9"/>
  <c r="D493" i="9"/>
  <c r="D494" i="9"/>
  <c r="D495" i="9"/>
  <c r="D496" i="9"/>
  <c r="D497" i="9"/>
  <c r="D498" i="9"/>
  <c r="D499" i="9"/>
  <c r="D500" i="9"/>
  <c r="D501" i="9"/>
  <c r="D502" i="9"/>
  <c r="D503" i="9"/>
  <c r="D504" i="9"/>
  <c r="D505" i="9"/>
  <c r="D506" i="9"/>
  <c r="D507" i="9"/>
  <c r="D508" i="9"/>
  <c r="D509" i="9"/>
  <c r="D510" i="9"/>
  <c r="D511" i="9"/>
  <c r="D512" i="9"/>
  <c r="D513" i="9"/>
  <c r="D514" i="9"/>
  <c r="D515" i="9"/>
  <c r="D516" i="9"/>
  <c r="D517" i="9"/>
  <c r="D518" i="9"/>
  <c r="D519" i="9"/>
  <c r="D520" i="9"/>
  <c r="D521" i="9"/>
  <c r="D522" i="9"/>
  <c r="D523" i="9"/>
  <c r="D524" i="9"/>
  <c r="D525" i="9"/>
  <c r="D526" i="9"/>
  <c r="D527" i="9"/>
  <c r="D528" i="9"/>
  <c r="D529" i="9"/>
  <c r="D530" i="9"/>
  <c r="D531" i="9"/>
  <c r="D532" i="9"/>
  <c r="D533" i="9"/>
  <c r="D534" i="9"/>
  <c r="D535" i="9"/>
  <c r="D536" i="9"/>
  <c r="D537" i="9"/>
  <c r="D538" i="9"/>
  <c r="D539" i="9"/>
  <c r="D540" i="9"/>
  <c r="D541" i="9"/>
  <c r="D542" i="9"/>
  <c r="D543" i="9"/>
  <c r="D544" i="9"/>
  <c r="D545" i="9"/>
  <c r="D546" i="9"/>
  <c r="D547" i="9"/>
  <c r="D548" i="9"/>
  <c r="D549" i="9"/>
  <c r="D550" i="9"/>
  <c r="D551" i="9"/>
  <c r="D552" i="9"/>
  <c r="D553" i="9"/>
  <c r="D554" i="9"/>
  <c r="D555" i="9"/>
  <c r="D556" i="9"/>
  <c r="D557" i="9"/>
  <c r="D558" i="9"/>
  <c r="D559" i="9"/>
  <c r="D560" i="9"/>
  <c r="D561" i="9"/>
  <c r="D562" i="9"/>
  <c r="D563" i="9"/>
  <c r="D564" i="9"/>
  <c r="D565" i="9"/>
  <c r="D566" i="9"/>
  <c r="D567" i="9"/>
  <c r="D568" i="9"/>
  <c r="D569" i="9"/>
  <c r="D570" i="9"/>
  <c r="D571" i="9"/>
  <c r="D572" i="9"/>
  <c r="D573" i="9"/>
  <c r="D574" i="9"/>
  <c r="D575" i="9"/>
  <c r="D576" i="9"/>
  <c r="D577" i="9"/>
  <c r="D578" i="9"/>
  <c r="D579" i="9"/>
  <c r="D580" i="9"/>
  <c r="D581" i="9"/>
  <c r="D582" i="9"/>
  <c r="D583" i="9"/>
  <c r="D584" i="9"/>
  <c r="D585" i="9"/>
  <c r="D586" i="9"/>
  <c r="D587" i="9"/>
  <c r="D588" i="9"/>
  <c r="D589" i="9"/>
  <c r="D590" i="9"/>
  <c r="D591" i="9"/>
  <c r="D592" i="9"/>
  <c r="D593" i="9"/>
  <c r="D594" i="9"/>
  <c r="D595" i="9"/>
  <c r="D596" i="9"/>
  <c r="D597" i="9"/>
  <c r="D598" i="9"/>
  <c r="D599" i="9"/>
  <c r="D600" i="9"/>
  <c r="D601" i="9"/>
  <c r="D602" i="9"/>
  <c r="D603" i="9"/>
  <c r="D604" i="9"/>
  <c r="D605" i="9"/>
  <c r="D606" i="9"/>
  <c r="D607" i="9"/>
  <c r="D608" i="9"/>
  <c r="D609" i="9"/>
  <c r="D610" i="9"/>
  <c r="D611" i="9"/>
  <c r="D612" i="9"/>
  <c r="D613" i="9"/>
  <c r="D614" i="9"/>
  <c r="D615" i="9"/>
  <c r="D616" i="9"/>
  <c r="D617" i="9"/>
  <c r="D618" i="9"/>
  <c r="D619" i="9"/>
  <c r="D620" i="9"/>
  <c r="D621" i="9"/>
  <c r="D622" i="9"/>
  <c r="D623" i="9"/>
  <c r="D624" i="9"/>
  <c r="D625" i="9"/>
  <c r="D626" i="9"/>
  <c r="D627" i="9"/>
  <c r="D628" i="9"/>
  <c r="D629" i="9"/>
  <c r="D630" i="9"/>
  <c r="D631" i="9"/>
  <c r="D632" i="9"/>
  <c r="D633" i="9"/>
  <c r="D634" i="9"/>
  <c r="D635" i="9"/>
  <c r="D636" i="9"/>
  <c r="D637" i="9"/>
  <c r="D638" i="9"/>
  <c r="D639" i="9"/>
  <c r="D640" i="9"/>
  <c r="D641" i="9"/>
  <c r="D642" i="9"/>
  <c r="D643" i="9"/>
  <c r="D644" i="9"/>
  <c r="D645" i="9"/>
  <c r="D646" i="9"/>
  <c r="D647" i="9"/>
  <c r="D648" i="9"/>
  <c r="D649" i="9"/>
  <c r="D650" i="9"/>
  <c r="D651" i="9"/>
  <c r="D652" i="9"/>
  <c r="D653" i="9"/>
  <c r="D654" i="9"/>
  <c r="D655" i="9"/>
  <c r="D656" i="9"/>
  <c r="D657" i="9"/>
  <c r="D658" i="9"/>
  <c r="D659" i="9"/>
  <c r="D660" i="9"/>
  <c r="D661" i="9"/>
  <c r="D662" i="9"/>
  <c r="D663" i="9"/>
  <c r="D664" i="9"/>
  <c r="D665" i="9"/>
  <c r="D666" i="9"/>
  <c r="D667" i="9"/>
  <c r="D668" i="9"/>
  <c r="D669" i="9"/>
  <c r="D670" i="9"/>
  <c r="D671" i="9"/>
  <c r="D672" i="9"/>
  <c r="D673" i="9"/>
  <c r="D674" i="9"/>
  <c r="D675" i="9"/>
  <c r="D676" i="9"/>
  <c r="D677" i="9"/>
  <c r="D678" i="9"/>
  <c r="D679" i="9"/>
  <c r="D680" i="9"/>
  <c r="D681" i="9"/>
  <c r="D682" i="9"/>
  <c r="D683" i="9"/>
  <c r="D684" i="9"/>
  <c r="D685" i="9"/>
  <c r="D686" i="9"/>
  <c r="D687" i="9"/>
  <c r="D688" i="9"/>
  <c r="D689" i="9"/>
  <c r="D690" i="9"/>
  <c r="D691" i="9"/>
  <c r="D692" i="9"/>
  <c r="D693" i="9"/>
  <c r="D694" i="9"/>
  <c r="D695" i="9"/>
  <c r="D696" i="9"/>
  <c r="D697" i="9"/>
  <c r="D698" i="9"/>
  <c r="D699" i="9"/>
  <c r="D700" i="9"/>
  <c r="D701" i="9"/>
  <c r="D702" i="9"/>
  <c r="D703" i="9"/>
  <c r="D704" i="9"/>
  <c r="D705" i="9"/>
  <c r="D706" i="9"/>
  <c r="D707" i="9"/>
  <c r="D708" i="9"/>
  <c r="D709" i="9"/>
  <c r="D710" i="9"/>
  <c r="D711" i="9"/>
  <c r="D712" i="9"/>
  <c r="D713" i="9"/>
  <c r="D714" i="9"/>
  <c r="D715" i="9"/>
  <c r="D716" i="9"/>
  <c r="D717" i="9"/>
  <c r="D718" i="9"/>
  <c r="D719" i="9"/>
  <c r="D720" i="9"/>
  <c r="D721" i="9"/>
  <c r="D722" i="9"/>
  <c r="D723" i="9"/>
  <c r="D724" i="9"/>
  <c r="D725" i="9"/>
  <c r="D726" i="9"/>
  <c r="D727" i="9"/>
  <c r="D728" i="9"/>
  <c r="D729" i="9"/>
  <c r="D730" i="9"/>
  <c r="D731" i="9"/>
  <c r="D732" i="9"/>
  <c r="D733" i="9"/>
  <c r="D734" i="9"/>
  <c r="D735" i="9"/>
  <c r="D736" i="9"/>
  <c r="D737" i="9"/>
  <c r="D738" i="9"/>
  <c r="D739" i="9"/>
  <c r="D740" i="9"/>
  <c r="D741" i="9"/>
  <c r="D742" i="9"/>
  <c r="D743" i="9"/>
  <c r="D744" i="9"/>
  <c r="D745" i="9"/>
  <c r="D746" i="9"/>
  <c r="D747" i="9"/>
  <c r="D748" i="9"/>
  <c r="D749" i="9"/>
  <c r="D750" i="9"/>
  <c r="D751" i="9"/>
  <c r="D752" i="9"/>
  <c r="D753" i="9"/>
  <c r="D754" i="9"/>
  <c r="D755" i="9"/>
  <c r="D756" i="9"/>
  <c r="D757" i="9"/>
  <c r="D758" i="9"/>
  <c r="D759" i="9"/>
  <c r="D760" i="9"/>
  <c r="D761" i="9"/>
  <c r="D762" i="9"/>
  <c r="D763" i="9"/>
  <c r="D764" i="9"/>
  <c r="D765" i="9"/>
  <c r="D766" i="9"/>
  <c r="D767" i="9"/>
  <c r="D768" i="9"/>
  <c r="D769" i="9"/>
  <c r="D770" i="9"/>
  <c r="D771" i="9"/>
  <c r="D772" i="9"/>
  <c r="D773" i="9"/>
  <c r="D774" i="9"/>
  <c r="D775" i="9"/>
  <c r="D776" i="9"/>
  <c r="D777" i="9"/>
  <c r="D778" i="9"/>
  <c r="D779" i="9"/>
  <c r="D780" i="9"/>
  <c r="D781" i="9"/>
  <c r="D782" i="9"/>
  <c r="D783" i="9"/>
  <c r="D784" i="9"/>
  <c r="D785" i="9"/>
  <c r="D786" i="9"/>
  <c r="D787" i="9"/>
  <c r="D788" i="9"/>
  <c r="D789" i="9"/>
  <c r="D790" i="9"/>
  <c r="D791" i="9"/>
  <c r="D792" i="9"/>
  <c r="D793" i="9"/>
  <c r="D794" i="9"/>
  <c r="D795" i="9"/>
  <c r="D796" i="9"/>
  <c r="D797" i="9"/>
  <c r="D798" i="9"/>
  <c r="D799" i="9"/>
  <c r="D800" i="9"/>
  <c r="D801" i="9"/>
  <c r="D802" i="9"/>
  <c r="D803" i="9"/>
  <c r="D804" i="9"/>
  <c r="D805" i="9"/>
  <c r="D806" i="9"/>
  <c r="D807" i="9"/>
  <c r="D808" i="9"/>
  <c r="D809" i="9"/>
  <c r="D810" i="9"/>
  <c r="D811" i="9"/>
  <c r="D812" i="9"/>
  <c r="D813" i="9"/>
  <c r="D814" i="9"/>
  <c r="D815" i="9"/>
  <c r="D816" i="9"/>
  <c r="D817" i="9"/>
  <c r="D818" i="9"/>
  <c r="D819" i="9"/>
  <c r="D820" i="9"/>
  <c r="D821" i="9"/>
  <c r="D822" i="9"/>
  <c r="D823" i="9"/>
  <c r="D824" i="9"/>
  <c r="D825" i="9"/>
  <c r="D826" i="9"/>
  <c r="D827" i="9"/>
  <c r="D828" i="9"/>
  <c r="D829" i="9"/>
  <c r="D830" i="9"/>
  <c r="D831" i="9"/>
  <c r="D832" i="9"/>
  <c r="D833" i="9"/>
  <c r="D834" i="9"/>
  <c r="D835" i="9"/>
  <c r="D836" i="9"/>
  <c r="D837" i="9"/>
  <c r="D838" i="9"/>
  <c r="D839" i="9"/>
  <c r="D840" i="9"/>
  <c r="D841" i="9"/>
  <c r="D842" i="9"/>
  <c r="D843" i="9"/>
  <c r="D844" i="9"/>
  <c r="D845" i="9"/>
  <c r="D846" i="9"/>
  <c r="D847" i="9"/>
  <c r="D848" i="9"/>
  <c r="D849" i="9"/>
  <c r="D850" i="9"/>
  <c r="D851" i="9"/>
  <c r="D852" i="9"/>
  <c r="D853" i="9"/>
  <c r="D854" i="9"/>
  <c r="D855" i="9"/>
  <c r="D856" i="9"/>
  <c r="D857" i="9"/>
  <c r="D858" i="9"/>
  <c r="D859" i="9"/>
  <c r="D860" i="9"/>
  <c r="D861" i="9"/>
  <c r="D862" i="9"/>
  <c r="D863" i="9"/>
  <c r="D864" i="9"/>
  <c r="D865" i="9"/>
  <c r="D866" i="9"/>
  <c r="D867" i="9"/>
  <c r="D868" i="9"/>
  <c r="D869" i="9"/>
  <c r="D870" i="9"/>
  <c r="D871" i="9"/>
  <c r="D872" i="9"/>
  <c r="D873" i="9"/>
  <c r="D874" i="9"/>
  <c r="D875" i="9"/>
  <c r="D876" i="9"/>
  <c r="D877" i="9"/>
  <c r="D878" i="9"/>
  <c r="D879" i="9"/>
  <c r="D880" i="9"/>
  <c r="D881" i="9"/>
  <c r="D882" i="9"/>
  <c r="D883" i="9"/>
  <c r="D884" i="9"/>
  <c r="D885" i="9"/>
  <c r="D886" i="9"/>
  <c r="D887" i="9"/>
  <c r="D888" i="9"/>
  <c r="D889" i="9"/>
  <c r="D890" i="9"/>
  <c r="D891" i="9"/>
  <c r="D892" i="9"/>
  <c r="D893" i="9"/>
  <c r="D894" i="9"/>
  <c r="D895" i="9"/>
  <c r="D896" i="9"/>
  <c r="D897" i="9"/>
  <c r="D898" i="9"/>
  <c r="D899" i="9"/>
  <c r="D900" i="9"/>
  <c r="D901" i="9"/>
  <c r="D902" i="9"/>
  <c r="D903" i="9"/>
  <c r="D904" i="9"/>
  <c r="D905" i="9"/>
  <c r="D906" i="9"/>
  <c r="D907" i="9"/>
  <c r="D908" i="9"/>
  <c r="D909" i="9"/>
  <c r="D910" i="9"/>
  <c r="D911" i="9"/>
  <c r="D912" i="9"/>
  <c r="D913" i="9"/>
  <c r="D914" i="9"/>
  <c r="D915" i="9"/>
  <c r="D916" i="9"/>
  <c r="D917" i="9"/>
  <c r="D918" i="9"/>
  <c r="D919" i="9"/>
  <c r="D920" i="9"/>
  <c r="D921" i="9"/>
  <c r="D922" i="9"/>
  <c r="D923" i="9"/>
  <c r="D924" i="9"/>
  <c r="D925" i="9"/>
  <c r="D926" i="9"/>
  <c r="D927" i="9"/>
  <c r="D928" i="9"/>
  <c r="D929" i="9"/>
  <c r="D930" i="9"/>
  <c r="D931" i="9"/>
  <c r="D932" i="9"/>
  <c r="D933" i="9"/>
  <c r="D934" i="9"/>
  <c r="D935" i="9"/>
  <c r="D936" i="9"/>
  <c r="D937" i="9"/>
  <c r="D938" i="9"/>
  <c r="D939" i="9"/>
  <c r="D940" i="9"/>
  <c r="D941" i="9"/>
  <c r="D942" i="9"/>
  <c r="D943" i="9"/>
  <c r="D944" i="9"/>
  <c r="D945" i="9"/>
  <c r="D946" i="9"/>
  <c r="D947" i="9"/>
  <c r="D948" i="9"/>
  <c r="D949" i="9"/>
  <c r="D950" i="9"/>
  <c r="D951" i="9"/>
  <c r="D952" i="9"/>
  <c r="D953" i="9"/>
  <c r="D954" i="9"/>
  <c r="D955" i="9"/>
  <c r="D956" i="9"/>
  <c r="D957" i="9"/>
  <c r="D958" i="9"/>
  <c r="D959" i="9"/>
  <c r="D960" i="9"/>
  <c r="D961" i="9"/>
  <c r="D962" i="9"/>
  <c r="D963" i="9"/>
  <c r="D964" i="9"/>
  <c r="D965" i="9"/>
  <c r="D966" i="9"/>
  <c r="D967" i="9"/>
  <c r="D968" i="9"/>
  <c r="D969" i="9"/>
  <c r="D970" i="9"/>
  <c r="D971" i="9"/>
  <c r="D972" i="9"/>
  <c r="D973" i="9"/>
  <c r="D974" i="9"/>
  <c r="D975" i="9"/>
  <c r="D976" i="9"/>
  <c r="D977" i="9"/>
  <c r="D978" i="9"/>
  <c r="D979" i="9"/>
  <c r="D980" i="9"/>
  <c r="D981" i="9"/>
  <c r="D982" i="9"/>
  <c r="D983" i="9"/>
  <c r="D984" i="9"/>
  <c r="D985" i="9"/>
  <c r="D986" i="9"/>
  <c r="D987" i="9"/>
  <c r="D988" i="9"/>
  <c r="D989" i="9"/>
  <c r="D990" i="9"/>
  <c r="D991" i="9"/>
  <c r="D992" i="9"/>
  <c r="D993" i="9"/>
  <c r="D994" i="9"/>
  <c r="D995" i="9"/>
  <c r="D996" i="9"/>
  <c r="D997" i="9"/>
  <c r="D998" i="9"/>
  <c r="D999" i="9"/>
  <c r="D1000" i="9"/>
  <c r="D1001" i="9"/>
  <c r="D1002" i="9"/>
  <c r="D1003" i="9"/>
  <c r="D1004" i="9"/>
  <c r="D1005" i="9"/>
  <c r="D1006" i="9"/>
  <c r="D1007" i="9"/>
  <c r="D1008" i="9"/>
  <c r="D1009" i="9"/>
  <c r="D1010" i="9"/>
  <c r="D1011" i="9"/>
  <c r="D1012" i="9"/>
  <c r="D1013" i="9"/>
  <c r="D1014" i="9"/>
  <c r="D1015" i="9"/>
  <c r="D1016" i="9"/>
  <c r="D1017" i="9"/>
  <c r="D1018" i="9"/>
  <c r="D1019" i="9"/>
  <c r="D1020" i="9"/>
  <c r="D1021" i="9"/>
  <c r="D1022" i="9"/>
  <c r="D1023" i="9"/>
  <c r="D1024" i="9"/>
  <c r="D1025" i="9"/>
  <c r="D1026" i="9"/>
  <c r="D1027" i="9"/>
  <c r="D1028" i="9"/>
  <c r="D1029" i="9"/>
  <c r="D1030" i="9"/>
  <c r="D1031" i="9"/>
  <c r="D1032" i="9"/>
  <c r="D1033" i="9"/>
  <c r="D1034" i="9"/>
  <c r="D1035" i="9"/>
  <c r="D1036" i="9"/>
  <c r="D1037" i="9"/>
  <c r="D1038" i="9"/>
  <c r="D1039" i="9"/>
  <c r="D1040" i="9"/>
  <c r="D1041" i="9"/>
  <c r="D1042" i="9"/>
  <c r="D1043" i="9"/>
  <c r="D1044" i="9"/>
  <c r="D1045" i="9"/>
  <c r="D1046" i="9"/>
  <c r="D1047" i="9"/>
  <c r="D1048" i="9"/>
  <c r="D1049" i="9"/>
  <c r="D1050" i="9"/>
  <c r="D1051" i="9"/>
  <c r="D1052" i="9"/>
  <c r="D1053" i="9"/>
  <c r="D1054" i="9"/>
  <c r="D1055" i="9"/>
  <c r="D1056" i="9"/>
  <c r="D1057" i="9"/>
  <c r="D1058" i="9"/>
  <c r="D1059" i="9"/>
  <c r="D1060" i="9"/>
  <c r="D1061" i="9"/>
  <c r="D1062" i="9"/>
  <c r="D1063" i="9"/>
  <c r="D1064" i="9"/>
  <c r="D1065" i="9"/>
  <c r="D1066" i="9"/>
  <c r="D1067" i="9"/>
  <c r="D1068" i="9"/>
  <c r="D1069" i="9"/>
  <c r="D1070" i="9"/>
  <c r="D1071" i="9"/>
  <c r="D1072" i="9"/>
  <c r="D1073" i="9"/>
  <c r="D1074" i="9"/>
  <c r="D1075" i="9"/>
  <c r="D1076" i="9"/>
  <c r="D1077" i="9"/>
  <c r="D1078" i="9"/>
  <c r="D1079" i="9"/>
  <c r="D1080" i="9"/>
  <c r="D1081" i="9"/>
  <c r="D1082" i="9"/>
  <c r="D1083" i="9"/>
  <c r="D1084" i="9"/>
  <c r="D1085" i="9"/>
  <c r="D1086" i="9"/>
  <c r="D1087" i="9"/>
  <c r="D1088" i="9"/>
  <c r="D1089" i="9"/>
  <c r="D1090" i="9"/>
  <c r="D1091" i="9"/>
  <c r="D1092" i="9"/>
  <c r="D1093" i="9"/>
  <c r="D1094" i="9"/>
  <c r="D1095" i="9"/>
  <c r="D1096" i="9"/>
  <c r="D1097" i="9"/>
  <c r="D1098" i="9"/>
  <c r="D1099" i="9"/>
  <c r="D1100" i="9"/>
  <c r="D1101" i="9"/>
  <c r="D1102" i="9"/>
  <c r="D1103" i="9"/>
  <c r="D1104" i="9"/>
  <c r="D1105" i="9"/>
  <c r="D1106" i="9"/>
  <c r="D1107" i="9"/>
  <c r="D1108" i="9"/>
  <c r="D1109" i="9"/>
  <c r="D1110" i="9"/>
  <c r="D1111" i="9"/>
  <c r="D1112" i="9"/>
  <c r="D1113" i="9"/>
  <c r="D1114" i="9"/>
  <c r="D1115" i="9"/>
  <c r="D1116" i="9"/>
  <c r="D1117" i="9"/>
  <c r="D1118" i="9"/>
  <c r="D1119" i="9"/>
  <c r="D1120" i="9"/>
  <c r="D1121" i="9"/>
  <c r="D1122" i="9"/>
  <c r="D1123" i="9"/>
  <c r="D1124" i="9"/>
  <c r="D1125" i="9"/>
  <c r="D1126" i="9"/>
  <c r="D1127" i="9"/>
  <c r="D1128" i="9"/>
  <c r="D1129" i="9"/>
  <c r="D1130" i="9"/>
  <c r="D1131" i="9"/>
  <c r="D1132" i="9"/>
  <c r="D1133" i="9"/>
  <c r="D1134" i="9"/>
  <c r="D1135" i="9"/>
  <c r="D1136" i="9"/>
  <c r="D1137" i="9"/>
  <c r="D1138" i="9"/>
  <c r="D1139" i="9"/>
  <c r="D1140" i="9"/>
  <c r="D1141" i="9"/>
  <c r="D1142" i="9"/>
  <c r="D1143" i="9"/>
  <c r="D1144" i="9"/>
  <c r="D1145" i="9"/>
  <c r="D1146" i="9"/>
  <c r="D1147" i="9"/>
  <c r="D1148" i="9"/>
  <c r="D1149" i="9"/>
  <c r="D1150" i="9"/>
  <c r="D1151" i="9"/>
  <c r="D1152" i="9"/>
  <c r="D1153" i="9"/>
  <c r="D1154" i="9"/>
  <c r="D1155" i="9"/>
  <c r="D1156" i="9"/>
  <c r="D1157" i="9"/>
  <c r="D1158" i="9"/>
  <c r="D1159" i="9"/>
  <c r="D1160" i="9"/>
  <c r="D1161" i="9"/>
  <c r="D1162" i="9"/>
  <c r="D1163" i="9"/>
  <c r="D1164" i="9"/>
  <c r="D1165" i="9"/>
  <c r="D1166" i="9"/>
  <c r="D1167" i="9"/>
  <c r="D1168" i="9"/>
  <c r="D1169" i="9"/>
  <c r="D1170" i="9"/>
  <c r="D1171" i="9"/>
  <c r="D1172" i="9"/>
  <c r="D1173" i="9"/>
  <c r="D1174" i="9"/>
  <c r="D1175" i="9"/>
  <c r="D1176" i="9"/>
  <c r="D1177" i="9"/>
  <c r="D1178" i="9"/>
  <c r="D1179" i="9"/>
  <c r="D1180" i="9"/>
  <c r="D1181" i="9"/>
  <c r="D1182" i="9"/>
  <c r="D1183" i="9"/>
  <c r="D1184" i="9"/>
  <c r="D1185" i="9"/>
  <c r="D1186" i="9"/>
  <c r="D1187" i="9"/>
  <c r="D1188" i="9"/>
  <c r="D1189" i="9"/>
  <c r="D1190" i="9"/>
  <c r="D1191" i="9"/>
  <c r="D1192" i="9"/>
  <c r="D1193" i="9"/>
  <c r="D1194" i="9"/>
  <c r="D1195" i="9"/>
  <c r="D1196" i="9"/>
  <c r="D1197" i="9"/>
  <c r="D1198" i="9"/>
  <c r="D1199" i="9"/>
  <c r="D1200" i="9"/>
  <c r="D1201" i="9"/>
  <c r="D1202" i="9"/>
  <c r="D1203" i="9"/>
  <c r="D1204" i="9"/>
  <c r="D1205" i="9"/>
  <c r="D1206" i="9"/>
  <c r="D1207" i="9"/>
  <c r="D1208" i="9"/>
  <c r="D1209" i="9"/>
  <c r="D1210" i="9"/>
  <c r="D1211" i="9"/>
  <c r="D1212" i="9"/>
  <c r="D1213" i="9"/>
  <c r="D1214" i="9"/>
  <c r="D1215" i="9"/>
  <c r="D1216" i="9"/>
  <c r="D1217" i="9"/>
  <c r="D1218" i="9"/>
  <c r="D1219" i="9"/>
  <c r="D1220" i="9"/>
  <c r="D1221" i="9"/>
  <c r="D1222" i="9"/>
  <c r="D1223" i="9"/>
  <c r="D1224" i="9"/>
  <c r="D1225" i="9"/>
  <c r="D1226" i="9"/>
  <c r="D1227" i="9"/>
  <c r="D1228" i="9"/>
  <c r="D1229" i="9"/>
  <c r="D1230" i="9"/>
  <c r="D1231" i="9"/>
  <c r="D1232" i="9"/>
  <c r="D1233" i="9"/>
  <c r="D1234" i="9"/>
  <c r="D1235" i="9"/>
  <c r="D1236" i="9"/>
  <c r="D1237" i="9"/>
  <c r="D1238" i="9"/>
  <c r="D1239" i="9"/>
  <c r="D1240" i="9"/>
  <c r="D1241" i="9"/>
  <c r="D1242" i="9"/>
  <c r="D1243" i="9"/>
  <c r="D1244" i="9"/>
  <c r="D1245" i="9"/>
  <c r="D1246" i="9"/>
  <c r="D1247" i="9"/>
  <c r="D1248" i="9"/>
  <c r="D1249" i="9"/>
  <c r="D1250" i="9"/>
  <c r="D1251" i="9"/>
  <c r="D1252" i="9"/>
  <c r="D1253" i="9"/>
  <c r="D1254" i="9"/>
  <c r="D1255" i="9"/>
  <c r="D1256" i="9"/>
  <c r="D1257" i="9"/>
  <c r="D1258" i="9"/>
  <c r="D1259" i="9"/>
  <c r="D1260" i="9"/>
  <c r="D1261" i="9"/>
  <c r="D1262" i="9"/>
  <c r="D1263" i="9"/>
  <c r="D1264" i="9"/>
  <c r="D1265" i="9"/>
  <c r="D1266" i="9"/>
  <c r="D1267" i="9"/>
  <c r="D1268" i="9"/>
  <c r="D1269" i="9"/>
  <c r="D1270" i="9"/>
  <c r="D1271" i="9"/>
  <c r="D1272" i="9"/>
  <c r="D1273" i="9"/>
  <c r="D1274" i="9"/>
  <c r="D1275" i="9"/>
  <c r="D1276" i="9"/>
  <c r="D1277" i="9"/>
  <c r="D1278" i="9"/>
  <c r="D1279" i="9"/>
  <c r="D1280" i="9"/>
  <c r="D1281" i="9"/>
  <c r="D1282" i="9"/>
  <c r="D1283" i="9"/>
  <c r="D1284" i="9"/>
  <c r="D1285" i="9"/>
  <c r="D1286" i="9"/>
  <c r="D1287" i="9"/>
  <c r="D1288" i="9"/>
  <c r="D1289" i="9"/>
  <c r="D1290" i="9"/>
  <c r="D1291" i="9"/>
  <c r="D1292" i="9"/>
  <c r="D1293" i="9"/>
  <c r="D1294" i="9"/>
  <c r="D1295" i="9"/>
  <c r="D1296" i="9"/>
  <c r="D1297" i="9"/>
  <c r="D1298" i="9"/>
  <c r="D1299" i="9"/>
  <c r="D1300" i="9"/>
  <c r="D1301" i="9"/>
  <c r="D1302" i="9"/>
  <c r="D1303" i="9"/>
  <c r="D1304" i="9"/>
  <c r="D1305" i="9"/>
  <c r="D1306" i="9"/>
  <c r="D1307" i="9"/>
  <c r="D1308" i="9"/>
  <c r="D1309" i="9"/>
  <c r="D1310" i="9"/>
  <c r="D1311" i="9"/>
  <c r="D1312" i="9"/>
  <c r="D1313" i="9"/>
  <c r="D1314" i="9"/>
  <c r="D1315" i="9"/>
  <c r="D1316" i="9"/>
  <c r="D1317" i="9"/>
  <c r="D1318" i="9"/>
  <c r="D1319" i="9"/>
  <c r="D1320" i="9"/>
  <c r="D1321" i="9"/>
  <c r="D1322" i="9"/>
  <c r="D1323" i="9"/>
  <c r="D1324" i="9"/>
  <c r="D1325" i="9"/>
  <c r="D1326" i="9"/>
  <c r="D1327" i="9"/>
  <c r="D1328" i="9"/>
  <c r="D1329" i="9"/>
  <c r="D1330" i="9"/>
  <c r="D1331" i="9"/>
  <c r="D1332" i="9"/>
  <c r="D1333" i="9"/>
  <c r="D1334" i="9"/>
  <c r="D1335" i="9"/>
  <c r="D1336" i="9"/>
  <c r="D1337" i="9"/>
  <c r="D1338" i="9"/>
  <c r="D1339" i="9"/>
  <c r="D1340" i="9"/>
  <c r="D1341" i="9"/>
  <c r="D1342" i="9"/>
  <c r="D1343" i="9"/>
  <c r="D1344" i="9"/>
  <c r="D1345" i="9"/>
  <c r="D1346" i="9"/>
  <c r="D1347" i="9"/>
  <c r="D1348" i="9"/>
  <c r="D1349" i="9"/>
  <c r="D1350" i="9"/>
  <c r="D1351" i="9"/>
  <c r="D1352" i="9"/>
  <c r="D1353" i="9"/>
  <c r="D1354" i="9"/>
  <c r="D1355" i="9"/>
  <c r="D1356" i="9"/>
  <c r="D1357" i="9"/>
  <c r="D1358" i="9"/>
  <c r="D1359" i="9"/>
  <c r="D1360" i="9"/>
  <c r="D1361" i="9"/>
  <c r="D1362" i="9"/>
  <c r="D1363" i="9"/>
  <c r="D1364" i="9"/>
  <c r="D1365" i="9"/>
  <c r="D1366" i="9"/>
  <c r="D1367" i="9"/>
  <c r="D1368" i="9"/>
  <c r="D1369" i="9"/>
  <c r="D1370" i="9"/>
  <c r="D1371" i="9"/>
  <c r="D1372" i="9"/>
  <c r="D1373" i="9"/>
  <c r="D1374" i="9"/>
  <c r="D1375" i="9"/>
  <c r="D1376" i="9"/>
  <c r="D1377" i="9"/>
  <c r="D1378" i="9"/>
  <c r="D1379" i="9"/>
  <c r="D1380" i="9"/>
  <c r="D1381" i="9"/>
  <c r="D1382" i="9"/>
  <c r="D1383" i="9"/>
  <c r="D1384" i="9"/>
  <c r="D1385" i="9"/>
  <c r="D1386" i="9"/>
  <c r="D1387" i="9"/>
  <c r="D1388" i="9"/>
  <c r="D1389" i="9"/>
  <c r="D1390" i="9"/>
  <c r="D1391" i="9"/>
  <c r="D1392" i="9"/>
  <c r="D1393" i="9"/>
  <c r="D1394" i="9"/>
  <c r="D1395" i="9"/>
  <c r="D1396" i="9"/>
  <c r="D1397" i="9"/>
  <c r="D1398" i="9"/>
  <c r="D1399" i="9"/>
  <c r="D1400" i="9"/>
  <c r="D1401" i="9"/>
  <c r="D1402" i="9"/>
  <c r="D1403" i="9"/>
  <c r="D1404" i="9"/>
  <c r="D1405" i="9"/>
  <c r="D1406" i="9"/>
  <c r="D1407" i="9"/>
  <c r="D1408" i="9"/>
  <c r="D1409" i="9"/>
  <c r="D1410" i="9"/>
  <c r="D1411" i="9"/>
  <c r="D1412" i="9"/>
  <c r="D1413" i="9"/>
  <c r="D1414" i="9"/>
  <c r="D1415" i="9"/>
  <c r="D1416" i="9"/>
  <c r="D1417" i="9"/>
  <c r="D1418" i="9"/>
  <c r="D1419" i="9"/>
  <c r="D1420" i="9"/>
  <c r="D1421" i="9"/>
  <c r="D1422" i="9"/>
  <c r="D1423" i="9"/>
  <c r="D1424" i="9"/>
  <c r="D1425" i="9"/>
  <c r="D1426" i="9"/>
  <c r="D1427" i="9"/>
  <c r="D1428" i="9"/>
  <c r="D1429" i="9"/>
  <c r="D1430" i="9"/>
  <c r="D1431" i="9"/>
  <c r="D1432" i="9"/>
  <c r="D1433" i="9"/>
  <c r="D1434" i="9"/>
  <c r="D1435" i="9"/>
  <c r="D1436" i="9"/>
  <c r="D1437" i="9"/>
  <c r="D1438" i="9"/>
  <c r="D1439" i="9"/>
  <c r="D1440" i="9"/>
  <c r="D1441" i="9"/>
  <c r="D1442" i="9"/>
  <c r="D1443" i="9"/>
  <c r="D1444" i="9"/>
  <c r="D1445" i="9"/>
  <c r="D1446" i="9"/>
  <c r="D1447" i="9"/>
  <c r="D1448" i="9"/>
  <c r="D1449" i="9"/>
  <c r="D1450" i="9"/>
  <c r="D1451" i="9"/>
  <c r="D1452" i="9"/>
  <c r="D1453" i="9"/>
  <c r="D1454" i="9"/>
  <c r="D1455" i="9"/>
  <c r="D1456" i="9"/>
  <c r="D1457" i="9"/>
  <c r="D1458" i="9"/>
  <c r="D1459" i="9"/>
  <c r="D1460" i="9"/>
  <c r="D1461" i="9"/>
  <c r="D1462" i="9"/>
  <c r="D1463" i="9"/>
  <c r="D1464" i="9"/>
  <c r="D1465" i="9"/>
  <c r="D1466" i="9"/>
  <c r="D1467" i="9"/>
  <c r="D1468" i="9"/>
  <c r="D1469" i="9"/>
  <c r="D1470" i="9"/>
  <c r="D1471" i="9"/>
  <c r="D1472" i="9"/>
  <c r="D1473" i="9"/>
  <c r="D1474" i="9"/>
  <c r="D1475" i="9"/>
  <c r="D1476" i="9"/>
  <c r="D1477" i="9"/>
  <c r="D1478" i="9"/>
  <c r="D1479" i="9"/>
  <c r="D1480" i="9"/>
  <c r="D1481" i="9"/>
  <c r="D1482" i="9"/>
  <c r="D1483" i="9"/>
  <c r="D1484" i="9"/>
  <c r="D1485" i="9"/>
  <c r="D1486" i="9"/>
  <c r="D1487" i="9"/>
  <c r="D1488" i="9"/>
  <c r="D1489" i="9"/>
  <c r="D1490" i="9"/>
  <c r="D1491" i="9"/>
  <c r="D1492" i="9"/>
  <c r="D1493" i="9"/>
  <c r="D1494" i="9"/>
  <c r="D1495" i="9"/>
  <c r="D1496" i="9"/>
  <c r="D1497" i="9"/>
  <c r="D1498" i="9"/>
  <c r="D1499" i="9"/>
  <c r="D1500" i="9"/>
  <c r="D1501" i="9"/>
  <c r="D1502" i="9"/>
  <c r="D1503" i="9"/>
  <c r="D1504" i="9"/>
  <c r="D1505" i="9"/>
  <c r="D1506" i="9"/>
  <c r="D1507" i="9"/>
  <c r="D1508" i="9"/>
  <c r="D1509" i="9"/>
  <c r="D1510" i="9"/>
  <c r="D1511" i="9"/>
  <c r="D1512" i="9"/>
  <c r="D1513" i="9"/>
  <c r="D1514" i="9"/>
  <c r="D1515" i="9"/>
  <c r="D1516" i="9"/>
  <c r="D1517" i="9"/>
  <c r="D1518" i="9"/>
  <c r="D1519" i="9"/>
  <c r="D1520" i="9"/>
  <c r="D1521" i="9"/>
  <c r="D1522" i="9"/>
  <c r="D1523" i="9"/>
  <c r="D1524" i="9"/>
  <c r="D1525" i="9"/>
  <c r="D1526" i="9"/>
  <c r="D1527" i="9"/>
  <c r="D1528" i="9"/>
  <c r="D1529" i="9"/>
  <c r="D1530" i="9"/>
  <c r="D1531" i="9"/>
  <c r="D1532" i="9"/>
  <c r="D1533" i="9"/>
  <c r="D1534" i="9"/>
  <c r="D1535" i="9"/>
  <c r="D1536" i="9"/>
  <c r="D1537" i="9"/>
  <c r="D1538" i="9"/>
  <c r="D1539" i="9"/>
  <c r="D1540" i="9"/>
  <c r="D1541" i="9"/>
  <c r="D1542" i="9"/>
  <c r="D1543" i="9"/>
  <c r="D1544" i="9"/>
  <c r="D1545" i="9"/>
  <c r="D1546" i="9"/>
  <c r="D1547" i="9"/>
  <c r="D1548" i="9"/>
  <c r="D1549" i="9"/>
  <c r="D1550" i="9"/>
  <c r="D1551" i="9"/>
  <c r="D1552" i="9"/>
  <c r="D1553" i="9"/>
  <c r="D1554" i="9"/>
  <c r="D1555" i="9"/>
  <c r="D1556" i="9"/>
  <c r="D1557" i="9"/>
  <c r="D1558" i="9"/>
  <c r="D1559" i="9"/>
  <c r="D1560" i="9"/>
  <c r="D1561" i="9"/>
  <c r="D1562" i="9"/>
  <c r="D1563" i="9"/>
  <c r="D1564" i="9"/>
  <c r="D1565" i="9"/>
  <c r="D1566" i="9"/>
  <c r="D1567" i="9"/>
  <c r="D1568" i="9"/>
  <c r="D1569" i="9"/>
  <c r="D1570" i="9"/>
  <c r="D1571" i="9"/>
  <c r="D1572" i="9"/>
  <c r="D1573" i="9"/>
  <c r="D1574" i="9"/>
  <c r="D1575" i="9"/>
  <c r="D1576" i="9"/>
  <c r="D1577" i="9"/>
  <c r="D1578" i="9"/>
  <c r="D1579" i="9"/>
  <c r="D1580" i="9"/>
  <c r="D1581" i="9"/>
  <c r="D1582" i="9"/>
  <c r="D1583" i="9"/>
  <c r="D1584" i="9"/>
  <c r="D1585" i="9"/>
  <c r="D1586" i="9"/>
  <c r="D1587" i="9"/>
  <c r="D1588" i="9"/>
  <c r="D1589" i="9"/>
  <c r="D1590" i="9"/>
  <c r="D1591" i="9"/>
  <c r="D1592" i="9"/>
  <c r="D1593" i="9"/>
  <c r="D1594" i="9"/>
  <c r="D1595" i="9"/>
  <c r="D1596" i="9"/>
  <c r="D1597" i="9"/>
  <c r="D1598" i="9"/>
  <c r="D1599" i="9"/>
  <c r="D1600" i="9"/>
  <c r="D1601" i="9"/>
  <c r="D1602" i="9"/>
  <c r="D1603" i="9"/>
  <c r="D1604" i="9"/>
  <c r="D1605" i="9"/>
  <c r="D1606" i="9"/>
  <c r="D1607" i="9"/>
  <c r="D1608" i="9"/>
  <c r="D1609" i="9"/>
  <c r="D1610" i="9"/>
  <c r="D1611" i="9"/>
  <c r="D1612" i="9"/>
  <c r="D1613" i="9"/>
  <c r="D1614" i="9"/>
  <c r="D1615" i="9"/>
  <c r="D1616" i="9"/>
  <c r="D1617" i="9"/>
  <c r="D1618" i="9"/>
  <c r="D1619" i="9"/>
  <c r="D1620" i="9"/>
  <c r="D1621" i="9"/>
  <c r="D1622" i="9"/>
  <c r="D1623" i="9"/>
  <c r="D1624" i="9"/>
  <c r="D1625" i="9"/>
  <c r="D1626" i="9"/>
  <c r="D1627" i="9"/>
  <c r="D1628" i="9"/>
  <c r="D1629" i="9"/>
  <c r="D1630" i="9"/>
  <c r="D1631" i="9"/>
  <c r="D1632" i="9"/>
  <c r="D1633" i="9"/>
  <c r="D1634" i="9"/>
  <c r="D1635" i="9"/>
  <c r="D1636" i="9"/>
  <c r="D1637" i="9"/>
  <c r="D1638" i="9"/>
  <c r="D1639" i="9"/>
  <c r="D1640" i="9"/>
  <c r="D1641" i="9"/>
  <c r="D1642" i="9"/>
  <c r="D1643" i="9"/>
  <c r="D1644" i="9"/>
  <c r="D1645" i="9"/>
  <c r="D1646" i="9"/>
  <c r="D1647" i="9"/>
  <c r="D1648" i="9"/>
  <c r="D1649" i="9"/>
  <c r="D1650" i="9"/>
  <c r="D1651" i="9"/>
  <c r="D1652" i="9"/>
  <c r="D1653" i="9"/>
  <c r="D1654" i="9"/>
  <c r="D1655" i="9"/>
  <c r="D1656" i="9"/>
  <c r="D1657" i="9"/>
  <c r="D1658" i="9"/>
  <c r="D1659" i="9"/>
  <c r="D1660" i="9"/>
  <c r="D1661" i="9"/>
  <c r="D1662" i="9"/>
  <c r="D1663" i="9"/>
  <c r="D1664" i="9"/>
  <c r="D1665" i="9"/>
  <c r="D1666" i="9"/>
  <c r="D1667" i="9"/>
  <c r="D1668" i="9"/>
  <c r="D1669" i="9"/>
  <c r="D1670" i="9"/>
  <c r="D1671" i="9"/>
  <c r="D1672" i="9"/>
  <c r="D1673" i="9"/>
  <c r="D1674" i="9"/>
  <c r="D1675" i="9"/>
  <c r="D1676" i="9"/>
  <c r="D1677" i="9"/>
  <c r="D1678" i="9"/>
  <c r="D1679" i="9"/>
  <c r="D1680" i="9"/>
  <c r="D1681" i="9"/>
  <c r="D1682" i="9"/>
  <c r="D1683" i="9"/>
  <c r="D1684" i="9"/>
  <c r="D1685" i="9"/>
  <c r="D1686" i="9"/>
  <c r="D1687" i="9"/>
  <c r="D1688" i="9"/>
  <c r="D1689" i="9"/>
  <c r="D1690" i="9"/>
  <c r="D1691" i="9"/>
  <c r="D1692" i="9"/>
  <c r="D1693" i="9"/>
  <c r="D1694" i="9"/>
  <c r="D1695" i="9"/>
  <c r="D1696" i="9"/>
  <c r="D1697" i="9"/>
  <c r="D1698" i="9"/>
  <c r="D1699" i="9"/>
  <c r="D1700" i="9"/>
  <c r="D1701" i="9"/>
  <c r="D1702" i="9"/>
  <c r="D1703" i="9"/>
  <c r="D1704" i="9"/>
  <c r="D1705" i="9"/>
  <c r="D1706" i="9"/>
  <c r="D1707" i="9"/>
  <c r="D1708" i="9"/>
  <c r="D1709" i="9"/>
  <c r="D1710" i="9"/>
  <c r="D1711" i="9"/>
  <c r="D1712" i="9"/>
  <c r="D1713" i="9"/>
  <c r="D1714" i="9"/>
  <c r="D1715" i="9"/>
  <c r="D1716" i="9"/>
  <c r="D1717" i="9"/>
  <c r="D1718" i="9"/>
  <c r="D1719" i="9"/>
  <c r="D1720" i="9"/>
  <c r="D1721" i="9"/>
  <c r="D1722" i="9"/>
  <c r="D1723" i="9"/>
  <c r="D1724" i="9"/>
  <c r="D1725" i="9"/>
  <c r="D1726" i="9"/>
  <c r="D1727" i="9"/>
  <c r="D1728" i="9"/>
  <c r="D1729" i="9"/>
  <c r="D1730" i="9"/>
  <c r="D1731" i="9"/>
  <c r="D1732" i="9"/>
  <c r="D1733" i="9"/>
  <c r="D1734" i="9"/>
  <c r="D1735" i="9"/>
  <c r="D1736" i="9"/>
  <c r="D1737" i="9"/>
  <c r="D1738" i="9"/>
  <c r="D1739" i="9"/>
  <c r="D1740" i="9"/>
  <c r="D1741" i="9"/>
  <c r="D1742" i="9"/>
  <c r="D1743" i="9"/>
  <c r="D1744" i="9"/>
  <c r="D1745" i="9"/>
  <c r="D1746" i="9"/>
  <c r="D1747" i="9"/>
  <c r="D1748" i="9"/>
  <c r="D1749" i="9"/>
  <c r="D1750" i="9"/>
  <c r="D1751" i="9"/>
  <c r="D1752" i="9"/>
  <c r="D1753" i="9"/>
  <c r="D1754" i="9"/>
  <c r="D1755" i="9"/>
  <c r="D1756" i="9"/>
  <c r="D1757" i="9"/>
  <c r="D1758" i="9"/>
  <c r="D1759" i="9"/>
  <c r="D1760" i="9"/>
  <c r="D1761" i="9"/>
  <c r="D1762" i="9"/>
  <c r="D1763" i="9"/>
  <c r="D1764" i="9"/>
  <c r="D1765" i="9"/>
  <c r="D1766" i="9"/>
  <c r="D1767" i="9"/>
  <c r="D1768" i="9"/>
  <c r="D1769" i="9"/>
  <c r="D1770" i="9"/>
  <c r="D1771" i="9"/>
  <c r="D1772" i="9"/>
  <c r="D1773" i="9"/>
  <c r="D1774" i="9"/>
  <c r="D1775" i="9"/>
  <c r="D1776" i="9"/>
  <c r="D1777" i="9"/>
  <c r="D1778" i="9"/>
  <c r="D1779" i="9"/>
  <c r="D1780" i="9"/>
  <c r="D1781" i="9"/>
  <c r="D1782" i="9"/>
  <c r="D1783" i="9"/>
  <c r="D1784" i="9"/>
  <c r="D1785" i="9"/>
  <c r="D1786" i="9"/>
  <c r="D1787" i="9"/>
  <c r="D1788" i="9"/>
  <c r="D1789" i="9"/>
  <c r="D1790" i="9"/>
  <c r="D1791" i="9"/>
  <c r="D1792" i="9"/>
  <c r="D1793" i="9"/>
  <c r="D1794" i="9"/>
  <c r="D1795" i="9"/>
  <c r="D1796" i="9"/>
  <c r="D1797" i="9"/>
  <c r="D1798" i="9"/>
  <c r="D1799" i="9"/>
  <c r="D1800" i="9"/>
  <c r="D1801" i="9"/>
  <c r="D1802" i="9"/>
  <c r="D1803" i="9"/>
  <c r="D1804" i="9"/>
  <c r="D1805" i="9"/>
  <c r="D1806" i="9"/>
  <c r="D1807" i="9"/>
  <c r="D1808" i="9"/>
  <c r="D1809" i="9"/>
  <c r="D1810" i="9"/>
  <c r="D1811" i="9"/>
  <c r="D1812" i="9"/>
  <c r="D1813" i="9"/>
  <c r="D1814" i="9"/>
  <c r="D1815" i="9"/>
  <c r="D1816" i="9"/>
  <c r="D1817" i="9"/>
  <c r="D1818" i="9"/>
  <c r="D1819" i="9"/>
  <c r="D1820" i="9"/>
  <c r="D1821" i="9"/>
  <c r="D1822" i="9"/>
  <c r="D1823" i="9"/>
  <c r="D1824" i="9"/>
  <c r="D1825" i="9"/>
  <c r="D1826" i="9"/>
  <c r="D1827" i="9"/>
  <c r="D1828" i="9"/>
  <c r="D1829" i="9"/>
  <c r="D1830" i="9"/>
  <c r="D1831" i="9"/>
  <c r="D1832" i="9"/>
  <c r="D1833" i="9"/>
  <c r="D1834" i="9"/>
  <c r="D1835" i="9"/>
  <c r="D1836" i="9"/>
  <c r="D1837" i="9"/>
  <c r="D1838" i="9"/>
  <c r="D1839" i="9"/>
  <c r="D1840" i="9"/>
  <c r="D1841" i="9"/>
  <c r="D1842" i="9"/>
  <c r="D1843" i="9"/>
  <c r="D1844" i="9"/>
  <c r="D1845" i="9"/>
  <c r="D1846" i="9"/>
  <c r="D1847" i="9"/>
  <c r="D1848" i="9"/>
  <c r="D1849" i="9"/>
  <c r="D1850" i="9"/>
  <c r="D1851" i="9"/>
  <c r="D1852" i="9"/>
  <c r="D1853" i="9"/>
  <c r="D1854" i="9"/>
  <c r="D1855" i="9"/>
  <c r="D1856" i="9"/>
  <c r="D1857" i="9"/>
  <c r="D1858" i="9"/>
  <c r="D1859" i="9"/>
  <c r="D1860" i="9"/>
  <c r="D1861" i="9"/>
  <c r="D1862" i="9"/>
  <c r="D1863" i="9"/>
  <c r="D1864" i="9"/>
  <c r="D1865" i="9"/>
  <c r="D1866" i="9"/>
  <c r="D1867" i="9"/>
  <c r="D1868" i="9"/>
  <c r="D1869" i="9"/>
  <c r="D1870" i="9"/>
  <c r="D1871" i="9"/>
  <c r="D1872" i="9"/>
  <c r="D1873" i="9"/>
  <c r="D1874" i="9"/>
  <c r="D1875" i="9"/>
  <c r="D1876" i="9"/>
  <c r="D1877" i="9"/>
  <c r="D1878" i="9"/>
  <c r="D1879" i="9"/>
  <c r="D1880" i="9"/>
  <c r="D1881" i="9"/>
  <c r="D1882" i="9"/>
  <c r="D1883" i="9"/>
  <c r="D1884" i="9"/>
  <c r="D1885" i="9"/>
  <c r="D1886" i="9"/>
  <c r="D1887" i="9"/>
  <c r="D1888" i="9"/>
  <c r="D1889" i="9"/>
  <c r="D1890" i="9"/>
  <c r="D1891" i="9"/>
  <c r="D1892" i="9"/>
  <c r="D1893" i="9"/>
  <c r="D1894" i="9"/>
  <c r="D1895" i="9"/>
  <c r="D1896" i="9"/>
  <c r="D1897" i="9"/>
  <c r="D1898" i="9"/>
  <c r="D1899" i="9"/>
  <c r="D1900" i="9"/>
  <c r="D1901" i="9"/>
  <c r="D1902" i="9"/>
  <c r="D1903" i="9"/>
  <c r="D1904" i="9"/>
  <c r="D1905" i="9"/>
  <c r="D1906" i="9"/>
  <c r="D1907" i="9"/>
  <c r="D1908" i="9"/>
  <c r="D1909" i="9"/>
  <c r="D1910" i="9"/>
  <c r="D1911" i="9"/>
  <c r="D1912" i="9"/>
  <c r="D1913" i="9"/>
  <c r="D1914" i="9"/>
  <c r="D1915" i="9"/>
  <c r="D1916" i="9"/>
  <c r="D1917" i="9"/>
  <c r="D1918" i="9"/>
  <c r="D1919" i="9"/>
  <c r="D1920" i="9"/>
  <c r="D1921" i="9"/>
  <c r="D1922" i="9"/>
  <c r="D1923" i="9"/>
  <c r="D1924" i="9"/>
  <c r="D1925" i="9"/>
  <c r="D1926" i="9"/>
  <c r="D1927" i="9"/>
  <c r="D1928" i="9"/>
  <c r="D1929" i="9"/>
  <c r="D1930" i="9"/>
  <c r="D1931" i="9"/>
  <c r="D1932" i="9"/>
  <c r="D1933" i="9"/>
  <c r="D1934" i="9"/>
  <c r="D1935" i="9"/>
  <c r="D1936" i="9"/>
  <c r="D1937" i="9"/>
  <c r="D1938" i="9"/>
  <c r="D1939" i="9"/>
  <c r="D1940" i="9"/>
  <c r="D1941" i="9"/>
  <c r="D1942" i="9"/>
  <c r="D1943" i="9"/>
  <c r="D1944" i="9"/>
  <c r="D1945" i="9"/>
  <c r="D1946" i="9"/>
  <c r="D1947" i="9"/>
  <c r="D1948" i="9"/>
  <c r="D1949" i="9"/>
  <c r="D1950" i="9"/>
  <c r="D1951" i="9"/>
  <c r="D1952" i="9"/>
  <c r="D1953" i="9"/>
  <c r="D1954" i="9"/>
  <c r="D1955" i="9"/>
  <c r="D1956" i="9"/>
  <c r="D1957" i="9"/>
  <c r="D1958" i="9"/>
  <c r="D1959" i="9"/>
  <c r="D1960" i="9"/>
  <c r="D1961" i="9"/>
  <c r="D1962" i="9"/>
  <c r="D1963" i="9"/>
  <c r="D1964" i="9"/>
  <c r="D1965" i="9"/>
  <c r="D1966" i="9"/>
  <c r="D1967" i="9"/>
  <c r="D1968" i="9"/>
  <c r="D1969" i="9"/>
  <c r="D1970" i="9"/>
  <c r="D1971" i="9"/>
  <c r="D1972" i="9"/>
  <c r="D1973" i="9"/>
  <c r="D1974" i="9"/>
  <c r="D1975" i="9"/>
  <c r="D1976" i="9"/>
  <c r="D1977" i="9"/>
  <c r="D1978" i="9"/>
  <c r="D1979" i="9"/>
  <c r="D1980" i="9"/>
  <c r="D1981" i="9"/>
  <c r="D1982" i="9"/>
  <c r="D1983" i="9"/>
  <c r="D1984" i="9"/>
  <c r="D1985" i="9"/>
  <c r="D1986" i="9"/>
  <c r="D1987" i="9"/>
  <c r="D1988" i="9"/>
  <c r="D1989" i="9"/>
  <c r="D1990" i="9"/>
  <c r="D1991" i="9"/>
  <c r="D1992" i="9"/>
  <c r="D1993" i="9"/>
  <c r="D1994" i="9"/>
  <c r="D1995" i="9"/>
  <c r="D1996" i="9"/>
  <c r="D1997" i="9"/>
  <c r="D1998" i="9"/>
  <c r="D1999" i="9"/>
  <c r="D2000" i="9"/>
  <c r="D2001" i="9"/>
  <c r="D2002" i="9"/>
  <c r="D2003" i="9"/>
  <c r="D2004" i="9"/>
  <c r="D2005" i="9"/>
  <c r="D2006" i="9"/>
  <c r="D2007" i="9"/>
  <c r="D2008" i="9"/>
  <c r="D2009" i="9"/>
  <c r="D2010" i="9"/>
  <c r="D2011" i="9"/>
  <c r="D2012" i="9"/>
  <c r="D2013" i="9"/>
  <c r="D2014" i="9"/>
  <c r="D2015" i="9"/>
  <c r="D2016" i="9"/>
  <c r="D2017" i="9"/>
  <c r="D2018" i="9"/>
  <c r="D2019" i="9"/>
  <c r="D2020" i="9"/>
  <c r="D2021" i="9"/>
  <c r="D2022" i="9"/>
  <c r="D2023" i="9"/>
  <c r="D2024" i="9"/>
  <c r="D2025" i="9"/>
  <c r="D2026" i="9"/>
  <c r="D2027" i="9"/>
  <c r="D2028" i="9"/>
  <c r="D2029" i="9"/>
  <c r="D2030" i="9"/>
  <c r="D2031" i="9"/>
  <c r="D2032" i="9"/>
  <c r="D2033" i="9"/>
  <c r="D2034" i="9"/>
  <c r="D2035" i="9"/>
  <c r="D2036" i="9"/>
  <c r="D2037" i="9"/>
  <c r="D2038" i="9"/>
  <c r="D2039" i="9"/>
  <c r="D2040" i="9"/>
  <c r="D2041" i="9"/>
  <c r="D2042" i="9"/>
  <c r="D2043" i="9"/>
  <c r="D2044" i="9"/>
  <c r="D2045" i="9"/>
  <c r="D2046" i="9"/>
  <c r="D2047" i="9"/>
  <c r="D2048" i="9"/>
  <c r="D2049" i="9"/>
  <c r="D2050" i="9"/>
  <c r="D2051" i="9"/>
  <c r="D2052" i="9"/>
  <c r="D2053" i="9"/>
  <c r="D2054" i="9"/>
  <c r="D2055" i="9"/>
  <c r="D2056" i="9"/>
  <c r="D2057" i="9"/>
  <c r="D2058" i="9"/>
  <c r="D2059" i="9"/>
  <c r="D2060" i="9"/>
  <c r="D2061" i="9"/>
  <c r="D2062" i="9"/>
  <c r="D2063" i="9"/>
  <c r="D2064" i="9"/>
  <c r="D2065" i="9"/>
  <c r="D2066" i="9"/>
  <c r="D2067" i="9"/>
  <c r="D2068" i="9"/>
  <c r="D2069" i="9"/>
  <c r="D2070" i="9"/>
  <c r="D2071" i="9"/>
  <c r="D2072" i="9"/>
  <c r="D2073" i="9"/>
  <c r="D2074" i="9"/>
  <c r="D2075" i="9"/>
  <c r="D2076" i="9"/>
  <c r="D2077" i="9"/>
  <c r="D2078" i="9"/>
  <c r="D2079" i="9"/>
  <c r="D2080" i="9"/>
  <c r="D2081" i="9"/>
  <c r="D2082" i="9"/>
  <c r="D2083" i="9"/>
  <c r="D2084" i="9"/>
  <c r="D2085" i="9"/>
  <c r="D2086" i="9"/>
  <c r="D2087" i="9"/>
  <c r="D2088" i="9"/>
  <c r="D2089" i="9"/>
  <c r="D2090" i="9"/>
  <c r="D2091" i="9"/>
  <c r="D2092" i="9"/>
  <c r="D2093" i="9"/>
  <c r="D2094" i="9"/>
  <c r="D2095" i="9"/>
  <c r="D2096" i="9"/>
  <c r="D2097" i="9"/>
  <c r="D2098" i="9"/>
  <c r="D2099" i="9"/>
  <c r="D2100" i="9"/>
  <c r="D2101" i="9"/>
  <c r="D2102" i="9"/>
  <c r="D2103" i="9"/>
  <c r="D2104" i="9"/>
  <c r="D2105" i="9"/>
  <c r="D2106" i="9"/>
  <c r="D2107" i="9"/>
  <c r="D2108" i="9"/>
  <c r="D2109" i="9"/>
  <c r="D2110" i="9"/>
  <c r="D2111" i="9"/>
  <c r="D2112" i="9"/>
  <c r="D2113" i="9"/>
  <c r="D2114" i="9"/>
  <c r="D2115" i="9"/>
  <c r="D2116" i="9"/>
  <c r="D2117" i="9"/>
  <c r="D2118" i="9"/>
  <c r="D2119" i="9"/>
  <c r="D2120" i="9"/>
  <c r="D2121" i="9"/>
  <c r="D2122" i="9"/>
  <c r="D2123" i="9"/>
  <c r="D2124" i="9"/>
  <c r="D2125" i="9"/>
  <c r="D2126" i="9"/>
  <c r="D2127" i="9"/>
  <c r="D2128" i="9"/>
  <c r="D2129" i="9"/>
  <c r="D2130" i="9"/>
  <c r="D2131" i="9"/>
  <c r="D2132" i="9"/>
  <c r="D2133" i="9"/>
  <c r="D2134" i="9"/>
  <c r="D2135" i="9"/>
  <c r="D2136" i="9"/>
  <c r="D2137" i="9"/>
  <c r="D2138" i="9"/>
  <c r="D2139" i="9"/>
  <c r="D2140" i="9"/>
  <c r="D2141" i="9"/>
  <c r="D2142" i="9"/>
  <c r="D2143" i="9"/>
  <c r="D2144" i="9"/>
  <c r="D2145" i="9"/>
  <c r="D2146" i="9"/>
  <c r="D2147" i="9"/>
  <c r="D2148" i="9"/>
  <c r="D2149" i="9"/>
  <c r="D2150" i="9"/>
  <c r="D2151" i="9"/>
  <c r="D2152" i="9"/>
  <c r="D2153" i="9"/>
  <c r="D2154" i="9"/>
  <c r="D2155" i="9"/>
  <c r="D2156" i="9"/>
  <c r="D2157" i="9"/>
  <c r="D2158" i="9"/>
  <c r="D2159" i="9"/>
  <c r="D2160" i="9"/>
  <c r="D2161" i="9"/>
  <c r="D2162" i="9"/>
  <c r="D2163" i="9"/>
  <c r="D2164" i="9"/>
  <c r="D2165" i="9"/>
  <c r="D2166" i="9"/>
  <c r="D2167" i="9"/>
  <c r="D2168" i="9"/>
  <c r="D2169" i="9"/>
  <c r="D2170" i="9"/>
  <c r="D2171" i="9"/>
  <c r="D2172" i="9"/>
  <c r="D2173" i="9"/>
  <c r="D2174" i="9"/>
  <c r="D2175" i="9"/>
  <c r="D2176" i="9"/>
  <c r="D2177" i="9"/>
  <c r="D2178" i="9"/>
  <c r="D2179" i="9"/>
  <c r="D2180" i="9"/>
  <c r="D2181" i="9"/>
  <c r="D2182" i="9"/>
  <c r="D2183" i="9"/>
  <c r="D2184" i="9"/>
  <c r="D2185" i="9"/>
  <c r="D2186" i="9"/>
  <c r="D2187" i="9"/>
  <c r="D2188" i="9"/>
  <c r="D2189" i="9"/>
  <c r="D2190" i="9"/>
  <c r="D2191" i="9"/>
  <c r="D2192" i="9"/>
  <c r="D2193" i="9"/>
  <c r="D2194" i="9"/>
  <c r="D2195" i="9"/>
  <c r="D2196" i="9"/>
  <c r="D2197" i="9"/>
  <c r="D2198" i="9"/>
  <c r="D2199" i="9"/>
  <c r="D2200" i="9"/>
  <c r="D2201" i="9"/>
  <c r="D2202" i="9"/>
  <c r="D2203" i="9"/>
  <c r="D2204" i="9"/>
  <c r="D2205" i="9"/>
  <c r="D2206" i="9"/>
  <c r="D2207" i="9"/>
  <c r="D2208" i="9"/>
  <c r="D2209" i="9"/>
  <c r="D2210" i="9"/>
  <c r="D2211" i="9"/>
  <c r="D2212" i="9"/>
  <c r="D2213" i="9"/>
  <c r="D2214" i="9"/>
  <c r="D2215" i="9"/>
  <c r="D2216" i="9"/>
  <c r="D2217" i="9"/>
  <c r="D2218" i="9"/>
  <c r="D2219" i="9"/>
  <c r="D2220" i="9"/>
  <c r="D2221" i="9"/>
  <c r="D2222" i="9"/>
  <c r="D2223" i="9"/>
  <c r="D2224" i="9"/>
  <c r="D2225" i="9"/>
  <c r="D2226" i="9"/>
  <c r="D2227" i="9"/>
  <c r="D2228" i="9"/>
  <c r="D2229" i="9"/>
  <c r="D2230" i="9"/>
  <c r="D2231" i="9"/>
  <c r="D2232" i="9"/>
  <c r="D2233" i="9"/>
  <c r="D2234" i="9"/>
  <c r="D2235" i="9"/>
  <c r="D2236" i="9"/>
  <c r="D2237" i="9"/>
  <c r="D2238" i="9"/>
  <c r="D2239" i="9"/>
  <c r="D2240" i="9"/>
  <c r="D2241" i="9"/>
  <c r="D2242" i="9"/>
  <c r="D2243" i="9"/>
  <c r="D2244" i="9"/>
  <c r="D2245" i="9"/>
  <c r="D2246" i="9"/>
  <c r="D2247" i="9"/>
  <c r="D2248" i="9"/>
  <c r="D2249" i="9"/>
  <c r="D2250" i="9"/>
  <c r="D2251" i="9"/>
  <c r="D2252" i="9"/>
  <c r="D2253" i="9"/>
  <c r="D2254" i="9"/>
  <c r="D2255" i="9"/>
  <c r="D2256" i="9"/>
  <c r="D2257" i="9"/>
  <c r="D2258" i="9"/>
  <c r="D2259" i="9"/>
  <c r="D2260" i="9"/>
  <c r="D2261" i="9"/>
  <c r="D2262" i="9"/>
  <c r="D2263" i="9"/>
  <c r="D2264" i="9"/>
  <c r="D2265" i="9"/>
  <c r="D2266" i="9"/>
  <c r="D2267" i="9"/>
  <c r="D2268" i="9"/>
  <c r="D2269" i="9"/>
  <c r="D2270" i="9"/>
  <c r="D2271" i="9"/>
  <c r="D2272" i="9"/>
  <c r="D2273" i="9"/>
  <c r="D2274" i="9"/>
  <c r="D2275" i="9"/>
  <c r="D2276" i="9"/>
  <c r="D2277" i="9"/>
  <c r="D2278" i="9"/>
  <c r="D2279" i="9"/>
  <c r="D2280" i="9"/>
  <c r="D2281" i="9"/>
  <c r="D2282" i="9"/>
  <c r="D2283" i="9"/>
  <c r="D2284" i="9"/>
  <c r="D2285" i="9"/>
  <c r="D2286" i="9"/>
  <c r="D2287" i="9"/>
  <c r="D2288" i="9"/>
  <c r="D2289" i="9"/>
  <c r="D2290" i="9"/>
  <c r="D2291" i="9"/>
  <c r="D2292" i="9"/>
  <c r="D2293" i="9"/>
  <c r="D2294" i="9"/>
  <c r="D2295" i="9"/>
  <c r="D2296" i="9"/>
  <c r="D2297" i="9"/>
  <c r="D2298" i="9"/>
  <c r="D2299" i="9"/>
  <c r="D2300" i="9"/>
  <c r="D2301" i="9"/>
  <c r="D2302" i="9"/>
  <c r="D2303" i="9"/>
  <c r="D2304" i="9"/>
  <c r="D2305" i="9"/>
  <c r="D2306" i="9"/>
  <c r="D2307" i="9"/>
  <c r="D2308" i="9"/>
  <c r="D2309" i="9"/>
  <c r="D2310" i="9"/>
  <c r="D2311" i="9"/>
  <c r="D2312" i="9"/>
  <c r="D2313" i="9"/>
  <c r="D2314" i="9"/>
  <c r="D2315" i="9"/>
  <c r="D2316" i="9"/>
  <c r="D2317" i="9"/>
  <c r="D2318" i="9"/>
  <c r="D2319" i="9"/>
  <c r="D2320" i="9"/>
  <c r="D2321" i="9"/>
  <c r="D2322" i="9"/>
  <c r="D2323" i="9"/>
  <c r="D2324" i="9"/>
  <c r="D2325" i="9"/>
  <c r="D2326" i="9"/>
  <c r="D2327" i="9"/>
  <c r="D2328" i="9"/>
  <c r="D2329" i="9"/>
  <c r="D2330" i="9"/>
  <c r="D2331" i="9"/>
  <c r="D2332" i="9"/>
  <c r="D2333" i="9"/>
  <c r="D2334" i="9"/>
  <c r="D2335" i="9"/>
  <c r="D2336" i="9"/>
  <c r="D2337" i="9"/>
  <c r="D2338" i="9"/>
  <c r="D2339" i="9"/>
  <c r="D2340" i="9"/>
  <c r="D2341" i="9"/>
  <c r="D2342" i="9"/>
  <c r="D2343" i="9"/>
  <c r="D2344" i="9"/>
  <c r="D2345" i="9"/>
  <c r="D2346" i="9"/>
  <c r="D2347" i="9"/>
  <c r="D2348" i="9"/>
  <c r="D2349" i="9"/>
  <c r="D2350" i="9"/>
  <c r="D2351" i="9"/>
  <c r="D2352" i="9"/>
  <c r="D2353" i="9"/>
  <c r="D2354" i="9"/>
  <c r="D2355" i="9"/>
  <c r="D2356" i="9"/>
  <c r="D2357" i="9"/>
  <c r="D2358" i="9"/>
  <c r="D2359" i="9"/>
  <c r="D2360" i="9"/>
  <c r="D2361" i="9"/>
  <c r="D2362" i="9"/>
  <c r="D2363" i="9"/>
  <c r="D2364" i="9"/>
  <c r="D2365" i="9"/>
  <c r="D2366" i="9"/>
  <c r="D2367" i="9"/>
  <c r="D2368" i="9"/>
  <c r="D2369" i="9"/>
  <c r="D2370" i="9"/>
  <c r="D2371" i="9"/>
  <c r="D2372" i="9"/>
  <c r="D2373" i="9"/>
  <c r="D2374" i="9"/>
  <c r="D2375" i="9"/>
  <c r="D2376" i="9"/>
  <c r="D2377" i="9"/>
  <c r="D2378" i="9"/>
  <c r="D2379" i="9"/>
  <c r="D2380" i="9"/>
  <c r="D2381" i="9"/>
  <c r="D2382" i="9"/>
  <c r="D2383" i="9"/>
  <c r="D2384" i="9"/>
  <c r="D2385" i="9"/>
  <c r="D2386" i="9"/>
  <c r="D2387" i="9"/>
  <c r="D2388" i="9"/>
  <c r="D2389" i="9"/>
  <c r="D2390" i="9"/>
  <c r="D2391" i="9"/>
  <c r="D2392" i="9"/>
  <c r="D2393" i="9"/>
  <c r="D2394" i="9"/>
  <c r="D2395" i="9"/>
  <c r="D2396" i="9"/>
  <c r="D2397" i="9"/>
  <c r="D2398" i="9"/>
  <c r="D2399" i="9"/>
  <c r="D2400" i="9"/>
  <c r="D2401" i="9"/>
  <c r="D2402" i="9"/>
  <c r="D2403" i="9"/>
  <c r="D2404" i="9"/>
  <c r="D2405" i="9"/>
  <c r="D2406" i="9"/>
  <c r="D2407" i="9"/>
  <c r="D2408" i="9"/>
  <c r="D2409" i="9"/>
  <c r="D2410" i="9"/>
  <c r="D2411" i="9"/>
  <c r="D2412" i="9"/>
  <c r="D2413" i="9"/>
  <c r="D2414" i="9"/>
  <c r="D2415" i="9"/>
  <c r="D2416" i="9"/>
  <c r="D2417" i="9"/>
  <c r="D2418" i="9"/>
  <c r="D2419" i="9"/>
  <c r="D2420" i="9"/>
  <c r="D2421" i="9"/>
  <c r="D2422" i="9"/>
  <c r="D2423" i="9"/>
  <c r="D2424" i="9"/>
  <c r="D2425" i="9"/>
  <c r="D2426" i="9"/>
  <c r="D2427" i="9"/>
  <c r="D2428" i="9"/>
  <c r="D2429" i="9"/>
  <c r="D2430" i="9"/>
  <c r="D2431" i="9"/>
  <c r="D2432" i="9"/>
  <c r="D2433" i="9"/>
  <c r="D2434" i="9"/>
  <c r="D2435" i="9"/>
  <c r="D2436" i="9"/>
  <c r="D2437" i="9"/>
  <c r="D2438" i="9"/>
  <c r="D2439" i="9"/>
  <c r="D2440" i="9"/>
  <c r="D2441" i="9"/>
  <c r="D2442" i="9"/>
  <c r="D2443" i="9"/>
  <c r="D2444" i="9"/>
  <c r="D2445" i="9"/>
  <c r="D2446" i="9"/>
  <c r="D2447" i="9"/>
  <c r="D2448" i="9"/>
  <c r="D2449" i="9"/>
  <c r="D2450" i="9"/>
  <c r="D2451" i="9"/>
  <c r="D2452" i="9"/>
  <c r="D2453" i="9"/>
  <c r="D2454" i="9"/>
  <c r="D2455" i="9"/>
  <c r="D2456" i="9"/>
  <c r="D2457" i="9"/>
  <c r="D2458" i="9"/>
  <c r="D2459" i="9"/>
  <c r="D2460" i="9"/>
  <c r="D2461" i="9"/>
  <c r="D2462" i="9"/>
  <c r="D2463" i="9"/>
  <c r="D2464" i="9"/>
  <c r="D2465" i="9"/>
  <c r="D2466" i="9"/>
  <c r="D2467" i="9"/>
  <c r="D2468" i="9"/>
  <c r="D2469" i="9"/>
  <c r="D2470" i="9"/>
  <c r="D2471" i="9"/>
  <c r="D2472" i="9"/>
  <c r="D2473" i="9"/>
  <c r="D2474" i="9"/>
  <c r="D2475" i="9"/>
  <c r="D2476" i="9"/>
  <c r="D2477" i="9"/>
  <c r="D2478" i="9"/>
  <c r="D2479" i="9"/>
  <c r="D2480" i="9"/>
  <c r="D2481" i="9"/>
  <c r="D2482" i="9"/>
  <c r="D2483" i="9"/>
  <c r="D2484" i="9"/>
  <c r="D2485" i="9"/>
  <c r="D2486" i="9"/>
  <c r="D2487" i="9"/>
  <c r="D2488" i="9"/>
  <c r="D2489" i="9"/>
  <c r="D2490" i="9"/>
  <c r="D2491" i="9"/>
  <c r="D2492" i="9"/>
  <c r="D2493" i="9"/>
  <c r="D2494" i="9"/>
  <c r="D2495" i="9"/>
  <c r="D2496" i="9"/>
  <c r="D2497" i="9"/>
  <c r="D2498" i="9"/>
  <c r="D2499" i="9"/>
  <c r="D2500" i="9"/>
  <c r="D2501" i="9"/>
  <c r="D2502" i="9"/>
  <c r="D2503" i="9"/>
  <c r="D2504" i="9"/>
  <c r="D2505" i="9"/>
  <c r="D2506" i="9"/>
  <c r="D2507" i="9"/>
  <c r="D2508" i="9"/>
  <c r="D2509" i="9"/>
  <c r="D2510" i="9"/>
  <c r="D2511" i="9"/>
  <c r="D2512" i="9"/>
  <c r="D2513" i="9"/>
  <c r="D2514" i="9"/>
  <c r="D2515" i="9"/>
  <c r="D2516" i="9"/>
  <c r="D2517" i="9"/>
  <c r="D2518" i="9"/>
  <c r="D2519" i="9"/>
  <c r="D2520" i="9"/>
  <c r="D2521" i="9"/>
  <c r="D2522" i="9"/>
  <c r="D2523" i="9"/>
  <c r="D2524" i="9"/>
  <c r="D2525" i="9"/>
  <c r="D2526" i="9"/>
  <c r="D2527" i="9"/>
  <c r="D2528" i="9"/>
  <c r="D2529" i="9"/>
  <c r="D2530" i="9"/>
  <c r="D2531" i="9"/>
  <c r="D2532" i="9"/>
  <c r="D2533" i="9"/>
  <c r="D2534" i="9"/>
  <c r="D2535" i="9"/>
  <c r="D2536" i="9"/>
  <c r="D2537" i="9"/>
  <c r="D2538" i="9"/>
  <c r="D2539" i="9"/>
  <c r="D2540" i="9"/>
  <c r="D2541" i="9"/>
  <c r="D2542" i="9"/>
  <c r="D2543" i="9"/>
  <c r="D2544" i="9"/>
  <c r="D2545" i="9"/>
  <c r="D2546" i="9"/>
  <c r="D2547" i="9"/>
  <c r="D2548" i="9"/>
  <c r="D2549" i="9"/>
  <c r="D2550" i="9"/>
  <c r="D2551" i="9"/>
  <c r="D2552" i="9"/>
  <c r="D2553" i="9"/>
  <c r="D2554" i="9"/>
  <c r="D2555" i="9"/>
  <c r="D2556" i="9"/>
  <c r="D2557" i="9"/>
  <c r="D2558" i="9"/>
  <c r="D2559" i="9"/>
  <c r="D2560" i="9"/>
  <c r="D2561" i="9"/>
  <c r="D2562" i="9"/>
  <c r="D2563" i="9"/>
  <c r="D2564" i="9"/>
  <c r="D2565" i="9"/>
  <c r="D2566" i="9"/>
  <c r="D2567" i="9"/>
  <c r="D2568" i="9"/>
  <c r="D2569" i="9"/>
  <c r="D2570" i="9"/>
  <c r="D2571" i="9"/>
  <c r="D2572" i="9"/>
  <c r="D2573" i="9"/>
  <c r="D2574" i="9"/>
  <c r="D2575" i="9"/>
  <c r="D2576" i="9"/>
  <c r="D2577" i="9"/>
  <c r="D2578" i="9"/>
  <c r="D2579" i="9"/>
  <c r="D2580" i="9"/>
  <c r="D2581" i="9"/>
  <c r="D2582" i="9"/>
  <c r="D2583" i="9"/>
  <c r="D2584" i="9"/>
  <c r="D2585" i="9"/>
  <c r="D2586" i="9"/>
  <c r="D2587" i="9"/>
  <c r="D2588" i="9"/>
  <c r="D2589" i="9"/>
  <c r="D2590" i="9"/>
  <c r="D2591" i="9"/>
  <c r="D2592" i="9"/>
  <c r="D2593" i="9"/>
  <c r="D2594" i="9"/>
  <c r="D2595" i="9"/>
  <c r="D2596" i="9"/>
  <c r="D2597" i="9"/>
  <c r="D2598" i="9"/>
  <c r="D2599" i="9"/>
  <c r="D2600" i="9"/>
  <c r="D2601" i="9"/>
  <c r="D2602" i="9"/>
  <c r="D2603" i="9"/>
  <c r="D2604" i="9"/>
  <c r="D2605" i="9"/>
  <c r="D2606" i="9"/>
  <c r="D2607" i="9"/>
  <c r="D2608" i="9"/>
  <c r="D2609" i="9"/>
  <c r="D2610" i="9"/>
  <c r="D2611" i="9"/>
  <c r="D2612" i="9"/>
  <c r="D2613" i="9"/>
  <c r="D2614" i="9"/>
  <c r="D2615" i="9"/>
  <c r="D2616" i="9"/>
  <c r="D2617" i="9"/>
  <c r="D2618" i="9"/>
  <c r="D2619" i="9"/>
  <c r="D2620" i="9"/>
  <c r="D2621" i="9"/>
  <c r="D2622" i="9"/>
  <c r="D2623" i="9"/>
  <c r="D2624" i="9"/>
  <c r="D2625" i="9"/>
  <c r="D2626" i="9"/>
  <c r="D2627" i="9"/>
  <c r="D2628" i="9"/>
  <c r="D2629" i="9"/>
  <c r="D2630" i="9"/>
  <c r="D2631" i="9"/>
  <c r="D2632" i="9"/>
  <c r="D2633" i="9"/>
  <c r="D2634" i="9"/>
  <c r="D2635" i="9"/>
  <c r="D2636" i="9"/>
  <c r="D2637" i="9"/>
  <c r="D2638" i="9"/>
  <c r="D2639" i="9"/>
  <c r="D2640" i="9"/>
  <c r="D2641" i="9"/>
  <c r="D2642" i="9"/>
  <c r="D2643" i="9"/>
  <c r="D2644" i="9"/>
  <c r="D2645" i="9"/>
  <c r="D2646" i="9"/>
  <c r="D2647" i="9"/>
  <c r="D2648" i="9"/>
  <c r="D2649" i="9"/>
  <c r="D2650" i="9"/>
  <c r="D2651" i="9"/>
  <c r="D2652" i="9"/>
  <c r="D2653" i="9"/>
  <c r="D2654" i="9"/>
  <c r="D2655" i="9"/>
  <c r="D2656" i="9"/>
  <c r="D2657" i="9"/>
  <c r="D2658" i="9"/>
  <c r="D2659" i="9"/>
  <c r="D2660" i="9"/>
  <c r="D2661" i="9"/>
  <c r="D2662" i="9"/>
  <c r="D2663" i="9"/>
  <c r="D2664" i="9"/>
  <c r="D2665" i="9"/>
  <c r="D2666" i="9"/>
  <c r="D2667" i="9"/>
  <c r="D2668" i="9"/>
  <c r="D2669" i="9"/>
  <c r="D2670" i="9"/>
  <c r="D2671" i="9"/>
  <c r="D2672" i="9"/>
  <c r="D2673" i="9"/>
  <c r="D2674" i="9"/>
  <c r="D2675" i="9"/>
  <c r="D2676" i="9"/>
  <c r="D2677" i="9"/>
  <c r="D2678" i="9"/>
  <c r="D2679" i="9"/>
  <c r="D2680" i="9"/>
  <c r="D2681" i="9"/>
  <c r="D2682" i="9"/>
  <c r="D2683" i="9"/>
  <c r="D2684" i="9"/>
  <c r="D2685" i="9"/>
  <c r="D2686" i="9"/>
  <c r="D2687" i="9"/>
  <c r="D2688" i="9"/>
  <c r="D2689" i="9"/>
  <c r="D2690" i="9"/>
  <c r="D2691" i="9"/>
  <c r="D2692" i="9"/>
  <c r="D2693" i="9"/>
  <c r="D2694" i="9"/>
  <c r="D2695" i="9"/>
  <c r="D2696" i="9"/>
  <c r="D2697" i="9"/>
  <c r="D2698" i="9"/>
  <c r="D2699" i="9"/>
  <c r="D2700" i="9"/>
  <c r="D2701" i="9"/>
  <c r="D2702" i="9"/>
  <c r="D2703" i="9"/>
  <c r="D2704" i="9"/>
  <c r="D2705" i="9"/>
  <c r="D2706" i="9"/>
  <c r="D2707" i="9"/>
  <c r="D2708" i="9"/>
  <c r="D2709" i="9"/>
  <c r="D2710" i="9"/>
  <c r="D2711" i="9"/>
  <c r="D2712" i="9"/>
  <c r="D2713" i="9"/>
  <c r="D2714" i="9"/>
  <c r="D2715" i="9"/>
  <c r="D2716" i="9"/>
  <c r="D2717" i="9"/>
  <c r="D2718" i="9"/>
  <c r="D2719" i="9"/>
  <c r="D2720" i="9"/>
  <c r="D2721" i="9"/>
  <c r="D2722" i="9"/>
  <c r="D2723" i="9"/>
  <c r="D2724" i="9"/>
  <c r="D2725" i="9"/>
  <c r="D2726" i="9"/>
  <c r="D2727" i="9"/>
  <c r="D2728" i="9"/>
  <c r="D2729" i="9"/>
  <c r="D2730" i="9"/>
  <c r="D2731" i="9"/>
  <c r="D2732" i="9"/>
  <c r="D2733" i="9"/>
  <c r="D2734" i="9"/>
  <c r="D2735" i="9"/>
  <c r="D2736" i="9"/>
  <c r="D2737" i="9"/>
  <c r="D2738" i="9"/>
  <c r="D2739" i="9"/>
  <c r="D2740" i="9"/>
  <c r="D2741" i="9"/>
  <c r="D2742" i="9"/>
  <c r="D2743" i="9"/>
  <c r="D2744" i="9"/>
  <c r="D2745" i="9"/>
  <c r="D2746" i="9"/>
  <c r="D2747" i="9"/>
  <c r="D2748" i="9"/>
  <c r="D2749" i="9"/>
  <c r="D2750" i="9"/>
  <c r="D2751" i="9"/>
  <c r="D2752" i="9"/>
  <c r="D2753" i="9"/>
  <c r="D2754" i="9"/>
  <c r="D2755" i="9"/>
  <c r="D2756" i="9"/>
  <c r="D2757" i="9"/>
  <c r="D2758" i="9"/>
  <c r="D2759" i="9"/>
  <c r="D2760" i="9"/>
  <c r="D2761" i="9"/>
  <c r="D2762" i="9"/>
  <c r="D2763" i="9"/>
  <c r="D2764" i="9"/>
  <c r="D2765" i="9"/>
  <c r="D2766" i="9"/>
  <c r="D2767" i="9"/>
  <c r="D2768" i="9"/>
  <c r="D2769" i="9"/>
  <c r="D2770" i="9"/>
  <c r="D2771" i="9"/>
  <c r="D2772" i="9"/>
  <c r="D2773" i="9"/>
  <c r="D2774" i="9"/>
  <c r="D2775" i="9"/>
  <c r="D2776" i="9"/>
  <c r="D2777" i="9"/>
  <c r="D2778" i="9"/>
  <c r="D2779" i="9"/>
  <c r="D2780" i="9"/>
  <c r="D2781" i="9"/>
  <c r="D2782" i="9"/>
  <c r="D2783" i="9"/>
  <c r="D2784" i="9"/>
  <c r="D2785" i="9"/>
  <c r="D2786" i="9"/>
  <c r="D2787" i="9"/>
  <c r="D2788" i="9"/>
  <c r="D2789" i="9"/>
  <c r="D2790" i="9"/>
  <c r="D2791" i="9"/>
  <c r="D2792" i="9"/>
  <c r="D2793" i="9"/>
  <c r="D2794" i="9"/>
  <c r="D2795" i="9"/>
  <c r="D2796" i="9"/>
  <c r="D2797" i="9"/>
  <c r="D2798" i="9"/>
  <c r="D2799" i="9"/>
  <c r="D2800" i="9"/>
  <c r="D2801" i="9"/>
  <c r="D2802" i="9"/>
  <c r="D2803" i="9"/>
  <c r="D2804" i="9"/>
  <c r="D2805" i="9"/>
  <c r="D2806" i="9"/>
  <c r="D2807" i="9"/>
  <c r="D2808" i="9"/>
  <c r="D2809" i="9"/>
  <c r="D2810" i="9"/>
  <c r="D2811" i="9"/>
  <c r="D2812" i="9"/>
  <c r="D2813" i="9"/>
  <c r="D2814" i="9"/>
  <c r="D2815" i="9"/>
  <c r="D2816" i="9"/>
  <c r="D2817" i="9"/>
  <c r="D2818" i="9"/>
  <c r="D2819" i="9"/>
  <c r="D2820" i="9"/>
  <c r="D2821" i="9"/>
  <c r="D2822" i="9"/>
  <c r="D2823" i="9"/>
  <c r="D2824" i="9"/>
  <c r="D2825" i="9"/>
  <c r="D2826" i="9"/>
  <c r="D2827" i="9"/>
  <c r="D2828" i="9"/>
  <c r="D2829" i="9"/>
  <c r="D2830" i="9"/>
  <c r="D2831" i="9"/>
  <c r="D2832" i="9"/>
  <c r="D2833" i="9"/>
  <c r="D2834" i="9"/>
  <c r="D2835" i="9"/>
  <c r="D2836" i="9"/>
  <c r="D2837" i="9"/>
  <c r="D2838" i="9"/>
  <c r="D2839" i="9"/>
  <c r="D2840" i="9"/>
  <c r="D2841" i="9"/>
  <c r="D2842" i="9"/>
  <c r="D2843" i="9"/>
  <c r="D2844" i="9"/>
  <c r="D2845" i="9"/>
  <c r="D2846" i="9"/>
  <c r="D2847" i="9"/>
  <c r="D2848" i="9"/>
  <c r="D2849" i="9"/>
  <c r="D2850" i="9"/>
  <c r="D2851" i="9"/>
  <c r="D2852" i="9"/>
  <c r="D2853" i="9"/>
  <c r="D2854" i="9"/>
  <c r="D2855" i="9"/>
  <c r="D2856" i="9"/>
  <c r="D2857" i="9"/>
  <c r="D2858" i="9"/>
  <c r="D2859" i="9"/>
  <c r="D2860" i="9"/>
  <c r="D2861" i="9"/>
  <c r="D2862" i="9"/>
  <c r="D2863" i="9"/>
  <c r="D2864" i="9"/>
  <c r="D2865" i="9"/>
  <c r="D2866" i="9"/>
  <c r="D2867" i="9"/>
  <c r="D2868" i="9"/>
  <c r="D2869" i="9"/>
  <c r="D2870" i="9"/>
  <c r="D2871" i="9"/>
  <c r="D2872" i="9"/>
  <c r="D2873" i="9"/>
  <c r="D2874" i="9"/>
  <c r="D2875" i="9"/>
  <c r="D2876" i="9"/>
  <c r="D2877" i="9"/>
  <c r="D2878" i="9"/>
  <c r="D2879" i="9"/>
  <c r="D2880" i="9"/>
  <c r="D2881" i="9"/>
  <c r="D2882" i="9"/>
  <c r="D2883" i="9"/>
  <c r="D2884" i="9"/>
  <c r="D2885" i="9"/>
  <c r="D2886" i="9"/>
  <c r="D2887" i="9"/>
  <c r="D2888" i="9"/>
  <c r="D2889" i="9"/>
  <c r="D2890" i="9"/>
  <c r="D2891" i="9"/>
  <c r="D2892" i="9"/>
  <c r="D2893" i="9"/>
  <c r="D2894" i="9"/>
  <c r="D2895" i="9"/>
  <c r="D2896" i="9"/>
  <c r="D2897" i="9"/>
  <c r="D2898" i="9"/>
  <c r="D2899" i="9"/>
  <c r="D2900" i="9"/>
  <c r="D2901" i="9"/>
  <c r="D2902" i="9"/>
  <c r="D2903" i="9"/>
  <c r="D2904" i="9"/>
  <c r="D2905" i="9"/>
  <c r="D2906" i="9"/>
  <c r="D2907" i="9"/>
  <c r="D2908" i="9"/>
  <c r="D2909" i="9"/>
  <c r="D2910" i="9"/>
  <c r="D2911" i="9"/>
  <c r="D2912" i="9"/>
  <c r="D2913" i="9"/>
  <c r="D2914" i="9"/>
  <c r="D2915" i="9"/>
  <c r="D2916" i="9"/>
  <c r="D2917" i="9"/>
  <c r="D2918" i="9"/>
  <c r="D2919" i="9"/>
  <c r="D2920" i="9"/>
  <c r="D2921" i="9"/>
  <c r="D2922" i="9"/>
  <c r="D2923" i="9"/>
  <c r="D2924" i="9"/>
  <c r="D2925" i="9"/>
  <c r="D2926" i="9"/>
  <c r="D2927" i="9"/>
  <c r="D2928" i="9"/>
  <c r="D2929" i="9"/>
  <c r="D2930" i="9"/>
  <c r="D2931" i="9"/>
  <c r="D2932" i="9"/>
  <c r="D2933" i="9"/>
  <c r="D2934" i="9"/>
  <c r="D2935" i="9"/>
  <c r="D2936" i="9"/>
  <c r="D2937" i="9"/>
  <c r="D2938" i="9"/>
  <c r="D2939" i="9"/>
  <c r="D2940" i="9"/>
  <c r="D2941" i="9"/>
  <c r="D2942" i="9"/>
  <c r="D2943" i="9"/>
  <c r="D2944" i="9"/>
  <c r="D2945" i="9"/>
  <c r="D2946" i="9"/>
  <c r="D2947" i="9"/>
  <c r="D2948" i="9"/>
  <c r="D2949" i="9"/>
  <c r="D2950" i="9"/>
  <c r="D2951" i="9"/>
  <c r="D2952" i="9"/>
  <c r="D2953" i="9"/>
  <c r="D2954" i="9"/>
  <c r="D2955" i="9"/>
  <c r="D2956" i="9"/>
  <c r="D2957" i="9"/>
  <c r="D2958" i="9"/>
  <c r="D2959" i="9"/>
  <c r="D2960" i="9"/>
  <c r="D2961" i="9"/>
  <c r="D2962" i="9"/>
  <c r="D2963" i="9"/>
  <c r="D2964" i="9"/>
  <c r="D2965" i="9"/>
  <c r="D2966" i="9"/>
  <c r="D2967" i="9"/>
  <c r="D2968" i="9"/>
  <c r="D2969" i="9"/>
  <c r="D2970" i="9"/>
  <c r="D2971" i="9"/>
  <c r="D2972" i="9"/>
  <c r="D2973" i="9"/>
  <c r="D2974" i="9"/>
  <c r="D2975" i="9"/>
  <c r="D2976" i="9"/>
  <c r="D2977" i="9"/>
  <c r="D2978" i="9"/>
  <c r="D2979" i="9"/>
  <c r="D2980" i="9"/>
  <c r="D2981" i="9"/>
  <c r="D2982" i="9"/>
  <c r="D2983" i="9"/>
  <c r="D2984" i="9"/>
  <c r="D2985" i="9"/>
  <c r="D2986" i="9"/>
  <c r="D2987" i="9"/>
  <c r="D2988" i="9"/>
  <c r="D2989" i="9"/>
  <c r="D2990" i="9"/>
  <c r="D2991" i="9"/>
  <c r="D2992" i="9"/>
  <c r="D2993" i="9"/>
  <c r="D2994" i="9"/>
  <c r="D2995" i="9"/>
  <c r="D2996" i="9"/>
  <c r="D2997" i="9"/>
  <c r="D2998" i="9"/>
  <c r="D2999" i="9"/>
  <c r="D3000" i="9"/>
  <c r="D3001" i="9"/>
  <c r="D3002" i="9"/>
  <c r="D3003" i="9"/>
  <c r="D3004" i="9"/>
  <c r="D3005" i="9"/>
  <c r="D3006" i="9"/>
  <c r="D3007" i="9"/>
  <c r="D3008" i="9"/>
  <c r="D3009" i="9"/>
  <c r="D3010" i="9"/>
  <c r="D3011" i="9"/>
  <c r="D3012" i="9"/>
  <c r="D3013" i="9"/>
  <c r="D3014" i="9"/>
  <c r="D3015" i="9"/>
  <c r="D3016" i="9"/>
  <c r="D3017" i="9"/>
  <c r="D3018" i="9"/>
  <c r="D3019" i="9"/>
  <c r="D3020" i="9"/>
  <c r="D3021" i="9"/>
  <c r="D3022" i="9"/>
  <c r="D3023" i="9"/>
  <c r="D3024" i="9"/>
  <c r="D3025" i="9"/>
  <c r="D3026" i="9"/>
  <c r="D3027" i="9"/>
  <c r="D3028" i="9"/>
  <c r="D3029" i="9"/>
  <c r="D3030" i="9"/>
  <c r="D3031" i="9"/>
  <c r="D3032" i="9"/>
  <c r="D3033" i="9"/>
  <c r="D3034" i="9"/>
  <c r="D3035" i="9"/>
  <c r="D3036" i="9"/>
  <c r="D3037" i="9"/>
  <c r="D3038" i="9"/>
  <c r="D3039" i="9"/>
  <c r="D3040" i="9"/>
  <c r="D3041" i="9"/>
  <c r="D3042" i="9"/>
  <c r="D3043" i="9"/>
  <c r="D3044" i="9"/>
  <c r="D3045" i="9"/>
  <c r="D3046" i="9"/>
  <c r="D3047" i="9"/>
  <c r="D3048" i="9"/>
  <c r="D3049" i="9"/>
  <c r="D3050" i="9"/>
  <c r="D3051" i="9"/>
  <c r="D3052" i="9"/>
  <c r="D3053" i="9"/>
  <c r="D3054" i="9"/>
  <c r="D3055" i="9"/>
  <c r="D3056" i="9"/>
  <c r="D3057" i="9"/>
  <c r="D3058" i="9"/>
  <c r="D3059" i="9"/>
  <c r="D3060" i="9"/>
  <c r="D3061" i="9"/>
  <c r="D3062" i="9"/>
  <c r="D3063" i="9"/>
  <c r="D3064" i="9"/>
  <c r="D3065" i="9"/>
  <c r="D3066" i="9"/>
  <c r="D3067" i="9"/>
  <c r="D3068" i="9"/>
  <c r="D3069" i="9"/>
  <c r="D3070" i="9"/>
  <c r="D3071" i="9"/>
  <c r="D3072" i="9"/>
  <c r="D3073" i="9"/>
  <c r="D3074" i="9"/>
  <c r="D3075" i="9"/>
  <c r="D3076" i="9"/>
  <c r="D3077" i="9"/>
  <c r="D3078" i="9"/>
  <c r="D3079" i="9"/>
  <c r="D3080" i="9"/>
  <c r="D3081" i="9"/>
  <c r="D3082" i="9"/>
  <c r="D3083" i="9"/>
  <c r="D3084" i="9"/>
  <c r="D3085" i="9"/>
  <c r="D3086" i="9"/>
  <c r="D3087" i="9"/>
  <c r="D3088" i="9"/>
  <c r="D3089" i="9"/>
  <c r="D3090" i="9"/>
  <c r="D3091" i="9"/>
  <c r="D3092" i="9"/>
  <c r="D3093" i="9"/>
  <c r="D3094" i="9"/>
  <c r="D3095" i="9"/>
  <c r="D3096" i="9"/>
  <c r="D3097" i="9"/>
  <c r="D3098" i="9"/>
  <c r="D3099" i="9"/>
  <c r="D3100" i="9"/>
  <c r="D3101" i="9"/>
  <c r="D3102" i="9"/>
  <c r="D3103" i="9"/>
  <c r="D3104" i="9"/>
  <c r="D3105" i="9"/>
  <c r="D3106" i="9"/>
  <c r="D3107" i="9"/>
  <c r="D3108" i="9"/>
  <c r="D3109" i="9"/>
  <c r="D3110" i="9"/>
  <c r="D3111" i="9"/>
  <c r="D3112" i="9"/>
  <c r="D3113" i="9"/>
  <c r="D3114" i="9"/>
  <c r="D3115" i="9"/>
  <c r="D3116" i="9"/>
  <c r="D3117" i="9"/>
  <c r="D3118" i="9"/>
  <c r="D3119" i="9"/>
  <c r="D3120" i="9"/>
  <c r="D3121" i="9"/>
  <c r="D3122" i="9"/>
  <c r="D3123" i="9"/>
  <c r="D3124" i="9"/>
  <c r="D3125" i="9"/>
  <c r="D3126" i="9"/>
  <c r="D3127" i="9"/>
  <c r="D3128" i="9"/>
  <c r="D3129" i="9"/>
  <c r="D3130" i="9"/>
  <c r="D3131" i="9"/>
  <c r="D3132" i="9"/>
  <c r="D3133" i="9"/>
  <c r="D3134" i="9"/>
  <c r="D3135" i="9"/>
  <c r="D3136" i="9"/>
  <c r="D3137" i="9"/>
  <c r="D3138" i="9"/>
  <c r="D3139" i="9"/>
  <c r="D3140" i="9"/>
  <c r="D3141" i="9"/>
  <c r="D3142" i="9"/>
  <c r="D3143" i="9"/>
  <c r="D3144" i="9"/>
  <c r="D3145" i="9"/>
  <c r="D3146" i="9"/>
  <c r="D3147" i="9"/>
  <c r="D3148" i="9"/>
  <c r="D3149" i="9"/>
  <c r="D3150" i="9"/>
  <c r="D3151" i="9"/>
  <c r="D3152" i="9"/>
  <c r="D3153" i="9"/>
  <c r="D3154" i="9"/>
  <c r="D3155" i="9"/>
  <c r="D3156" i="9"/>
  <c r="D3157" i="9"/>
  <c r="D3158" i="9"/>
  <c r="D3159" i="9"/>
  <c r="D3160" i="9"/>
  <c r="D3161" i="9"/>
  <c r="D3162" i="9"/>
  <c r="D3163" i="9"/>
  <c r="D3164" i="9"/>
  <c r="D3165" i="9"/>
  <c r="D3166" i="9"/>
  <c r="D3167" i="9"/>
  <c r="D3168" i="9"/>
  <c r="D3169" i="9"/>
  <c r="D3170" i="9"/>
  <c r="D3171" i="9"/>
  <c r="D3172" i="9"/>
  <c r="D3173" i="9"/>
  <c r="D3174" i="9"/>
  <c r="D3175" i="9"/>
  <c r="D3176" i="9"/>
  <c r="D3177" i="9"/>
  <c r="D3178" i="9"/>
  <c r="D3179" i="9"/>
  <c r="D3180" i="9"/>
  <c r="D3181" i="9"/>
  <c r="D3182" i="9"/>
  <c r="D3183" i="9"/>
  <c r="D3184" i="9"/>
  <c r="D3185" i="9"/>
  <c r="D3186" i="9"/>
  <c r="D3187" i="9"/>
  <c r="D3188" i="9"/>
  <c r="D3189" i="9"/>
  <c r="D3190" i="9"/>
  <c r="D3191" i="9"/>
  <c r="D3192" i="9"/>
  <c r="D3193" i="9"/>
  <c r="D3194" i="9"/>
  <c r="D3195" i="9"/>
  <c r="D3196" i="9"/>
  <c r="D3197" i="9"/>
  <c r="D3198" i="9"/>
  <c r="D3199" i="9"/>
  <c r="D3200" i="9"/>
  <c r="D3201" i="9"/>
  <c r="D3202" i="9"/>
  <c r="D3203" i="9"/>
  <c r="D3204" i="9"/>
  <c r="D3205" i="9"/>
  <c r="D3206" i="9"/>
  <c r="D3207" i="9"/>
  <c r="D3208" i="9"/>
  <c r="D3209" i="9"/>
  <c r="D3210" i="9"/>
  <c r="D3211" i="9"/>
  <c r="D3212" i="9"/>
  <c r="D3213" i="9"/>
  <c r="D3214" i="9"/>
  <c r="D3215" i="9"/>
  <c r="D3216" i="9"/>
  <c r="D3217" i="9"/>
  <c r="D3218" i="9"/>
  <c r="D3219" i="9"/>
  <c r="D3220" i="9"/>
  <c r="D3221" i="9"/>
  <c r="D3222" i="9"/>
  <c r="D3223" i="9"/>
  <c r="D3224" i="9"/>
  <c r="D3225" i="9"/>
  <c r="D3226" i="9"/>
  <c r="D3227" i="9"/>
  <c r="D3228" i="9"/>
  <c r="D3229" i="9"/>
  <c r="D3230" i="9"/>
  <c r="D3231" i="9"/>
  <c r="D3232" i="9"/>
  <c r="D3233" i="9"/>
  <c r="D3234" i="9"/>
  <c r="D3235" i="9"/>
  <c r="D3236" i="9"/>
  <c r="D3237" i="9"/>
  <c r="D3238" i="9"/>
  <c r="D3239" i="9"/>
  <c r="D3240" i="9"/>
  <c r="D3241" i="9"/>
  <c r="D3242" i="9"/>
  <c r="D3243" i="9"/>
  <c r="D3244" i="9"/>
  <c r="D3245" i="9"/>
  <c r="D3246" i="9"/>
  <c r="D3247" i="9"/>
  <c r="D3248" i="9"/>
  <c r="D3249" i="9"/>
  <c r="D3250" i="9"/>
  <c r="D3251" i="9"/>
  <c r="D3252" i="9"/>
  <c r="D3253" i="9"/>
  <c r="D3254" i="9"/>
  <c r="D3255" i="9"/>
  <c r="D3256" i="9"/>
  <c r="D3257" i="9"/>
  <c r="D3258" i="9"/>
  <c r="D3259" i="9"/>
  <c r="D3260" i="9"/>
  <c r="D3261" i="9"/>
  <c r="D3262" i="9"/>
  <c r="D3263" i="9"/>
  <c r="D3264" i="9"/>
  <c r="D3265" i="9"/>
  <c r="D3266" i="9"/>
  <c r="D3267" i="9"/>
  <c r="D3268" i="9"/>
  <c r="D3269" i="9"/>
  <c r="D3270" i="9"/>
  <c r="D3271" i="9"/>
  <c r="D3272" i="9"/>
  <c r="D3273" i="9"/>
  <c r="D3274" i="9"/>
  <c r="D3275" i="9"/>
  <c r="D3276" i="9"/>
  <c r="D3277" i="9"/>
  <c r="D3278" i="9"/>
  <c r="D3279" i="9"/>
  <c r="D3280" i="9"/>
  <c r="D3281" i="9"/>
  <c r="D3282" i="9"/>
  <c r="D3283" i="9"/>
  <c r="D3284" i="9"/>
  <c r="D3285" i="9"/>
  <c r="D3286" i="9"/>
  <c r="D3287" i="9"/>
  <c r="D3288" i="9"/>
  <c r="D3289" i="9"/>
  <c r="D3290" i="9"/>
  <c r="D3291" i="9"/>
  <c r="D3292" i="9"/>
  <c r="D3293" i="9"/>
  <c r="D3294" i="9"/>
  <c r="D3295" i="9"/>
  <c r="D3296" i="9"/>
  <c r="D3297" i="9"/>
  <c r="D3298" i="9"/>
  <c r="D3299" i="9"/>
  <c r="D3300" i="9"/>
  <c r="D3301" i="9"/>
  <c r="D3302" i="9"/>
  <c r="D3303" i="9"/>
  <c r="D3304" i="9"/>
  <c r="D3305" i="9"/>
  <c r="D3306" i="9"/>
  <c r="D3307" i="9"/>
  <c r="D3308" i="9"/>
  <c r="D3309" i="9"/>
  <c r="D3310" i="9"/>
  <c r="D3311" i="9"/>
  <c r="D3312" i="9"/>
  <c r="D3313" i="9"/>
  <c r="D3314" i="9"/>
  <c r="D3315" i="9"/>
  <c r="D3316" i="9"/>
  <c r="D3317" i="9"/>
  <c r="D3318" i="9"/>
  <c r="D3319" i="9"/>
  <c r="D3320" i="9"/>
  <c r="D3321" i="9"/>
  <c r="D3322" i="9"/>
  <c r="D3323" i="9"/>
  <c r="D3324" i="9"/>
  <c r="D3325" i="9"/>
  <c r="D3326" i="9"/>
  <c r="D3327" i="9"/>
  <c r="D3328" i="9"/>
  <c r="D3329" i="9"/>
  <c r="D3330" i="9"/>
  <c r="D3331" i="9"/>
  <c r="D3332" i="9"/>
  <c r="D3333" i="9"/>
  <c r="D3334" i="9"/>
  <c r="D3335" i="9"/>
  <c r="D3336" i="9"/>
  <c r="D3337" i="9"/>
  <c r="D3338" i="9"/>
  <c r="D3339" i="9"/>
  <c r="D3340" i="9"/>
  <c r="D3341" i="9"/>
  <c r="D3342" i="9"/>
  <c r="D3343" i="9"/>
  <c r="D3344" i="9"/>
  <c r="D3345" i="9"/>
  <c r="D3346" i="9"/>
  <c r="D3347" i="9"/>
  <c r="D3348" i="9"/>
  <c r="D3349" i="9"/>
  <c r="D3350" i="9"/>
  <c r="D3351" i="9"/>
  <c r="D3352" i="9"/>
  <c r="D3353" i="9"/>
  <c r="D3354" i="9"/>
  <c r="D3355" i="9"/>
  <c r="D3356" i="9"/>
  <c r="D3357" i="9"/>
  <c r="D3358" i="9"/>
  <c r="D3359" i="9"/>
  <c r="D3360" i="9"/>
  <c r="D3361" i="9"/>
  <c r="D3362" i="9"/>
  <c r="D3363" i="9"/>
  <c r="D3364" i="9"/>
  <c r="D3365" i="9"/>
  <c r="D3366" i="9"/>
  <c r="D3367" i="9"/>
  <c r="D3368" i="9"/>
  <c r="D3369" i="9"/>
  <c r="D3370" i="9"/>
  <c r="D3371" i="9"/>
  <c r="D3372" i="9"/>
  <c r="D3373" i="9"/>
  <c r="D3374" i="9"/>
  <c r="D3375" i="9"/>
  <c r="D3376" i="9"/>
  <c r="D3377" i="9"/>
  <c r="D3378" i="9"/>
  <c r="D3379" i="9"/>
  <c r="D3380" i="9"/>
  <c r="D3381" i="9"/>
  <c r="D3382" i="9"/>
  <c r="D3383" i="9"/>
  <c r="D3384" i="9"/>
  <c r="D3385" i="9"/>
  <c r="D3386" i="9"/>
  <c r="D3387" i="9"/>
  <c r="D3388" i="9"/>
  <c r="D3389" i="9"/>
  <c r="D3390" i="9"/>
  <c r="D3391" i="9"/>
  <c r="D3392" i="9"/>
  <c r="D3393" i="9"/>
  <c r="D3394" i="9"/>
  <c r="D3395" i="9"/>
  <c r="D3396" i="9"/>
  <c r="D3397" i="9"/>
  <c r="D3398" i="9"/>
  <c r="D3399" i="9"/>
  <c r="D3400" i="9"/>
  <c r="D3401" i="9"/>
  <c r="D3402" i="9"/>
  <c r="D3403" i="9"/>
  <c r="D3404" i="9"/>
  <c r="D3405" i="9"/>
  <c r="D3406" i="9"/>
  <c r="D3407" i="9"/>
  <c r="D3408" i="9"/>
  <c r="D3409" i="9"/>
  <c r="D3410" i="9"/>
  <c r="D3411" i="9"/>
  <c r="D3412" i="9"/>
  <c r="D3413" i="9"/>
  <c r="D3414" i="9"/>
  <c r="D3415" i="9"/>
  <c r="D3416" i="9"/>
  <c r="D3417" i="9"/>
  <c r="D3418" i="9"/>
  <c r="D3419" i="9"/>
  <c r="D3420" i="9"/>
  <c r="D3421" i="9"/>
  <c r="D3422" i="9"/>
  <c r="D3423" i="9"/>
  <c r="D3424" i="9"/>
  <c r="D3425" i="9"/>
  <c r="D3426" i="9"/>
  <c r="D3427" i="9"/>
  <c r="D3428" i="9"/>
  <c r="D3429" i="9"/>
  <c r="D3430" i="9"/>
  <c r="D3431" i="9"/>
  <c r="D3432" i="9"/>
  <c r="D3433" i="9"/>
  <c r="D3434" i="9"/>
  <c r="D3435" i="9"/>
  <c r="D3436" i="9"/>
  <c r="D3437" i="9"/>
  <c r="D3438" i="9"/>
  <c r="D3439" i="9"/>
  <c r="D3440" i="9"/>
  <c r="D3441" i="9"/>
  <c r="D3442" i="9"/>
  <c r="D3443" i="9"/>
  <c r="D3444" i="9"/>
  <c r="D3445" i="9"/>
  <c r="D3446" i="9"/>
  <c r="D3447" i="9"/>
  <c r="D3448" i="9"/>
  <c r="D3449" i="9"/>
  <c r="D3450" i="9"/>
  <c r="D3451" i="9"/>
  <c r="D3452" i="9"/>
  <c r="D3453" i="9"/>
  <c r="D3454" i="9"/>
  <c r="D3455" i="9"/>
  <c r="D3456" i="9"/>
  <c r="D3457" i="9"/>
  <c r="D3458" i="9"/>
  <c r="D3459" i="9"/>
  <c r="D3460" i="9"/>
  <c r="D3461" i="9"/>
  <c r="D3462" i="9"/>
  <c r="D3463" i="9"/>
  <c r="D3464" i="9"/>
  <c r="D3465" i="9"/>
  <c r="D3466" i="9"/>
  <c r="D3467" i="9"/>
  <c r="D3468" i="9"/>
  <c r="D3469" i="9"/>
  <c r="D3470" i="9"/>
  <c r="D3471" i="9"/>
  <c r="D3472" i="9"/>
  <c r="D3473" i="9"/>
  <c r="D3474" i="9"/>
  <c r="D3475" i="9"/>
  <c r="D3476" i="9"/>
  <c r="D3477" i="9"/>
  <c r="D3478" i="9"/>
  <c r="D3479" i="9"/>
  <c r="D3480" i="9"/>
  <c r="D3481" i="9"/>
  <c r="D3482" i="9"/>
  <c r="D3483" i="9"/>
  <c r="D3484" i="9"/>
  <c r="D3485" i="9"/>
  <c r="D3486" i="9"/>
  <c r="D3487" i="9"/>
  <c r="D3488" i="9"/>
  <c r="D3489" i="9"/>
  <c r="D3490" i="9"/>
  <c r="D3491" i="9"/>
  <c r="D3492" i="9"/>
  <c r="D3493" i="9"/>
  <c r="D3494" i="9"/>
  <c r="D3495" i="9"/>
  <c r="D3496" i="9"/>
  <c r="D3497" i="9"/>
  <c r="D3498" i="9"/>
  <c r="D3499" i="9"/>
  <c r="D3500" i="9"/>
  <c r="D3501" i="9"/>
  <c r="D3502" i="9"/>
  <c r="D3503" i="9"/>
  <c r="D3504" i="9"/>
  <c r="D3505" i="9"/>
  <c r="D3506" i="9"/>
  <c r="D3507" i="9"/>
  <c r="D3508" i="9"/>
  <c r="D3509" i="9"/>
  <c r="D3510" i="9"/>
  <c r="D3511" i="9"/>
  <c r="D3512" i="9"/>
  <c r="D3513" i="9"/>
  <c r="D3514" i="9"/>
  <c r="D3515" i="9"/>
  <c r="D3516" i="9"/>
  <c r="D3517" i="9"/>
  <c r="D3518" i="9"/>
  <c r="D3519" i="9"/>
  <c r="D3520" i="9"/>
  <c r="D3521" i="9"/>
  <c r="D3522" i="9"/>
  <c r="D3523" i="9"/>
  <c r="D3524" i="9"/>
  <c r="D3525" i="9"/>
  <c r="D3526" i="9"/>
  <c r="D3527" i="9"/>
  <c r="D3528" i="9"/>
  <c r="D3529" i="9"/>
  <c r="D3530" i="9"/>
  <c r="D3531" i="9"/>
  <c r="D3532" i="9"/>
  <c r="D3533" i="9"/>
  <c r="D3534" i="9"/>
  <c r="D3535" i="9"/>
  <c r="D3536" i="9"/>
  <c r="D3537" i="9"/>
  <c r="D3538" i="9"/>
  <c r="D3539" i="9"/>
  <c r="D3540" i="9"/>
  <c r="D3541" i="9"/>
  <c r="D3542" i="9"/>
  <c r="D3543" i="9"/>
  <c r="D3544" i="9"/>
  <c r="D3545" i="9"/>
  <c r="D3546" i="9"/>
  <c r="D3547" i="9"/>
  <c r="D3548" i="9"/>
  <c r="D3549" i="9"/>
  <c r="D3550" i="9"/>
  <c r="D3551" i="9"/>
  <c r="D3552" i="9"/>
  <c r="D3553" i="9"/>
  <c r="D3554" i="9"/>
  <c r="D3555" i="9"/>
  <c r="D3556" i="9"/>
  <c r="D3557" i="9"/>
  <c r="D3558" i="9"/>
  <c r="D3559" i="9"/>
  <c r="D3560" i="9"/>
  <c r="D3561" i="9"/>
  <c r="D3562" i="9"/>
  <c r="D3563" i="9"/>
  <c r="D3564" i="9"/>
  <c r="D3565" i="9"/>
  <c r="D3566" i="9"/>
  <c r="D3567" i="9"/>
  <c r="D3568" i="9"/>
  <c r="D3569" i="9"/>
  <c r="D3570" i="9"/>
  <c r="D3571" i="9"/>
  <c r="D3572" i="9"/>
  <c r="D3573" i="9"/>
  <c r="D3574" i="9"/>
  <c r="D3575" i="9"/>
  <c r="D3576" i="9"/>
  <c r="D3577" i="9"/>
  <c r="D3578" i="9"/>
  <c r="D3579" i="9"/>
  <c r="D3580" i="9"/>
  <c r="D3581" i="9"/>
  <c r="D3582" i="9"/>
  <c r="D3583" i="9"/>
  <c r="D3584" i="9"/>
  <c r="D3585" i="9"/>
  <c r="D3586" i="9"/>
  <c r="D3587" i="9"/>
  <c r="D3588" i="9"/>
  <c r="D3589" i="9"/>
  <c r="D3590" i="9"/>
  <c r="D3591" i="9"/>
  <c r="D3592" i="9"/>
  <c r="D3593" i="9"/>
  <c r="D3594" i="9"/>
  <c r="D3595" i="9"/>
  <c r="D3596" i="9"/>
  <c r="D3597" i="9"/>
  <c r="D3598" i="9"/>
  <c r="D3599" i="9"/>
  <c r="D3600" i="9"/>
  <c r="D3601" i="9"/>
  <c r="D3602" i="9"/>
  <c r="D3603" i="9"/>
  <c r="D3604" i="9"/>
  <c r="D3605" i="9"/>
  <c r="D3606" i="9"/>
  <c r="D3607" i="9"/>
  <c r="D3608" i="9"/>
  <c r="D3609" i="9"/>
  <c r="D3610" i="9"/>
  <c r="D3611" i="9"/>
  <c r="D3612" i="9"/>
  <c r="D3613" i="9"/>
  <c r="D3614" i="9"/>
  <c r="D3615" i="9"/>
  <c r="D3616" i="9"/>
  <c r="D3617" i="9"/>
  <c r="D3618" i="9"/>
  <c r="D3619" i="9"/>
  <c r="D3620" i="9"/>
  <c r="D3621" i="9"/>
  <c r="D3622" i="9"/>
  <c r="D3623" i="9"/>
  <c r="D3624" i="9"/>
  <c r="D3625" i="9"/>
  <c r="D3626" i="9"/>
  <c r="D3627" i="9"/>
  <c r="D3628" i="9"/>
  <c r="D3629" i="9"/>
  <c r="D3630" i="9"/>
  <c r="D3631" i="9"/>
  <c r="D3632" i="9"/>
  <c r="D3633" i="9"/>
  <c r="D3634" i="9"/>
  <c r="D3635" i="9"/>
  <c r="D3636" i="9"/>
  <c r="D3637" i="9"/>
  <c r="D3638" i="9"/>
  <c r="D3639" i="9"/>
  <c r="D3640" i="9"/>
  <c r="D3641" i="9"/>
  <c r="D3642" i="9"/>
  <c r="D3643" i="9"/>
  <c r="D3644" i="9"/>
  <c r="D3645" i="9"/>
  <c r="D3646" i="9"/>
  <c r="D3647" i="9"/>
  <c r="D3648" i="9"/>
  <c r="D3649" i="9"/>
  <c r="D3650" i="9"/>
  <c r="D3651" i="9"/>
  <c r="D3652" i="9"/>
  <c r="D3653" i="9"/>
  <c r="D3654" i="9"/>
  <c r="D3655" i="9"/>
  <c r="D3656" i="9"/>
  <c r="D3657" i="9"/>
  <c r="D3658" i="9"/>
  <c r="D3659" i="9"/>
  <c r="D3660" i="9"/>
  <c r="D3661" i="9"/>
  <c r="D3662" i="9"/>
  <c r="D3663" i="9"/>
  <c r="D3664" i="9"/>
  <c r="D3665" i="9"/>
  <c r="D3666" i="9"/>
  <c r="D3667" i="9"/>
  <c r="D3668" i="9"/>
  <c r="D3669" i="9"/>
  <c r="D3670" i="9"/>
  <c r="D3671" i="9"/>
  <c r="D3672" i="9"/>
  <c r="D3673" i="9"/>
  <c r="D3674" i="9"/>
  <c r="D3675" i="9"/>
  <c r="D3676" i="9"/>
  <c r="D3677" i="9"/>
  <c r="D3678" i="9"/>
  <c r="D3679" i="9"/>
  <c r="D3680" i="9"/>
  <c r="D3681" i="9"/>
  <c r="D3682" i="9"/>
  <c r="D3683" i="9"/>
  <c r="D3684" i="9"/>
  <c r="D3685" i="9"/>
  <c r="D3686" i="9"/>
  <c r="D3687" i="9"/>
  <c r="D3688" i="9"/>
  <c r="D3689" i="9"/>
  <c r="D3690" i="9"/>
  <c r="D3691" i="9"/>
  <c r="D3692" i="9"/>
  <c r="D3693" i="9"/>
  <c r="D3694" i="9"/>
  <c r="D3695" i="9"/>
  <c r="D3696" i="9"/>
  <c r="D3697" i="9"/>
  <c r="D3698" i="9"/>
  <c r="D3699" i="9"/>
  <c r="D3700" i="9"/>
  <c r="D3701" i="9"/>
  <c r="D3702" i="9"/>
  <c r="D3703" i="9"/>
  <c r="D3704" i="9"/>
  <c r="D3705" i="9"/>
  <c r="D3706" i="9"/>
  <c r="D3707" i="9"/>
  <c r="D3708" i="9"/>
  <c r="D3709" i="9"/>
  <c r="D3710" i="9"/>
  <c r="D3711" i="9"/>
  <c r="D3712" i="9"/>
  <c r="D3713" i="9"/>
  <c r="D3714" i="9"/>
  <c r="D3715" i="9"/>
  <c r="D3716" i="9"/>
  <c r="D3717" i="9"/>
  <c r="D3718" i="9"/>
  <c r="D3719" i="9"/>
  <c r="D3720" i="9"/>
  <c r="D3721" i="9"/>
  <c r="D3722" i="9"/>
  <c r="D3723" i="9"/>
  <c r="D3724" i="9"/>
  <c r="D3725" i="9"/>
  <c r="D3726" i="9"/>
  <c r="D3727" i="9"/>
  <c r="D3728" i="9"/>
  <c r="D3729" i="9"/>
  <c r="D3730" i="9"/>
  <c r="D3731" i="9"/>
  <c r="D3732" i="9"/>
  <c r="D3733" i="9"/>
  <c r="D3734" i="9"/>
  <c r="D3735" i="9"/>
  <c r="D3736" i="9"/>
  <c r="D3737" i="9"/>
  <c r="D3738" i="9"/>
  <c r="D3739" i="9"/>
  <c r="D3740" i="9"/>
  <c r="D3741" i="9"/>
  <c r="D3742" i="9"/>
  <c r="D3743" i="9"/>
  <c r="D3744" i="9"/>
  <c r="D3745" i="9"/>
  <c r="D3746" i="9"/>
  <c r="D3747" i="9"/>
  <c r="D3748" i="9"/>
  <c r="D3749" i="9"/>
  <c r="D3750" i="9"/>
  <c r="D3751" i="9"/>
  <c r="D3752" i="9"/>
  <c r="D3753" i="9"/>
  <c r="D3754" i="9"/>
  <c r="D3755" i="9"/>
  <c r="D3756" i="9"/>
  <c r="D3757" i="9"/>
  <c r="D3758" i="9"/>
  <c r="D3759" i="9"/>
  <c r="D3760" i="9"/>
  <c r="D3761" i="9"/>
  <c r="D3762" i="9"/>
  <c r="D3763" i="9"/>
  <c r="D3764" i="9"/>
  <c r="D3765" i="9"/>
  <c r="D3766" i="9"/>
  <c r="D3767" i="9"/>
  <c r="D3768" i="9"/>
  <c r="D3769" i="9"/>
  <c r="D3770" i="9"/>
  <c r="D3771" i="9"/>
  <c r="D3772" i="9"/>
  <c r="D3773" i="9"/>
  <c r="D3774" i="9"/>
  <c r="D3775" i="9"/>
  <c r="D3776" i="9"/>
  <c r="D3777" i="9"/>
  <c r="D3778" i="9"/>
  <c r="D3779" i="9"/>
  <c r="D3780" i="9"/>
  <c r="D3781" i="9"/>
  <c r="D3782" i="9"/>
  <c r="D3783" i="9"/>
  <c r="D3784" i="9"/>
  <c r="D3785" i="9"/>
  <c r="D3786" i="9"/>
  <c r="D3787" i="9"/>
  <c r="D3788" i="9"/>
  <c r="D3789" i="9"/>
  <c r="D3790" i="9"/>
  <c r="D3791" i="9"/>
  <c r="D3792" i="9"/>
  <c r="D3793" i="9"/>
  <c r="D3794" i="9"/>
  <c r="D3795" i="9"/>
  <c r="D3796" i="9"/>
  <c r="D3797" i="9"/>
  <c r="D3798" i="9"/>
  <c r="D3799" i="9"/>
  <c r="D3800" i="9"/>
  <c r="D3801" i="9"/>
  <c r="D3802" i="9"/>
  <c r="D3803" i="9"/>
  <c r="D3804" i="9"/>
  <c r="D3805" i="9"/>
  <c r="D3806" i="9"/>
  <c r="D3807" i="9"/>
  <c r="D3808" i="9"/>
  <c r="D3809" i="9"/>
  <c r="D3810" i="9"/>
  <c r="D3811" i="9"/>
  <c r="D3812" i="9"/>
  <c r="D3813" i="9"/>
  <c r="D3814" i="9"/>
  <c r="D3815" i="9"/>
  <c r="D3816" i="9"/>
  <c r="D3817" i="9"/>
  <c r="D3818" i="9"/>
  <c r="D3819" i="9"/>
  <c r="D3820" i="9"/>
  <c r="D3821" i="9"/>
  <c r="D3822" i="9"/>
  <c r="D3823" i="9"/>
  <c r="D3824" i="9"/>
  <c r="D3825" i="9"/>
  <c r="D3826" i="9"/>
  <c r="D3827" i="9"/>
  <c r="D3828" i="9"/>
  <c r="D3829" i="9"/>
  <c r="D3830" i="9"/>
  <c r="D3831" i="9"/>
  <c r="D3832" i="9"/>
  <c r="D3833" i="9"/>
  <c r="D3834" i="9"/>
  <c r="D3835" i="9"/>
  <c r="D3836" i="9"/>
  <c r="D3837" i="9"/>
  <c r="D3838" i="9"/>
  <c r="D3839" i="9"/>
  <c r="D3840" i="9"/>
  <c r="D3841" i="9"/>
  <c r="D3842" i="9"/>
  <c r="D3843" i="9"/>
  <c r="D3844" i="9"/>
  <c r="D3845" i="9"/>
  <c r="D3846" i="9"/>
  <c r="D3847" i="9"/>
  <c r="D3848" i="9"/>
  <c r="D3849" i="9"/>
  <c r="D3850" i="9"/>
  <c r="D3851" i="9"/>
  <c r="D3852" i="9"/>
  <c r="D3853" i="9"/>
  <c r="D3854" i="9"/>
  <c r="D3855" i="9"/>
  <c r="D3856" i="9"/>
  <c r="D3857" i="9"/>
  <c r="D3858" i="9"/>
  <c r="D3859" i="9"/>
  <c r="D3860" i="9"/>
  <c r="D3861" i="9"/>
  <c r="D3862" i="9"/>
  <c r="D3863" i="9"/>
  <c r="D3864" i="9"/>
  <c r="D3865" i="9"/>
  <c r="D3866" i="9"/>
  <c r="D3867" i="9"/>
  <c r="D3868" i="9"/>
  <c r="D3869" i="9"/>
  <c r="D3870" i="9"/>
  <c r="D3871" i="9"/>
  <c r="D3872" i="9"/>
  <c r="D3873" i="9"/>
  <c r="D3874" i="9"/>
  <c r="D3875" i="9"/>
  <c r="D3876" i="9"/>
  <c r="D3877" i="9"/>
  <c r="D3878" i="9"/>
  <c r="D3879" i="9"/>
  <c r="D3880" i="9"/>
  <c r="D3881" i="9"/>
  <c r="D3882" i="9"/>
  <c r="D3883" i="9"/>
  <c r="D3884" i="9"/>
  <c r="D3885" i="9"/>
  <c r="D3886" i="9"/>
  <c r="D3887" i="9"/>
  <c r="D3888" i="9"/>
  <c r="D3889" i="9"/>
  <c r="D3890" i="9"/>
  <c r="D3891" i="9"/>
  <c r="D3892" i="9"/>
  <c r="D3893" i="9"/>
  <c r="D3894" i="9"/>
  <c r="D3895" i="9"/>
  <c r="D3896" i="9"/>
  <c r="D3897" i="9"/>
  <c r="D3898" i="9"/>
  <c r="D3899" i="9"/>
  <c r="D3900" i="9"/>
  <c r="D3901" i="9"/>
  <c r="D3902" i="9"/>
  <c r="D3903" i="9"/>
  <c r="D3904" i="9"/>
  <c r="D3905" i="9"/>
  <c r="D3906" i="9"/>
  <c r="D3907" i="9"/>
  <c r="D3908" i="9"/>
  <c r="D3909" i="9"/>
  <c r="D3910" i="9"/>
  <c r="D3911" i="9"/>
  <c r="D3912" i="9"/>
  <c r="D3913" i="9"/>
  <c r="D3914" i="9"/>
  <c r="D3915" i="9"/>
  <c r="D3916" i="9"/>
  <c r="D3917" i="9"/>
  <c r="D3918" i="9"/>
  <c r="D3919" i="9"/>
  <c r="D3920" i="9"/>
  <c r="D3921" i="9"/>
  <c r="D3922" i="9"/>
  <c r="D3923" i="9"/>
  <c r="D3924" i="9"/>
  <c r="D3925" i="9"/>
  <c r="D3926" i="9"/>
  <c r="D3927" i="9"/>
  <c r="D3928" i="9"/>
  <c r="D3929" i="9"/>
  <c r="D3930" i="9"/>
  <c r="D3931" i="9"/>
  <c r="D3932" i="9"/>
  <c r="D3933" i="9"/>
  <c r="D3934" i="9"/>
  <c r="D3935" i="9"/>
  <c r="D3936" i="9"/>
  <c r="D3937" i="9"/>
  <c r="D3938" i="9"/>
  <c r="D3939" i="9"/>
  <c r="D3940" i="9"/>
  <c r="D3941" i="9"/>
  <c r="D3942" i="9"/>
  <c r="D3943" i="9"/>
  <c r="D3944" i="9"/>
  <c r="D3945" i="9"/>
  <c r="D3946" i="9"/>
  <c r="D3947" i="9"/>
  <c r="D3948" i="9"/>
  <c r="D3949" i="9"/>
  <c r="D3950" i="9"/>
  <c r="D3951" i="9"/>
  <c r="D3952" i="9"/>
  <c r="D3953" i="9"/>
  <c r="D3954" i="9"/>
  <c r="D3955" i="9"/>
  <c r="D3956" i="9"/>
  <c r="D3957" i="9"/>
  <c r="D3958" i="9"/>
  <c r="D3959" i="9"/>
  <c r="D3960" i="9"/>
  <c r="D3961" i="9"/>
  <c r="D3962" i="9"/>
  <c r="D3963" i="9"/>
  <c r="D3964" i="9"/>
  <c r="D3965" i="9"/>
  <c r="D3966" i="9"/>
  <c r="D3967" i="9"/>
  <c r="D3968" i="9"/>
  <c r="D3969" i="9"/>
  <c r="D3970" i="9"/>
  <c r="D3971" i="9"/>
  <c r="D3972" i="9"/>
  <c r="D3973" i="9"/>
  <c r="D3974" i="9"/>
  <c r="D3975" i="9"/>
  <c r="D3976" i="9"/>
  <c r="D3977" i="9"/>
  <c r="D3978" i="9"/>
  <c r="D3979" i="9"/>
  <c r="D3980" i="9"/>
  <c r="D3981" i="9"/>
  <c r="D3982" i="9"/>
  <c r="D3983" i="9"/>
  <c r="D3984" i="9"/>
  <c r="D3985" i="9"/>
  <c r="D3986" i="9"/>
  <c r="D3987" i="9"/>
  <c r="D3988" i="9"/>
  <c r="D3989" i="9"/>
  <c r="D3990" i="9"/>
  <c r="D3991" i="9"/>
  <c r="D3992" i="9"/>
  <c r="D3993" i="9"/>
  <c r="D3994" i="9"/>
  <c r="D3995" i="9"/>
  <c r="D3996" i="9"/>
  <c r="D3997" i="9"/>
  <c r="D3998" i="9"/>
  <c r="D3999" i="9"/>
  <c r="D4000" i="9"/>
  <c r="D4001" i="9"/>
  <c r="D4002" i="9"/>
  <c r="D4003" i="9"/>
  <c r="D4004" i="9"/>
  <c r="D4005" i="9"/>
  <c r="D4006" i="9"/>
  <c r="D4007" i="9"/>
  <c r="D4008" i="9"/>
  <c r="D4009" i="9"/>
  <c r="D4010" i="9"/>
  <c r="D4011" i="9"/>
  <c r="D4012" i="9"/>
  <c r="D4013" i="9"/>
  <c r="D4014" i="9"/>
  <c r="D4015" i="9"/>
  <c r="D4016" i="9"/>
  <c r="D4017" i="9"/>
  <c r="D4018" i="9"/>
  <c r="D4019" i="9"/>
  <c r="D4020" i="9"/>
  <c r="D4021" i="9"/>
  <c r="D4022" i="9"/>
  <c r="D4023" i="9"/>
  <c r="D4024" i="9"/>
  <c r="D4025" i="9"/>
  <c r="D4026" i="9"/>
  <c r="D4027" i="9"/>
  <c r="D4028" i="9"/>
  <c r="D4029" i="9"/>
  <c r="D4030" i="9"/>
  <c r="D4031" i="9"/>
  <c r="D4032" i="9"/>
  <c r="D4033" i="9"/>
  <c r="D4034" i="9"/>
  <c r="D4035" i="9"/>
  <c r="D4036" i="9"/>
  <c r="D4037" i="9"/>
  <c r="D4038" i="9"/>
  <c r="D4039" i="9"/>
  <c r="D4040" i="9"/>
  <c r="D4041" i="9"/>
  <c r="D4042" i="9"/>
  <c r="D4043" i="9"/>
  <c r="D4044" i="9"/>
  <c r="D4045" i="9"/>
  <c r="D4046" i="9"/>
  <c r="D4047" i="9"/>
  <c r="D4048" i="9"/>
  <c r="D4049" i="9"/>
  <c r="D4050" i="9"/>
  <c r="D4051" i="9"/>
  <c r="D4052" i="9"/>
  <c r="D4053" i="9"/>
  <c r="D4054" i="9"/>
  <c r="D4055" i="9"/>
  <c r="D4056" i="9"/>
  <c r="D4057" i="9"/>
  <c r="D4058" i="9"/>
  <c r="D4059" i="9"/>
  <c r="D4060" i="9"/>
  <c r="D4061" i="9"/>
  <c r="D4062" i="9"/>
  <c r="D4063" i="9"/>
  <c r="D4064" i="9"/>
  <c r="D4065" i="9"/>
  <c r="D4066" i="9"/>
  <c r="D4067" i="9"/>
  <c r="D4068" i="9"/>
  <c r="D4069" i="9"/>
  <c r="D4070" i="9"/>
  <c r="D4071" i="9"/>
  <c r="D4072" i="9"/>
  <c r="D4073" i="9"/>
  <c r="D4074" i="9"/>
  <c r="D4075" i="9"/>
  <c r="D4076" i="9"/>
  <c r="D4077" i="9"/>
  <c r="D4078" i="9"/>
  <c r="D4079" i="9"/>
  <c r="D4080" i="9"/>
  <c r="D4081" i="9"/>
  <c r="D4082" i="9"/>
  <c r="D4083" i="9"/>
  <c r="D4084" i="9"/>
  <c r="D4085" i="9"/>
  <c r="D4086" i="9"/>
  <c r="D4087" i="9"/>
  <c r="D4088" i="9"/>
  <c r="D4089" i="9"/>
  <c r="D4090" i="9"/>
  <c r="D4091" i="9"/>
  <c r="D4092" i="9"/>
  <c r="D4093" i="9"/>
  <c r="D4094" i="9"/>
  <c r="D4095" i="9"/>
  <c r="D4096" i="9"/>
  <c r="D4097" i="9"/>
  <c r="D4098" i="9"/>
  <c r="D4099" i="9"/>
  <c r="D4100" i="9"/>
  <c r="D4101" i="9"/>
  <c r="D4102" i="9"/>
  <c r="D4103" i="9"/>
  <c r="D4104" i="9"/>
  <c r="D4105" i="9"/>
  <c r="D4106" i="9"/>
  <c r="D4107" i="9"/>
  <c r="D4108" i="9"/>
  <c r="D4109" i="9"/>
  <c r="D4110" i="9"/>
  <c r="D4111" i="9"/>
  <c r="D4112" i="9"/>
  <c r="D4113" i="9"/>
  <c r="D4114" i="9"/>
  <c r="D4115" i="9"/>
  <c r="D4116" i="9"/>
  <c r="D4117" i="9"/>
  <c r="D4118" i="9"/>
  <c r="D4119" i="9"/>
  <c r="D4120" i="9"/>
  <c r="D4121" i="9"/>
  <c r="D4122" i="9"/>
  <c r="D4123" i="9"/>
  <c r="D4124" i="9"/>
  <c r="D4125" i="9"/>
  <c r="D4126" i="9"/>
  <c r="D4127" i="9"/>
  <c r="D4128" i="9"/>
  <c r="D4129" i="9"/>
  <c r="D4130" i="9"/>
  <c r="D4131" i="9"/>
  <c r="D4132" i="9"/>
  <c r="D4133" i="9"/>
  <c r="D4134" i="9"/>
  <c r="D4135" i="9"/>
  <c r="D4136" i="9"/>
  <c r="D4137" i="9"/>
  <c r="D4138" i="9"/>
  <c r="D4139" i="9"/>
  <c r="D4140" i="9"/>
  <c r="D4141" i="9"/>
  <c r="D4142" i="9"/>
  <c r="D4143" i="9"/>
  <c r="D4144" i="9"/>
  <c r="D4145" i="9"/>
  <c r="D4146" i="9"/>
  <c r="D4147" i="9"/>
  <c r="D4148" i="9"/>
  <c r="D4149" i="9"/>
  <c r="D4150" i="9"/>
  <c r="D4151" i="9"/>
  <c r="D4152" i="9"/>
  <c r="D4153" i="9"/>
  <c r="D4154" i="9"/>
  <c r="D4155" i="9"/>
  <c r="D4156" i="9"/>
  <c r="D4157" i="9"/>
  <c r="D4158" i="9"/>
  <c r="D4159" i="9"/>
  <c r="D4160" i="9"/>
  <c r="D4161" i="9"/>
  <c r="D4162" i="9"/>
  <c r="D4163" i="9"/>
  <c r="D4164" i="9"/>
  <c r="D4165" i="9"/>
  <c r="D4166" i="9"/>
  <c r="D4167" i="9"/>
  <c r="D4168" i="9"/>
  <c r="D4169" i="9"/>
  <c r="D4170" i="9"/>
  <c r="D4171" i="9"/>
  <c r="D4172" i="9"/>
  <c r="D4173" i="9"/>
  <c r="D4174" i="9"/>
  <c r="D4175" i="9"/>
  <c r="D4176" i="9"/>
  <c r="D4177" i="9"/>
  <c r="D4178" i="9"/>
  <c r="D4179" i="9"/>
  <c r="D4180" i="9"/>
  <c r="D4181" i="9"/>
  <c r="D4182" i="9"/>
  <c r="D4183" i="9"/>
  <c r="D4184" i="9"/>
  <c r="D4185" i="9"/>
  <c r="D4186" i="9"/>
  <c r="D4187" i="9"/>
  <c r="D4188" i="9"/>
  <c r="D4189" i="9"/>
  <c r="D4190" i="9"/>
  <c r="D4191" i="9"/>
  <c r="D4192" i="9"/>
  <c r="D4193" i="9"/>
  <c r="D4194" i="9"/>
  <c r="D4195" i="9"/>
  <c r="D4196" i="9"/>
  <c r="D4197" i="9"/>
  <c r="D4198" i="9"/>
  <c r="D4199" i="9"/>
  <c r="D4200" i="9"/>
  <c r="D4201" i="9"/>
  <c r="D4202" i="9"/>
  <c r="D4203" i="9"/>
  <c r="D4204" i="9"/>
  <c r="D4205" i="9"/>
  <c r="D4206" i="9"/>
  <c r="D4207" i="9"/>
  <c r="D4208" i="9"/>
  <c r="D4209" i="9"/>
  <c r="D4210" i="9"/>
  <c r="D4211" i="9"/>
  <c r="D4212" i="9"/>
  <c r="D4213" i="9"/>
  <c r="D4214" i="9"/>
  <c r="D4215" i="9"/>
  <c r="D4216" i="9"/>
  <c r="D4217" i="9"/>
  <c r="D4218" i="9"/>
  <c r="D4219" i="9"/>
  <c r="D4220" i="9"/>
  <c r="D4221" i="9"/>
  <c r="D4222" i="9"/>
  <c r="D4223" i="9"/>
  <c r="D4224" i="9"/>
  <c r="D4225" i="9"/>
  <c r="D4226" i="9"/>
  <c r="D4227" i="9"/>
  <c r="D4228" i="9"/>
  <c r="D4229" i="9"/>
  <c r="D4230" i="9"/>
  <c r="D4231" i="9"/>
  <c r="D4232" i="9"/>
  <c r="D4233" i="9"/>
  <c r="D4234" i="9"/>
  <c r="D4235" i="9"/>
  <c r="D4236" i="9"/>
  <c r="D4237" i="9"/>
  <c r="D4238" i="9"/>
  <c r="D4239" i="9"/>
  <c r="D4240" i="9"/>
  <c r="D4241" i="9"/>
  <c r="D4242" i="9"/>
  <c r="D4243" i="9"/>
  <c r="D4244" i="9"/>
  <c r="D4245" i="9"/>
  <c r="D4246" i="9"/>
  <c r="D4247" i="9"/>
  <c r="D4248" i="9"/>
  <c r="D4249" i="9"/>
  <c r="D4250" i="9"/>
  <c r="D4251" i="9"/>
  <c r="D4252" i="9"/>
  <c r="D4253" i="9"/>
  <c r="D4254" i="9"/>
  <c r="D4255" i="9"/>
  <c r="D4256" i="9"/>
  <c r="D4257" i="9"/>
  <c r="D4258" i="9"/>
  <c r="D4259" i="9"/>
  <c r="D4260" i="9"/>
  <c r="D4261" i="9"/>
  <c r="D4262" i="9"/>
  <c r="D4263" i="9"/>
  <c r="D4264" i="9"/>
  <c r="D4265" i="9"/>
  <c r="D4266" i="9"/>
  <c r="D4267" i="9"/>
  <c r="D4268" i="9"/>
  <c r="D4269" i="9"/>
  <c r="D4270" i="9"/>
  <c r="D4271" i="9"/>
  <c r="D4272" i="9"/>
  <c r="D4273" i="9"/>
  <c r="D4274" i="9"/>
  <c r="D4275" i="9"/>
  <c r="D4276" i="9"/>
  <c r="D4277" i="9"/>
  <c r="D4278" i="9"/>
  <c r="D4279" i="9"/>
  <c r="D4280" i="9"/>
  <c r="D4281" i="9"/>
  <c r="D4282" i="9"/>
  <c r="D4283" i="9"/>
  <c r="D4284" i="9"/>
  <c r="D4285" i="9"/>
  <c r="D4286" i="9"/>
  <c r="D4287" i="9"/>
  <c r="D4288" i="9"/>
  <c r="D4289" i="9"/>
  <c r="D4290" i="9"/>
  <c r="D4291" i="9"/>
  <c r="D4292" i="9"/>
  <c r="D4293" i="9"/>
  <c r="D4294" i="9"/>
  <c r="D4295" i="9"/>
  <c r="D4296" i="9"/>
  <c r="D4297" i="9"/>
  <c r="D4298" i="9"/>
  <c r="D4299" i="9"/>
  <c r="D4300" i="9"/>
  <c r="D4301" i="9"/>
  <c r="D4302" i="9"/>
  <c r="D4303" i="9"/>
  <c r="D4304" i="9"/>
  <c r="D4305" i="9"/>
  <c r="D4306" i="9"/>
  <c r="D4307" i="9"/>
  <c r="D4308" i="9"/>
  <c r="D4309" i="9"/>
  <c r="D4310" i="9"/>
  <c r="D4311" i="9"/>
  <c r="D4312" i="9"/>
  <c r="D4313" i="9"/>
  <c r="D4314" i="9"/>
  <c r="D4315" i="9"/>
  <c r="D4316" i="9"/>
  <c r="D4317" i="9"/>
  <c r="D4318" i="9"/>
  <c r="D4319" i="9"/>
  <c r="D4320" i="9"/>
  <c r="D4321" i="9"/>
  <c r="D4322" i="9"/>
  <c r="D4323" i="9"/>
  <c r="D4324" i="9"/>
  <c r="D4325" i="9"/>
  <c r="D4326" i="9"/>
  <c r="D4327" i="9"/>
  <c r="D4328" i="9"/>
  <c r="D4329" i="9"/>
  <c r="D4330" i="9"/>
  <c r="D4331" i="9"/>
  <c r="D4332" i="9"/>
  <c r="D4333" i="9"/>
  <c r="D4334" i="9"/>
  <c r="D4335" i="9"/>
  <c r="D4336" i="9"/>
  <c r="D4337" i="9"/>
  <c r="D4338" i="9"/>
  <c r="D4339" i="9"/>
  <c r="D4340" i="9"/>
  <c r="D4341" i="9"/>
  <c r="D4342" i="9"/>
  <c r="D4343" i="9"/>
  <c r="D4344" i="9"/>
  <c r="D4345" i="9"/>
  <c r="D4346" i="9"/>
  <c r="D4347" i="9"/>
  <c r="D4348" i="9"/>
  <c r="D4349" i="9"/>
  <c r="D4350" i="9"/>
  <c r="D4351" i="9"/>
  <c r="D4352" i="9"/>
  <c r="D4353" i="9"/>
  <c r="D4354" i="9"/>
  <c r="D4355" i="9"/>
  <c r="D4356" i="9"/>
  <c r="D4357" i="9"/>
  <c r="D4358" i="9"/>
  <c r="D4359" i="9"/>
  <c r="D4360" i="9"/>
  <c r="D4361" i="9"/>
  <c r="D4362" i="9"/>
  <c r="D4363" i="9"/>
  <c r="D4364" i="9"/>
  <c r="D4365" i="9"/>
  <c r="D4366" i="9"/>
  <c r="D4367" i="9"/>
  <c r="D4368" i="9"/>
  <c r="D4369" i="9"/>
  <c r="D4370" i="9"/>
  <c r="D4371" i="9"/>
  <c r="D4372" i="9"/>
  <c r="D4373" i="9"/>
  <c r="D4374" i="9"/>
  <c r="D4375" i="9"/>
  <c r="D4376" i="9"/>
  <c r="D4377" i="9"/>
  <c r="D4378" i="9"/>
  <c r="D4379" i="9"/>
  <c r="D4380" i="9"/>
  <c r="D4381" i="9"/>
  <c r="D4382" i="9"/>
  <c r="D4383" i="9"/>
  <c r="D4384" i="9"/>
  <c r="D4385" i="9"/>
  <c r="D4386" i="9"/>
  <c r="D4387" i="9"/>
  <c r="D4388" i="9"/>
  <c r="D4389" i="9"/>
  <c r="D4390" i="9"/>
  <c r="D4391" i="9"/>
  <c r="D4392" i="9"/>
  <c r="D4393" i="9"/>
  <c r="D4394" i="9"/>
  <c r="D4395" i="9"/>
  <c r="D4396" i="9"/>
  <c r="D4397" i="9"/>
  <c r="D4398" i="9"/>
  <c r="D4399" i="9"/>
  <c r="D4400" i="9"/>
  <c r="D4401" i="9"/>
  <c r="D4402" i="9"/>
  <c r="D4403" i="9"/>
  <c r="D4404" i="9"/>
  <c r="D4405" i="9"/>
  <c r="D4406" i="9"/>
  <c r="D4407" i="9"/>
  <c r="D4408" i="9"/>
  <c r="D4409" i="9"/>
  <c r="D4410" i="9"/>
  <c r="D4411" i="9"/>
  <c r="D4412" i="9"/>
  <c r="D4413" i="9"/>
  <c r="D4414" i="9"/>
  <c r="D4415" i="9"/>
  <c r="D4416" i="9"/>
  <c r="D4417" i="9"/>
  <c r="D4418" i="9"/>
  <c r="D4419" i="9"/>
  <c r="D4420" i="9"/>
  <c r="D4421" i="9"/>
  <c r="D4422" i="9"/>
  <c r="D4423" i="9"/>
  <c r="D4424" i="9"/>
  <c r="D4425" i="9"/>
  <c r="D4426" i="9"/>
  <c r="D4427" i="9"/>
  <c r="D4428" i="9"/>
  <c r="D4429" i="9"/>
  <c r="D4430" i="9"/>
  <c r="D4431" i="9"/>
  <c r="D4432" i="9"/>
  <c r="D4433" i="9"/>
  <c r="D4434" i="9"/>
  <c r="D4435" i="9"/>
  <c r="D4436" i="9"/>
  <c r="D4437" i="9"/>
  <c r="D4438" i="9"/>
  <c r="D4439" i="9"/>
  <c r="D4440" i="9"/>
  <c r="D4441" i="9"/>
  <c r="D4442" i="9"/>
  <c r="D4443" i="9"/>
  <c r="D4444" i="9"/>
  <c r="D4445" i="9"/>
  <c r="D4446" i="9"/>
  <c r="D4447" i="9"/>
  <c r="D4448" i="9"/>
  <c r="D4449" i="9"/>
  <c r="D4450" i="9"/>
  <c r="D4451" i="9"/>
  <c r="D4452" i="9"/>
  <c r="D4453" i="9"/>
  <c r="D4454" i="9"/>
  <c r="D4455" i="9"/>
  <c r="D4456" i="9"/>
  <c r="D4457" i="9"/>
  <c r="D4458" i="9"/>
  <c r="D4459" i="9"/>
  <c r="D4460" i="9"/>
  <c r="D4461" i="9"/>
  <c r="D4462" i="9"/>
  <c r="D4463" i="9"/>
  <c r="D4464" i="9"/>
  <c r="D4465" i="9"/>
  <c r="D4466" i="9"/>
  <c r="D4467" i="9"/>
  <c r="D4468" i="9"/>
  <c r="D4469" i="9"/>
  <c r="D4470" i="9"/>
  <c r="D4471" i="9"/>
  <c r="D4472" i="9"/>
  <c r="D4473" i="9"/>
  <c r="D4474" i="9"/>
  <c r="D4475" i="9"/>
  <c r="D4476" i="9"/>
  <c r="D4477" i="9"/>
  <c r="D4478" i="9"/>
  <c r="D4479" i="9"/>
  <c r="D4480" i="9"/>
  <c r="D4481" i="9"/>
  <c r="D4482" i="9"/>
  <c r="D4483" i="9"/>
  <c r="D4484" i="9"/>
  <c r="D4485" i="9"/>
  <c r="D4486" i="9"/>
  <c r="D4487" i="9"/>
  <c r="D4488" i="9"/>
  <c r="D4489" i="9"/>
  <c r="D4490" i="9"/>
  <c r="D4491" i="9"/>
  <c r="D4492" i="9"/>
  <c r="D4493" i="9"/>
  <c r="D4494" i="9"/>
  <c r="D4495" i="9"/>
  <c r="D4496" i="9"/>
  <c r="D4497" i="9"/>
  <c r="D4498" i="9"/>
  <c r="D4499" i="9"/>
  <c r="D4500" i="9"/>
  <c r="D4501" i="9"/>
  <c r="D4502" i="9"/>
  <c r="D4503" i="9"/>
  <c r="D4504" i="9"/>
  <c r="D4505" i="9"/>
  <c r="D4506" i="9"/>
  <c r="D4507" i="9"/>
  <c r="D4508" i="9"/>
  <c r="D4509" i="9"/>
  <c r="D4510" i="9"/>
  <c r="D4511" i="9"/>
  <c r="D4512" i="9"/>
  <c r="D4513" i="9"/>
  <c r="D4514" i="9"/>
  <c r="D4515" i="9"/>
  <c r="D4516" i="9"/>
  <c r="D4517" i="9"/>
  <c r="D4518" i="9"/>
  <c r="D4519" i="9"/>
  <c r="D4520" i="9"/>
  <c r="D4521" i="9"/>
  <c r="D4522" i="9"/>
  <c r="D4523" i="9"/>
  <c r="D4524" i="9"/>
  <c r="D4525" i="9"/>
  <c r="D4526" i="9"/>
  <c r="D4527" i="9"/>
  <c r="D4528" i="9"/>
  <c r="D4529" i="9"/>
  <c r="D4530" i="9"/>
  <c r="D4531" i="9"/>
  <c r="D4532" i="9"/>
  <c r="D4533" i="9"/>
  <c r="D4534" i="9"/>
  <c r="D4535" i="9"/>
  <c r="D4536" i="9"/>
  <c r="D4537" i="9"/>
  <c r="D4538" i="9"/>
  <c r="D4539" i="9"/>
  <c r="D4540" i="9"/>
  <c r="D4541" i="9"/>
  <c r="D4542" i="9"/>
  <c r="D4543" i="9"/>
  <c r="D4544" i="9"/>
  <c r="D4545" i="9"/>
  <c r="D4546" i="9"/>
  <c r="D4547" i="9"/>
  <c r="D4548" i="9"/>
  <c r="D4549" i="9"/>
  <c r="D4550" i="9"/>
  <c r="D4551" i="9"/>
  <c r="D4552" i="9"/>
  <c r="D4553" i="9"/>
  <c r="D4554" i="9"/>
  <c r="D4555" i="9"/>
  <c r="D4556" i="9"/>
  <c r="D4557" i="9"/>
  <c r="D4558" i="9"/>
  <c r="D4559" i="9"/>
  <c r="D4560" i="9"/>
  <c r="D4561" i="9"/>
  <c r="D4562" i="9"/>
  <c r="D4563" i="9"/>
  <c r="D4564" i="9"/>
  <c r="D4565" i="9"/>
  <c r="D4566" i="9"/>
  <c r="D4567" i="9"/>
  <c r="D4568" i="9"/>
  <c r="D4569" i="9"/>
  <c r="D4570" i="9"/>
  <c r="D4571" i="9"/>
  <c r="D4572" i="9"/>
  <c r="D4573" i="9"/>
  <c r="D4574" i="9"/>
  <c r="D4575" i="9"/>
  <c r="D4576" i="9"/>
  <c r="D4577" i="9"/>
  <c r="D4578" i="9"/>
  <c r="D4579" i="9"/>
  <c r="D4580" i="9"/>
  <c r="D4581" i="9"/>
  <c r="D4582" i="9"/>
  <c r="D4583" i="9"/>
  <c r="D4584" i="9"/>
  <c r="D4585" i="9"/>
  <c r="D4586" i="9"/>
  <c r="D4587" i="9"/>
  <c r="D4588" i="9"/>
  <c r="D4589" i="9"/>
  <c r="D4590" i="9"/>
  <c r="D4591" i="9"/>
  <c r="D4592" i="9"/>
  <c r="D4593" i="9"/>
  <c r="D4594" i="9"/>
  <c r="D4595" i="9"/>
  <c r="D4596" i="9"/>
  <c r="D4597" i="9"/>
  <c r="D4598" i="9"/>
  <c r="D4599" i="9"/>
  <c r="D4600" i="9"/>
  <c r="D4601" i="9"/>
  <c r="D4602" i="9"/>
  <c r="D4603" i="9"/>
  <c r="D4604" i="9"/>
  <c r="D4605" i="9"/>
  <c r="D4606" i="9"/>
  <c r="D4607" i="9"/>
  <c r="D4608" i="9"/>
  <c r="D4609" i="9"/>
  <c r="D4610" i="9"/>
  <c r="D4611" i="9"/>
  <c r="D4612" i="9"/>
  <c r="D4613" i="9"/>
  <c r="D4614" i="9"/>
  <c r="D4615" i="9"/>
  <c r="D4616" i="9"/>
  <c r="D4617" i="9"/>
  <c r="D4618" i="9"/>
  <c r="D4619" i="9"/>
  <c r="D4620" i="9"/>
  <c r="D4621" i="9"/>
  <c r="D4622" i="9"/>
  <c r="D4623" i="9"/>
  <c r="D4624" i="9"/>
  <c r="D4625" i="9"/>
  <c r="D4626" i="9"/>
  <c r="D4627" i="9"/>
  <c r="D4628" i="9"/>
  <c r="D4629" i="9"/>
  <c r="D4630" i="9"/>
  <c r="D4631" i="9"/>
  <c r="D4632" i="9"/>
  <c r="D4633" i="9"/>
  <c r="D4634" i="9"/>
  <c r="D4635" i="9"/>
  <c r="D4636" i="9"/>
  <c r="D4637" i="9"/>
  <c r="D4638" i="9"/>
  <c r="D4639" i="9"/>
  <c r="D4640" i="9"/>
  <c r="D4641" i="9"/>
  <c r="D4642" i="9"/>
  <c r="D4643" i="9"/>
  <c r="D4644" i="9"/>
  <c r="D4645" i="9"/>
  <c r="D4646" i="9"/>
  <c r="D4647" i="9"/>
  <c r="D4648" i="9"/>
  <c r="D4649" i="9"/>
  <c r="D4650" i="9"/>
  <c r="D4651" i="9"/>
  <c r="D4652" i="9"/>
  <c r="D4653" i="9"/>
  <c r="D4654" i="9"/>
  <c r="D4655" i="9"/>
  <c r="D4656" i="9"/>
  <c r="D4657" i="9"/>
  <c r="D4658" i="9"/>
  <c r="D4659" i="9"/>
  <c r="D4660" i="9"/>
  <c r="D4661" i="9"/>
  <c r="D4662" i="9"/>
  <c r="D4663" i="9"/>
  <c r="D4664" i="9"/>
  <c r="D4665" i="9"/>
  <c r="D4666" i="9"/>
  <c r="D4667" i="9"/>
  <c r="D4668" i="9"/>
  <c r="D4669" i="9"/>
  <c r="D4670" i="9"/>
  <c r="D4671" i="9"/>
  <c r="D4672" i="9"/>
  <c r="D4673" i="9"/>
  <c r="D4674" i="9"/>
  <c r="D4675" i="9"/>
  <c r="D4676" i="9"/>
  <c r="D4677" i="9"/>
  <c r="D4678" i="9"/>
  <c r="D4679" i="9"/>
  <c r="D4680" i="9"/>
  <c r="D4681" i="9"/>
  <c r="D4682" i="9"/>
  <c r="D4683" i="9"/>
  <c r="D4684" i="9"/>
  <c r="D4685" i="9"/>
  <c r="D4686" i="9"/>
  <c r="D4687" i="9"/>
  <c r="D4688" i="9"/>
  <c r="D4689" i="9"/>
  <c r="D4690" i="9"/>
  <c r="D4691" i="9"/>
  <c r="D4692" i="9"/>
  <c r="D4693" i="9"/>
  <c r="D4694" i="9"/>
  <c r="D4695" i="9"/>
  <c r="D4696" i="9"/>
  <c r="D4697" i="9"/>
  <c r="D4698" i="9"/>
  <c r="D4699" i="9"/>
  <c r="D4700" i="9"/>
  <c r="D4701" i="9"/>
  <c r="D4702" i="9"/>
  <c r="D4703" i="9"/>
  <c r="D4704" i="9"/>
  <c r="D4705" i="9"/>
  <c r="D4706" i="9"/>
  <c r="D4707" i="9"/>
  <c r="D4708" i="9"/>
  <c r="D4709" i="9"/>
  <c r="D4710" i="9"/>
  <c r="D4711" i="9"/>
  <c r="D4712" i="9"/>
  <c r="D4713" i="9"/>
  <c r="D4714" i="9"/>
  <c r="D4715" i="9"/>
  <c r="D4716" i="9"/>
  <c r="D4717" i="9"/>
  <c r="D4718" i="9"/>
  <c r="D4719" i="9"/>
  <c r="D4720" i="9"/>
  <c r="D4721" i="9"/>
  <c r="D4722" i="9"/>
  <c r="D4723" i="9"/>
  <c r="D4724" i="9"/>
  <c r="D4725" i="9"/>
  <c r="D4726" i="9"/>
  <c r="D4727" i="9"/>
  <c r="D4728" i="9"/>
  <c r="D4729" i="9"/>
  <c r="D4730" i="9"/>
  <c r="D4731" i="9"/>
  <c r="D4732" i="9"/>
  <c r="D4733" i="9"/>
  <c r="D4734" i="9"/>
  <c r="D4735" i="9"/>
  <c r="D4736" i="9"/>
  <c r="D4737" i="9"/>
  <c r="D4738" i="9"/>
  <c r="D4739" i="9"/>
  <c r="D4740" i="9"/>
  <c r="D4741" i="9"/>
  <c r="D4742" i="9"/>
  <c r="D4743" i="9"/>
  <c r="D4744" i="9"/>
  <c r="D4745" i="9"/>
  <c r="D4746" i="9"/>
  <c r="D4747" i="9"/>
  <c r="D4748" i="9"/>
  <c r="D4749" i="9"/>
  <c r="D4750" i="9"/>
  <c r="D4751" i="9"/>
  <c r="D4752" i="9"/>
  <c r="D4753" i="9"/>
  <c r="D4754" i="9"/>
  <c r="D4755" i="9"/>
  <c r="D4756" i="9"/>
  <c r="D4757" i="9"/>
  <c r="D4758" i="9"/>
  <c r="D4759" i="9"/>
  <c r="D4760" i="9"/>
  <c r="D4761" i="9"/>
  <c r="D4762" i="9"/>
  <c r="D4763" i="9"/>
  <c r="D4764" i="9"/>
  <c r="D4765" i="9"/>
  <c r="D4766" i="9"/>
  <c r="D4767" i="9"/>
  <c r="D4768" i="9"/>
  <c r="D4769" i="9"/>
  <c r="D4770" i="9"/>
  <c r="D4771" i="9"/>
  <c r="D4772" i="9"/>
  <c r="D4773" i="9"/>
  <c r="D4774" i="9"/>
  <c r="D4775" i="9"/>
  <c r="D4776" i="9"/>
  <c r="D4777" i="9"/>
  <c r="D4778" i="9"/>
  <c r="D4779" i="9"/>
  <c r="D4780" i="9"/>
  <c r="D4781" i="9"/>
  <c r="D4782" i="9"/>
  <c r="D4783" i="9"/>
  <c r="D4784" i="9"/>
  <c r="D4785" i="9"/>
  <c r="D4786" i="9"/>
  <c r="D4787" i="9"/>
  <c r="D4788" i="9"/>
  <c r="D4789" i="9"/>
  <c r="D4790" i="9"/>
  <c r="D4791" i="9"/>
  <c r="D4792" i="9"/>
  <c r="D4793" i="9"/>
  <c r="D4794" i="9"/>
  <c r="D4795" i="9"/>
  <c r="D4796" i="9"/>
  <c r="D4797" i="9"/>
  <c r="D4798" i="9"/>
  <c r="D4799" i="9"/>
  <c r="D4800" i="9"/>
  <c r="D4801" i="9"/>
  <c r="D4802" i="9"/>
  <c r="D4803" i="9"/>
  <c r="D4804" i="9"/>
  <c r="D4805" i="9"/>
  <c r="D4806" i="9"/>
  <c r="D4807" i="9"/>
  <c r="D4808" i="9"/>
  <c r="D4809" i="9"/>
  <c r="D4810" i="9"/>
  <c r="D4811" i="9"/>
  <c r="D4812" i="9"/>
  <c r="D4813" i="9"/>
  <c r="D4814" i="9"/>
  <c r="D4815" i="9"/>
  <c r="D4816" i="9"/>
  <c r="D4817" i="9"/>
  <c r="D4818" i="9"/>
  <c r="D4819" i="9"/>
  <c r="D4820" i="9"/>
  <c r="D4821" i="9"/>
  <c r="D4822" i="9"/>
  <c r="D4823" i="9"/>
  <c r="D4824" i="9"/>
  <c r="D4825" i="9"/>
  <c r="D4826" i="9"/>
  <c r="D4827" i="9"/>
  <c r="D4828" i="9"/>
  <c r="D4829" i="9"/>
  <c r="D4830" i="9"/>
  <c r="D4831" i="9"/>
  <c r="D4832" i="9"/>
  <c r="D4833" i="9"/>
  <c r="D4834" i="9"/>
  <c r="D4835" i="9"/>
  <c r="D4836" i="9"/>
  <c r="D4837" i="9"/>
  <c r="D4838" i="9"/>
  <c r="D4839" i="9"/>
  <c r="D4840" i="9"/>
  <c r="D4841" i="9"/>
  <c r="D4842" i="9"/>
  <c r="D4843" i="9"/>
  <c r="D4844" i="9"/>
  <c r="D4845" i="9"/>
  <c r="D4846" i="9"/>
  <c r="D4847" i="9"/>
  <c r="D4848" i="9"/>
  <c r="D4849" i="9"/>
  <c r="D4850" i="9"/>
  <c r="D4851" i="9"/>
  <c r="D4852" i="9"/>
  <c r="D4853" i="9"/>
  <c r="D4854" i="9"/>
  <c r="D4855" i="9"/>
  <c r="D4856" i="9"/>
  <c r="D4857" i="9"/>
  <c r="D4858" i="9"/>
  <c r="D4859" i="9"/>
  <c r="D4860" i="9"/>
  <c r="D4861" i="9"/>
  <c r="D4862" i="9"/>
  <c r="D4863" i="9"/>
  <c r="D4864" i="9"/>
  <c r="D4865" i="9"/>
  <c r="D4866" i="9"/>
  <c r="D4867" i="9"/>
  <c r="D4868" i="9"/>
  <c r="D4869" i="9"/>
  <c r="D4870" i="9"/>
  <c r="D4871" i="9"/>
  <c r="D4872" i="9"/>
  <c r="D4873" i="9"/>
  <c r="D4874" i="9"/>
  <c r="D4875" i="9"/>
  <c r="D4876" i="9"/>
  <c r="D4877" i="9"/>
  <c r="D4878" i="9"/>
  <c r="D4879" i="9"/>
  <c r="D4880" i="9"/>
  <c r="D4881" i="9"/>
  <c r="D4882" i="9"/>
  <c r="D4883" i="9"/>
  <c r="D4884" i="9"/>
  <c r="D4885" i="9"/>
  <c r="D4886" i="9"/>
  <c r="D4887" i="9"/>
  <c r="D4888" i="9"/>
  <c r="D4889" i="9"/>
  <c r="D4890" i="9"/>
  <c r="D4891" i="9"/>
  <c r="D4892" i="9"/>
  <c r="D4893" i="9"/>
  <c r="D4894" i="9"/>
  <c r="D4895" i="9"/>
  <c r="D4896" i="9"/>
  <c r="D4897" i="9"/>
  <c r="D4898" i="9"/>
  <c r="D4899" i="9"/>
  <c r="D4900" i="9"/>
  <c r="D4901" i="9"/>
  <c r="D4902" i="9"/>
  <c r="D4903" i="9"/>
  <c r="D4904" i="9"/>
  <c r="D4905" i="9"/>
  <c r="D4906" i="9"/>
  <c r="D4907" i="9"/>
  <c r="D4908" i="9"/>
  <c r="D4909" i="9"/>
  <c r="D4910" i="9"/>
  <c r="D4911" i="9"/>
  <c r="D4912" i="9"/>
  <c r="D4913" i="9"/>
  <c r="D4914" i="9"/>
  <c r="D4915" i="9"/>
  <c r="D4916" i="9"/>
  <c r="D4917" i="9"/>
  <c r="D4918" i="9"/>
  <c r="D4919" i="9"/>
  <c r="D4920" i="9"/>
  <c r="D4921" i="9"/>
  <c r="D4922" i="9"/>
  <c r="D4923" i="9"/>
  <c r="D4924" i="9"/>
  <c r="D4925" i="9"/>
  <c r="D4926" i="9"/>
  <c r="D4927" i="9"/>
  <c r="D4928" i="9"/>
  <c r="D4929" i="9"/>
  <c r="D4930" i="9"/>
  <c r="D4931" i="9"/>
  <c r="D4932" i="9"/>
  <c r="D4933" i="9"/>
  <c r="D4934" i="9"/>
  <c r="D4935" i="9"/>
  <c r="D4936" i="9"/>
  <c r="D4937" i="9"/>
  <c r="D4938" i="9"/>
  <c r="D4939" i="9"/>
  <c r="D4940" i="9"/>
  <c r="D4941" i="9"/>
  <c r="D4942" i="9"/>
  <c r="D4943" i="9"/>
  <c r="D4944" i="9"/>
  <c r="D4945" i="9"/>
  <c r="D4946" i="9"/>
  <c r="D4947" i="9"/>
  <c r="D4948" i="9"/>
  <c r="D4949" i="9"/>
  <c r="D4950" i="9"/>
  <c r="D4951" i="9"/>
  <c r="D4952" i="9"/>
  <c r="D4953" i="9"/>
  <c r="D4954" i="9"/>
  <c r="D4955" i="9"/>
  <c r="D4956" i="9"/>
  <c r="D4957" i="9"/>
  <c r="D4958" i="9"/>
  <c r="D4959" i="9"/>
  <c r="D4960" i="9"/>
  <c r="D4961" i="9"/>
  <c r="D4962" i="9"/>
  <c r="D4963" i="9"/>
  <c r="D4964" i="9"/>
  <c r="D4965" i="9"/>
  <c r="D4966" i="9"/>
  <c r="D4967" i="9"/>
  <c r="D4968" i="9"/>
  <c r="D4969" i="9"/>
  <c r="D4970" i="9"/>
  <c r="D4971" i="9"/>
  <c r="D4972" i="9"/>
  <c r="D4973" i="9"/>
  <c r="D4974" i="9"/>
  <c r="D4975" i="9"/>
  <c r="D4976" i="9"/>
  <c r="D4977" i="9"/>
  <c r="D4978" i="9"/>
  <c r="D4979" i="9"/>
  <c r="D4980" i="9"/>
  <c r="D4981" i="9"/>
  <c r="D4982" i="9"/>
  <c r="D4983" i="9"/>
  <c r="D4984" i="9"/>
  <c r="D4985" i="9"/>
  <c r="D4986" i="9"/>
  <c r="D4987" i="9"/>
  <c r="D4988" i="9"/>
  <c r="D4989" i="9"/>
  <c r="D4990" i="9"/>
  <c r="D4991" i="9"/>
  <c r="D4992" i="9"/>
  <c r="D4993" i="9"/>
  <c r="D4994" i="9"/>
  <c r="D4995" i="9"/>
  <c r="D4996" i="9"/>
  <c r="D4997" i="9"/>
  <c r="D4998" i="9"/>
  <c r="D4999" i="9"/>
  <c r="D5000" i="9"/>
  <c r="D5001" i="9"/>
  <c r="D5002" i="9"/>
  <c r="D5003" i="9"/>
  <c r="D5004" i="9"/>
  <c r="D5005" i="9"/>
  <c r="D5006" i="9"/>
  <c r="D5007" i="9"/>
  <c r="D5008" i="9"/>
  <c r="D5009" i="9"/>
  <c r="D5010" i="9"/>
  <c r="D5011" i="9"/>
  <c r="D5012" i="9"/>
  <c r="D5013" i="9"/>
  <c r="D5014" i="9"/>
  <c r="D5015" i="9"/>
  <c r="H3" i="9"/>
  <c r="H4" i="9"/>
  <c r="H5" i="9"/>
  <c r="H6" i="9"/>
  <c r="H7" i="9"/>
  <c r="H8" i="9"/>
  <c r="H9" i="9"/>
  <c r="H10" i="9"/>
  <c r="H11" i="9"/>
  <c r="H12" i="9"/>
  <c r="H13" i="9"/>
  <c r="H14" i="9"/>
  <c r="H15" i="9"/>
  <c r="H16" i="9"/>
  <c r="H17" i="9"/>
  <c r="H18" i="9"/>
  <c r="H19" i="9"/>
  <c r="H20" i="9"/>
  <c r="H21" i="9"/>
  <c r="H22" i="9"/>
  <c r="H23" i="9"/>
  <c r="H24" i="9"/>
  <c r="H25" i="9"/>
  <c r="H26" i="9"/>
  <c r="H27" i="9"/>
  <c r="H28" i="9"/>
  <c r="H29" i="9"/>
  <c r="H30" i="9"/>
  <c r="H31" i="9"/>
  <c r="H32" i="9"/>
  <c r="H33" i="9"/>
  <c r="H34" i="9"/>
  <c r="H35" i="9"/>
  <c r="H36" i="9"/>
  <c r="H37" i="9"/>
  <c r="H38" i="9"/>
  <c r="H39" i="9"/>
  <c r="H40" i="9"/>
  <c r="H41" i="9"/>
  <c r="H42" i="9"/>
  <c r="H43" i="9"/>
  <c r="H44" i="9"/>
  <c r="H45" i="9"/>
  <c r="H46" i="9"/>
  <c r="H47" i="9"/>
  <c r="H48" i="9"/>
  <c r="H49" i="9"/>
  <c r="H50" i="9"/>
  <c r="H51" i="9"/>
  <c r="H52" i="9"/>
  <c r="H53" i="9"/>
  <c r="H54" i="9"/>
  <c r="H55" i="9"/>
  <c r="H56" i="9"/>
  <c r="H57" i="9"/>
  <c r="H58" i="9"/>
  <c r="H59" i="9"/>
  <c r="H60" i="9"/>
  <c r="H61" i="9"/>
  <c r="H62" i="9"/>
  <c r="H63" i="9"/>
  <c r="H64" i="9"/>
  <c r="H65" i="9"/>
  <c r="H66" i="9"/>
  <c r="H67" i="9"/>
  <c r="H68" i="9"/>
  <c r="H69" i="9"/>
  <c r="H70" i="9"/>
  <c r="H71" i="9"/>
  <c r="H72" i="9"/>
  <c r="H73" i="9"/>
  <c r="H74" i="9"/>
  <c r="H75" i="9"/>
  <c r="H76" i="9"/>
  <c r="H77" i="9"/>
  <c r="H78" i="9"/>
  <c r="H79" i="9"/>
  <c r="H80" i="9"/>
  <c r="H81" i="9"/>
  <c r="H82" i="9"/>
  <c r="H83" i="9"/>
  <c r="H84" i="9"/>
  <c r="H85" i="9"/>
  <c r="H86" i="9"/>
  <c r="H87" i="9"/>
  <c r="H88" i="9"/>
  <c r="H89" i="9"/>
  <c r="H90" i="9"/>
  <c r="H91" i="9"/>
  <c r="H92" i="9"/>
  <c r="H93" i="9"/>
  <c r="H94" i="9"/>
  <c r="H95" i="9"/>
  <c r="H96" i="9"/>
  <c r="H97" i="9"/>
  <c r="H98" i="9"/>
  <c r="H99" i="9"/>
  <c r="H100" i="9"/>
  <c r="H101" i="9"/>
  <c r="H102" i="9"/>
  <c r="H103" i="9"/>
  <c r="H104" i="9"/>
  <c r="H105" i="9"/>
  <c r="H106" i="9"/>
  <c r="H107" i="9"/>
  <c r="H108" i="9"/>
  <c r="H109" i="9"/>
  <c r="H110" i="9"/>
  <c r="H111" i="9"/>
  <c r="H112" i="9"/>
  <c r="H113" i="9"/>
  <c r="H114" i="9"/>
  <c r="H115" i="9"/>
  <c r="H116" i="9"/>
  <c r="H117" i="9"/>
  <c r="H118" i="9"/>
  <c r="H119" i="9"/>
  <c r="H120" i="9"/>
  <c r="H121" i="9"/>
  <c r="H122" i="9"/>
  <c r="H123" i="9"/>
  <c r="H124" i="9"/>
  <c r="H125" i="9"/>
  <c r="H126" i="9"/>
  <c r="H127" i="9"/>
  <c r="H128" i="9"/>
  <c r="H129" i="9"/>
  <c r="H130" i="9"/>
  <c r="H131" i="9"/>
  <c r="H132" i="9"/>
  <c r="H133" i="9"/>
  <c r="H134" i="9"/>
  <c r="H135" i="9"/>
  <c r="H136" i="9"/>
  <c r="H137" i="9"/>
  <c r="H138" i="9"/>
  <c r="H139" i="9"/>
  <c r="H140" i="9"/>
  <c r="H141" i="9"/>
  <c r="H142" i="9"/>
  <c r="H143" i="9"/>
  <c r="H144" i="9"/>
  <c r="H145" i="9"/>
  <c r="H146" i="9"/>
  <c r="H147" i="9"/>
  <c r="H148" i="9"/>
  <c r="H149" i="9"/>
  <c r="H150" i="9"/>
  <c r="H151" i="9"/>
  <c r="H152" i="9"/>
  <c r="H153" i="9"/>
  <c r="H154" i="9"/>
  <c r="H155" i="9"/>
  <c r="H156" i="9"/>
  <c r="H157" i="9"/>
  <c r="H158" i="9"/>
  <c r="H159" i="9"/>
  <c r="H160" i="9"/>
  <c r="H161" i="9"/>
  <c r="H162" i="9"/>
  <c r="H163" i="9"/>
  <c r="H164" i="9"/>
  <c r="H165" i="9"/>
  <c r="H166" i="9"/>
  <c r="H167" i="9"/>
  <c r="H168" i="9"/>
  <c r="H169" i="9"/>
  <c r="H170" i="9"/>
  <c r="H171" i="9"/>
  <c r="H172" i="9"/>
  <c r="H173" i="9"/>
  <c r="H174" i="9"/>
  <c r="H175" i="9"/>
  <c r="H176" i="9"/>
  <c r="H177" i="9"/>
  <c r="H178" i="9"/>
  <c r="H179" i="9"/>
  <c r="H180" i="9"/>
  <c r="H181" i="9"/>
  <c r="H182" i="9"/>
  <c r="H183" i="9"/>
  <c r="H184" i="9"/>
  <c r="H185" i="9"/>
  <c r="H186" i="9"/>
  <c r="H187" i="9"/>
  <c r="H188" i="9"/>
  <c r="H189" i="9"/>
  <c r="H190" i="9"/>
  <c r="H191" i="9"/>
  <c r="H192" i="9"/>
  <c r="H193" i="9"/>
  <c r="H194" i="9"/>
  <c r="H195" i="9"/>
  <c r="H196" i="9"/>
  <c r="H197" i="9"/>
  <c r="H198" i="9"/>
  <c r="H199" i="9"/>
  <c r="H200" i="9"/>
  <c r="H201" i="9"/>
  <c r="H202" i="9"/>
  <c r="H203" i="9"/>
  <c r="H204" i="9"/>
  <c r="H205" i="9"/>
  <c r="H206" i="9"/>
  <c r="H207" i="9"/>
  <c r="H208" i="9"/>
  <c r="H209" i="9"/>
  <c r="H210" i="9"/>
  <c r="H211" i="9"/>
  <c r="H212" i="9"/>
  <c r="H213" i="9"/>
  <c r="H214" i="9"/>
  <c r="H215" i="9"/>
  <c r="H216" i="9"/>
  <c r="H217" i="9"/>
  <c r="H218" i="9"/>
  <c r="H219" i="9"/>
  <c r="H220" i="9"/>
  <c r="H221" i="9"/>
  <c r="H222" i="9"/>
  <c r="H223" i="9"/>
  <c r="H224" i="9"/>
  <c r="H225" i="9"/>
  <c r="H226" i="9"/>
  <c r="H227" i="9"/>
  <c r="H228" i="9"/>
  <c r="H229" i="9"/>
  <c r="H230" i="9"/>
  <c r="H231" i="9"/>
  <c r="H232" i="9"/>
  <c r="H233" i="9"/>
  <c r="H234" i="9"/>
  <c r="H235" i="9"/>
  <c r="H236" i="9"/>
  <c r="H237" i="9"/>
  <c r="H238" i="9"/>
  <c r="H239" i="9"/>
  <c r="H240" i="9"/>
  <c r="H241" i="9"/>
  <c r="H242" i="9"/>
  <c r="H243" i="9"/>
  <c r="H244" i="9"/>
  <c r="H245" i="9"/>
  <c r="H246" i="9"/>
  <c r="H247" i="9"/>
  <c r="H248" i="9"/>
  <c r="H249" i="9"/>
  <c r="H250" i="9"/>
  <c r="H251" i="9"/>
  <c r="H252" i="9"/>
  <c r="H253" i="9"/>
  <c r="H254" i="9"/>
  <c r="H255" i="9"/>
  <c r="H256" i="9"/>
  <c r="H257" i="9"/>
  <c r="H258" i="9"/>
  <c r="H259" i="9"/>
  <c r="H260" i="9"/>
  <c r="H261" i="9"/>
  <c r="H262" i="9"/>
  <c r="H263" i="9"/>
  <c r="H264" i="9"/>
  <c r="H265" i="9"/>
  <c r="H266" i="9"/>
  <c r="H267" i="9"/>
  <c r="H268" i="9"/>
  <c r="H269" i="9"/>
  <c r="H270" i="9"/>
  <c r="H271" i="9"/>
  <c r="H272" i="9"/>
  <c r="H273" i="9"/>
  <c r="H274" i="9"/>
  <c r="H275" i="9"/>
  <c r="H276" i="9"/>
  <c r="H277" i="9"/>
  <c r="H278" i="9"/>
  <c r="H279" i="9"/>
  <c r="H280" i="9"/>
  <c r="H281" i="9"/>
  <c r="H282" i="9"/>
  <c r="H283" i="9"/>
  <c r="H284" i="9"/>
  <c r="H285" i="9"/>
  <c r="H286" i="9"/>
  <c r="H287" i="9"/>
  <c r="H288" i="9"/>
  <c r="H289" i="9"/>
  <c r="H290" i="9"/>
  <c r="H291" i="9"/>
  <c r="H292" i="9"/>
  <c r="H293" i="9"/>
  <c r="H294" i="9"/>
  <c r="H295" i="9"/>
  <c r="H296" i="9"/>
  <c r="H297" i="9"/>
  <c r="H298" i="9"/>
  <c r="H299" i="9"/>
  <c r="H300" i="9"/>
  <c r="H301" i="9"/>
  <c r="H302" i="9"/>
  <c r="H303" i="9"/>
  <c r="H304" i="9"/>
  <c r="H305" i="9"/>
  <c r="H306" i="9"/>
  <c r="H307" i="9"/>
  <c r="H308" i="9"/>
  <c r="H309" i="9"/>
  <c r="H310" i="9"/>
  <c r="H311" i="9"/>
  <c r="H312" i="9"/>
  <c r="H313" i="9"/>
  <c r="H314" i="9"/>
  <c r="H315" i="9"/>
  <c r="H316" i="9"/>
  <c r="H317" i="9"/>
  <c r="H318" i="9"/>
  <c r="H319" i="9"/>
  <c r="H320" i="9"/>
  <c r="H321" i="9"/>
  <c r="H322" i="9"/>
  <c r="H323" i="9"/>
  <c r="H324" i="9"/>
  <c r="H325" i="9"/>
  <c r="H326" i="9"/>
  <c r="H327" i="9"/>
  <c r="H328" i="9"/>
  <c r="H329" i="9"/>
  <c r="H330" i="9"/>
  <c r="H331" i="9"/>
  <c r="H332" i="9"/>
  <c r="H333" i="9"/>
  <c r="H334" i="9"/>
  <c r="H335" i="9"/>
  <c r="H336" i="9"/>
  <c r="H337" i="9"/>
  <c r="H338" i="9"/>
  <c r="H339" i="9"/>
  <c r="H340" i="9"/>
  <c r="H341" i="9"/>
  <c r="H342" i="9"/>
  <c r="H343" i="9"/>
  <c r="H344" i="9"/>
  <c r="H345" i="9"/>
  <c r="H346" i="9"/>
  <c r="H347" i="9"/>
  <c r="H348" i="9"/>
  <c r="H349" i="9"/>
  <c r="H350" i="9"/>
  <c r="H351" i="9"/>
  <c r="H352" i="9"/>
  <c r="H353" i="9"/>
  <c r="H354" i="9"/>
  <c r="H355" i="9"/>
  <c r="H356" i="9"/>
  <c r="H357" i="9"/>
  <c r="H358" i="9"/>
  <c r="H359" i="9"/>
  <c r="H360" i="9"/>
  <c r="H361" i="9"/>
  <c r="H362" i="9"/>
  <c r="H363" i="9"/>
  <c r="H364" i="9"/>
  <c r="H365" i="9"/>
  <c r="H366" i="9"/>
  <c r="H367" i="9"/>
  <c r="H368" i="9"/>
  <c r="H369" i="9"/>
  <c r="H370" i="9"/>
  <c r="H371" i="9"/>
  <c r="H372" i="9"/>
  <c r="H373" i="9"/>
  <c r="H374" i="9"/>
  <c r="H375" i="9"/>
  <c r="H376" i="9"/>
  <c r="H377" i="9"/>
  <c r="H378" i="9"/>
  <c r="H379" i="9"/>
  <c r="H380" i="9"/>
  <c r="H381" i="9"/>
  <c r="H382" i="9"/>
  <c r="H383" i="9"/>
  <c r="H384" i="9"/>
  <c r="H385" i="9"/>
  <c r="H386" i="9"/>
  <c r="H387" i="9"/>
  <c r="H388" i="9"/>
  <c r="H389" i="9"/>
  <c r="H390" i="9"/>
  <c r="H391" i="9"/>
  <c r="H392" i="9"/>
  <c r="H393" i="9"/>
  <c r="H394" i="9"/>
  <c r="H395" i="9"/>
  <c r="H396" i="9"/>
  <c r="H397" i="9"/>
  <c r="H398" i="9"/>
  <c r="H399" i="9"/>
  <c r="H400" i="9"/>
  <c r="H401" i="9"/>
  <c r="H402" i="9"/>
  <c r="H403" i="9"/>
  <c r="H404" i="9"/>
  <c r="H405" i="9"/>
  <c r="H406" i="9"/>
  <c r="H407" i="9"/>
  <c r="H408" i="9"/>
  <c r="H409" i="9"/>
  <c r="H410" i="9"/>
  <c r="H411" i="9"/>
  <c r="H412" i="9"/>
  <c r="H413" i="9"/>
  <c r="H414" i="9"/>
  <c r="H415" i="9"/>
  <c r="H416" i="9"/>
  <c r="H417" i="9"/>
  <c r="H418" i="9"/>
  <c r="H419" i="9"/>
  <c r="H420" i="9"/>
  <c r="H421" i="9"/>
  <c r="H422" i="9"/>
  <c r="H423" i="9"/>
  <c r="H424" i="9"/>
  <c r="H425" i="9"/>
  <c r="H426" i="9"/>
  <c r="H427" i="9"/>
  <c r="H428" i="9"/>
  <c r="H429" i="9"/>
  <c r="H430" i="9"/>
  <c r="H431" i="9"/>
  <c r="H432" i="9"/>
  <c r="H433" i="9"/>
  <c r="H434" i="9"/>
  <c r="H435" i="9"/>
  <c r="H436" i="9"/>
  <c r="H437" i="9"/>
  <c r="H438" i="9"/>
  <c r="H439" i="9"/>
  <c r="H440" i="9"/>
  <c r="H441" i="9"/>
  <c r="H442" i="9"/>
  <c r="H443" i="9"/>
  <c r="H444" i="9"/>
  <c r="H445" i="9"/>
  <c r="H446" i="9"/>
  <c r="H447" i="9"/>
  <c r="H448" i="9"/>
  <c r="H449" i="9"/>
  <c r="H450" i="9"/>
  <c r="H451" i="9"/>
  <c r="H452" i="9"/>
  <c r="H453" i="9"/>
  <c r="H454" i="9"/>
  <c r="H455" i="9"/>
  <c r="H456" i="9"/>
  <c r="H457" i="9"/>
  <c r="H458" i="9"/>
  <c r="H459" i="9"/>
  <c r="H460" i="9"/>
  <c r="H461" i="9"/>
  <c r="H462" i="9"/>
  <c r="H463" i="9"/>
  <c r="H464" i="9"/>
  <c r="H465" i="9"/>
  <c r="H466" i="9"/>
  <c r="H467" i="9"/>
  <c r="H468" i="9"/>
  <c r="H469" i="9"/>
  <c r="H470" i="9"/>
  <c r="H471" i="9"/>
  <c r="H472" i="9"/>
  <c r="H473" i="9"/>
  <c r="H474" i="9"/>
  <c r="H475" i="9"/>
  <c r="H476" i="9"/>
  <c r="H477" i="9"/>
  <c r="H478" i="9"/>
  <c r="H479" i="9"/>
  <c r="H480" i="9"/>
  <c r="H481" i="9"/>
  <c r="H482" i="9"/>
  <c r="H483" i="9"/>
  <c r="H484" i="9"/>
  <c r="H485" i="9"/>
  <c r="H486" i="9"/>
  <c r="H487" i="9"/>
  <c r="H488" i="9"/>
  <c r="H489" i="9"/>
  <c r="H490" i="9"/>
  <c r="H491" i="9"/>
  <c r="H492" i="9"/>
  <c r="H493" i="9"/>
  <c r="H494" i="9"/>
  <c r="H495" i="9"/>
  <c r="H496" i="9"/>
  <c r="H497" i="9"/>
  <c r="H498" i="9"/>
  <c r="H499" i="9"/>
  <c r="H500" i="9"/>
  <c r="H501" i="9"/>
  <c r="H502" i="9"/>
  <c r="H503" i="9"/>
  <c r="H504" i="9"/>
  <c r="H505" i="9"/>
  <c r="H506" i="9"/>
  <c r="H507" i="9"/>
  <c r="H508" i="9"/>
  <c r="H509" i="9"/>
  <c r="H510" i="9"/>
  <c r="H511" i="9"/>
  <c r="H512" i="9"/>
  <c r="H513" i="9"/>
  <c r="H514" i="9"/>
  <c r="H515" i="9"/>
  <c r="H516" i="9"/>
  <c r="H517" i="9"/>
  <c r="H518" i="9"/>
  <c r="H519" i="9"/>
  <c r="H520" i="9"/>
  <c r="H521" i="9"/>
  <c r="H522" i="9"/>
  <c r="H523" i="9"/>
  <c r="H524" i="9"/>
  <c r="H525" i="9"/>
  <c r="H526" i="9"/>
  <c r="H527" i="9"/>
  <c r="H528" i="9"/>
  <c r="H529" i="9"/>
  <c r="H530" i="9"/>
  <c r="H531" i="9"/>
  <c r="H532" i="9"/>
  <c r="H533" i="9"/>
  <c r="H534" i="9"/>
  <c r="H535" i="9"/>
  <c r="H536" i="9"/>
  <c r="H537" i="9"/>
  <c r="H538" i="9"/>
  <c r="H539" i="9"/>
  <c r="H540" i="9"/>
  <c r="H541" i="9"/>
  <c r="H542" i="9"/>
  <c r="H543" i="9"/>
  <c r="H544" i="9"/>
  <c r="H545" i="9"/>
  <c r="H546" i="9"/>
  <c r="H547" i="9"/>
  <c r="H548" i="9"/>
  <c r="H549" i="9"/>
  <c r="H550" i="9"/>
  <c r="H551" i="9"/>
  <c r="H552" i="9"/>
  <c r="H553" i="9"/>
  <c r="H554" i="9"/>
  <c r="H555" i="9"/>
  <c r="H556" i="9"/>
  <c r="H557" i="9"/>
  <c r="H558" i="9"/>
  <c r="H559" i="9"/>
  <c r="H560" i="9"/>
  <c r="H561" i="9"/>
  <c r="H562" i="9"/>
  <c r="H563" i="9"/>
  <c r="H564" i="9"/>
  <c r="H565" i="9"/>
  <c r="H566" i="9"/>
  <c r="H567" i="9"/>
  <c r="H568" i="9"/>
  <c r="H569" i="9"/>
  <c r="H570" i="9"/>
  <c r="H571" i="9"/>
  <c r="H572" i="9"/>
  <c r="H573" i="9"/>
  <c r="H574" i="9"/>
  <c r="H575" i="9"/>
  <c r="H576" i="9"/>
  <c r="H577" i="9"/>
  <c r="H578" i="9"/>
  <c r="H579" i="9"/>
  <c r="H580" i="9"/>
  <c r="H581" i="9"/>
  <c r="H582" i="9"/>
  <c r="H583" i="9"/>
  <c r="H584" i="9"/>
  <c r="H585" i="9"/>
  <c r="H586" i="9"/>
  <c r="H587" i="9"/>
  <c r="H588" i="9"/>
  <c r="H589" i="9"/>
  <c r="H590" i="9"/>
  <c r="H591" i="9"/>
  <c r="H592" i="9"/>
  <c r="H593" i="9"/>
  <c r="H594" i="9"/>
  <c r="H595" i="9"/>
  <c r="H596" i="9"/>
  <c r="H597" i="9"/>
  <c r="H598" i="9"/>
  <c r="H599" i="9"/>
  <c r="H600" i="9"/>
  <c r="H601" i="9"/>
  <c r="H602" i="9"/>
  <c r="H603" i="9"/>
  <c r="H604" i="9"/>
  <c r="H605" i="9"/>
  <c r="H606" i="9"/>
  <c r="H607" i="9"/>
  <c r="H608" i="9"/>
  <c r="H609" i="9"/>
  <c r="H610" i="9"/>
  <c r="H611" i="9"/>
  <c r="H612" i="9"/>
  <c r="H613" i="9"/>
  <c r="H614" i="9"/>
  <c r="H615" i="9"/>
  <c r="H616" i="9"/>
  <c r="H617" i="9"/>
  <c r="H618" i="9"/>
  <c r="H619" i="9"/>
  <c r="H620" i="9"/>
  <c r="H621" i="9"/>
  <c r="H622" i="9"/>
  <c r="H623" i="9"/>
  <c r="H624" i="9"/>
  <c r="H625" i="9"/>
  <c r="H626" i="9"/>
  <c r="H627" i="9"/>
  <c r="H628" i="9"/>
  <c r="H629" i="9"/>
  <c r="H630" i="9"/>
  <c r="H631" i="9"/>
  <c r="H632" i="9"/>
  <c r="H633" i="9"/>
  <c r="H634" i="9"/>
  <c r="H635" i="9"/>
  <c r="H636" i="9"/>
  <c r="H637" i="9"/>
  <c r="H638" i="9"/>
  <c r="H639" i="9"/>
  <c r="H640" i="9"/>
  <c r="H641" i="9"/>
  <c r="H642" i="9"/>
  <c r="H643" i="9"/>
  <c r="H644" i="9"/>
  <c r="H645" i="9"/>
  <c r="H646" i="9"/>
  <c r="H647" i="9"/>
  <c r="H648" i="9"/>
  <c r="H649" i="9"/>
  <c r="H650" i="9"/>
  <c r="H651" i="9"/>
  <c r="H652" i="9"/>
  <c r="H653" i="9"/>
  <c r="H654" i="9"/>
  <c r="H655" i="9"/>
  <c r="H656" i="9"/>
  <c r="H657" i="9"/>
  <c r="H658" i="9"/>
  <c r="H659" i="9"/>
  <c r="H660" i="9"/>
  <c r="H661" i="9"/>
  <c r="H662" i="9"/>
  <c r="H663" i="9"/>
  <c r="H664" i="9"/>
  <c r="H665" i="9"/>
  <c r="H666" i="9"/>
  <c r="H667" i="9"/>
  <c r="H668" i="9"/>
  <c r="H669" i="9"/>
  <c r="H670" i="9"/>
  <c r="H671" i="9"/>
  <c r="H672" i="9"/>
  <c r="H673" i="9"/>
  <c r="H674" i="9"/>
  <c r="H675" i="9"/>
  <c r="H676" i="9"/>
  <c r="H677" i="9"/>
  <c r="H678" i="9"/>
  <c r="H679" i="9"/>
  <c r="H680" i="9"/>
  <c r="H681" i="9"/>
  <c r="H682" i="9"/>
  <c r="H683" i="9"/>
  <c r="H684" i="9"/>
  <c r="H685" i="9"/>
  <c r="H686" i="9"/>
  <c r="H687" i="9"/>
  <c r="H688" i="9"/>
  <c r="H689" i="9"/>
  <c r="H690" i="9"/>
  <c r="H691" i="9"/>
  <c r="H692" i="9"/>
  <c r="H693" i="9"/>
  <c r="H694" i="9"/>
  <c r="H695" i="9"/>
  <c r="H696" i="9"/>
  <c r="H697" i="9"/>
  <c r="H698" i="9"/>
  <c r="H699" i="9"/>
  <c r="H700" i="9"/>
  <c r="H701" i="9"/>
  <c r="H702" i="9"/>
  <c r="H703" i="9"/>
  <c r="H704" i="9"/>
  <c r="H705" i="9"/>
  <c r="H706" i="9"/>
  <c r="H707" i="9"/>
  <c r="H708" i="9"/>
  <c r="H709" i="9"/>
  <c r="H710" i="9"/>
  <c r="H711" i="9"/>
  <c r="H712" i="9"/>
  <c r="H713" i="9"/>
  <c r="H714" i="9"/>
  <c r="H715" i="9"/>
  <c r="H716" i="9"/>
  <c r="H717" i="9"/>
  <c r="H718" i="9"/>
  <c r="H719" i="9"/>
  <c r="H720" i="9"/>
  <c r="H721" i="9"/>
  <c r="H722" i="9"/>
  <c r="H723" i="9"/>
  <c r="H724" i="9"/>
  <c r="H725" i="9"/>
  <c r="H726" i="9"/>
  <c r="H727" i="9"/>
  <c r="H728" i="9"/>
  <c r="H729" i="9"/>
  <c r="H730" i="9"/>
  <c r="H731" i="9"/>
  <c r="H732" i="9"/>
  <c r="H733" i="9"/>
  <c r="H734" i="9"/>
  <c r="H735" i="9"/>
  <c r="H736" i="9"/>
  <c r="H737" i="9"/>
  <c r="H738" i="9"/>
  <c r="H739" i="9"/>
  <c r="H740" i="9"/>
  <c r="H741" i="9"/>
  <c r="H742" i="9"/>
  <c r="H743" i="9"/>
  <c r="H744" i="9"/>
  <c r="H745" i="9"/>
  <c r="H746" i="9"/>
  <c r="H747" i="9"/>
  <c r="H748" i="9"/>
  <c r="H749" i="9"/>
  <c r="H750" i="9"/>
  <c r="H751" i="9"/>
  <c r="H752" i="9"/>
  <c r="H753" i="9"/>
  <c r="H754" i="9"/>
  <c r="H755" i="9"/>
  <c r="H756" i="9"/>
  <c r="H757" i="9"/>
  <c r="H758" i="9"/>
  <c r="H759" i="9"/>
  <c r="H760" i="9"/>
  <c r="H761" i="9"/>
  <c r="H762" i="9"/>
  <c r="H763" i="9"/>
  <c r="H764" i="9"/>
  <c r="H765" i="9"/>
  <c r="H766" i="9"/>
  <c r="H767" i="9"/>
  <c r="H768" i="9"/>
  <c r="H769" i="9"/>
  <c r="H770" i="9"/>
  <c r="H771" i="9"/>
  <c r="H772" i="9"/>
  <c r="H773" i="9"/>
  <c r="H774" i="9"/>
  <c r="H775" i="9"/>
  <c r="H776" i="9"/>
  <c r="H777" i="9"/>
  <c r="H778" i="9"/>
  <c r="H779" i="9"/>
  <c r="H780" i="9"/>
  <c r="H781" i="9"/>
  <c r="H782" i="9"/>
  <c r="H783" i="9"/>
  <c r="H784" i="9"/>
  <c r="H785" i="9"/>
  <c r="H786" i="9"/>
  <c r="H787" i="9"/>
  <c r="H788" i="9"/>
  <c r="H789" i="9"/>
  <c r="H790" i="9"/>
  <c r="H791" i="9"/>
  <c r="H792" i="9"/>
  <c r="H793" i="9"/>
  <c r="H794" i="9"/>
  <c r="H795" i="9"/>
  <c r="H796" i="9"/>
  <c r="H797" i="9"/>
  <c r="H798" i="9"/>
  <c r="H799" i="9"/>
  <c r="H800" i="9"/>
  <c r="H801" i="9"/>
  <c r="H802" i="9"/>
  <c r="H803" i="9"/>
  <c r="H804" i="9"/>
  <c r="H805" i="9"/>
  <c r="H806" i="9"/>
  <c r="H807" i="9"/>
  <c r="H808" i="9"/>
  <c r="H809" i="9"/>
  <c r="H810" i="9"/>
  <c r="H811" i="9"/>
  <c r="H812" i="9"/>
  <c r="H813" i="9"/>
  <c r="H814" i="9"/>
  <c r="H815" i="9"/>
  <c r="H816" i="9"/>
  <c r="H817" i="9"/>
  <c r="H818" i="9"/>
  <c r="H819" i="9"/>
  <c r="H820" i="9"/>
  <c r="H821" i="9"/>
  <c r="H822" i="9"/>
  <c r="H823" i="9"/>
  <c r="H824" i="9"/>
  <c r="H825" i="9"/>
  <c r="H826" i="9"/>
  <c r="H827" i="9"/>
  <c r="H828" i="9"/>
  <c r="H829" i="9"/>
  <c r="H830" i="9"/>
  <c r="H831" i="9"/>
  <c r="H832" i="9"/>
  <c r="H833" i="9"/>
  <c r="H834" i="9"/>
  <c r="H835" i="9"/>
  <c r="H836" i="9"/>
  <c r="H837" i="9"/>
  <c r="H838" i="9"/>
  <c r="H839" i="9"/>
  <c r="H840" i="9"/>
  <c r="H841" i="9"/>
  <c r="H842" i="9"/>
  <c r="H843" i="9"/>
  <c r="H844" i="9"/>
  <c r="H845" i="9"/>
  <c r="H846" i="9"/>
  <c r="H847" i="9"/>
  <c r="H848" i="9"/>
  <c r="H849" i="9"/>
  <c r="H850" i="9"/>
  <c r="H851" i="9"/>
  <c r="H852" i="9"/>
  <c r="H853" i="9"/>
  <c r="H854" i="9"/>
  <c r="H855" i="9"/>
  <c r="H856" i="9"/>
  <c r="H857" i="9"/>
  <c r="H858" i="9"/>
  <c r="H859" i="9"/>
  <c r="H860" i="9"/>
  <c r="H861" i="9"/>
  <c r="H862" i="9"/>
  <c r="H863" i="9"/>
  <c r="H864" i="9"/>
  <c r="H865" i="9"/>
  <c r="H866" i="9"/>
  <c r="H867" i="9"/>
  <c r="H868" i="9"/>
  <c r="H869" i="9"/>
  <c r="H870" i="9"/>
  <c r="H871" i="9"/>
  <c r="H872" i="9"/>
  <c r="H873" i="9"/>
  <c r="H874" i="9"/>
  <c r="H875" i="9"/>
  <c r="H876" i="9"/>
  <c r="H877" i="9"/>
  <c r="H878" i="9"/>
  <c r="H879" i="9"/>
  <c r="H880" i="9"/>
  <c r="H881" i="9"/>
  <c r="H882" i="9"/>
  <c r="H883" i="9"/>
  <c r="H884" i="9"/>
  <c r="H885" i="9"/>
  <c r="H886" i="9"/>
  <c r="H887" i="9"/>
  <c r="H888" i="9"/>
  <c r="H889" i="9"/>
  <c r="H890" i="9"/>
  <c r="H891" i="9"/>
  <c r="H892" i="9"/>
  <c r="H893" i="9"/>
  <c r="H894" i="9"/>
  <c r="H895" i="9"/>
  <c r="H896" i="9"/>
  <c r="H897" i="9"/>
  <c r="H898" i="9"/>
  <c r="H899" i="9"/>
  <c r="H900" i="9"/>
  <c r="H901" i="9"/>
  <c r="H902" i="9"/>
  <c r="H903" i="9"/>
  <c r="H904" i="9"/>
  <c r="H905" i="9"/>
  <c r="H906" i="9"/>
  <c r="H907" i="9"/>
  <c r="H908" i="9"/>
  <c r="H909" i="9"/>
  <c r="H910" i="9"/>
  <c r="H911" i="9"/>
  <c r="H912" i="9"/>
  <c r="H913" i="9"/>
  <c r="H914" i="9"/>
  <c r="H915" i="9"/>
  <c r="H916" i="9"/>
  <c r="H917" i="9"/>
  <c r="H918" i="9"/>
  <c r="H919" i="9"/>
  <c r="H920" i="9"/>
  <c r="H921" i="9"/>
  <c r="H922" i="9"/>
  <c r="H923" i="9"/>
  <c r="H924" i="9"/>
  <c r="H925" i="9"/>
  <c r="H926" i="9"/>
  <c r="H927" i="9"/>
  <c r="H928" i="9"/>
  <c r="H929" i="9"/>
  <c r="H930" i="9"/>
  <c r="H931" i="9"/>
  <c r="H932" i="9"/>
  <c r="H933" i="9"/>
  <c r="H934" i="9"/>
  <c r="H935" i="9"/>
  <c r="H936" i="9"/>
  <c r="H937" i="9"/>
  <c r="H938" i="9"/>
  <c r="H939" i="9"/>
  <c r="H940" i="9"/>
  <c r="H941" i="9"/>
  <c r="H942" i="9"/>
  <c r="H943" i="9"/>
  <c r="H944" i="9"/>
  <c r="H945" i="9"/>
  <c r="H946" i="9"/>
  <c r="H947" i="9"/>
  <c r="H948" i="9"/>
  <c r="H949" i="9"/>
  <c r="H950" i="9"/>
  <c r="H951" i="9"/>
  <c r="H952" i="9"/>
  <c r="H953" i="9"/>
  <c r="H954" i="9"/>
  <c r="H955" i="9"/>
  <c r="H956" i="9"/>
  <c r="H957" i="9"/>
  <c r="H958" i="9"/>
  <c r="H959" i="9"/>
  <c r="H960" i="9"/>
  <c r="H961" i="9"/>
  <c r="H962" i="9"/>
  <c r="H963" i="9"/>
  <c r="H964" i="9"/>
  <c r="H965" i="9"/>
  <c r="H966" i="9"/>
  <c r="H967" i="9"/>
  <c r="H968" i="9"/>
  <c r="H969" i="9"/>
  <c r="H970" i="9"/>
  <c r="H971" i="9"/>
  <c r="H972" i="9"/>
  <c r="H973" i="9"/>
  <c r="H974" i="9"/>
  <c r="H975" i="9"/>
  <c r="H976" i="9"/>
  <c r="H977" i="9"/>
  <c r="H978" i="9"/>
  <c r="H979" i="9"/>
  <c r="H980" i="9"/>
  <c r="H981" i="9"/>
  <c r="H982" i="9"/>
  <c r="H983" i="9"/>
  <c r="H984" i="9"/>
  <c r="H985" i="9"/>
  <c r="H986" i="9"/>
  <c r="H987" i="9"/>
  <c r="H988" i="9"/>
  <c r="H989" i="9"/>
  <c r="H990" i="9"/>
  <c r="H991" i="9"/>
  <c r="H992" i="9"/>
  <c r="H993" i="9"/>
  <c r="H994" i="9"/>
  <c r="H995" i="9"/>
  <c r="H996" i="9"/>
  <c r="H997" i="9"/>
  <c r="H998" i="9"/>
  <c r="H999" i="9"/>
  <c r="H1000" i="9"/>
  <c r="H1001" i="9"/>
  <c r="H1002" i="9"/>
  <c r="H1003" i="9"/>
  <c r="H1004" i="9"/>
  <c r="H1005" i="9"/>
  <c r="H1006" i="9"/>
  <c r="H1007" i="9"/>
  <c r="H1008" i="9"/>
  <c r="H1009" i="9"/>
  <c r="H1010" i="9"/>
  <c r="H1011" i="9"/>
  <c r="H1012" i="9"/>
  <c r="H1013" i="9"/>
  <c r="H1014" i="9"/>
  <c r="H1015" i="9"/>
  <c r="H1016" i="9"/>
  <c r="H1017" i="9"/>
  <c r="H1018" i="9"/>
  <c r="H1019" i="9"/>
  <c r="H1020" i="9"/>
  <c r="H1021" i="9"/>
  <c r="H1022" i="9"/>
  <c r="H1023" i="9"/>
  <c r="H1024" i="9"/>
  <c r="H1025" i="9"/>
  <c r="H1026" i="9"/>
  <c r="H1027" i="9"/>
  <c r="H1028" i="9"/>
  <c r="H1029" i="9"/>
  <c r="H1030" i="9"/>
  <c r="H1031" i="9"/>
  <c r="H1032" i="9"/>
  <c r="H1033" i="9"/>
  <c r="H1034" i="9"/>
  <c r="H1035" i="9"/>
  <c r="H1036" i="9"/>
  <c r="H1037" i="9"/>
  <c r="H1038" i="9"/>
  <c r="H1039" i="9"/>
  <c r="H1040" i="9"/>
  <c r="H1041" i="9"/>
  <c r="H1042" i="9"/>
  <c r="H1043" i="9"/>
  <c r="H1044" i="9"/>
  <c r="H1045" i="9"/>
  <c r="H1046" i="9"/>
  <c r="H1047" i="9"/>
  <c r="H1048" i="9"/>
  <c r="H1049" i="9"/>
  <c r="H1050" i="9"/>
  <c r="H1051" i="9"/>
  <c r="H1052" i="9"/>
  <c r="H1053" i="9"/>
  <c r="H1054" i="9"/>
  <c r="H1055" i="9"/>
  <c r="H1056" i="9"/>
  <c r="H1057" i="9"/>
  <c r="H1058" i="9"/>
  <c r="H1059" i="9"/>
  <c r="H1060" i="9"/>
  <c r="H1061" i="9"/>
  <c r="H1062" i="9"/>
  <c r="H1063" i="9"/>
  <c r="H1064" i="9"/>
  <c r="H1065" i="9"/>
  <c r="H1066" i="9"/>
  <c r="H1067" i="9"/>
  <c r="H1068" i="9"/>
  <c r="H1069" i="9"/>
  <c r="H1070" i="9"/>
  <c r="H1071" i="9"/>
  <c r="H1072" i="9"/>
  <c r="H1073" i="9"/>
  <c r="H1074" i="9"/>
  <c r="H1075" i="9"/>
  <c r="H1076" i="9"/>
  <c r="H1077" i="9"/>
  <c r="H1078" i="9"/>
  <c r="H1079" i="9"/>
  <c r="H1080" i="9"/>
  <c r="H1081" i="9"/>
  <c r="H1082" i="9"/>
  <c r="H1083" i="9"/>
  <c r="H1084" i="9"/>
  <c r="H1085" i="9"/>
  <c r="H1086" i="9"/>
  <c r="H1087" i="9"/>
  <c r="H1088" i="9"/>
  <c r="H1089" i="9"/>
  <c r="H1090" i="9"/>
  <c r="H1091" i="9"/>
  <c r="H1092" i="9"/>
  <c r="H1093" i="9"/>
  <c r="H1094" i="9"/>
  <c r="H1095" i="9"/>
  <c r="H1096" i="9"/>
  <c r="H1097" i="9"/>
  <c r="H1098" i="9"/>
  <c r="H1099" i="9"/>
  <c r="H1100" i="9"/>
  <c r="H1101" i="9"/>
  <c r="H1102" i="9"/>
  <c r="H1103" i="9"/>
  <c r="H1104" i="9"/>
  <c r="H1105" i="9"/>
  <c r="H1106" i="9"/>
  <c r="H1107" i="9"/>
  <c r="H1108" i="9"/>
  <c r="H1109" i="9"/>
  <c r="H1110" i="9"/>
  <c r="H1111" i="9"/>
  <c r="H1112" i="9"/>
  <c r="H1113" i="9"/>
  <c r="H1114" i="9"/>
  <c r="H1115" i="9"/>
  <c r="H1116" i="9"/>
  <c r="H1117" i="9"/>
  <c r="H1118" i="9"/>
  <c r="H1119" i="9"/>
  <c r="H1120" i="9"/>
  <c r="H1121" i="9"/>
  <c r="H1122" i="9"/>
  <c r="H1123" i="9"/>
  <c r="H1124" i="9"/>
  <c r="H1125" i="9"/>
  <c r="H1126" i="9"/>
  <c r="H1127" i="9"/>
  <c r="H1128" i="9"/>
  <c r="H1129" i="9"/>
  <c r="H1130" i="9"/>
  <c r="H1131" i="9"/>
  <c r="H1132" i="9"/>
  <c r="H1133" i="9"/>
  <c r="H1134" i="9"/>
  <c r="H1135" i="9"/>
  <c r="H1136" i="9"/>
  <c r="H1137" i="9"/>
  <c r="H1138" i="9"/>
  <c r="H1139" i="9"/>
  <c r="H1140" i="9"/>
  <c r="H1141" i="9"/>
  <c r="H1142" i="9"/>
  <c r="H1143" i="9"/>
  <c r="H1144" i="9"/>
  <c r="H1145" i="9"/>
  <c r="H1146" i="9"/>
  <c r="H1147" i="9"/>
  <c r="H1148" i="9"/>
  <c r="H1149" i="9"/>
  <c r="H1150" i="9"/>
  <c r="H1151" i="9"/>
  <c r="H1152" i="9"/>
  <c r="H1153" i="9"/>
  <c r="H1154" i="9"/>
  <c r="H1155" i="9"/>
  <c r="H1156" i="9"/>
  <c r="H1157" i="9"/>
  <c r="H1158" i="9"/>
  <c r="H1159" i="9"/>
  <c r="H1160" i="9"/>
  <c r="H1161" i="9"/>
  <c r="H1162" i="9"/>
  <c r="H1163" i="9"/>
  <c r="H1164" i="9"/>
  <c r="H1165" i="9"/>
  <c r="H1166" i="9"/>
  <c r="H1167" i="9"/>
  <c r="H1168" i="9"/>
  <c r="H1169" i="9"/>
  <c r="H1170" i="9"/>
  <c r="H1171" i="9"/>
  <c r="H1172" i="9"/>
  <c r="H1173" i="9"/>
  <c r="H1174" i="9"/>
  <c r="H1175" i="9"/>
  <c r="H1176" i="9"/>
  <c r="H1177" i="9"/>
  <c r="H1178" i="9"/>
  <c r="H1179" i="9"/>
  <c r="H1180" i="9"/>
  <c r="H1181" i="9"/>
  <c r="H1182" i="9"/>
  <c r="H1183" i="9"/>
  <c r="H1184" i="9"/>
  <c r="H1185" i="9"/>
  <c r="H1186" i="9"/>
  <c r="H1187" i="9"/>
  <c r="H1188" i="9"/>
  <c r="H1189" i="9"/>
  <c r="H1190" i="9"/>
  <c r="H1191" i="9"/>
  <c r="H1192" i="9"/>
  <c r="H1193" i="9"/>
  <c r="H1194" i="9"/>
  <c r="H1195" i="9"/>
  <c r="H1196" i="9"/>
  <c r="H1197" i="9"/>
  <c r="H1198" i="9"/>
  <c r="H1199" i="9"/>
  <c r="H1200" i="9"/>
  <c r="H1201" i="9"/>
  <c r="H1202" i="9"/>
  <c r="H1203" i="9"/>
  <c r="H1204" i="9"/>
  <c r="H1205" i="9"/>
  <c r="H1206" i="9"/>
  <c r="H1207" i="9"/>
  <c r="H1208" i="9"/>
  <c r="H1209" i="9"/>
  <c r="H1210" i="9"/>
  <c r="H1211" i="9"/>
  <c r="H1212" i="9"/>
  <c r="H1213" i="9"/>
  <c r="H1214" i="9"/>
  <c r="H1215" i="9"/>
  <c r="H1216" i="9"/>
  <c r="H1217" i="9"/>
  <c r="H1218" i="9"/>
  <c r="H1219" i="9"/>
  <c r="H1220" i="9"/>
  <c r="H1221" i="9"/>
  <c r="H1222" i="9"/>
  <c r="H1223" i="9"/>
  <c r="H1224" i="9"/>
  <c r="H1225" i="9"/>
  <c r="H1226" i="9"/>
  <c r="H1227" i="9"/>
  <c r="H1228" i="9"/>
  <c r="H1229" i="9"/>
  <c r="H1230" i="9"/>
  <c r="H1231" i="9"/>
  <c r="H1232" i="9"/>
  <c r="H1233" i="9"/>
  <c r="H1234" i="9"/>
  <c r="H1235" i="9"/>
  <c r="H1236" i="9"/>
  <c r="H1237" i="9"/>
  <c r="H1238" i="9"/>
  <c r="H1239" i="9"/>
  <c r="H1240" i="9"/>
  <c r="H1241" i="9"/>
  <c r="H1242" i="9"/>
  <c r="H1243" i="9"/>
  <c r="H1244" i="9"/>
  <c r="H1245" i="9"/>
  <c r="H1246" i="9"/>
  <c r="H1247" i="9"/>
  <c r="H1248" i="9"/>
  <c r="H1249" i="9"/>
  <c r="H1250" i="9"/>
  <c r="H1251" i="9"/>
  <c r="H1252" i="9"/>
  <c r="H1253" i="9"/>
  <c r="H1254" i="9"/>
  <c r="H1255" i="9"/>
  <c r="H1256" i="9"/>
  <c r="H1257" i="9"/>
  <c r="H1258" i="9"/>
  <c r="H1259" i="9"/>
  <c r="H1260" i="9"/>
  <c r="H1261" i="9"/>
  <c r="H1262" i="9"/>
  <c r="H1263" i="9"/>
  <c r="H1264" i="9"/>
  <c r="H1265" i="9"/>
  <c r="H1266" i="9"/>
  <c r="H1267" i="9"/>
  <c r="H1268" i="9"/>
  <c r="H1269" i="9"/>
  <c r="H1270" i="9"/>
  <c r="H1271" i="9"/>
  <c r="H1272" i="9"/>
  <c r="H1273" i="9"/>
  <c r="H1274" i="9"/>
  <c r="H1275" i="9"/>
  <c r="H1276" i="9"/>
  <c r="H1277" i="9"/>
  <c r="H1278" i="9"/>
  <c r="H1279" i="9"/>
  <c r="H1280" i="9"/>
  <c r="H1281" i="9"/>
  <c r="H1282" i="9"/>
  <c r="H1283" i="9"/>
  <c r="H1284" i="9"/>
  <c r="H1285" i="9"/>
  <c r="H1286" i="9"/>
  <c r="H1287" i="9"/>
  <c r="H1288" i="9"/>
  <c r="H1289" i="9"/>
  <c r="H1290" i="9"/>
  <c r="H1291" i="9"/>
  <c r="H1292" i="9"/>
  <c r="H1293" i="9"/>
  <c r="H1294" i="9"/>
  <c r="H1295" i="9"/>
  <c r="H1296" i="9"/>
  <c r="H1297" i="9"/>
  <c r="H1298" i="9"/>
  <c r="H1299" i="9"/>
  <c r="H1300" i="9"/>
  <c r="H1301" i="9"/>
  <c r="H1302" i="9"/>
  <c r="H1303" i="9"/>
  <c r="H1304" i="9"/>
  <c r="H1305" i="9"/>
  <c r="H1306" i="9"/>
  <c r="H1307" i="9"/>
  <c r="H1308" i="9"/>
  <c r="H1309" i="9"/>
  <c r="H1310" i="9"/>
  <c r="H1311" i="9"/>
  <c r="H1312" i="9"/>
  <c r="H1313" i="9"/>
  <c r="H1314" i="9"/>
  <c r="H1315" i="9"/>
  <c r="H1316" i="9"/>
  <c r="H1317" i="9"/>
  <c r="H1318" i="9"/>
  <c r="H1319" i="9"/>
  <c r="H1320" i="9"/>
  <c r="H1321" i="9"/>
  <c r="H1322" i="9"/>
  <c r="H1323" i="9"/>
  <c r="H1324" i="9"/>
  <c r="H1325" i="9"/>
  <c r="H1326" i="9"/>
  <c r="H1327" i="9"/>
  <c r="H1328" i="9"/>
  <c r="H1329" i="9"/>
  <c r="H1330" i="9"/>
  <c r="H1331" i="9"/>
  <c r="H1332" i="9"/>
  <c r="H1333" i="9"/>
  <c r="H1334" i="9"/>
  <c r="H1335" i="9"/>
  <c r="H1336" i="9"/>
  <c r="H1337" i="9"/>
  <c r="H1338" i="9"/>
  <c r="H1339" i="9"/>
  <c r="H1340" i="9"/>
  <c r="H1341" i="9"/>
  <c r="H1342" i="9"/>
  <c r="H1343" i="9"/>
  <c r="H1344" i="9"/>
  <c r="H1345" i="9"/>
  <c r="H1346" i="9"/>
  <c r="H1347" i="9"/>
  <c r="H1348" i="9"/>
  <c r="H1349" i="9"/>
  <c r="H1350" i="9"/>
  <c r="H1351" i="9"/>
  <c r="H1352" i="9"/>
  <c r="H1353" i="9"/>
  <c r="H1354" i="9"/>
  <c r="H1355" i="9"/>
  <c r="H1356" i="9"/>
  <c r="H1357" i="9"/>
  <c r="H1358" i="9"/>
  <c r="H1359" i="9"/>
  <c r="H1360" i="9"/>
  <c r="H1361" i="9"/>
  <c r="H1362" i="9"/>
  <c r="H1363" i="9"/>
  <c r="H1364" i="9"/>
  <c r="H1365" i="9"/>
  <c r="H1366" i="9"/>
  <c r="H1367" i="9"/>
  <c r="H1368" i="9"/>
  <c r="H1369" i="9"/>
  <c r="H1370" i="9"/>
  <c r="H1371" i="9"/>
  <c r="H1372" i="9"/>
  <c r="H1373" i="9"/>
  <c r="H1374" i="9"/>
  <c r="H1375" i="9"/>
  <c r="H1376" i="9"/>
  <c r="H1377" i="9"/>
  <c r="H1378" i="9"/>
  <c r="H1379" i="9"/>
  <c r="H1380" i="9"/>
  <c r="H1381" i="9"/>
  <c r="H1382" i="9"/>
  <c r="H1383" i="9"/>
  <c r="H1384" i="9"/>
  <c r="H1385" i="9"/>
  <c r="H1386" i="9"/>
  <c r="H1387" i="9"/>
  <c r="H1388" i="9"/>
  <c r="H1389" i="9"/>
  <c r="H1390" i="9"/>
  <c r="H1391" i="9"/>
  <c r="H1392" i="9"/>
  <c r="H1393" i="9"/>
  <c r="H1394" i="9"/>
  <c r="H1395" i="9"/>
  <c r="H1396" i="9"/>
  <c r="H1397" i="9"/>
  <c r="H1398" i="9"/>
  <c r="H1399" i="9"/>
  <c r="H1400" i="9"/>
  <c r="H1401" i="9"/>
  <c r="H1402" i="9"/>
  <c r="H1403" i="9"/>
  <c r="H1404" i="9"/>
  <c r="H1405" i="9"/>
  <c r="H1406" i="9"/>
  <c r="H1407" i="9"/>
  <c r="H1408" i="9"/>
  <c r="H1409" i="9"/>
  <c r="H1410" i="9"/>
  <c r="H1411" i="9"/>
  <c r="H1412" i="9"/>
  <c r="H1413" i="9"/>
  <c r="H1414" i="9"/>
  <c r="H1415" i="9"/>
  <c r="H1416" i="9"/>
  <c r="H1417" i="9"/>
  <c r="H1418" i="9"/>
  <c r="H1419" i="9"/>
  <c r="H1420" i="9"/>
  <c r="H1421" i="9"/>
  <c r="H1422" i="9"/>
  <c r="H1423" i="9"/>
  <c r="H1424" i="9"/>
  <c r="H1425" i="9"/>
  <c r="H1426" i="9"/>
  <c r="H1427" i="9"/>
  <c r="H1428" i="9"/>
  <c r="H1429" i="9"/>
  <c r="H1430" i="9"/>
  <c r="H1431" i="9"/>
  <c r="H1432" i="9"/>
  <c r="H1433" i="9"/>
  <c r="H1434" i="9"/>
  <c r="H1435" i="9"/>
  <c r="H1436" i="9"/>
  <c r="H1437" i="9"/>
  <c r="H1438" i="9"/>
  <c r="H1439" i="9"/>
  <c r="H1440" i="9"/>
  <c r="H1441" i="9"/>
  <c r="H1442" i="9"/>
  <c r="H1443" i="9"/>
  <c r="H1444" i="9"/>
  <c r="H1445" i="9"/>
  <c r="H1446" i="9"/>
  <c r="H1447" i="9"/>
  <c r="H1448" i="9"/>
  <c r="H1449" i="9"/>
  <c r="H1450" i="9"/>
  <c r="H1451" i="9"/>
  <c r="H1452" i="9"/>
  <c r="H1453" i="9"/>
  <c r="H1454" i="9"/>
  <c r="H1455" i="9"/>
  <c r="H1456" i="9"/>
  <c r="H1457" i="9"/>
  <c r="H1458" i="9"/>
  <c r="H1459" i="9"/>
  <c r="H1460" i="9"/>
  <c r="H1461" i="9"/>
  <c r="H1462" i="9"/>
  <c r="H1463" i="9"/>
  <c r="H1464" i="9"/>
  <c r="H1465" i="9"/>
  <c r="H1466" i="9"/>
  <c r="H1467" i="9"/>
  <c r="H1468" i="9"/>
  <c r="H1469" i="9"/>
  <c r="H1470" i="9"/>
  <c r="H1471" i="9"/>
  <c r="H1472" i="9"/>
  <c r="H1473" i="9"/>
  <c r="H1474" i="9"/>
  <c r="H1475" i="9"/>
  <c r="H1476" i="9"/>
  <c r="H1477" i="9"/>
  <c r="H1478" i="9"/>
  <c r="H1479" i="9"/>
  <c r="H1480" i="9"/>
  <c r="H1481" i="9"/>
  <c r="H1482" i="9"/>
  <c r="H1483" i="9"/>
  <c r="H1484" i="9"/>
  <c r="H1485" i="9"/>
  <c r="H1486" i="9"/>
  <c r="H1487" i="9"/>
  <c r="H1488" i="9"/>
  <c r="H1489" i="9"/>
  <c r="H1490" i="9"/>
  <c r="H1491" i="9"/>
  <c r="H1492" i="9"/>
  <c r="H1493" i="9"/>
  <c r="H1494" i="9"/>
  <c r="H1495" i="9"/>
  <c r="H1496" i="9"/>
  <c r="H1497" i="9"/>
  <c r="H1498" i="9"/>
  <c r="H1499" i="9"/>
  <c r="H1500" i="9"/>
  <c r="H1501" i="9"/>
  <c r="H1502" i="9"/>
  <c r="H1503" i="9"/>
  <c r="H1504" i="9"/>
  <c r="H1505" i="9"/>
  <c r="H1506" i="9"/>
  <c r="H1507" i="9"/>
  <c r="H1508" i="9"/>
  <c r="H1509" i="9"/>
  <c r="H1510" i="9"/>
  <c r="H1511" i="9"/>
  <c r="H1512" i="9"/>
  <c r="H1513" i="9"/>
  <c r="H1514" i="9"/>
  <c r="H1515" i="9"/>
  <c r="H1516" i="9"/>
  <c r="H1517" i="9"/>
  <c r="H1518" i="9"/>
  <c r="H1519" i="9"/>
  <c r="H1520" i="9"/>
  <c r="H1521" i="9"/>
  <c r="H1522" i="9"/>
  <c r="H1523" i="9"/>
  <c r="H1524" i="9"/>
  <c r="H1525" i="9"/>
  <c r="H1526" i="9"/>
  <c r="H1527" i="9"/>
  <c r="H1528" i="9"/>
  <c r="H1529" i="9"/>
  <c r="H1530" i="9"/>
  <c r="H1531" i="9"/>
  <c r="H1532" i="9"/>
  <c r="H1533" i="9"/>
  <c r="H1534" i="9"/>
  <c r="H1535" i="9"/>
  <c r="H1536" i="9"/>
  <c r="H1537" i="9"/>
  <c r="H1538" i="9"/>
  <c r="H1539" i="9"/>
  <c r="H1540" i="9"/>
  <c r="H1541" i="9"/>
  <c r="H1542" i="9"/>
  <c r="H1543" i="9"/>
  <c r="H1544" i="9"/>
  <c r="H1545" i="9"/>
  <c r="H1546" i="9"/>
  <c r="H1547" i="9"/>
  <c r="H1548" i="9"/>
  <c r="H1549" i="9"/>
  <c r="H1550" i="9"/>
  <c r="H1551" i="9"/>
  <c r="H1552" i="9"/>
  <c r="H1553" i="9"/>
  <c r="H1554" i="9"/>
  <c r="H1555" i="9"/>
  <c r="H1556" i="9"/>
  <c r="H1557" i="9"/>
  <c r="H1558" i="9"/>
  <c r="H1559" i="9"/>
  <c r="H1560" i="9"/>
  <c r="H1561" i="9"/>
  <c r="H1562" i="9"/>
  <c r="H1563" i="9"/>
  <c r="H1564" i="9"/>
  <c r="H1565" i="9"/>
  <c r="H1566" i="9"/>
  <c r="H1567" i="9"/>
  <c r="H1568" i="9"/>
  <c r="H1569" i="9"/>
  <c r="H1570" i="9"/>
  <c r="H1571" i="9"/>
  <c r="H1572" i="9"/>
  <c r="H1573" i="9"/>
  <c r="H1574" i="9"/>
  <c r="H1575" i="9"/>
  <c r="H1576" i="9"/>
  <c r="H1577" i="9"/>
  <c r="H1578" i="9"/>
  <c r="H1579" i="9"/>
  <c r="H1580" i="9"/>
  <c r="H1581" i="9"/>
  <c r="H1582" i="9"/>
  <c r="H1583" i="9"/>
  <c r="H1584" i="9"/>
  <c r="H1585" i="9"/>
  <c r="H1586" i="9"/>
  <c r="H1587" i="9"/>
  <c r="H1588" i="9"/>
  <c r="H1589" i="9"/>
  <c r="H1590" i="9"/>
  <c r="H1591" i="9"/>
  <c r="H1592" i="9"/>
  <c r="H1593" i="9"/>
  <c r="H1594" i="9"/>
  <c r="H1595" i="9"/>
  <c r="H1596" i="9"/>
  <c r="H1597" i="9"/>
  <c r="H1598" i="9"/>
  <c r="H1599" i="9"/>
  <c r="H1600" i="9"/>
  <c r="H1601" i="9"/>
  <c r="H1602" i="9"/>
  <c r="H1603" i="9"/>
  <c r="H1604" i="9"/>
  <c r="H1605" i="9"/>
  <c r="H1606" i="9"/>
  <c r="H1607" i="9"/>
  <c r="H1608" i="9"/>
  <c r="H1609" i="9"/>
  <c r="H1610" i="9"/>
  <c r="H1611" i="9"/>
  <c r="H1612" i="9"/>
  <c r="H1613" i="9"/>
  <c r="H1614" i="9"/>
  <c r="H1615" i="9"/>
  <c r="H1616" i="9"/>
  <c r="H1617" i="9"/>
  <c r="H1618" i="9"/>
  <c r="H1619" i="9"/>
  <c r="H1620" i="9"/>
  <c r="H1621" i="9"/>
  <c r="H1622" i="9"/>
  <c r="H1623" i="9"/>
  <c r="H1624" i="9"/>
  <c r="H1625" i="9"/>
  <c r="H1626" i="9"/>
  <c r="H1627" i="9"/>
  <c r="H1628" i="9"/>
  <c r="H1629" i="9"/>
  <c r="H1630" i="9"/>
  <c r="H1631" i="9"/>
  <c r="H1632" i="9"/>
  <c r="H1633" i="9"/>
  <c r="H1634" i="9"/>
  <c r="H1635" i="9"/>
  <c r="H1636" i="9"/>
  <c r="H1637" i="9"/>
  <c r="H1638" i="9"/>
  <c r="H1639" i="9"/>
  <c r="H1640" i="9"/>
  <c r="H1641" i="9"/>
  <c r="H1642" i="9"/>
  <c r="H1643" i="9"/>
  <c r="H1644" i="9"/>
  <c r="H1645" i="9"/>
  <c r="H1646" i="9"/>
  <c r="H1647" i="9"/>
  <c r="H1648" i="9"/>
  <c r="H1649" i="9"/>
  <c r="H1650" i="9"/>
  <c r="H1651" i="9"/>
  <c r="H1652" i="9"/>
  <c r="H1653" i="9"/>
  <c r="H1654" i="9"/>
  <c r="H1655" i="9"/>
  <c r="H1656" i="9"/>
  <c r="H1657" i="9"/>
  <c r="H1658" i="9"/>
  <c r="H1659" i="9"/>
  <c r="H1660" i="9"/>
  <c r="H1661" i="9"/>
  <c r="H1662" i="9"/>
  <c r="H1663" i="9"/>
  <c r="H1664" i="9"/>
  <c r="H1665" i="9"/>
  <c r="H1666" i="9"/>
  <c r="H1667" i="9"/>
  <c r="H1668" i="9"/>
  <c r="H1669" i="9"/>
  <c r="H1670" i="9"/>
  <c r="H1671" i="9"/>
  <c r="H1672" i="9"/>
  <c r="H1673" i="9"/>
  <c r="H1674" i="9"/>
  <c r="H1675" i="9"/>
  <c r="H1676" i="9"/>
  <c r="H1677" i="9"/>
  <c r="H1678" i="9"/>
  <c r="H1679" i="9"/>
  <c r="H1680" i="9"/>
  <c r="H1681" i="9"/>
  <c r="H1682" i="9"/>
  <c r="H1683" i="9"/>
  <c r="H1684" i="9"/>
  <c r="H1685" i="9"/>
  <c r="H1686" i="9"/>
  <c r="H1687" i="9"/>
  <c r="H1688" i="9"/>
  <c r="H1689" i="9"/>
  <c r="H1690" i="9"/>
  <c r="H1691" i="9"/>
  <c r="H1692" i="9"/>
  <c r="H1693" i="9"/>
  <c r="H1694" i="9"/>
  <c r="H1695" i="9"/>
  <c r="H1696" i="9"/>
  <c r="H1697" i="9"/>
  <c r="H1698" i="9"/>
  <c r="H1699" i="9"/>
  <c r="H1700" i="9"/>
  <c r="H1701" i="9"/>
  <c r="H1702" i="9"/>
  <c r="H1703" i="9"/>
  <c r="H1704" i="9"/>
  <c r="H1705" i="9"/>
  <c r="H1706" i="9"/>
  <c r="H1707" i="9"/>
  <c r="H1708" i="9"/>
  <c r="H1709" i="9"/>
  <c r="H1710" i="9"/>
  <c r="H1711" i="9"/>
  <c r="H1712" i="9"/>
  <c r="H1713" i="9"/>
  <c r="H1714" i="9"/>
  <c r="H1715" i="9"/>
  <c r="H1716" i="9"/>
  <c r="H1717" i="9"/>
  <c r="H1718" i="9"/>
  <c r="H1719" i="9"/>
  <c r="H1720" i="9"/>
  <c r="H1721" i="9"/>
  <c r="H1722" i="9"/>
  <c r="H1723" i="9"/>
  <c r="H1724" i="9"/>
  <c r="H1725" i="9"/>
  <c r="H1726" i="9"/>
  <c r="H1727" i="9"/>
  <c r="H1728" i="9"/>
  <c r="H1729" i="9"/>
  <c r="H1730" i="9"/>
  <c r="H1731" i="9"/>
  <c r="H1732" i="9"/>
  <c r="H1733" i="9"/>
  <c r="H1734" i="9"/>
  <c r="H1735" i="9"/>
  <c r="H1736" i="9"/>
  <c r="H1737" i="9"/>
  <c r="H1738" i="9"/>
  <c r="H1739" i="9"/>
  <c r="H1740" i="9"/>
  <c r="H1741" i="9"/>
  <c r="H1742" i="9"/>
  <c r="H1743" i="9"/>
  <c r="H1744" i="9"/>
  <c r="H1745" i="9"/>
  <c r="H1746" i="9"/>
  <c r="H1747" i="9"/>
  <c r="H1748" i="9"/>
  <c r="H1749" i="9"/>
  <c r="H1750" i="9"/>
  <c r="H1751" i="9"/>
  <c r="H1752" i="9"/>
  <c r="H1753" i="9"/>
  <c r="H1754" i="9"/>
  <c r="H1755" i="9"/>
  <c r="H1756" i="9"/>
  <c r="H1757" i="9"/>
  <c r="H1758" i="9"/>
  <c r="H1759" i="9"/>
  <c r="H1760" i="9"/>
  <c r="H1761" i="9"/>
  <c r="H1762" i="9"/>
  <c r="H1763" i="9"/>
  <c r="H1764" i="9"/>
  <c r="H1765" i="9"/>
  <c r="H1766" i="9"/>
  <c r="H1767" i="9"/>
  <c r="H1768" i="9"/>
  <c r="H1769" i="9"/>
  <c r="H1770" i="9"/>
  <c r="H1771" i="9"/>
  <c r="H1772" i="9"/>
  <c r="H1773" i="9"/>
  <c r="H1774" i="9"/>
  <c r="H1775" i="9"/>
  <c r="H1776" i="9"/>
  <c r="H1777" i="9"/>
  <c r="H1778" i="9"/>
  <c r="H1779" i="9"/>
  <c r="H1780" i="9"/>
  <c r="H1781" i="9"/>
  <c r="H1782" i="9"/>
  <c r="H1783" i="9"/>
  <c r="H1784" i="9"/>
  <c r="H1785" i="9"/>
  <c r="H1786" i="9"/>
  <c r="H1787" i="9"/>
  <c r="H1788" i="9"/>
  <c r="H1789" i="9"/>
  <c r="H1790" i="9"/>
  <c r="H1791" i="9"/>
  <c r="H1792" i="9"/>
  <c r="H1793" i="9"/>
  <c r="H1794" i="9"/>
  <c r="H1795" i="9"/>
  <c r="H1796" i="9"/>
  <c r="H1797" i="9"/>
  <c r="H1798" i="9"/>
  <c r="H1799" i="9"/>
  <c r="H1800" i="9"/>
  <c r="H1801" i="9"/>
  <c r="H1802" i="9"/>
  <c r="H1803" i="9"/>
  <c r="H1804" i="9"/>
  <c r="H1805" i="9"/>
  <c r="H1806" i="9"/>
  <c r="H1807" i="9"/>
  <c r="H1808" i="9"/>
  <c r="H1809" i="9"/>
  <c r="H1810" i="9"/>
  <c r="H1811" i="9"/>
  <c r="H1812" i="9"/>
  <c r="H1813" i="9"/>
  <c r="H1814" i="9"/>
  <c r="H1815" i="9"/>
  <c r="H1816" i="9"/>
  <c r="H1817" i="9"/>
  <c r="H1818" i="9"/>
  <c r="H1819" i="9"/>
  <c r="H1820" i="9"/>
  <c r="H1821" i="9"/>
  <c r="H1822" i="9"/>
  <c r="H1823" i="9"/>
  <c r="H1824" i="9"/>
  <c r="H1825" i="9"/>
  <c r="H1826" i="9"/>
  <c r="H1827" i="9"/>
  <c r="H1828" i="9"/>
  <c r="H1829" i="9"/>
  <c r="H1830" i="9"/>
  <c r="H1831" i="9"/>
  <c r="H1832" i="9"/>
  <c r="H1833" i="9"/>
  <c r="H1834" i="9"/>
  <c r="H1835" i="9"/>
  <c r="H1836" i="9"/>
  <c r="H1837" i="9"/>
  <c r="H1838" i="9"/>
  <c r="H1839" i="9"/>
  <c r="H1840" i="9"/>
  <c r="H1841" i="9"/>
  <c r="H1842" i="9"/>
  <c r="H1843" i="9"/>
  <c r="H1844" i="9"/>
  <c r="H1845" i="9"/>
  <c r="H1846" i="9"/>
  <c r="H1847" i="9"/>
  <c r="H1848" i="9"/>
  <c r="H1849" i="9"/>
  <c r="H1850" i="9"/>
  <c r="H1851" i="9"/>
  <c r="H1852" i="9"/>
  <c r="H1853" i="9"/>
  <c r="H1854" i="9"/>
  <c r="H1855" i="9"/>
  <c r="H1856" i="9"/>
  <c r="H1857" i="9"/>
  <c r="H1858" i="9"/>
  <c r="H1859" i="9"/>
  <c r="H1860" i="9"/>
  <c r="H1861" i="9"/>
  <c r="H1862" i="9"/>
  <c r="H1863" i="9"/>
  <c r="H1864" i="9"/>
  <c r="H1865" i="9"/>
  <c r="H1866" i="9"/>
  <c r="H1867" i="9"/>
  <c r="H1868" i="9"/>
  <c r="H1869" i="9"/>
  <c r="H1870" i="9"/>
  <c r="H1871" i="9"/>
  <c r="H1872" i="9"/>
  <c r="H1873" i="9"/>
  <c r="H1874" i="9"/>
  <c r="H1875" i="9"/>
  <c r="H1876" i="9"/>
  <c r="H1877" i="9"/>
  <c r="H1878" i="9"/>
  <c r="H1879" i="9"/>
  <c r="H1880" i="9"/>
  <c r="H1881" i="9"/>
  <c r="H1882" i="9"/>
  <c r="H1883" i="9"/>
  <c r="H1884" i="9"/>
  <c r="H1885" i="9"/>
  <c r="H1886" i="9"/>
  <c r="H1887" i="9"/>
  <c r="H1888" i="9"/>
  <c r="H1889" i="9"/>
  <c r="H1890" i="9"/>
  <c r="H1891" i="9"/>
  <c r="H1892" i="9"/>
  <c r="H1893" i="9"/>
  <c r="H1894" i="9"/>
  <c r="H1895" i="9"/>
  <c r="H1896" i="9"/>
  <c r="H1897" i="9"/>
  <c r="H1898" i="9"/>
  <c r="H1899" i="9"/>
  <c r="H1900" i="9"/>
  <c r="H1901" i="9"/>
  <c r="H1902" i="9"/>
  <c r="H1903" i="9"/>
  <c r="H1904" i="9"/>
  <c r="H1905" i="9"/>
  <c r="H1906" i="9"/>
  <c r="H1907" i="9"/>
  <c r="H1908" i="9"/>
  <c r="H1909" i="9"/>
  <c r="H1910" i="9"/>
  <c r="H1911" i="9"/>
  <c r="H1912" i="9"/>
  <c r="H1913" i="9"/>
  <c r="H1914" i="9"/>
  <c r="H1915" i="9"/>
  <c r="H1916" i="9"/>
  <c r="H1917" i="9"/>
  <c r="H1918" i="9"/>
  <c r="H1919" i="9"/>
  <c r="H1920" i="9"/>
  <c r="H1921" i="9"/>
  <c r="H1922" i="9"/>
  <c r="H1923" i="9"/>
  <c r="H1924" i="9"/>
  <c r="H1925" i="9"/>
  <c r="H1926" i="9"/>
  <c r="H1927" i="9"/>
  <c r="H1928" i="9"/>
  <c r="H1929" i="9"/>
  <c r="H1930" i="9"/>
  <c r="H1931" i="9"/>
  <c r="H1932" i="9"/>
  <c r="H1933" i="9"/>
  <c r="H1934" i="9"/>
  <c r="H1935" i="9"/>
  <c r="H1936" i="9"/>
  <c r="H1937" i="9"/>
  <c r="H1938" i="9"/>
  <c r="H1939" i="9"/>
  <c r="H1940" i="9"/>
  <c r="H1941" i="9"/>
  <c r="H1942" i="9"/>
  <c r="H1943" i="9"/>
  <c r="H1944" i="9"/>
  <c r="H1945" i="9"/>
  <c r="H1946" i="9"/>
  <c r="H1947" i="9"/>
  <c r="H1948" i="9"/>
  <c r="H1949" i="9"/>
  <c r="H1950" i="9"/>
  <c r="H1951" i="9"/>
  <c r="H1952" i="9"/>
  <c r="H1953" i="9"/>
  <c r="H1954" i="9"/>
  <c r="H1955" i="9"/>
  <c r="H1956" i="9"/>
  <c r="H1957" i="9"/>
  <c r="H1958" i="9"/>
  <c r="H1959" i="9"/>
  <c r="H1960" i="9"/>
  <c r="H1961" i="9"/>
  <c r="H1962" i="9"/>
  <c r="H1963" i="9"/>
  <c r="H1964" i="9"/>
  <c r="H1965" i="9"/>
  <c r="H1966" i="9"/>
  <c r="H1967" i="9"/>
  <c r="H1968" i="9"/>
  <c r="H1969" i="9"/>
  <c r="H1970" i="9"/>
  <c r="H1971" i="9"/>
  <c r="H1972" i="9"/>
  <c r="H1973" i="9"/>
  <c r="H1974" i="9"/>
  <c r="H1975" i="9"/>
  <c r="H1976" i="9"/>
  <c r="H1977" i="9"/>
  <c r="H1978" i="9"/>
  <c r="H1979" i="9"/>
  <c r="H1980" i="9"/>
  <c r="H1981" i="9"/>
  <c r="H1982" i="9"/>
  <c r="H1983" i="9"/>
  <c r="H1984" i="9"/>
  <c r="H1985" i="9"/>
  <c r="H1986" i="9"/>
  <c r="H1987" i="9"/>
  <c r="H1988" i="9"/>
  <c r="H1989" i="9"/>
  <c r="H1990" i="9"/>
  <c r="H1991" i="9"/>
  <c r="H1992" i="9"/>
  <c r="H1993" i="9"/>
  <c r="H1994" i="9"/>
  <c r="H1995" i="9"/>
  <c r="H1996" i="9"/>
  <c r="H1997" i="9"/>
  <c r="H1998" i="9"/>
  <c r="H1999" i="9"/>
  <c r="H2000" i="9"/>
  <c r="H2001" i="9"/>
  <c r="H2002" i="9"/>
  <c r="H2003" i="9"/>
  <c r="H2004" i="9"/>
  <c r="H2005" i="9"/>
  <c r="H2006" i="9"/>
  <c r="H2007" i="9"/>
  <c r="H2008" i="9"/>
  <c r="H2009" i="9"/>
  <c r="H2010" i="9"/>
  <c r="H2011" i="9"/>
  <c r="H2012" i="9"/>
  <c r="H2013" i="9"/>
  <c r="H2014" i="9"/>
  <c r="H2015" i="9"/>
  <c r="H2016" i="9"/>
  <c r="H2017" i="9"/>
  <c r="H2018" i="9"/>
  <c r="H2019" i="9"/>
  <c r="H2020" i="9"/>
  <c r="H2021" i="9"/>
  <c r="H2022" i="9"/>
  <c r="H2023" i="9"/>
  <c r="H2024" i="9"/>
  <c r="H2025" i="9"/>
  <c r="H2026" i="9"/>
  <c r="H2027" i="9"/>
  <c r="H2028" i="9"/>
  <c r="H2029" i="9"/>
  <c r="H2030" i="9"/>
  <c r="H2031" i="9"/>
  <c r="H2032" i="9"/>
  <c r="H2033" i="9"/>
  <c r="H2034" i="9"/>
  <c r="H2035" i="9"/>
  <c r="H2036" i="9"/>
  <c r="H2037" i="9"/>
  <c r="H2038" i="9"/>
  <c r="H2039" i="9"/>
  <c r="H2040" i="9"/>
  <c r="H2041" i="9"/>
  <c r="H2042" i="9"/>
  <c r="H2043" i="9"/>
  <c r="H2044" i="9"/>
  <c r="H2045" i="9"/>
  <c r="H2046" i="9"/>
  <c r="H2047" i="9"/>
  <c r="H2048" i="9"/>
  <c r="H2049" i="9"/>
  <c r="H2050" i="9"/>
  <c r="H2051" i="9"/>
  <c r="H2052" i="9"/>
  <c r="H2053" i="9"/>
  <c r="H2054" i="9"/>
  <c r="H2055" i="9"/>
  <c r="H2056" i="9"/>
  <c r="H2057" i="9"/>
  <c r="H2058" i="9"/>
  <c r="H2059" i="9"/>
  <c r="H2060" i="9"/>
  <c r="H2061" i="9"/>
  <c r="H2062" i="9"/>
  <c r="H2063" i="9"/>
  <c r="H2064" i="9"/>
  <c r="H2065" i="9"/>
  <c r="H2066" i="9"/>
  <c r="H2067" i="9"/>
  <c r="H2068" i="9"/>
  <c r="H2069" i="9"/>
  <c r="H2070" i="9"/>
  <c r="H2071" i="9"/>
  <c r="H2072" i="9"/>
  <c r="H2073" i="9"/>
  <c r="H2074" i="9"/>
  <c r="H2075" i="9"/>
  <c r="H2076" i="9"/>
  <c r="H2077" i="9"/>
  <c r="H2078" i="9"/>
  <c r="H2079" i="9"/>
  <c r="H2080" i="9"/>
  <c r="H2081" i="9"/>
  <c r="H2082" i="9"/>
  <c r="H2083" i="9"/>
  <c r="H2084" i="9"/>
  <c r="H2085" i="9"/>
  <c r="H2086" i="9"/>
  <c r="H2087" i="9"/>
  <c r="H2088" i="9"/>
  <c r="H2089" i="9"/>
  <c r="H2090" i="9"/>
  <c r="H2091" i="9"/>
  <c r="H2092" i="9"/>
  <c r="H2093" i="9"/>
  <c r="H2094" i="9"/>
  <c r="H2095" i="9"/>
  <c r="H2096" i="9"/>
  <c r="H2097" i="9"/>
  <c r="H2098" i="9"/>
  <c r="H2099" i="9"/>
  <c r="H2100" i="9"/>
  <c r="H2101" i="9"/>
  <c r="H2102" i="9"/>
  <c r="H2103" i="9"/>
  <c r="H2104" i="9"/>
  <c r="H2105" i="9"/>
  <c r="H2106" i="9"/>
  <c r="H2107" i="9"/>
  <c r="H2108" i="9"/>
  <c r="H2109" i="9"/>
  <c r="H2110" i="9"/>
  <c r="H2111" i="9"/>
  <c r="H2112" i="9"/>
  <c r="H2113" i="9"/>
  <c r="H2114" i="9"/>
  <c r="H2115" i="9"/>
  <c r="H2116" i="9"/>
  <c r="H2117" i="9"/>
  <c r="H2118" i="9"/>
  <c r="H2119" i="9"/>
  <c r="H2120" i="9"/>
  <c r="H2121" i="9"/>
  <c r="H2122" i="9"/>
  <c r="H2123" i="9"/>
  <c r="H2124" i="9"/>
  <c r="H2125" i="9"/>
  <c r="H2126" i="9"/>
  <c r="H2127" i="9"/>
  <c r="H2128" i="9"/>
  <c r="H2129" i="9"/>
  <c r="H2130" i="9"/>
  <c r="H2131" i="9"/>
  <c r="H2132" i="9"/>
  <c r="H2133" i="9"/>
  <c r="H2134" i="9"/>
  <c r="H2135" i="9"/>
  <c r="H2136" i="9"/>
  <c r="H2137" i="9"/>
  <c r="H2138" i="9"/>
  <c r="H2139" i="9"/>
  <c r="H2140" i="9"/>
  <c r="H2141" i="9"/>
  <c r="H2142" i="9"/>
  <c r="H2143" i="9"/>
  <c r="H2144" i="9"/>
  <c r="H2145" i="9"/>
  <c r="H2146" i="9"/>
  <c r="H2147" i="9"/>
  <c r="H2148" i="9"/>
  <c r="H2149" i="9"/>
  <c r="H2150" i="9"/>
  <c r="H2151" i="9"/>
  <c r="H2152" i="9"/>
  <c r="H2153" i="9"/>
  <c r="H2154" i="9"/>
  <c r="H2155" i="9"/>
  <c r="H2156" i="9"/>
  <c r="H2157" i="9"/>
  <c r="H2158" i="9"/>
  <c r="H2159" i="9"/>
  <c r="H2160" i="9"/>
  <c r="H2161" i="9"/>
  <c r="H2162" i="9"/>
  <c r="H2163" i="9"/>
  <c r="H2164" i="9"/>
  <c r="H2165" i="9"/>
  <c r="H2166" i="9"/>
  <c r="H2167" i="9"/>
  <c r="H2168" i="9"/>
  <c r="H2169" i="9"/>
  <c r="H2170" i="9"/>
  <c r="H2171" i="9"/>
  <c r="H2172" i="9"/>
  <c r="H2173" i="9"/>
  <c r="H2174" i="9"/>
  <c r="H2175" i="9"/>
  <c r="H2176" i="9"/>
  <c r="H2177" i="9"/>
  <c r="H2178" i="9"/>
  <c r="H2179" i="9"/>
  <c r="H2180" i="9"/>
  <c r="H2181" i="9"/>
  <c r="H2182" i="9"/>
  <c r="H2183" i="9"/>
  <c r="H2184" i="9"/>
  <c r="H2185" i="9"/>
  <c r="H2186" i="9"/>
  <c r="H2187" i="9"/>
  <c r="H2188" i="9"/>
  <c r="H2189" i="9"/>
  <c r="H2190" i="9"/>
  <c r="H2191" i="9"/>
  <c r="H2192" i="9"/>
  <c r="H2193" i="9"/>
  <c r="H2194" i="9"/>
  <c r="H2195" i="9"/>
  <c r="H2196" i="9"/>
  <c r="H2197" i="9"/>
  <c r="H2198" i="9"/>
  <c r="H2199" i="9"/>
  <c r="H2200" i="9"/>
  <c r="H2201" i="9"/>
  <c r="H2202" i="9"/>
  <c r="H2203" i="9"/>
  <c r="H2204" i="9"/>
  <c r="H2205" i="9"/>
  <c r="H2206" i="9"/>
  <c r="H2207" i="9"/>
  <c r="H2208" i="9"/>
  <c r="H2209" i="9"/>
  <c r="H2210" i="9"/>
  <c r="H2211" i="9"/>
  <c r="H2212" i="9"/>
  <c r="H2213" i="9"/>
  <c r="H2214" i="9"/>
  <c r="H2215" i="9"/>
  <c r="H2216" i="9"/>
  <c r="H2217" i="9"/>
  <c r="H2218" i="9"/>
  <c r="H2219" i="9"/>
  <c r="H2220" i="9"/>
  <c r="H2221" i="9"/>
  <c r="H2222" i="9"/>
  <c r="H2223" i="9"/>
  <c r="H2224" i="9"/>
  <c r="H2225" i="9"/>
  <c r="H2226" i="9"/>
  <c r="H2227" i="9"/>
  <c r="H2228" i="9"/>
  <c r="H2229" i="9"/>
  <c r="H2230" i="9"/>
  <c r="H2231" i="9"/>
  <c r="H2232" i="9"/>
  <c r="H2233" i="9"/>
  <c r="H2234" i="9"/>
  <c r="H2235" i="9"/>
  <c r="H2236" i="9"/>
  <c r="H2237" i="9"/>
  <c r="H2238" i="9"/>
  <c r="H2239" i="9"/>
  <c r="H2240" i="9"/>
  <c r="H2241" i="9"/>
  <c r="H2242" i="9"/>
  <c r="H2243" i="9"/>
  <c r="H2244" i="9"/>
  <c r="H2245" i="9"/>
  <c r="H2246" i="9"/>
  <c r="H2247" i="9"/>
  <c r="H2248" i="9"/>
  <c r="H2249" i="9"/>
  <c r="H2250" i="9"/>
  <c r="H2251" i="9"/>
  <c r="H2252" i="9"/>
  <c r="H2253" i="9"/>
  <c r="H2254" i="9"/>
  <c r="H2255" i="9"/>
  <c r="H2256" i="9"/>
  <c r="H2257" i="9"/>
  <c r="H2258" i="9"/>
  <c r="H2259" i="9"/>
  <c r="H2260" i="9"/>
  <c r="H2261" i="9"/>
  <c r="H2262" i="9"/>
  <c r="H2263" i="9"/>
  <c r="H2264" i="9"/>
  <c r="H2265" i="9"/>
  <c r="H2266" i="9"/>
  <c r="H2267" i="9"/>
  <c r="H2268" i="9"/>
  <c r="H2269" i="9"/>
  <c r="H2270" i="9"/>
  <c r="H2271" i="9"/>
  <c r="H2272" i="9"/>
  <c r="H2273" i="9"/>
  <c r="H2274" i="9"/>
  <c r="H2275" i="9"/>
  <c r="H2276" i="9"/>
  <c r="H2277" i="9"/>
  <c r="H2278" i="9"/>
  <c r="H2279" i="9"/>
  <c r="H2280" i="9"/>
  <c r="H2281" i="9"/>
  <c r="H2282" i="9"/>
  <c r="H2283" i="9"/>
  <c r="H2284" i="9"/>
  <c r="H2285" i="9"/>
  <c r="H2286" i="9"/>
  <c r="H2287" i="9"/>
  <c r="H2288" i="9"/>
  <c r="H2289" i="9"/>
  <c r="H2290" i="9"/>
  <c r="H2291" i="9"/>
  <c r="H2292" i="9"/>
  <c r="H2293" i="9"/>
  <c r="H2294" i="9"/>
  <c r="H2295" i="9"/>
  <c r="H2296" i="9"/>
  <c r="H2297" i="9"/>
  <c r="H2298" i="9"/>
  <c r="H2299" i="9"/>
  <c r="H2300" i="9"/>
  <c r="H2301" i="9"/>
  <c r="H2302" i="9"/>
  <c r="H2303" i="9"/>
  <c r="H2304" i="9"/>
  <c r="H2305" i="9"/>
  <c r="H2306" i="9"/>
  <c r="H2307" i="9"/>
  <c r="H2308" i="9"/>
  <c r="H2309" i="9"/>
  <c r="H2310" i="9"/>
  <c r="H2311" i="9"/>
  <c r="H2312" i="9"/>
  <c r="H2313" i="9"/>
  <c r="H2314" i="9"/>
  <c r="H2315" i="9"/>
  <c r="H2316" i="9"/>
  <c r="H2317" i="9"/>
  <c r="H2318" i="9"/>
  <c r="H2319" i="9"/>
  <c r="H2320" i="9"/>
  <c r="H2321" i="9"/>
  <c r="H2322" i="9"/>
  <c r="H2323" i="9"/>
  <c r="H2324" i="9"/>
  <c r="H2325" i="9"/>
  <c r="H2326" i="9"/>
  <c r="H2327" i="9"/>
  <c r="H2328" i="9"/>
  <c r="H2329" i="9"/>
  <c r="H2330" i="9"/>
  <c r="H2331" i="9"/>
  <c r="H2332" i="9"/>
  <c r="H2333" i="9"/>
  <c r="H2334" i="9"/>
  <c r="H2335" i="9"/>
  <c r="H2336" i="9"/>
  <c r="H2337" i="9"/>
  <c r="H2338" i="9"/>
  <c r="H2339" i="9"/>
  <c r="H2340" i="9"/>
  <c r="H2341" i="9"/>
  <c r="H2342" i="9"/>
  <c r="H2343" i="9"/>
  <c r="H2344" i="9"/>
  <c r="H2345" i="9"/>
  <c r="H2346" i="9"/>
  <c r="H2347" i="9"/>
  <c r="H2348" i="9"/>
  <c r="H2349" i="9"/>
  <c r="H2350" i="9"/>
  <c r="H2351" i="9"/>
  <c r="H2352" i="9"/>
  <c r="H2353" i="9"/>
  <c r="H2354" i="9"/>
  <c r="H2355" i="9"/>
  <c r="H2356" i="9"/>
  <c r="H2357" i="9"/>
  <c r="H2358" i="9"/>
  <c r="H2359" i="9"/>
  <c r="H2360" i="9"/>
  <c r="H2361" i="9"/>
  <c r="H2362" i="9"/>
  <c r="H2363" i="9"/>
  <c r="H2364" i="9"/>
  <c r="H2365" i="9"/>
  <c r="H2366" i="9"/>
  <c r="H2367" i="9"/>
  <c r="H2368" i="9"/>
  <c r="H2369" i="9"/>
  <c r="H2370" i="9"/>
  <c r="H2371" i="9"/>
  <c r="H2372" i="9"/>
  <c r="H2373" i="9"/>
  <c r="H2374" i="9"/>
  <c r="H2375" i="9"/>
  <c r="H2376" i="9"/>
  <c r="H2377" i="9"/>
  <c r="H2378" i="9"/>
  <c r="H2379" i="9"/>
  <c r="H2380" i="9"/>
  <c r="H2381" i="9"/>
  <c r="H2382" i="9"/>
  <c r="H2383" i="9"/>
  <c r="H2384" i="9"/>
  <c r="H2385" i="9"/>
  <c r="H2386" i="9"/>
  <c r="H2387" i="9"/>
  <c r="H2388" i="9"/>
  <c r="H2389" i="9"/>
  <c r="H2390" i="9"/>
  <c r="H2391" i="9"/>
  <c r="H2392" i="9"/>
  <c r="H2393" i="9"/>
  <c r="H2394" i="9"/>
  <c r="H2395" i="9"/>
  <c r="H2396" i="9"/>
  <c r="H2397" i="9"/>
  <c r="H2398" i="9"/>
  <c r="H2399" i="9"/>
  <c r="H2400" i="9"/>
  <c r="H2401" i="9"/>
  <c r="H2402" i="9"/>
  <c r="H2403" i="9"/>
  <c r="H2404" i="9"/>
  <c r="H2405" i="9"/>
  <c r="H2406" i="9"/>
  <c r="H2407" i="9"/>
  <c r="H2408" i="9"/>
  <c r="H2409" i="9"/>
  <c r="H2410" i="9"/>
  <c r="H2411" i="9"/>
  <c r="H2412" i="9"/>
  <c r="H2413" i="9"/>
  <c r="H2414" i="9"/>
  <c r="H2415" i="9"/>
  <c r="H2416" i="9"/>
  <c r="H2417" i="9"/>
  <c r="H2418" i="9"/>
  <c r="H2419" i="9"/>
  <c r="H2420" i="9"/>
  <c r="H2421" i="9"/>
  <c r="H2422" i="9"/>
  <c r="H2423" i="9"/>
  <c r="H2424" i="9"/>
  <c r="H2425" i="9"/>
  <c r="H2426" i="9"/>
  <c r="H2427" i="9"/>
  <c r="H2428" i="9"/>
  <c r="H2429" i="9"/>
  <c r="H2430" i="9"/>
  <c r="H2431" i="9"/>
  <c r="H2432" i="9"/>
  <c r="H2433" i="9"/>
  <c r="H2434" i="9"/>
  <c r="H2435" i="9"/>
  <c r="H2436" i="9"/>
  <c r="H2437" i="9"/>
  <c r="H2438" i="9"/>
  <c r="H2439" i="9"/>
  <c r="H2440" i="9"/>
  <c r="H2441" i="9"/>
  <c r="H2442" i="9"/>
  <c r="H2443" i="9"/>
  <c r="H2444" i="9"/>
  <c r="H2445" i="9"/>
  <c r="H2446" i="9"/>
  <c r="H2447" i="9"/>
  <c r="H2448" i="9"/>
  <c r="H2449" i="9"/>
  <c r="H2450" i="9"/>
  <c r="H2451" i="9"/>
  <c r="H2452" i="9"/>
  <c r="H2453" i="9"/>
  <c r="H2454" i="9"/>
  <c r="H2455" i="9"/>
  <c r="H2456" i="9"/>
  <c r="H2457" i="9"/>
  <c r="H2458" i="9"/>
  <c r="H2459" i="9"/>
  <c r="H2460" i="9"/>
  <c r="H2461" i="9"/>
  <c r="H2462" i="9"/>
  <c r="H2463" i="9"/>
  <c r="H2464" i="9"/>
  <c r="H2465" i="9"/>
  <c r="H2466" i="9"/>
  <c r="H2467" i="9"/>
  <c r="H2468" i="9"/>
  <c r="H2469" i="9"/>
  <c r="H2470" i="9"/>
  <c r="H2471" i="9"/>
  <c r="H2472" i="9"/>
  <c r="H2473" i="9"/>
  <c r="H2474" i="9"/>
  <c r="H2475" i="9"/>
  <c r="H2476" i="9"/>
  <c r="H2477" i="9"/>
  <c r="H2478" i="9"/>
  <c r="H2479" i="9"/>
  <c r="H2480" i="9"/>
  <c r="H2481" i="9"/>
  <c r="H2482" i="9"/>
  <c r="H2483" i="9"/>
  <c r="H2484" i="9"/>
  <c r="H2485" i="9"/>
  <c r="H2486" i="9"/>
  <c r="H2487" i="9"/>
  <c r="H2488" i="9"/>
  <c r="H2489" i="9"/>
  <c r="H2490" i="9"/>
  <c r="H2491" i="9"/>
  <c r="H2492" i="9"/>
  <c r="H2493" i="9"/>
  <c r="H2494" i="9"/>
  <c r="H2495" i="9"/>
  <c r="H2496" i="9"/>
  <c r="H2497" i="9"/>
  <c r="H2498" i="9"/>
  <c r="H2499" i="9"/>
  <c r="H2500" i="9"/>
  <c r="H2501" i="9"/>
  <c r="H2502" i="9"/>
  <c r="H2503" i="9"/>
  <c r="H2504" i="9"/>
  <c r="H2505" i="9"/>
  <c r="H2506" i="9"/>
  <c r="H2507" i="9"/>
  <c r="H2508" i="9"/>
  <c r="H2509" i="9"/>
  <c r="H2510" i="9"/>
  <c r="H2511" i="9"/>
  <c r="H2512" i="9"/>
  <c r="H2513" i="9"/>
  <c r="H2514" i="9"/>
  <c r="H2515" i="9"/>
  <c r="H2516" i="9"/>
  <c r="H2517" i="9"/>
  <c r="H2518" i="9"/>
  <c r="H2519" i="9"/>
  <c r="H2520" i="9"/>
  <c r="H2521" i="9"/>
  <c r="H2522" i="9"/>
  <c r="H2523" i="9"/>
  <c r="H2524" i="9"/>
  <c r="H2525" i="9"/>
  <c r="H2526" i="9"/>
  <c r="H2527" i="9"/>
  <c r="H2528" i="9"/>
  <c r="H2529" i="9"/>
  <c r="H2530" i="9"/>
  <c r="H2531" i="9"/>
  <c r="H2532" i="9"/>
  <c r="H2533" i="9"/>
  <c r="H2534" i="9"/>
  <c r="H2535" i="9"/>
  <c r="H2536" i="9"/>
  <c r="H2537" i="9"/>
  <c r="H2538" i="9"/>
  <c r="H2539" i="9"/>
  <c r="H2540" i="9"/>
  <c r="H2541" i="9"/>
  <c r="H2542" i="9"/>
  <c r="H2543" i="9"/>
  <c r="H2544" i="9"/>
  <c r="H2545" i="9"/>
  <c r="H2546" i="9"/>
  <c r="H2547" i="9"/>
  <c r="H2548" i="9"/>
  <c r="H2549" i="9"/>
  <c r="H2550" i="9"/>
  <c r="H2551" i="9"/>
  <c r="H2552" i="9"/>
  <c r="H2553" i="9"/>
  <c r="H2554" i="9"/>
  <c r="H2555" i="9"/>
  <c r="H2556" i="9"/>
  <c r="H2557" i="9"/>
  <c r="H2558" i="9"/>
  <c r="H2559" i="9"/>
  <c r="H2560" i="9"/>
  <c r="H2561" i="9"/>
  <c r="H2562" i="9"/>
  <c r="H2563" i="9"/>
  <c r="H2564" i="9"/>
  <c r="H2565" i="9"/>
  <c r="H2566" i="9"/>
  <c r="H2567" i="9"/>
  <c r="H2568" i="9"/>
  <c r="H2569" i="9"/>
  <c r="H2570" i="9"/>
  <c r="H2571" i="9"/>
  <c r="H2572" i="9"/>
  <c r="H2573" i="9"/>
  <c r="H2574" i="9"/>
  <c r="H2575" i="9"/>
  <c r="H2576" i="9"/>
  <c r="H2577" i="9"/>
  <c r="H2578" i="9"/>
  <c r="H2579" i="9"/>
  <c r="H2580" i="9"/>
  <c r="H2581" i="9"/>
  <c r="H2582" i="9"/>
  <c r="H2583" i="9"/>
  <c r="H2584" i="9"/>
  <c r="H2585" i="9"/>
  <c r="H2586" i="9"/>
  <c r="H2587" i="9"/>
  <c r="H2588" i="9"/>
  <c r="H2589" i="9"/>
  <c r="H2590" i="9"/>
  <c r="H2591" i="9"/>
  <c r="H2592" i="9"/>
  <c r="H2593" i="9"/>
  <c r="H2594" i="9"/>
  <c r="H2595" i="9"/>
  <c r="H2596" i="9"/>
  <c r="H2597" i="9"/>
  <c r="H2598" i="9"/>
  <c r="H2599" i="9"/>
  <c r="H2600" i="9"/>
  <c r="H2601" i="9"/>
  <c r="H2602" i="9"/>
  <c r="H2603" i="9"/>
  <c r="H2604" i="9"/>
  <c r="H2605" i="9"/>
  <c r="H2606" i="9"/>
  <c r="H2607" i="9"/>
  <c r="H2608" i="9"/>
  <c r="H2609" i="9"/>
  <c r="H2610" i="9"/>
  <c r="H2611" i="9"/>
  <c r="H2612" i="9"/>
  <c r="H2613" i="9"/>
  <c r="H2614" i="9"/>
  <c r="H2615" i="9"/>
  <c r="H2616" i="9"/>
  <c r="H2617" i="9"/>
  <c r="H2618" i="9"/>
  <c r="H2619" i="9"/>
  <c r="H2620" i="9"/>
  <c r="H2621" i="9"/>
  <c r="H2622" i="9"/>
  <c r="H2623" i="9"/>
  <c r="H2624" i="9"/>
  <c r="H2625" i="9"/>
  <c r="H2626" i="9"/>
  <c r="H2627" i="9"/>
  <c r="H2628" i="9"/>
  <c r="H2629" i="9"/>
  <c r="H2630" i="9"/>
  <c r="H2631" i="9"/>
  <c r="H2632" i="9"/>
  <c r="H2633" i="9"/>
  <c r="H2634" i="9"/>
  <c r="H2635" i="9"/>
  <c r="H2636" i="9"/>
  <c r="H2637" i="9"/>
  <c r="H2638" i="9"/>
  <c r="H2639" i="9"/>
  <c r="H2640" i="9"/>
  <c r="H2641" i="9"/>
  <c r="H2642" i="9"/>
  <c r="H2643" i="9"/>
  <c r="H2644" i="9"/>
  <c r="H2645" i="9"/>
  <c r="H2646" i="9"/>
  <c r="H2647" i="9"/>
  <c r="H2648" i="9"/>
  <c r="H2649" i="9"/>
  <c r="H2650" i="9"/>
  <c r="H2651" i="9"/>
  <c r="H2652" i="9"/>
  <c r="H2653" i="9"/>
  <c r="H2654" i="9"/>
  <c r="H2655" i="9"/>
  <c r="H2656" i="9"/>
  <c r="H2657" i="9"/>
  <c r="H2658" i="9"/>
  <c r="H2659" i="9"/>
  <c r="H2660" i="9"/>
  <c r="H2661" i="9"/>
  <c r="H2662" i="9"/>
  <c r="H2663" i="9"/>
  <c r="H2664" i="9"/>
  <c r="H2665" i="9"/>
  <c r="H2666" i="9"/>
  <c r="H2667" i="9"/>
  <c r="H2668" i="9"/>
  <c r="H2669" i="9"/>
  <c r="H2670" i="9"/>
  <c r="H2671" i="9"/>
  <c r="H2672" i="9"/>
  <c r="H2673" i="9"/>
  <c r="H2674" i="9"/>
  <c r="H2675" i="9"/>
  <c r="H2676" i="9"/>
  <c r="H2677" i="9"/>
  <c r="H2678" i="9"/>
  <c r="H2679" i="9"/>
  <c r="H2680" i="9"/>
  <c r="H2681" i="9"/>
  <c r="H2682" i="9"/>
  <c r="H2683" i="9"/>
  <c r="H2684" i="9"/>
  <c r="H2685" i="9"/>
  <c r="H2686" i="9"/>
  <c r="H2687" i="9"/>
  <c r="H2688" i="9"/>
  <c r="H2689" i="9"/>
  <c r="H2690" i="9"/>
  <c r="H2691" i="9"/>
  <c r="H2692" i="9"/>
  <c r="H2693" i="9"/>
  <c r="H2694" i="9"/>
  <c r="H2695" i="9"/>
  <c r="H2696" i="9"/>
  <c r="H2697" i="9"/>
  <c r="H2698" i="9"/>
  <c r="H2699" i="9"/>
  <c r="H2700" i="9"/>
  <c r="H2701" i="9"/>
  <c r="H2702" i="9"/>
  <c r="H2703" i="9"/>
  <c r="H2704" i="9"/>
  <c r="H2705" i="9"/>
  <c r="H2706" i="9"/>
  <c r="H2707" i="9"/>
  <c r="H2708" i="9"/>
  <c r="H2709" i="9"/>
  <c r="H2710" i="9"/>
  <c r="H2711" i="9"/>
  <c r="H2712" i="9"/>
  <c r="H2713" i="9"/>
  <c r="H2714" i="9"/>
  <c r="H2715" i="9"/>
  <c r="H2716" i="9"/>
  <c r="H2717" i="9"/>
  <c r="H2718" i="9"/>
  <c r="H2719" i="9"/>
  <c r="H2720" i="9"/>
  <c r="H2721" i="9"/>
  <c r="H2722" i="9"/>
  <c r="H2723" i="9"/>
  <c r="H2724" i="9"/>
  <c r="H2725" i="9"/>
  <c r="H2726" i="9"/>
  <c r="H2727" i="9"/>
  <c r="H2728" i="9"/>
  <c r="H2729" i="9"/>
  <c r="H2730" i="9"/>
  <c r="H2731" i="9"/>
  <c r="H2732" i="9"/>
  <c r="H2733" i="9"/>
  <c r="H2734" i="9"/>
  <c r="H2735" i="9"/>
  <c r="H2736" i="9"/>
  <c r="H2737" i="9"/>
  <c r="H2738" i="9"/>
  <c r="H2739" i="9"/>
  <c r="H2740" i="9"/>
  <c r="H2741" i="9"/>
  <c r="H2742" i="9"/>
  <c r="H2743" i="9"/>
  <c r="H2744" i="9"/>
  <c r="H2745" i="9"/>
  <c r="H2746" i="9"/>
  <c r="H2747" i="9"/>
  <c r="H2748" i="9"/>
  <c r="H2749" i="9"/>
  <c r="H2750" i="9"/>
  <c r="H2751" i="9"/>
  <c r="H2752" i="9"/>
  <c r="H2753" i="9"/>
  <c r="H2754" i="9"/>
  <c r="H2755" i="9"/>
  <c r="H2756" i="9"/>
  <c r="H2757" i="9"/>
  <c r="H2758" i="9"/>
  <c r="H2759" i="9"/>
  <c r="H2760" i="9"/>
  <c r="H2761" i="9"/>
  <c r="H2762" i="9"/>
  <c r="H2763" i="9"/>
  <c r="H2764" i="9"/>
  <c r="H2765" i="9"/>
  <c r="H2766" i="9"/>
  <c r="H2767" i="9"/>
  <c r="H2768" i="9"/>
  <c r="H2769" i="9"/>
  <c r="H2770" i="9"/>
  <c r="H2771" i="9"/>
  <c r="H2772" i="9"/>
  <c r="H2773" i="9"/>
  <c r="H2774" i="9"/>
  <c r="H2775" i="9"/>
  <c r="H2776" i="9"/>
  <c r="H2777" i="9"/>
  <c r="H2778" i="9"/>
  <c r="H2779" i="9"/>
  <c r="H2780" i="9"/>
  <c r="H2781" i="9"/>
  <c r="H2782" i="9"/>
  <c r="H2783" i="9"/>
  <c r="H2784" i="9"/>
  <c r="H2785" i="9"/>
  <c r="H2786" i="9"/>
  <c r="H2787" i="9"/>
  <c r="H2788" i="9"/>
  <c r="H2789" i="9"/>
  <c r="H2790" i="9"/>
  <c r="H2791" i="9"/>
  <c r="H2792" i="9"/>
  <c r="H2793" i="9"/>
  <c r="H2794" i="9"/>
  <c r="H2795" i="9"/>
  <c r="H2796" i="9"/>
  <c r="H2797" i="9"/>
  <c r="H2798" i="9"/>
  <c r="H2799" i="9"/>
  <c r="H2800" i="9"/>
  <c r="H2801" i="9"/>
  <c r="H2802" i="9"/>
  <c r="H2803" i="9"/>
  <c r="H2804" i="9"/>
  <c r="H2805" i="9"/>
  <c r="H2806" i="9"/>
  <c r="H2807" i="9"/>
  <c r="H2808" i="9"/>
  <c r="H2809" i="9"/>
  <c r="H2810" i="9"/>
  <c r="H2811" i="9"/>
  <c r="H2812" i="9"/>
  <c r="H2813" i="9"/>
  <c r="H2814" i="9"/>
  <c r="H2815" i="9"/>
  <c r="H2816" i="9"/>
  <c r="H2817" i="9"/>
  <c r="H2818" i="9"/>
  <c r="H2819" i="9"/>
  <c r="H2820" i="9"/>
  <c r="H2821" i="9"/>
  <c r="H2822" i="9"/>
  <c r="H2823" i="9"/>
  <c r="H2824" i="9"/>
  <c r="H2825" i="9"/>
  <c r="H2826" i="9"/>
  <c r="H2827" i="9"/>
  <c r="H2828" i="9"/>
  <c r="H2829" i="9"/>
  <c r="H2830" i="9"/>
  <c r="H2831" i="9"/>
  <c r="H2832" i="9"/>
  <c r="H2833" i="9"/>
  <c r="H2834" i="9"/>
  <c r="H2835" i="9"/>
  <c r="H2836" i="9"/>
  <c r="H2837" i="9"/>
  <c r="H2838" i="9"/>
  <c r="H2839" i="9"/>
  <c r="H2840" i="9"/>
  <c r="H2841" i="9"/>
  <c r="H2842" i="9"/>
  <c r="H2843" i="9"/>
  <c r="H2844" i="9"/>
  <c r="H2845" i="9"/>
  <c r="H2846" i="9"/>
  <c r="H2847" i="9"/>
  <c r="H2848" i="9"/>
  <c r="H2849" i="9"/>
  <c r="H2850" i="9"/>
  <c r="H2851" i="9"/>
  <c r="H2852" i="9"/>
  <c r="H2853" i="9"/>
  <c r="H2854" i="9"/>
  <c r="H2855" i="9"/>
  <c r="H2856" i="9"/>
  <c r="H2857" i="9"/>
  <c r="H2858" i="9"/>
  <c r="H2859" i="9"/>
  <c r="H2860" i="9"/>
  <c r="H2861" i="9"/>
  <c r="H2862" i="9"/>
  <c r="H2863" i="9"/>
  <c r="H2864" i="9"/>
  <c r="H2865" i="9"/>
  <c r="H2866" i="9"/>
  <c r="H2867" i="9"/>
  <c r="H2868" i="9"/>
  <c r="H2869" i="9"/>
  <c r="H2870" i="9"/>
  <c r="H2871" i="9"/>
  <c r="H2872" i="9"/>
  <c r="H2873" i="9"/>
  <c r="H2874" i="9"/>
  <c r="H2875" i="9"/>
  <c r="H2876" i="9"/>
  <c r="H2877" i="9"/>
  <c r="H2878" i="9"/>
  <c r="H2879" i="9"/>
  <c r="H2880" i="9"/>
  <c r="H2881" i="9"/>
  <c r="H2882" i="9"/>
  <c r="H2883" i="9"/>
  <c r="H2884" i="9"/>
  <c r="H2885" i="9"/>
  <c r="H2886" i="9"/>
  <c r="H2887" i="9"/>
  <c r="H2888" i="9"/>
  <c r="H2889" i="9"/>
  <c r="H2890" i="9"/>
  <c r="H2891" i="9"/>
  <c r="H2892" i="9"/>
  <c r="H2893" i="9"/>
  <c r="H2894" i="9"/>
  <c r="H2895" i="9"/>
  <c r="H2896" i="9"/>
  <c r="H2897" i="9"/>
  <c r="H2898" i="9"/>
  <c r="H2899" i="9"/>
  <c r="H2900" i="9"/>
  <c r="H2901" i="9"/>
  <c r="H2902" i="9"/>
  <c r="H2903" i="9"/>
  <c r="H2904" i="9"/>
  <c r="H2905" i="9"/>
  <c r="H2906" i="9"/>
  <c r="H2907" i="9"/>
  <c r="H2908" i="9"/>
  <c r="H2909" i="9"/>
  <c r="H2910" i="9"/>
  <c r="H2911" i="9"/>
  <c r="H2912" i="9"/>
  <c r="H2913" i="9"/>
  <c r="H2914" i="9"/>
  <c r="H2915" i="9"/>
  <c r="H2916" i="9"/>
  <c r="H2917" i="9"/>
  <c r="H2918" i="9"/>
  <c r="H2919" i="9"/>
  <c r="H2920" i="9"/>
  <c r="H2921" i="9"/>
  <c r="H2922" i="9"/>
  <c r="H2923" i="9"/>
  <c r="H2924" i="9"/>
  <c r="H2925" i="9"/>
  <c r="H2926" i="9"/>
  <c r="H2927" i="9"/>
  <c r="H2928" i="9"/>
  <c r="H2929" i="9"/>
  <c r="H2930" i="9"/>
  <c r="H2931" i="9"/>
  <c r="H2932" i="9"/>
  <c r="H2933" i="9"/>
  <c r="H2934" i="9"/>
  <c r="H2935" i="9"/>
  <c r="H2936" i="9"/>
  <c r="H2937" i="9"/>
  <c r="H2938" i="9"/>
  <c r="H2939" i="9"/>
  <c r="H2940" i="9"/>
  <c r="H2941" i="9"/>
  <c r="H2942" i="9"/>
  <c r="H2943" i="9"/>
  <c r="H2944" i="9"/>
  <c r="H2945" i="9"/>
  <c r="H2946" i="9"/>
  <c r="H2947" i="9"/>
  <c r="H2948" i="9"/>
  <c r="H2949" i="9"/>
  <c r="H2950" i="9"/>
  <c r="H2951" i="9"/>
  <c r="H2952" i="9"/>
  <c r="H2953" i="9"/>
  <c r="H2954" i="9"/>
  <c r="H2955" i="9"/>
  <c r="H2956" i="9"/>
  <c r="H2957" i="9"/>
  <c r="H2958" i="9"/>
  <c r="H2959" i="9"/>
  <c r="H2960" i="9"/>
  <c r="H2961" i="9"/>
  <c r="H2962" i="9"/>
  <c r="H2963" i="9"/>
  <c r="H2964" i="9"/>
  <c r="H2965" i="9"/>
  <c r="H2966" i="9"/>
  <c r="H2967" i="9"/>
  <c r="H2968" i="9"/>
  <c r="H2969" i="9"/>
  <c r="H2970" i="9"/>
  <c r="H2971" i="9"/>
  <c r="H2972" i="9"/>
  <c r="H2973" i="9"/>
  <c r="H2974" i="9"/>
  <c r="H2975" i="9"/>
  <c r="H2976" i="9"/>
  <c r="H2977" i="9"/>
  <c r="H2978" i="9"/>
  <c r="H2979" i="9"/>
  <c r="H2980" i="9"/>
  <c r="H2981" i="9"/>
  <c r="H2982" i="9"/>
  <c r="H2983" i="9"/>
  <c r="H2984" i="9"/>
  <c r="H2985" i="9"/>
  <c r="H2986" i="9"/>
  <c r="H2987" i="9"/>
  <c r="H2988" i="9"/>
  <c r="H2989" i="9"/>
  <c r="H2990" i="9"/>
  <c r="H2991" i="9"/>
  <c r="H2992" i="9"/>
  <c r="H2993" i="9"/>
  <c r="H2994" i="9"/>
  <c r="H2995" i="9"/>
  <c r="H2996" i="9"/>
  <c r="H2997" i="9"/>
  <c r="H2998" i="9"/>
  <c r="H2999" i="9"/>
  <c r="H3000" i="9"/>
  <c r="H3001" i="9"/>
  <c r="H3002" i="9"/>
  <c r="H3003" i="9"/>
  <c r="H3004" i="9"/>
  <c r="H3005" i="9"/>
  <c r="H3006" i="9"/>
  <c r="H3007" i="9"/>
  <c r="H3008" i="9"/>
  <c r="H3009" i="9"/>
  <c r="H3010" i="9"/>
  <c r="H3011" i="9"/>
  <c r="H3012" i="9"/>
  <c r="H3013" i="9"/>
  <c r="H3014" i="9"/>
  <c r="H3015" i="9"/>
  <c r="H3016" i="9"/>
  <c r="H3017" i="9"/>
  <c r="H3018" i="9"/>
  <c r="H3019" i="9"/>
  <c r="H3020" i="9"/>
  <c r="H3021" i="9"/>
  <c r="H3022" i="9"/>
  <c r="H3023" i="9"/>
  <c r="H3024" i="9"/>
  <c r="H3025" i="9"/>
  <c r="H3026" i="9"/>
  <c r="H3027" i="9"/>
  <c r="H3028" i="9"/>
  <c r="H3029" i="9"/>
  <c r="H3030" i="9"/>
  <c r="H3031" i="9"/>
  <c r="H3032" i="9"/>
  <c r="H3033" i="9"/>
  <c r="H3034" i="9"/>
  <c r="H3035" i="9"/>
  <c r="H3036" i="9"/>
  <c r="H3037" i="9"/>
  <c r="H3038" i="9"/>
  <c r="H3039" i="9"/>
  <c r="H3040" i="9"/>
  <c r="H3041" i="9"/>
  <c r="H3042" i="9"/>
  <c r="H3043" i="9"/>
  <c r="H3044" i="9"/>
  <c r="H3045" i="9"/>
  <c r="H3046" i="9"/>
  <c r="H3047" i="9"/>
  <c r="H3048" i="9"/>
  <c r="H3049" i="9"/>
  <c r="H3050" i="9"/>
  <c r="H3051" i="9"/>
  <c r="H3052" i="9"/>
  <c r="H3053" i="9"/>
  <c r="H3054" i="9"/>
  <c r="H3055" i="9"/>
  <c r="H3056" i="9"/>
  <c r="H3057" i="9"/>
  <c r="H3058" i="9"/>
  <c r="H3059" i="9"/>
  <c r="H3060" i="9"/>
  <c r="H3061" i="9"/>
  <c r="H3062" i="9"/>
  <c r="H3063" i="9"/>
  <c r="H3064" i="9"/>
  <c r="H3065" i="9"/>
  <c r="H3066" i="9"/>
  <c r="H3067" i="9"/>
  <c r="H3068" i="9"/>
  <c r="H3069" i="9"/>
  <c r="H3070" i="9"/>
  <c r="H3071" i="9"/>
  <c r="H3072" i="9"/>
  <c r="H3073" i="9"/>
  <c r="H3074" i="9"/>
  <c r="H3075" i="9"/>
  <c r="H3076" i="9"/>
  <c r="H3077" i="9"/>
  <c r="H3078" i="9"/>
  <c r="H3079" i="9"/>
  <c r="H3080" i="9"/>
  <c r="H3081" i="9"/>
  <c r="H3082" i="9"/>
  <c r="H3083" i="9"/>
  <c r="H3084" i="9"/>
  <c r="H3085" i="9"/>
  <c r="H3086" i="9"/>
  <c r="H3087" i="9"/>
  <c r="H3088" i="9"/>
  <c r="H3089" i="9"/>
  <c r="H3090" i="9"/>
  <c r="H3091" i="9"/>
  <c r="H3092" i="9"/>
  <c r="H3093" i="9"/>
  <c r="H3094" i="9"/>
  <c r="H3095" i="9"/>
  <c r="H3096" i="9"/>
  <c r="H3097" i="9"/>
  <c r="H3098" i="9"/>
  <c r="H3099" i="9"/>
  <c r="H3100" i="9"/>
  <c r="H3101" i="9"/>
  <c r="H3102" i="9"/>
  <c r="H3103" i="9"/>
  <c r="H3104" i="9"/>
  <c r="H3105" i="9"/>
  <c r="H3106" i="9"/>
  <c r="H3107" i="9"/>
  <c r="H3108" i="9"/>
  <c r="H3109" i="9"/>
  <c r="H3110" i="9"/>
  <c r="H3111" i="9"/>
  <c r="H3112" i="9"/>
  <c r="H3113" i="9"/>
  <c r="H3114" i="9"/>
  <c r="H3115" i="9"/>
  <c r="H3116" i="9"/>
  <c r="H3117" i="9"/>
  <c r="H3118" i="9"/>
  <c r="H3119" i="9"/>
  <c r="H3120" i="9"/>
  <c r="H3121" i="9"/>
  <c r="H3122" i="9"/>
  <c r="H3123" i="9"/>
  <c r="H3124" i="9"/>
  <c r="H3125" i="9"/>
  <c r="H3126" i="9"/>
  <c r="H3127" i="9"/>
  <c r="H3128" i="9"/>
  <c r="H3129" i="9"/>
  <c r="H3130" i="9"/>
  <c r="H3131" i="9"/>
  <c r="H3132" i="9"/>
  <c r="H3133" i="9"/>
  <c r="H3134" i="9"/>
  <c r="H3135" i="9"/>
  <c r="H3136" i="9"/>
  <c r="H3137" i="9"/>
  <c r="H3138" i="9"/>
  <c r="H3139" i="9"/>
  <c r="H3140" i="9"/>
  <c r="H3141" i="9"/>
  <c r="H3142" i="9"/>
  <c r="H3143" i="9"/>
  <c r="H3144" i="9"/>
  <c r="H3145" i="9"/>
  <c r="H3146" i="9"/>
  <c r="H3147" i="9"/>
  <c r="H3148" i="9"/>
  <c r="H3149" i="9"/>
  <c r="H3150" i="9"/>
  <c r="H3151" i="9"/>
  <c r="H3152" i="9"/>
  <c r="H3153" i="9"/>
  <c r="H3154" i="9"/>
  <c r="H3155" i="9"/>
  <c r="H3156" i="9"/>
  <c r="H3157" i="9"/>
  <c r="H3158" i="9"/>
  <c r="H3159" i="9"/>
  <c r="H3160" i="9"/>
  <c r="H3161" i="9"/>
  <c r="H3162" i="9"/>
  <c r="H3163" i="9"/>
  <c r="H3164" i="9"/>
  <c r="H3165" i="9"/>
  <c r="H3166" i="9"/>
  <c r="H3167" i="9"/>
  <c r="H3168" i="9"/>
  <c r="H3169" i="9"/>
  <c r="H3170" i="9"/>
  <c r="H3171" i="9"/>
  <c r="H3172" i="9"/>
  <c r="H3173" i="9"/>
  <c r="H3174" i="9"/>
  <c r="H3175" i="9"/>
  <c r="H3176" i="9"/>
  <c r="H3177" i="9"/>
  <c r="H3178" i="9"/>
  <c r="H3179" i="9"/>
  <c r="H3180" i="9"/>
  <c r="H3181" i="9"/>
  <c r="H3182" i="9"/>
  <c r="H3183" i="9"/>
  <c r="H3184" i="9"/>
  <c r="H3185" i="9"/>
  <c r="H3186" i="9"/>
  <c r="H3187" i="9"/>
  <c r="H3188" i="9"/>
  <c r="H3189" i="9"/>
  <c r="H3190" i="9"/>
  <c r="H3191" i="9"/>
  <c r="H3192" i="9"/>
  <c r="H3193" i="9"/>
  <c r="H3194" i="9"/>
  <c r="H3195" i="9"/>
  <c r="H3196" i="9"/>
  <c r="H3197" i="9"/>
  <c r="H3198" i="9"/>
  <c r="H3199" i="9"/>
  <c r="H3200" i="9"/>
  <c r="H3201" i="9"/>
  <c r="H3202" i="9"/>
  <c r="H3203" i="9"/>
  <c r="H3204" i="9"/>
  <c r="H3205" i="9"/>
  <c r="H3206" i="9"/>
  <c r="H3207" i="9"/>
  <c r="H3208" i="9"/>
  <c r="H3209" i="9"/>
  <c r="H3210" i="9"/>
  <c r="H3211" i="9"/>
  <c r="H3212" i="9"/>
  <c r="H3213" i="9"/>
  <c r="H3214" i="9"/>
  <c r="H3215" i="9"/>
  <c r="H3216" i="9"/>
  <c r="H3217" i="9"/>
  <c r="H3218" i="9"/>
  <c r="H3219" i="9"/>
  <c r="H3220" i="9"/>
  <c r="H3221" i="9"/>
  <c r="H3222" i="9"/>
  <c r="H3223" i="9"/>
  <c r="H3224" i="9"/>
  <c r="H3225" i="9"/>
  <c r="H3226" i="9"/>
  <c r="H3227" i="9"/>
  <c r="H3228" i="9"/>
  <c r="H3229" i="9"/>
  <c r="H3230" i="9"/>
  <c r="H3231" i="9"/>
  <c r="H3232" i="9"/>
  <c r="H3233" i="9"/>
  <c r="H3234" i="9"/>
  <c r="H3235" i="9"/>
  <c r="H3236" i="9"/>
  <c r="H3237" i="9"/>
  <c r="H3238" i="9"/>
  <c r="H3239" i="9"/>
  <c r="H3240" i="9"/>
  <c r="H3241" i="9"/>
  <c r="H3242" i="9"/>
  <c r="H3243" i="9"/>
  <c r="H3244" i="9"/>
  <c r="H3245" i="9"/>
  <c r="H3246" i="9"/>
  <c r="H3247" i="9"/>
  <c r="H3248" i="9"/>
  <c r="H3249" i="9"/>
  <c r="H3250" i="9"/>
  <c r="H3251" i="9"/>
  <c r="H3252" i="9"/>
  <c r="H3253" i="9"/>
  <c r="H3254" i="9"/>
  <c r="H3255" i="9"/>
  <c r="H3256" i="9"/>
  <c r="H3257" i="9"/>
  <c r="H3258" i="9"/>
  <c r="H3259" i="9"/>
  <c r="H3260" i="9"/>
  <c r="H3261" i="9"/>
  <c r="H3262" i="9"/>
  <c r="H3263" i="9"/>
  <c r="H3264" i="9"/>
  <c r="H3265" i="9"/>
  <c r="H3266" i="9"/>
  <c r="H3267" i="9"/>
  <c r="H3268" i="9"/>
  <c r="H3269" i="9"/>
  <c r="H3270" i="9"/>
  <c r="H3271" i="9"/>
  <c r="H3272" i="9"/>
  <c r="H3273" i="9"/>
  <c r="H3274" i="9"/>
  <c r="H3275" i="9"/>
  <c r="H3276" i="9"/>
  <c r="H3277" i="9"/>
  <c r="H3278" i="9"/>
  <c r="H3279" i="9"/>
  <c r="H3280" i="9"/>
  <c r="H3281" i="9"/>
  <c r="H3282" i="9"/>
  <c r="H3283" i="9"/>
  <c r="H3284" i="9"/>
  <c r="H3285" i="9"/>
  <c r="H3286" i="9"/>
  <c r="H3287" i="9"/>
  <c r="H3288" i="9"/>
  <c r="H3289" i="9"/>
  <c r="H3290" i="9"/>
  <c r="H3291" i="9"/>
  <c r="H3292" i="9"/>
  <c r="H3293" i="9"/>
  <c r="H3294" i="9"/>
  <c r="H3295" i="9"/>
  <c r="H3296" i="9"/>
  <c r="H3297" i="9"/>
  <c r="H3298" i="9"/>
  <c r="H3299" i="9"/>
  <c r="H3300" i="9"/>
  <c r="H3301" i="9"/>
  <c r="H3302" i="9"/>
  <c r="H3303" i="9"/>
  <c r="H3304" i="9"/>
  <c r="H3305" i="9"/>
  <c r="H3306" i="9"/>
  <c r="H3307" i="9"/>
  <c r="H3308" i="9"/>
  <c r="H3309" i="9"/>
  <c r="H3310" i="9"/>
  <c r="H3311" i="9"/>
  <c r="H3312" i="9"/>
  <c r="H3313" i="9"/>
  <c r="H3314" i="9"/>
  <c r="H3315" i="9"/>
  <c r="H3316" i="9"/>
  <c r="H3317" i="9"/>
  <c r="H3318" i="9"/>
  <c r="H3319" i="9"/>
  <c r="H3320" i="9"/>
  <c r="H3321" i="9"/>
  <c r="H3322" i="9"/>
  <c r="H3323" i="9"/>
  <c r="H3324" i="9"/>
  <c r="H3325" i="9"/>
  <c r="H3326" i="9"/>
  <c r="H3327" i="9"/>
  <c r="H3328" i="9"/>
  <c r="H3329" i="9"/>
  <c r="H3330" i="9"/>
  <c r="H3331" i="9"/>
  <c r="H3332" i="9"/>
  <c r="H3333" i="9"/>
  <c r="H3334" i="9"/>
  <c r="H3335" i="9"/>
  <c r="H3336" i="9"/>
  <c r="H3337" i="9"/>
  <c r="H3338" i="9"/>
  <c r="H3339" i="9"/>
  <c r="H3340" i="9"/>
  <c r="H3341" i="9"/>
  <c r="H3342" i="9"/>
  <c r="H3343" i="9"/>
  <c r="H3344" i="9"/>
  <c r="H3345" i="9"/>
  <c r="H3346" i="9"/>
  <c r="H3347" i="9"/>
  <c r="H3348" i="9"/>
  <c r="H3349" i="9"/>
  <c r="H3350" i="9"/>
  <c r="H3351" i="9"/>
  <c r="H3352" i="9"/>
  <c r="H3353" i="9"/>
  <c r="H3354" i="9"/>
  <c r="H3355" i="9"/>
  <c r="H3356" i="9"/>
  <c r="H3357" i="9"/>
  <c r="H3358" i="9"/>
  <c r="H3359" i="9"/>
  <c r="H3360" i="9"/>
  <c r="H3361" i="9"/>
  <c r="H3362" i="9"/>
  <c r="H3363" i="9"/>
  <c r="H3364" i="9"/>
  <c r="H3365" i="9"/>
  <c r="H3366" i="9"/>
  <c r="H3367" i="9"/>
  <c r="H3368" i="9"/>
  <c r="H3369" i="9"/>
  <c r="H3370" i="9"/>
  <c r="H3371" i="9"/>
  <c r="H3372" i="9"/>
  <c r="H3373" i="9"/>
  <c r="H3374" i="9"/>
  <c r="H3375" i="9"/>
  <c r="H3376" i="9"/>
  <c r="H3377" i="9"/>
  <c r="H3378" i="9"/>
  <c r="H3379" i="9"/>
  <c r="H3380" i="9"/>
  <c r="H3381" i="9"/>
  <c r="H3382" i="9"/>
  <c r="H3383" i="9"/>
  <c r="H3384" i="9"/>
  <c r="H3385" i="9"/>
  <c r="H3386" i="9"/>
  <c r="H3387" i="9"/>
  <c r="H3388" i="9"/>
  <c r="H3389" i="9"/>
  <c r="H3390" i="9"/>
  <c r="H3391" i="9"/>
  <c r="H3392" i="9"/>
  <c r="H3393" i="9"/>
  <c r="H3394" i="9"/>
  <c r="H3395" i="9"/>
  <c r="H3396" i="9"/>
  <c r="H3397" i="9"/>
  <c r="H3398" i="9"/>
  <c r="H3399" i="9"/>
  <c r="H3400" i="9"/>
  <c r="H3401" i="9"/>
  <c r="H3402" i="9"/>
  <c r="H3403" i="9"/>
  <c r="H3404" i="9"/>
  <c r="H3405" i="9"/>
  <c r="H3406" i="9"/>
  <c r="H3407" i="9"/>
  <c r="H3408" i="9"/>
  <c r="H3409" i="9"/>
  <c r="H3410" i="9"/>
  <c r="H3411" i="9"/>
  <c r="H3412" i="9"/>
  <c r="H3413" i="9"/>
  <c r="H3414" i="9"/>
  <c r="H3415" i="9"/>
  <c r="H3416" i="9"/>
  <c r="H3417" i="9"/>
  <c r="H3418" i="9"/>
  <c r="H3419" i="9"/>
  <c r="H3420" i="9"/>
  <c r="H3421" i="9"/>
  <c r="H3422" i="9"/>
  <c r="H3423" i="9"/>
  <c r="H3424" i="9"/>
  <c r="H3425" i="9"/>
  <c r="H3426" i="9"/>
  <c r="H3427" i="9"/>
  <c r="H3428" i="9"/>
  <c r="H3429" i="9"/>
  <c r="H3430" i="9"/>
  <c r="H3431" i="9"/>
  <c r="H3432" i="9"/>
  <c r="H3433" i="9"/>
  <c r="H3434" i="9"/>
  <c r="H3435" i="9"/>
  <c r="H3436" i="9"/>
  <c r="H3437" i="9"/>
  <c r="H3438" i="9"/>
  <c r="H3439" i="9"/>
  <c r="H3440" i="9"/>
  <c r="H3441" i="9"/>
  <c r="H3442" i="9"/>
  <c r="H3443" i="9"/>
  <c r="H3444" i="9"/>
  <c r="H3445" i="9"/>
  <c r="H3446" i="9"/>
  <c r="H3447" i="9"/>
  <c r="H3448" i="9"/>
  <c r="H3449" i="9"/>
  <c r="H3450" i="9"/>
  <c r="H3451" i="9"/>
  <c r="H3452" i="9"/>
  <c r="H3453" i="9"/>
  <c r="H3454" i="9"/>
  <c r="H3455" i="9"/>
  <c r="H3456" i="9"/>
  <c r="H3457" i="9"/>
  <c r="H3458" i="9"/>
  <c r="H3459" i="9"/>
  <c r="H3460" i="9"/>
  <c r="H3461" i="9"/>
  <c r="H3462" i="9"/>
  <c r="H3463" i="9"/>
  <c r="H3464" i="9"/>
  <c r="H3465" i="9"/>
  <c r="H3466" i="9"/>
  <c r="H3467" i="9"/>
  <c r="H3468" i="9"/>
  <c r="H3469" i="9"/>
  <c r="H3470" i="9"/>
  <c r="H3471" i="9"/>
  <c r="H3472" i="9"/>
  <c r="H3473" i="9"/>
  <c r="H3474" i="9"/>
  <c r="H3475" i="9"/>
  <c r="H3476" i="9"/>
  <c r="H3477" i="9"/>
  <c r="H3478" i="9"/>
  <c r="H3479" i="9"/>
  <c r="H3480" i="9"/>
  <c r="H3481" i="9"/>
  <c r="H3482" i="9"/>
  <c r="H3483" i="9"/>
  <c r="H3484" i="9"/>
  <c r="H3485" i="9"/>
  <c r="H3486" i="9"/>
  <c r="H3487" i="9"/>
  <c r="H3488" i="9"/>
  <c r="H3489" i="9"/>
  <c r="H3490" i="9"/>
  <c r="H3491" i="9"/>
  <c r="H3492" i="9"/>
  <c r="H3493" i="9"/>
  <c r="H3494" i="9"/>
  <c r="H3495" i="9"/>
  <c r="H3496" i="9"/>
  <c r="H3497" i="9"/>
  <c r="H3498" i="9"/>
  <c r="H3499" i="9"/>
  <c r="H3500" i="9"/>
  <c r="H3501" i="9"/>
  <c r="H3502" i="9"/>
  <c r="H3503" i="9"/>
  <c r="H3504" i="9"/>
  <c r="H3505" i="9"/>
  <c r="H3506" i="9"/>
  <c r="H3507" i="9"/>
  <c r="H3508" i="9"/>
  <c r="H3509" i="9"/>
  <c r="H3510" i="9"/>
  <c r="H3511" i="9"/>
  <c r="H3512" i="9"/>
  <c r="H3513" i="9"/>
  <c r="H3514" i="9"/>
  <c r="H3515" i="9"/>
  <c r="H3516" i="9"/>
  <c r="H3517" i="9"/>
  <c r="H3518" i="9"/>
  <c r="H3519" i="9"/>
  <c r="H3520" i="9"/>
  <c r="H3521" i="9"/>
  <c r="H3522" i="9"/>
  <c r="H3523" i="9"/>
  <c r="H3524" i="9"/>
  <c r="H3525" i="9"/>
  <c r="H3526" i="9"/>
  <c r="H3527" i="9"/>
  <c r="H3528" i="9"/>
  <c r="H3529" i="9"/>
  <c r="H3530" i="9"/>
  <c r="H3531" i="9"/>
  <c r="H3532" i="9"/>
  <c r="H3533" i="9"/>
  <c r="H3534" i="9"/>
  <c r="H3535" i="9"/>
  <c r="H3536" i="9"/>
  <c r="H3537" i="9"/>
  <c r="H3538" i="9"/>
  <c r="H3539" i="9"/>
  <c r="H3540" i="9"/>
  <c r="H3541" i="9"/>
  <c r="H3542" i="9"/>
  <c r="H3543" i="9"/>
  <c r="H3544" i="9"/>
  <c r="H3545" i="9"/>
  <c r="H3546" i="9"/>
  <c r="H3547" i="9"/>
  <c r="H3548" i="9"/>
  <c r="H3549" i="9"/>
  <c r="H3550" i="9"/>
  <c r="H3551" i="9"/>
  <c r="H3552" i="9"/>
  <c r="H3553" i="9"/>
  <c r="H3554" i="9"/>
  <c r="H3555" i="9"/>
  <c r="H3556" i="9"/>
  <c r="H3557" i="9"/>
  <c r="H3558" i="9"/>
  <c r="H3559" i="9"/>
  <c r="H3560" i="9"/>
  <c r="H3561" i="9"/>
  <c r="H3562" i="9"/>
  <c r="H3563" i="9"/>
  <c r="H3564" i="9"/>
  <c r="H3565" i="9"/>
  <c r="H3566" i="9"/>
  <c r="H3567" i="9"/>
  <c r="H3568" i="9"/>
  <c r="H3569" i="9"/>
  <c r="H3570" i="9"/>
  <c r="H3571" i="9"/>
  <c r="H3572" i="9"/>
  <c r="H3573" i="9"/>
  <c r="H3574" i="9"/>
  <c r="H3575" i="9"/>
  <c r="H3576" i="9"/>
  <c r="H3577" i="9"/>
  <c r="H3578" i="9"/>
  <c r="H3579" i="9"/>
  <c r="H3580" i="9"/>
  <c r="H3581" i="9"/>
  <c r="H3582" i="9"/>
  <c r="H3583" i="9"/>
  <c r="H3584" i="9"/>
  <c r="H3585" i="9"/>
  <c r="H3586" i="9"/>
  <c r="H3587" i="9"/>
  <c r="H3588" i="9"/>
  <c r="H3589" i="9"/>
  <c r="H3590" i="9"/>
  <c r="H3591" i="9"/>
  <c r="H3592" i="9"/>
  <c r="H3593" i="9"/>
  <c r="H3594" i="9"/>
  <c r="H3595" i="9"/>
  <c r="H3596" i="9"/>
  <c r="H3597" i="9"/>
  <c r="H3598" i="9"/>
  <c r="H3599" i="9"/>
  <c r="H3600" i="9"/>
  <c r="H3601" i="9"/>
  <c r="H3602" i="9"/>
  <c r="H3603" i="9"/>
  <c r="H3604" i="9"/>
  <c r="H3605" i="9"/>
  <c r="H3606" i="9"/>
  <c r="H3607" i="9"/>
  <c r="H3608" i="9"/>
  <c r="H3609" i="9"/>
  <c r="H3610" i="9"/>
  <c r="H3611" i="9"/>
  <c r="H3612" i="9"/>
  <c r="H3613" i="9"/>
  <c r="H3614" i="9"/>
  <c r="H3615" i="9"/>
  <c r="H3616" i="9"/>
  <c r="H3617" i="9"/>
  <c r="H3618" i="9"/>
  <c r="H3619" i="9"/>
  <c r="H3620" i="9"/>
  <c r="H3621" i="9"/>
  <c r="H3622" i="9"/>
  <c r="H3623" i="9"/>
  <c r="H3624" i="9"/>
  <c r="H3625" i="9"/>
  <c r="H3626" i="9"/>
  <c r="H3627" i="9"/>
  <c r="H3628" i="9"/>
  <c r="H3629" i="9"/>
  <c r="H3630" i="9"/>
  <c r="H3631" i="9"/>
  <c r="H3632" i="9"/>
  <c r="H3633" i="9"/>
  <c r="H3634" i="9"/>
  <c r="H3635" i="9"/>
  <c r="H3636" i="9"/>
  <c r="H3637" i="9"/>
  <c r="H3638" i="9"/>
  <c r="H3639" i="9"/>
  <c r="H3640" i="9"/>
  <c r="H3641" i="9"/>
  <c r="H3642" i="9"/>
  <c r="H3643" i="9"/>
  <c r="H3644" i="9"/>
  <c r="H3645" i="9"/>
  <c r="H3646" i="9"/>
  <c r="H3647" i="9"/>
  <c r="H3648" i="9"/>
  <c r="H3649" i="9"/>
  <c r="H3650" i="9"/>
  <c r="H3651" i="9"/>
  <c r="H3652" i="9"/>
  <c r="H3653" i="9"/>
  <c r="H3654" i="9"/>
  <c r="H3655" i="9"/>
  <c r="H3656" i="9"/>
  <c r="H3657" i="9"/>
  <c r="H3658" i="9"/>
  <c r="H3659" i="9"/>
  <c r="H3660" i="9"/>
  <c r="H3661" i="9"/>
  <c r="H3662" i="9"/>
  <c r="H3663" i="9"/>
  <c r="H3664" i="9"/>
  <c r="H3665" i="9"/>
  <c r="H3666" i="9"/>
  <c r="H3667" i="9"/>
  <c r="H3668" i="9"/>
  <c r="H3669" i="9"/>
  <c r="H3670" i="9"/>
  <c r="H3671" i="9"/>
  <c r="H3672" i="9"/>
  <c r="H3673" i="9"/>
  <c r="H3674" i="9"/>
  <c r="H3675" i="9"/>
  <c r="H3676" i="9"/>
  <c r="H3677" i="9"/>
  <c r="H3678" i="9"/>
  <c r="H3679" i="9"/>
  <c r="H3680" i="9"/>
  <c r="H3681" i="9"/>
  <c r="H3682" i="9"/>
  <c r="H3683" i="9"/>
  <c r="H3684" i="9"/>
  <c r="H3685" i="9"/>
  <c r="H3686" i="9"/>
  <c r="H3687" i="9"/>
  <c r="H3688" i="9"/>
  <c r="H3689" i="9"/>
  <c r="H3690" i="9"/>
  <c r="H3691" i="9"/>
  <c r="H3692" i="9"/>
  <c r="H3693" i="9"/>
  <c r="H3694" i="9"/>
  <c r="H3695" i="9"/>
  <c r="H3696" i="9"/>
  <c r="H3697" i="9"/>
  <c r="H3698" i="9"/>
  <c r="H3699" i="9"/>
  <c r="H3700" i="9"/>
  <c r="H3701" i="9"/>
  <c r="H3702" i="9"/>
  <c r="H3703" i="9"/>
  <c r="H3704" i="9"/>
  <c r="H3705" i="9"/>
  <c r="H3706" i="9"/>
  <c r="H3707" i="9"/>
  <c r="H3708" i="9"/>
  <c r="H3709" i="9"/>
  <c r="H3710" i="9"/>
  <c r="H3711" i="9"/>
  <c r="H3712" i="9"/>
  <c r="H3713" i="9"/>
  <c r="H3714" i="9"/>
  <c r="H3715" i="9"/>
  <c r="H3716" i="9"/>
  <c r="H3717" i="9"/>
  <c r="H3718" i="9"/>
  <c r="H3719" i="9"/>
  <c r="H3720" i="9"/>
  <c r="H3721" i="9"/>
  <c r="H3722" i="9"/>
  <c r="H3723" i="9"/>
  <c r="H3724" i="9"/>
  <c r="H3725" i="9"/>
  <c r="H3726" i="9"/>
  <c r="H3727" i="9"/>
  <c r="H3728" i="9"/>
  <c r="H3729" i="9"/>
  <c r="H3730" i="9"/>
  <c r="H3731" i="9"/>
  <c r="H3732" i="9"/>
  <c r="H3733" i="9"/>
  <c r="H3734" i="9"/>
  <c r="H3735" i="9"/>
  <c r="H3736" i="9"/>
  <c r="H3737" i="9"/>
  <c r="H3738" i="9"/>
  <c r="H3739" i="9"/>
  <c r="H3740" i="9"/>
  <c r="H3741" i="9"/>
  <c r="H3742" i="9"/>
  <c r="H3743" i="9"/>
  <c r="H3744" i="9"/>
  <c r="H3745" i="9"/>
  <c r="H3746" i="9"/>
  <c r="H3747" i="9"/>
  <c r="H3748" i="9"/>
  <c r="H3749" i="9"/>
  <c r="H3750" i="9"/>
  <c r="H3751" i="9"/>
  <c r="H3752" i="9"/>
  <c r="H3753" i="9"/>
  <c r="H3754" i="9"/>
  <c r="H3755" i="9"/>
  <c r="H3756" i="9"/>
  <c r="H3757" i="9"/>
  <c r="H3758" i="9"/>
  <c r="H3759" i="9"/>
  <c r="H3760" i="9"/>
  <c r="H3761" i="9"/>
  <c r="H3762" i="9"/>
  <c r="H3763" i="9"/>
  <c r="H3764" i="9"/>
  <c r="H3765" i="9"/>
  <c r="H3766" i="9"/>
  <c r="H3767" i="9"/>
  <c r="H3768" i="9"/>
  <c r="H3769" i="9"/>
  <c r="H3770" i="9"/>
  <c r="H3771" i="9"/>
  <c r="H3772" i="9"/>
  <c r="H3773" i="9"/>
  <c r="H3774" i="9"/>
  <c r="H3775" i="9"/>
  <c r="H3776" i="9"/>
  <c r="H3777" i="9"/>
  <c r="H3778" i="9"/>
  <c r="H3779" i="9"/>
  <c r="H3780" i="9"/>
  <c r="H3781" i="9"/>
  <c r="H3782" i="9"/>
  <c r="H3783" i="9"/>
  <c r="H3784" i="9"/>
  <c r="H3785" i="9"/>
  <c r="H3786" i="9"/>
  <c r="H3787" i="9"/>
  <c r="H3788" i="9"/>
  <c r="H3789" i="9"/>
  <c r="H3790" i="9"/>
  <c r="H3791" i="9"/>
  <c r="H3792" i="9"/>
  <c r="H3793" i="9"/>
  <c r="H3794" i="9"/>
  <c r="H3795" i="9"/>
  <c r="H3796" i="9"/>
  <c r="H3797" i="9"/>
  <c r="H3798" i="9"/>
  <c r="H3799" i="9"/>
  <c r="H3800" i="9"/>
  <c r="H3801" i="9"/>
  <c r="H3802" i="9"/>
  <c r="H3803" i="9"/>
  <c r="H3804" i="9"/>
  <c r="H3805" i="9"/>
  <c r="H3806" i="9"/>
  <c r="H3807" i="9"/>
  <c r="H3808" i="9"/>
  <c r="H3809" i="9"/>
  <c r="H3810" i="9"/>
  <c r="H3811" i="9"/>
  <c r="H3812" i="9"/>
  <c r="H3813" i="9"/>
  <c r="H3814" i="9"/>
  <c r="H3815" i="9"/>
  <c r="H3816" i="9"/>
  <c r="H3817" i="9"/>
  <c r="H3818" i="9"/>
  <c r="H3819" i="9"/>
  <c r="H3820" i="9"/>
  <c r="H3821" i="9"/>
  <c r="H3822" i="9"/>
  <c r="H3823" i="9"/>
  <c r="H3824" i="9"/>
  <c r="H3825" i="9"/>
  <c r="H3826" i="9"/>
  <c r="H3827" i="9"/>
  <c r="H3828" i="9"/>
  <c r="H3829" i="9"/>
  <c r="H3830" i="9"/>
  <c r="H3831" i="9"/>
  <c r="H3832" i="9"/>
  <c r="H3833" i="9"/>
  <c r="H3834" i="9"/>
  <c r="H3835" i="9"/>
  <c r="H3836" i="9"/>
  <c r="H3837" i="9"/>
  <c r="H3838" i="9"/>
  <c r="H3839" i="9"/>
  <c r="H3840" i="9"/>
  <c r="H3841" i="9"/>
  <c r="H3842" i="9"/>
  <c r="H3843" i="9"/>
  <c r="H3844" i="9"/>
  <c r="H3845" i="9"/>
  <c r="H3846" i="9"/>
  <c r="H3847" i="9"/>
  <c r="H3848" i="9"/>
  <c r="H3849" i="9"/>
  <c r="H3850" i="9"/>
  <c r="H3851" i="9"/>
  <c r="H3852" i="9"/>
  <c r="H3853" i="9"/>
  <c r="H3854" i="9"/>
  <c r="H3855" i="9"/>
  <c r="H3856" i="9"/>
  <c r="H3857" i="9"/>
  <c r="H3858" i="9"/>
  <c r="H3859" i="9"/>
  <c r="H3860" i="9"/>
  <c r="H3861" i="9"/>
  <c r="H3862" i="9"/>
  <c r="H3863" i="9"/>
  <c r="H3864" i="9"/>
  <c r="H3865" i="9"/>
  <c r="H3866" i="9"/>
  <c r="H3867" i="9"/>
  <c r="H3868" i="9"/>
  <c r="H3869" i="9"/>
  <c r="H3870" i="9"/>
  <c r="H3871" i="9"/>
  <c r="H3872" i="9"/>
  <c r="H3873" i="9"/>
  <c r="H3874" i="9"/>
  <c r="H3875" i="9"/>
  <c r="H3876" i="9"/>
  <c r="H3877" i="9"/>
  <c r="H3878" i="9"/>
  <c r="H3879" i="9"/>
  <c r="H3880" i="9"/>
  <c r="H3881" i="9"/>
  <c r="H3882" i="9"/>
  <c r="H3883" i="9"/>
  <c r="H3884" i="9"/>
  <c r="H3885" i="9"/>
  <c r="H3886" i="9"/>
  <c r="H3887" i="9"/>
  <c r="H3888" i="9"/>
  <c r="H3889" i="9"/>
  <c r="H3890" i="9"/>
  <c r="H3891" i="9"/>
  <c r="H3892" i="9"/>
  <c r="H3893" i="9"/>
  <c r="H3894" i="9"/>
  <c r="H3895" i="9"/>
  <c r="H3896" i="9"/>
  <c r="H3897" i="9"/>
  <c r="H3898" i="9"/>
  <c r="H3899" i="9"/>
  <c r="H3900" i="9"/>
  <c r="H3901" i="9"/>
  <c r="H3902" i="9"/>
  <c r="H3903" i="9"/>
  <c r="H3904" i="9"/>
  <c r="H3905" i="9"/>
  <c r="H3906" i="9"/>
  <c r="H3907" i="9"/>
  <c r="H3908" i="9"/>
  <c r="H3909" i="9"/>
  <c r="H3910" i="9"/>
  <c r="H3911" i="9"/>
  <c r="H3912" i="9"/>
  <c r="H3913" i="9"/>
  <c r="H3914" i="9"/>
  <c r="H3915" i="9"/>
  <c r="H3916" i="9"/>
  <c r="H3917" i="9"/>
  <c r="H3918" i="9"/>
  <c r="H3919" i="9"/>
  <c r="H3920" i="9"/>
  <c r="H3921" i="9"/>
  <c r="H3922" i="9"/>
  <c r="H3923" i="9"/>
  <c r="H3924" i="9"/>
  <c r="H3925" i="9"/>
  <c r="H3926" i="9"/>
  <c r="H3927" i="9"/>
  <c r="H3928" i="9"/>
  <c r="H3929" i="9"/>
  <c r="H3930" i="9"/>
  <c r="H3931" i="9"/>
  <c r="H3932" i="9"/>
  <c r="H3933" i="9"/>
  <c r="H3934" i="9"/>
  <c r="H3935" i="9"/>
  <c r="H3936" i="9"/>
  <c r="H3937" i="9"/>
  <c r="H3938" i="9"/>
  <c r="H3939" i="9"/>
  <c r="H3940" i="9"/>
  <c r="H3941" i="9"/>
  <c r="H3942" i="9"/>
  <c r="H3943" i="9"/>
  <c r="H3944" i="9"/>
  <c r="H3945" i="9"/>
  <c r="H3946" i="9"/>
  <c r="H3947" i="9"/>
  <c r="H3948" i="9"/>
  <c r="H3949" i="9"/>
  <c r="H3950" i="9"/>
  <c r="H3951" i="9"/>
  <c r="H3952" i="9"/>
  <c r="H3953" i="9"/>
  <c r="H3954" i="9"/>
  <c r="H3955" i="9"/>
  <c r="H3956" i="9"/>
  <c r="H3957" i="9"/>
  <c r="H3958" i="9"/>
  <c r="H3959" i="9"/>
  <c r="H3960" i="9"/>
  <c r="H3961" i="9"/>
  <c r="H3962" i="9"/>
  <c r="H3963" i="9"/>
  <c r="H3964" i="9"/>
  <c r="H3965" i="9"/>
  <c r="H3966" i="9"/>
  <c r="H3967" i="9"/>
  <c r="H3968" i="9"/>
  <c r="H3969" i="9"/>
  <c r="H3970" i="9"/>
  <c r="H3971" i="9"/>
  <c r="H3972" i="9"/>
  <c r="H3973" i="9"/>
  <c r="H3974" i="9"/>
  <c r="H3975" i="9"/>
  <c r="H3976" i="9"/>
  <c r="H3977" i="9"/>
  <c r="H3978" i="9"/>
  <c r="H3979" i="9"/>
  <c r="H3980" i="9"/>
  <c r="H3981" i="9"/>
  <c r="H3982" i="9"/>
  <c r="H3983" i="9"/>
  <c r="H3984" i="9"/>
  <c r="H3985" i="9"/>
  <c r="H3986" i="9"/>
  <c r="H3987" i="9"/>
  <c r="H3988" i="9"/>
  <c r="H3989" i="9"/>
  <c r="H3990" i="9"/>
  <c r="H3991" i="9"/>
  <c r="H3992" i="9"/>
  <c r="H3993" i="9"/>
  <c r="H3994" i="9"/>
  <c r="H3995" i="9"/>
  <c r="H3996" i="9"/>
  <c r="H3997" i="9"/>
  <c r="H3998" i="9"/>
  <c r="H3999" i="9"/>
  <c r="H4000" i="9"/>
  <c r="H4001" i="9"/>
  <c r="H4002" i="9"/>
  <c r="H4003" i="9"/>
  <c r="H4004" i="9"/>
  <c r="H4005" i="9"/>
  <c r="H4006" i="9"/>
  <c r="H4007" i="9"/>
  <c r="H4008" i="9"/>
  <c r="H4009" i="9"/>
  <c r="H4010" i="9"/>
  <c r="H4011" i="9"/>
  <c r="H4012" i="9"/>
  <c r="H4013" i="9"/>
  <c r="H4014" i="9"/>
  <c r="H4015" i="9"/>
  <c r="H4016" i="9"/>
  <c r="H4017" i="9"/>
  <c r="H4018" i="9"/>
  <c r="H4019" i="9"/>
  <c r="H4020" i="9"/>
  <c r="H4021" i="9"/>
  <c r="H4022" i="9"/>
  <c r="H4023" i="9"/>
  <c r="H4024" i="9"/>
  <c r="H4025" i="9"/>
  <c r="H4026" i="9"/>
  <c r="H4027" i="9"/>
  <c r="H4028" i="9"/>
  <c r="H4029" i="9"/>
  <c r="H4030" i="9"/>
  <c r="H4031" i="9"/>
  <c r="H4032" i="9"/>
  <c r="H4033" i="9"/>
  <c r="H4034" i="9"/>
  <c r="H4035" i="9"/>
  <c r="H4036" i="9"/>
  <c r="H4037" i="9"/>
  <c r="H4038" i="9"/>
  <c r="H4039" i="9"/>
  <c r="H4040" i="9"/>
  <c r="H4041" i="9"/>
  <c r="H4042" i="9"/>
  <c r="H4043" i="9"/>
  <c r="H4044" i="9"/>
  <c r="H4045" i="9"/>
  <c r="H4046" i="9"/>
  <c r="H4047" i="9"/>
  <c r="H4048" i="9"/>
  <c r="H4049" i="9"/>
  <c r="H4050" i="9"/>
  <c r="H4051" i="9"/>
  <c r="H4052" i="9"/>
  <c r="H4053" i="9"/>
  <c r="H4054" i="9"/>
  <c r="H4055" i="9"/>
  <c r="H4056" i="9"/>
  <c r="H4057" i="9"/>
  <c r="H4058" i="9"/>
  <c r="H4059" i="9"/>
  <c r="H4060" i="9"/>
  <c r="H4061" i="9"/>
  <c r="H4062" i="9"/>
  <c r="H4063" i="9"/>
  <c r="H4064" i="9"/>
  <c r="H4065" i="9"/>
  <c r="H4066" i="9"/>
  <c r="H4067" i="9"/>
  <c r="H4068" i="9"/>
  <c r="H4069" i="9"/>
  <c r="H4070" i="9"/>
  <c r="H4071" i="9"/>
  <c r="H4072" i="9"/>
  <c r="H4073" i="9"/>
  <c r="H4074" i="9"/>
  <c r="H4075" i="9"/>
  <c r="H4076" i="9"/>
  <c r="H4077" i="9"/>
  <c r="H4078" i="9"/>
  <c r="H4079" i="9"/>
  <c r="H4080" i="9"/>
  <c r="H4081" i="9"/>
  <c r="H4082" i="9"/>
  <c r="H4083" i="9"/>
  <c r="H4084" i="9"/>
  <c r="H4085" i="9"/>
  <c r="H4086" i="9"/>
  <c r="H4087" i="9"/>
  <c r="H4088" i="9"/>
  <c r="H4089" i="9"/>
  <c r="H4090" i="9"/>
  <c r="H4091" i="9"/>
  <c r="H4092" i="9"/>
  <c r="H4093" i="9"/>
  <c r="H4094" i="9"/>
  <c r="H4095" i="9"/>
  <c r="H4096" i="9"/>
  <c r="H4097" i="9"/>
  <c r="H4098" i="9"/>
  <c r="H4099" i="9"/>
  <c r="H4100" i="9"/>
  <c r="H4101" i="9"/>
  <c r="H4102" i="9"/>
  <c r="H4103" i="9"/>
  <c r="H4104" i="9"/>
  <c r="H4105" i="9"/>
  <c r="H4106" i="9"/>
  <c r="H4107" i="9"/>
  <c r="H4108" i="9"/>
  <c r="H4109" i="9"/>
  <c r="H4110" i="9"/>
  <c r="H4111" i="9"/>
  <c r="H4112" i="9"/>
  <c r="H4113" i="9"/>
  <c r="H4114" i="9"/>
  <c r="H4115" i="9"/>
  <c r="H4116" i="9"/>
  <c r="H4117" i="9"/>
  <c r="H4118" i="9"/>
  <c r="H4119" i="9"/>
  <c r="H4120" i="9"/>
  <c r="H4121" i="9"/>
  <c r="H4122" i="9"/>
  <c r="H4123" i="9"/>
  <c r="H4124" i="9"/>
  <c r="H4125" i="9"/>
  <c r="H4126" i="9"/>
  <c r="H4127" i="9"/>
  <c r="H4128" i="9"/>
  <c r="H4129" i="9"/>
  <c r="H4130" i="9"/>
  <c r="H4131" i="9"/>
  <c r="H4132" i="9"/>
  <c r="H4133" i="9"/>
  <c r="H4134" i="9"/>
  <c r="H4135" i="9"/>
  <c r="H4136" i="9"/>
  <c r="H4137" i="9"/>
  <c r="H4138" i="9"/>
  <c r="H4139" i="9"/>
  <c r="H4140" i="9"/>
  <c r="H4141" i="9"/>
  <c r="H4142" i="9"/>
  <c r="H4143" i="9"/>
  <c r="H4144" i="9"/>
  <c r="H4145" i="9"/>
  <c r="H4146" i="9"/>
  <c r="H4147" i="9"/>
  <c r="H4148" i="9"/>
  <c r="H4149" i="9"/>
  <c r="H4150" i="9"/>
  <c r="H4151" i="9"/>
  <c r="H4152" i="9"/>
  <c r="H4153" i="9"/>
  <c r="H4154" i="9"/>
  <c r="H4155" i="9"/>
  <c r="H4156" i="9"/>
  <c r="H4157" i="9"/>
  <c r="H4158" i="9"/>
  <c r="H4159" i="9"/>
  <c r="H4160" i="9"/>
  <c r="H4161" i="9"/>
  <c r="H4162" i="9"/>
  <c r="H4163" i="9"/>
  <c r="H4164" i="9"/>
  <c r="H4165" i="9"/>
  <c r="H4166" i="9"/>
  <c r="H4167" i="9"/>
  <c r="H4168" i="9"/>
  <c r="H4169" i="9"/>
  <c r="H4170" i="9"/>
  <c r="H4171" i="9"/>
  <c r="H4172" i="9"/>
  <c r="H4173" i="9"/>
  <c r="H4174" i="9"/>
  <c r="H4175" i="9"/>
  <c r="H4176" i="9"/>
  <c r="H4177" i="9"/>
  <c r="H4178" i="9"/>
  <c r="H4179" i="9"/>
  <c r="H4180" i="9"/>
  <c r="H4181" i="9"/>
  <c r="H4182" i="9"/>
  <c r="H4183" i="9"/>
  <c r="H4184" i="9"/>
  <c r="H4185" i="9"/>
  <c r="H4186" i="9"/>
  <c r="H4187" i="9"/>
  <c r="H4188" i="9"/>
  <c r="H4189" i="9"/>
  <c r="H4190" i="9"/>
  <c r="H4191" i="9"/>
  <c r="H4192" i="9"/>
  <c r="H4193" i="9"/>
  <c r="H4194" i="9"/>
  <c r="H4195" i="9"/>
  <c r="H4196" i="9"/>
  <c r="H4197" i="9"/>
  <c r="H4198" i="9"/>
  <c r="H4199" i="9"/>
  <c r="H4200" i="9"/>
  <c r="H4201" i="9"/>
  <c r="H4202" i="9"/>
  <c r="H4203" i="9"/>
  <c r="H4204" i="9"/>
  <c r="H4205" i="9"/>
  <c r="H4206" i="9"/>
  <c r="H4207" i="9"/>
  <c r="H4208" i="9"/>
  <c r="H4209" i="9"/>
  <c r="H4210" i="9"/>
  <c r="H4211" i="9"/>
  <c r="H4212" i="9"/>
  <c r="H4213" i="9"/>
  <c r="H4214" i="9"/>
  <c r="H4215" i="9"/>
  <c r="H4216" i="9"/>
  <c r="H4217" i="9"/>
  <c r="H4218" i="9"/>
  <c r="H4219" i="9"/>
  <c r="H4220" i="9"/>
  <c r="H4221" i="9"/>
  <c r="H4222" i="9"/>
  <c r="H4223" i="9"/>
  <c r="H4224" i="9"/>
  <c r="H4225" i="9"/>
  <c r="H4226" i="9"/>
  <c r="H4227" i="9"/>
  <c r="H4228" i="9"/>
  <c r="H4229" i="9"/>
  <c r="H4230" i="9"/>
  <c r="H4231" i="9"/>
  <c r="H4232" i="9"/>
  <c r="H4233" i="9"/>
  <c r="H4234" i="9"/>
  <c r="H4235" i="9"/>
  <c r="H4236" i="9"/>
  <c r="H4237" i="9"/>
  <c r="H4238" i="9"/>
  <c r="H4239" i="9"/>
  <c r="H4240" i="9"/>
  <c r="H4241" i="9"/>
  <c r="H4242" i="9"/>
  <c r="H4243" i="9"/>
  <c r="H4244" i="9"/>
  <c r="H4245" i="9"/>
  <c r="H4246" i="9"/>
  <c r="H4247" i="9"/>
  <c r="H4248" i="9"/>
  <c r="H4249" i="9"/>
  <c r="H4250" i="9"/>
  <c r="H4251" i="9"/>
  <c r="H4252" i="9"/>
  <c r="H4253" i="9"/>
  <c r="H4254" i="9"/>
  <c r="H4255" i="9"/>
  <c r="H4256" i="9"/>
  <c r="H4257" i="9"/>
  <c r="H4258" i="9"/>
  <c r="H4259" i="9"/>
  <c r="H4260" i="9"/>
  <c r="H4261" i="9"/>
  <c r="H4262" i="9"/>
  <c r="H4263" i="9"/>
  <c r="H4264" i="9"/>
  <c r="H4265" i="9"/>
  <c r="H4266" i="9"/>
  <c r="H4267" i="9"/>
  <c r="H4268" i="9"/>
  <c r="H4269" i="9"/>
  <c r="H4270" i="9"/>
  <c r="H4271" i="9"/>
  <c r="H4272" i="9"/>
  <c r="H4273" i="9"/>
  <c r="H4274" i="9"/>
  <c r="H4275" i="9"/>
  <c r="H4276" i="9"/>
  <c r="H4277" i="9"/>
  <c r="H4278" i="9"/>
  <c r="H4279" i="9"/>
  <c r="H4280" i="9"/>
  <c r="H4281" i="9"/>
  <c r="H4282" i="9"/>
  <c r="H4283" i="9"/>
  <c r="H4284" i="9"/>
  <c r="H4285" i="9"/>
  <c r="H4286" i="9"/>
  <c r="H4287" i="9"/>
  <c r="H4288" i="9"/>
  <c r="H4289" i="9"/>
  <c r="H4290" i="9"/>
  <c r="H4291" i="9"/>
  <c r="H4292" i="9"/>
  <c r="H4293" i="9"/>
  <c r="H4294" i="9"/>
  <c r="H4295" i="9"/>
  <c r="H4296" i="9"/>
  <c r="H4297" i="9"/>
  <c r="H4298" i="9"/>
  <c r="H4299" i="9"/>
  <c r="H4300" i="9"/>
  <c r="H4301" i="9"/>
  <c r="H4302" i="9"/>
  <c r="H4303" i="9"/>
  <c r="H4304" i="9"/>
  <c r="H4305" i="9"/>
  <c r="H4306" i="9"/>
  <c r="H4307" i="9"/>
  <c r="H4308" i="9"/>
  <c r="H4309" i="9"/>
  <c r="H4310" i="9"/>
  <c r="H4311" i="9"/>
  <c r="H4312" i="9"/>
  <c r="H4313" i="9"/>
  <c r="H4314" i="9"/>
  <c r="H4315" i="9"/>
  <c r="H4316" i="9"/>
  <c r="H4317" i="9"/>
  <c r="H4318" i="9"/>
  <c r="H4319" i="9"/>
  <c r="H4320" i="9"/>
  <c r="H4321" i="9"/>
  <c r="H4322" i="9"/>
  <c r="H4323" i="9"/>
  <c r="H4324" i="9"/>
  <c r="H4325" i="9"/>
  <c r="H4326" i="9"/>
  <c r="H4327" i="9"/>
  <c r="H4328" i="9"/>
  <c r="H4329" i="9"/>
  <c r="H4330" i="9"/>
  <c r="H4331" i="9"/>
  <c r="H4332" i="9"/>
  <c r="H4333" i="9"/>
  <c r="H4334" i="9"/>
  <c r="H4335" i="9"/>
  <c r="H4336" i="9"/>
  <c r="H4337" i="9"/>
  <c r="H4338" i="9"/>
  <c r="H4339" i="9"/>
  <c r="H4340" i="9"/>
  <c r="H4341" i="9"/>
  <c r="H4342" i="9"/>
  <c r="H4343" i="9"/>
  <c r="H4344" i="9"/>
  <c r="H4345" i="9"/>
  <c r="H4346" i="9"/>
  <c r="H4347" i="9"/>
  <c r="H4348" i="9"/>
  <c r="H4349" i="9"/>
  <c r="H4350" i="9"/>
  <c r="H4351" i="9"/>
  <c r="H4352" i="9"/>
  <c r="H4353" i="9"/>
  <c r="H4354" i="9"/>
  <c r="H4355" i="9"/>
  <c r="H4356" i="9"/>
  <c r="H4357" i="9"/>
  <c r="H4358" i="9"/>
  <c r="H4359" i="9"/>
  <c r="H4360" i="9"/>
  <c r="H4361" i="9"/>
  <c r="H4362" i="9"/>
  <c r="H4363" i="9"/>
  <c r="H4364" i="9"/>
  <c r="H4365" i="9"/>
  <c r="H4366" i="9"/>
  <c r="H4367" i="9"/>
  <c r="H4368" i="9"/>
  <c r="H4369" i="9"/>
  <c r="H4370" i="9"/>
  <c r="H4371" i="9"/>
  <c r="H4372" i="9"/>
  <c r="H4373" i="9"/>
  <c r="H4374" i="9"/>
  <c r="H4375" i="9"/>
  <c r="H4376" i="9"/>
  <c r="H4377" i="9"/>
  <c r="H4378" i="9"/>
  <c r="H4379" i="9"/>
  <c r="H4380" i="9"/>
  <c r="H4381" i="9"/>
  <c r="H4382" i="9"/>
  <c r="H4383" i="9"/>
  <c r="H4384" i="9"/>
  <c r="H4385" i="9"/>
  <c r="H4386" i="9"/>
  <c r="H4387" i="9"/>
  <c r="H4388" i="9"/>
  <c r="H4389" i="9"/>
  <c r="H4390" i="9"/>
  <c r="H4391" i="9"/>
  <c r="H4392" i="9"/>
  <c r="H4393" i="9"/>
  <c r="H4394" i="9"/>
  <c r="H4395" i="9"/>
  <c r="H4396" i="9"/>
  <c r="H4397" i="9"/>
  <c r="H4398" i="9"/>
  <c r="H4399" i="9"/>
  <c r="H4400" i="9"/>
  <c r="H4401" i="9"/>
  <c r="H4402" i="9"/>
  <c r="H4403" i="9"/>
  <c r="H4404" i="9"/>
  <c r="H4405" i="9"/>
  <c r="H4406" i="9"/>
  <c r="H4407" i="9"/>
  <c r="H4408" i="9"/>
  <c r="H4409" i="9"/>
  <c r="H4410" i="9"/>
  <c r="H4411" i="9"/>
  <c r="H4412" i="9"/>
  <c r="H4413" i="9"/>
  <c r="H4414" i="9"/>
  <c r="H4415" i="9"/>
  <c r="H4416" i="9"/>
  <c r="H4417" i="9"/>
  <c r="H4418" i="9"/>
  <c r="H4419" i="9"/>
  <c r="H4420" i="9"/>
  <c r="H4421" i="9"/>
  <c r="H4422" i="9"/>
  <c r="H4423" i="9"/>
  <c r="H4424" i="9"/>
  <c r="H4425" i="9"/>
  <c r="H4426" i="9"/>
  <c r="H4427" i="9"/>
  <c r="H4428" i="9"/>
  <c r="H4429" i="9"/>
  <c r="H4430" i="9"/>
  <c r="H4431" i="9"/>
  <c r="H4432" i="9"/>
  <c r="H4433" i="9"/>
  <c r="H4434" i="9"/>
  <c r="H4435" i="9"/>
  <c r="H4436" i="9"/>
  <c r="H4437" i="9"/>
  <c r="H4438" i="9"/>
  <c r="H4439" i="9"/>
  <c r="H4440" i="9"/>
  <c r="H4441" i="9"/>
  <c r="H4442" i="9"/>
  <c r="H4443" i="9"/>
  <c r="H4444" i="9"/>
  <c r="H4445" i="9"/>
  <c r="H4446" i="9"/>
  <c r="H4447" i="9"/>
  <c r="H4448" i="9"/>
  <c r="H4449" i="9"/>
  <c r="H4450" i="9"/>
  <c r="H4451" i="9"/>
  <c r="H4452" i="9"/>
  <c r="H4453" i="9"/>
  <c r="H4454" i="9"/>
  <c r="H4455" i="9"/>
  <c r="H4456" i="9"/>
  <c r="H4457" i="9"/>
  <c r="H4458" i="9"/>
  <c r="H4459" i="9"/>
  <c r="H4460" i="9"/>
  <c r="H4461" i="9"/>
  <c r="H4462" i="9"/>
  <c r="H4463" i="9"/>
  <c r="H4464" i="9"/>
  <c r="H4465" i="9"/>
  <c r="H4466" i="9"/>
  <c r="H4467" i="9"/>
  <c r="H4468" i="9"/>
  <c r="H4469" i="9"/>
  <c r="H4470" i="9"/>
  <c r="H4471" i="9"/>
  <c r="H4472" i="9"/>
  <c r="H4473" i="9"/>
  <c r="H4474" i="9"/>
  <c r="H4475" i="9"/>
  <c r="H4476" i="9"/>
  <c r="H4477" i="9"/>
  <c r="H4478" i="9"/>
  <c r="H4479" i="9"/>
  <c r="H4480" i="9"/>
  <c r="H4481" i="9"/>
  <c r="H4482" i="9"/>
  <c r="H4483" i="9"/>
  <c r="H4484" i="9"/>
  <c r="H4485" i="9"/>
  <c r="H4486" i="9"/>
  <c r="H4487" i="9"/>
  <c r="H4488" i="9"/>
  <c r="H4489" i="9"/>
  <c r="H4490" i="9"/>
  <c r="H4491" i="9"/>
  <c r="H4492" i="9"/>
  <c r="H4493" i="9"/>
  <c r="H4494" i="9"/>
  <c r="H4495" i="9"/>
  <c r="H4496" i="9"/>
  <c r="H4497" i="9"/>
  <c r="H4498" i="9"/>
  <c r="H4499" i="9"/>
  <c r="H4500" i="9"/>
  <c r="H4501" i="9"/>
  <c r="H4502" i="9"/>
  <c r="H4503" i="9"/>
  <c r="H4504" i="9"/>
  <c r="H4505" i="9"/>
  <c r="H4506" i="9"/>
  <c r="H4507" i="9"/>
  <c r="H4508" i="9"/>
  <c r="H4509" i="9"/>
  <c r="H4510" i="9"/>
  <c r="H4511" i="9"/>
  <c r="H4512" i="9"/>
  <c r="H4513" i="9"/>
  <c r="H4514" i="9"/>
  <c r="H4515" i="9"/>
  <c r="H4516" i="9"/>
  <c r="H4517" i="9"/>
  <c r="H4518" i="9"/>
  <c r="H4519" i="9"/>
  <c r="H4520" i="9"/>
  <c r="H4521" i="9"/>
  <c r="H4522" i="9"/>
  <c r="H4523" i="9"/>
  <c r="H4524" i="9"/>
  <c r="H4525" i="9"/>
  <c r="H4526" i="9"/>
  <c r="H4527" i="9"/>
  <c r="H4528" i="9"/>
  <c r="H4529" i="9"/>
  <c r="H4530" i="9"/>
  <c r="H4531" i="9"/>
  <c r="H4532" i="9"/>
  <c r="H4533" i="9"/>
  <c r="H4534" i="9"/>
  <c r="H4535" i="9"/>
  <c r="H4536" i="9"/>
  <c r="H4537" i="9"/>
  <c r="H4538" i="9"/>
  <c r="H4539" i="9"/>
  <c r="H4540" i="9"/>
  <c r="H4541" i="9"/>
  <c r="H4542" i="9"/>
  <c r="H4543" i="9"/>
  <c r="H4544" i="9"/>
  <c r="H4545" i="9"/>
  <c r="H4546" i="9"/>
  <c r="H4547" i="9"/>
  <c r="H4548" i="9"/>
  <c r="H4549" i="9"/>
  <c r="H4550" i="9"/>
  <c r="H4551" i="9"/>
  <c r="H4552" i="9"/>
  <c r="H4553" i="9"/>
  <c r="H4554" i="9"/>
  <c r="H4555" i="9"/>
  <c r="H4556" i="9"/>
  <c r="H4557" i="9"/>
  <c r="H4558" i="9"/>
  <c r="H4559" i="9"/>
  <c r="H4560" i="9"/>
  <c r="H4561" i="9"/>
  <c r="H4562" i="9"/>
  <c r="H4563" i="9"/>
  <c r="H4564" i="9"/>
  <c r="H4565" i="9"/>
  <c r="H4566" i="9"/>
  <c r="H4567" i="9"/>
  <c r="H4568" i="9"/>
  <c r="H4569" i="9"/>
  <c r="H4570" i="9"/>
  <c r="H4571" i="9"/>
  <c r="H4572" i="9"/>
  <c r="H4573" i="9"/>
  <c r="H4574" i="9"/>
  <c r="H4575" i="9"/>
  <c r="H4576" i="9"/>
  <c r="H4577" i="9"/>
  <c r="H4578" i="9"/>
  <c r="H4579" i="9"/>
  <c r="H4580" i="9"/>
  <c r="H4581" i="9"/>
  <c r="H4582" i="9"/>
  <c r="H4583" i="9"/>
  <c r="H4584" i="9"/>
  <c r="H4585" i="9"/>
  <c r="H4586" i="9"/>
  <c r="H4587" i="9"/>
  <c r="H4588" i="9"/>
  <c r="H4589" i="9"/>
  <c r="H4590" i="9"/>
  <c r="H4591" i="9"/>
  <c r="H4592" i="9"/>
  <c r="H4593" i="9"/>
  <c r="H4594" i="9"/>
  <c r="H4595" i="9"/>
  <c r="H4596" i="9"/>
  <c r="H4597" i="9"/>
  <c r="H4598" i="9"/>
  <c r="H4599" i="9"/>
  <c r="H4600" i="9"/>
  <c r="H4601" i="9"/>
  <c r="H4602" i="9"/>
  <c r="H4603" i="9"/>
  <c r="H4604" i="9"/>
  <c r="H4605" i="9"/>
  <c r="H4606" i="9"/>
  <c r="H4607" i="9"/>
  <c r="H4608" i="9"/>
  <c r="H4609" i="9"/>
  <c r="H4610" i="9"/>
  <c r="H4611" i="9"/>
  <c r="H4612" i="9"/>
  <c r="H4613" i="9"/>
  <c r="H4614" i="9"/>
  <c r="H4615" i="9"/>
  <c r="H4616" i="9"/>
  <c r="H4617" i="9"/>
  <c r="H4618" i="9"/>
  <c r="H4619" i="9"/>
  <c r="H4620" i="9"/>
  <c r="H4621" i="9"/>
  <c r="H4622" i="9"/>
  <c r="H4623" i="9"/>
  <c r="H4624" i="9"/>
  <c r="H4625" i="9"/>
  <c r="H4626" i="9"/>
  <c r="H4627" i="9"/>
  <c r="H4628" i="9"/>
  <c r="H4629" i="9"/>
  <c r="H4630" i="9"/>
  <c r="H4631" i="9"/>
  <c r="H4632" i="9"/>
  <c r="H4633" i="9"/>
  <c r="H4634" i="9"/>
  <c r="H4635" i="9"/>
  <c r="H4636" i="9"/>
  <c r="H4637" i="9"/>
  <c r="H4638" i="9"/>
  <c r="H4639" i="9"/>
  <c r="H4640" i="9"/>
  <c r="H4641" i="9"/>
  <c r="H4642" i="9"/>
  <c r="H4643" i="9"/>
  <c r="H4644" i="9"/>
  <c r="H4645" i="9"/>
  <c r="H4646" i="9"/>
  <c r="H4647" i="9"/>
  <c r="H4648" i="9"/>
  <c r="H4649" i="9"/>
  <c r="H4650" i="9"/>
  <c r="H4651" i="9"/>
  <c r="H4652" i="9"/>
  <c r="H4653" i="9"/>
  <c r="H4654" i="9"/>
  <c r="H4655" i="9"/>
  <c r="H4656" i="9"/>
  <c r="H4657" i="9"/>
  <c r="H4658" i="9"/>
  <c r="H4659" i="9"/>
  <c r="H4660" i="9"/>
  <c r="H4661" i="9"/>
  <c r="H4662" i="9"/>
  <c r="H4663" i="9"/>
  <c r="H4664" i="9"/>
  <c r="H4665" i="9"/>
  <c r="H4666" i="9"/>
  <c r="H4667" i="9"/>
  <c r="H4668" i="9"/>
  <c r="H4669" i="9"/>
  <c r="H4670" i="9"/>
  <c r="H4671" i="9"/>
  <c r="H4672" i="9"/>
  <c r="H4673" i="9"/>
  <c r="H4674" i="9"/>
  <c r="H4675" i="9"/>
  <c r="H4676" i="9"/>
  <c r="H4677" i="9"/>
  <c r="H4678" i="9"/>
  <c r="H4679" i="9"/>
  <c r="H4680" i="9"/>
  <c r="H4681" i="9"/>
  <c r="H4682" i="9"/>
  <c r="H4683" i="9"/>
  <c r="H4684" i="9"/>
  <c r="H4685" i="9"/>
  <c r="H4686" i="9"/>
  <c r="H4687" i="9"/>
  <c r="H4688" i="9"/>
  <c r="H4689" i="9"/>
  <c r="H4690" i="9"/>
  <c r="H4691" i="9"/>
  <c r="H4692" i="9"/>
  <c r="H4693" i="9"/>
  <c r="H4694" i="9"/>
  <c r="H4695" i="9"/>
  <c r="H4696" i="9"/>
  <c r="H4697" i="9"/>
  <c r="H4698" i="9"/>
  <c r="H4699" i="9"/>
  <c r="H4700" i="9"/>
  <c r="H4701" i="9"/>
  <c r="H4702" i="9"/>
  <c r="H4703" i="9"/>
  <c r="H4704" i="9"/>
  <c r="H4705" i="9"/>
  <c r="H4706" i="9"/>
  <c r="H4707" i="9"/>
  <c r="H4708" i="9"/>
  <c r="H4709" i="9"/>
  <c r="H4710" i="9"/>
  <c r="H4711" i="9"/>
  <c r="H4712" i="9"/>
  <c r="H4713" i="9"/>
  <c r="H4714" i="9"/>
  <c r="H4715" i="9"/>
  <c r="H4716" i="9"/>
  <c r="H4717" i="9"/>
  <c r="H4718" i="9"/>
  <c r="H4719" i="9"/>
  <c r="H4720" i="9"/>
  <c r="H4721" i="9"/>
  <c r="H4722" i="9"/>
  <c r="H4723" i="9"/>
  <c r="H4724" i="9"/>
  <c r="H4725" i="9"/>
  <c r="H4726" i="9"/>
  <c r="H4727" i="9"/>
  <c r="H4728" i="9"/>
  <c r="H4729" i="9"/>
  <c r="H4730" i="9"/>
  <c r="H4731" i="9"/>
  <c r="H4732" i="9"/>
  <c r="H4733" i="9"/>
  <c r="H4734" i="9"/>
  <c r="H4735" i="9"/>
  <c r="H4736" i="9"/>
  <c r="H4737" i="9"/>
  <c r="H4738" i="9"/>
  <c r="H4739" i="9"/>
  <c r="H4740" i="9"/>
  <c r="H4741" i="9"/>
  <c r="H4742" i="9"/>
  <c r="H4743" i="9"/>
  <c r="H4744" i="9"/>
  <c r="H4745" i="9"/>
  <c r="H4746" i="9"/>
  <c r="H4747" i="9"/>
  <c r="H4748" i="9"/>
  <c r="H4749" i="9"/>
  <c r="H4750" i="9"/>
  <c r="H4751" i="9"/>
  <c r="H4752" i="9"/>
  <c r="H4753" i="9"/>
  <c r="H4754" i="9"/>
  <c r="H4755" i="9"/>
  <c r="H4756" i="9"/>
  <c r="H4757" i="9"/>
  <c r="H4758" i="9"/>
  <c r="H4759" i="9"/>
  <c r="H4760" i="9"/>
  <c r="H4761" i="9"/>
  <c r="H4762" i="9"/>
  <c r="H4763" i="9"/>
  <c r="H4764" i="9"/>
  <c r="H4765" i="9"/>
  <c r="H4766" i="9"/>
  <c r="H4767" i="9"/>
  <c r="H4768" i="9"/>
  <c r="H4769" i="9"/>
  <c r="H4770" i="9"/>
  <c r="H4771" i="9"/>
  <c r="H4772" i="9"/>
  <c r="H4773" i="9"/>
  <c r="H4774" i="9"/>
  <c r="H4775" i="9"/>
  <c r="H4776" i="9"/>
  <c r="H4777" i="9"/>
  <c r="H4778" i="9"/>
  <c r="H4779" i="9"/>
  <c r="H4780" i="9"/>
  <c r="H4781" i="9"/>
  <c r="H4782" i="9"/>
  <c r="H4783" i="9"/>
  <c r="H4784" i="9"/>
  <c r="H4785" i="9"/>
  <c r="H4786" i="9"/>
  <c r="H4787" i="9"/>
  <c r="H4788" i="9"/>
  <c r="H4789" i="9"/>
  <c r="H4790" i="9"/>
  <c r="H4791" i="9"/>
  <c r="H4792" i="9"/>
  <c r="H4793" i="9"/>
  <c r="H4794" i="9"/>
  <c r="H4795" i="9"/>
  <c r="H4796" i="9"/>
  <c r="H4797" i="9"/>
  <c r="H4798" i="9"/>
  <c r="H4799" i="9"/>
  <c r="H4800" i="9"/>
  <c r="H4801" i="9"/>
  <c r="H4802" i="9"/>
  <c r="H4803" i="9"/>
  <c r="H4804" i="9"/>
  <c r="H4805" i="9"/>
  <c r="H4806" i="9"/>
  <c r="H4807" i="9"/>
  <c r="H4808" i="9"/>
  <c r="H4809" i="9"/>
  <c r="H4810" i="9"/>
  <c r="H4811" i="9"/>
  <c r="H4812" i="9"/>
  <c r="H4813" i="9"/>
  <c r="H4814" i="9"/>
  <c r="H4815" i="9"/>
  <c r="H4816" i="9"/>
  <c r="H4817" i="9"/>
  <c r="H4818" i="9"/>
  <c r="H4819" i="9"/>
  <c r="H4820" i="9"/>
  <c r="H4821" i="9"/>
  <c r="H4822" i="9"/>
  <c r="H4823" i="9"/>
  <c r="H4824" i="9"/>
  <c r="H4825" i="9"/>
  <c r="H4826" i="9"/>
  <c r="H4827" i="9"/>
  <c r="H4828" i="9"/>
  <c r="H4829" i="9"/>
  <c r="H4830" i="9"/>
  <c r="H4831" i="9"/>
  <c r="H4832" i="9"/>
  <c r="H4833" i="9"/>
  <c r="H4834" i="9"/>
  <c r="H4835" i="9"/>
  <c r="H4836" i="9"/>
  <c r="H4837" i="9"/>
  <c r="H4838" i="9"/>
  <c r="H4839" i="9"/>
  <c r="H4840" i="9"/>
  <c r="H4841" i="9"/>
  <c r="H4842" i="9"/>
  <c r="H4843" i="9"/>
  <c r="H4844" i="9"/>
  <c r="H4845" i="9"/>
  <c r="H4846" i="9"/>
  <c r="H4847" i="9"/>
  <c r="H4848" i="9"/>
  <c r="H4849" i="9"/>
  <c r="H4850" i="9"/>
  <c r="H4851" i="9"/>
  <c r="H4852" i="9"/>
  <c r="H4853" i="9"/>
  <c r="H4854" i="9"/>
  <c r="H4855" i="9"/>
  <c r="H4856" i="9"/>
  <c r="H4857" i="9"/>
  <c r="H4858" i="9"/>
  <c r="H4859" i="9"/>
  <c r="H4860" i="9"/>
  <c r="H4861" i="9"/>
  <c r="H4862" i="9"/>
  <c r="H4863" i="9"/>
  <c r="H4864" i="9"/>
  <c r="H4865" i="9"/>
  <c r="H4866" i="9"/>
  <c r="H4867" i="9"/>
  <c r="H4868" i="9"/>
  <c r="H4869" i="9"/>
  <c r="H4870" i="9"/>
  <c r="H4871" i="9"/>
  <c r="H4872" i="9"/>
  <c r="H4873" i="9"/>
  <c r="H4874" i="9"/>
  <c r="H4875" i="9"/>
  <c r="H4876" i="9"/>
  <c r="H4877" i="9"/>
  <c r="H4878" i="9"/>
  <c r="H4879" i="9"/>
  <c r="H4880" i="9"/>
  <c r="H4881" i="9"/>
  <c r="H4882" i="9"/>
  <c r="H4883" i="9"/>
  <c r="H4884" i="9"/>
  <c r="H4885" i="9"/>
  <c r="H4886" i="9"/>
  <c r="H4887" i="9"/>
  <c r="H4888" i="9"/>
  <c r="H4889" i="9"/>
  <c r="H4890" i="9"/>
  <c r="H4891" i="9"/>
  <c r="H4892" i="9"/>
  <c r="H4893" i="9"/>
  <c r="H4894" i="9"/>
  <c r="H4895" i="9"/>
  <c r="H4896" i="9"/>
  <c r="H4897" i="9"/>
  <c r="H4898" i="9"/>
  <c r="H4899" i="9"/>
  <c r="H4900" i="9"/>
  <c r="H4901" i="9"/>
  <c r="H4902" i="9"/>
  <c r="H4903" i="9"/>
  <c r="H4904" i="9"/>
  <c r="H4905" i="9"/>
  <c r="H4906" i="9"/>
  <c r="H4907" i="9"/>
  <c r="H4908" i="9"/>
  <c r="H4909" i="9"/>
  <c r="H4910" i="9"/>
  <c r="H4911" i="9"/>
  <c r="H4912" i="9"/>
  <c r="H4913" i="9"/>
  <c r="H4914" i="9"/>
  <c r="H4915" i="9"/>
  <c r="H4916" i="9"/>
  <c r="H4917" i="9"/>
  <c r="H4918" i="9"/>
  <c r="H4919" i="9"/>
  <c r="H4920" i="9"/>
  <c r="H4921" i="9"/>
  <c r="H4922" i="9"/>
  <c r="H4923" i="9"/>
  <c r="H4924" i="9"/>
  <c r="H4925" i="9"/>
  <c r="H4926" i="9"/>
  <c r="H4927" i="9"/>
  <c r="H4928" i="9"/>
  <c r="H4929" i="9"/>
  <c r="H4930" i="9"/>
  <c r="H4931" i="9"/>
  <c r="H4932" i="9"/>
  <c r="H4933" i="9"/>
  <c r="H4934" i="9"/>
  <c r="H4935" i="9"/>
  <c r="H4936" i="9"/>
  <c r="H4937" i="9"/>
  <c r="H4938" i="9"/>
  <c r="H4939" i="9"/>
  <c r="H4940" i="9"/>
  <c r="H4941" i="9"/>
  <c r="H4942" i="9"/>
  <c r="H4943" i="9"/>
  <c r="H4944" i="9"/>
  <c r="H4945" i="9"/>
  <c r="H4946" i="9"/>
  <c r="H4947" i="9"/>
  <c r="H4948" i="9"/>
  <c r="H4949" i="9"/>
  <c r="H4950" i="9"/>
  <c r="H4951" i="9"/>
  <c r="H4952" i="9"/>
  <c r="H4953" i="9"/>
  <c r="H4954" i="9"/>
  <c r="H4955" i="9"/>
  <c r="H4956" i="9"/>
  <c r="H4957" i="9"/>
  <c r="H4958" i="9"/>
  <c r="H4959" i="9"/>
  <c r="H4960" i="9"/>
  <c r="H4961" i="9"/>
  <c r="H4962" i="9"/>
  <c r="H4963" i="9"/>
  <c r="H4964" i="9"/>
  <c r="H4965" i="9"/>
  <c r="H4966" i="9"/>
  <c r="H4967" i="9"/>
  <c r="H4968" i="9"/>
  <c r="H4969" i="9"/>
  <c r="H4970" i="9"/>
  <c r="H4971" i="9"/>
  <c r="H4972" i="9"/>
  <c r="H4973" i="9"/>
  <c r="H4974" i="9"/>
  <c r="H4975" i="9"/>
  <c r="H4976" i="9"/>
  <c r="H4977" i="9"/>
  <c r="H4978" i="9"/>
  <c r="H4979" i="9"/>
  <c r="H4980" i="9"/>
  <c r="H4981" i="9"/>
  <c r="H4982" i="9"/>
  <c r="H4983" i="9"/>
  <c r="H4984" i="9"/>
  <c r="H4985" i="9"/>
  <c r="H4986" i="9"/>
  <c r="H4987" i="9"/>
  <c r="H4988" i="9"/>
  <c r="H4989" i="9"/>
  <c r="H4990" i="9"/>
  <c r="H4991" i="9"/>
  <c r="H4992" i="9"/>
  <c r="H4993" i="9"/>
  <c r="H4994" i="9"/>
  <c r="H4995" i="9"/>
  <c r="H4996" i="9"/>
  <c r="H4997" i="9"/>
  <c r="H4998" i="9"/>
  <c r="H4999" i="9"/>
  <c r="H5000" i="9"/>
  <c r="H5001" i="9"/>
  <c r="H5002" i="9"/>
  <c r="H5003" i="9"/>
  <c r="H5004" i="9"/>
  <c r="H5005" i="9"/>
  <c r="H5006" i="9"/>
  <c r="H5007" i="9"/>
  <c r="H5008" i="9"/>
  <c r="H5009" i="9"/>
  <c r="H5010" i="9"/>
  <c r="H5011" i="9"/>
  <c r="H5012" i="9"/>
  <c r="H5013" i="9"/>
  <c r="H5014" i="9"/>
  <c r="H5015" i="9"/>
  <c r="H2"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G86" i="9"/>
  <c r="G87" i="9"/>
  <c r="G88" i="9"/>
  <c r="G89" i="9"/>
  <c r="G90" i="9"/>
  <c r="G91" i="9"/>
  <c r="G92" i="9"/>
  <c r="G93" i="9"/>
  <c r="G94" i="9"/>
  <c r="G95" i="9"/>
  <c r="G96" i="9"/>
  <c r="G97" i="9"/>
  <c r="G98" i="9"/>
  <c r="G99" i="9"/>
  <c r="G100" i="9"/>
  <c r="G101" i="9"/>
  <c r="G102" i="9"/>
  <c r="G103" i="9"/>
  <c r="G104" i="9"/>
  <c r="G105" i="9"/>
  <c r="G106" i="9"/>
  <c r="G107" i="9"/>
  <c r="G108" i="9"/>
  <c r="G109" i="9"/>
  <c r="G110" i="9"/>
  <c r="G111" i="9"/>
  <c r="G112" i="9"/>
  <c r="G113" i="9"/>
  <c r="G114" i="9"/>
  <c r="G115" i="9"/>
  <c r="G116" i="9"/>
  <c r="G117" i="9"/>
  <c r="G118" i="9"/>
  <c r="G119" i="9"/>
  <c r="G120" i="9"/>
  <c r="G121" i="9"/>
  <c r="G122" i="9"/>
  <c r="G123" i="9"/>
  <c r="G124" i="9"/>
  <c r="G125" i="9"/>
  <c r="G126" i="9"/>
  <c r="G127" i="9"/>
  <c r="G128" i="9"/>
  <c r="G129" i="9"/>
  <c r="G130" i="9"/>
  <c r="G131" i="9"/>
  <c r="G132" i="9"/>
  <c r="G133" i="9"/>
  <c r="G134" i="9"/>
  <c r="G135" i="9"/>
  <c r="G136" i="9"/>
  <c r="G137" i="9"/>
  <c r="G138" i="9"/>
  <c r="G139" i="9"/>
  <c r="G140" i="9"/>
  <c r="G141" i="9"/>
  <c r="G142" i="9"/>
  <c r="G143" i="9"/>
  <c r="G144" i="9"/>
  <c r="G145" i="9"/>
  <c r="G146" i="9"/>
  <c r="G147" i="9"/>
  <c r="G148" i="9"/>
  <c r="G149" i="9"/>
  <c r="G150" i="9"/>
  <c r="G151" i="9"/>
  <c r="G152" i="9"/>
  <c r="G153" i="9"/>
  <c r="G154" i="9"/>
  <c r="G155" i="9"/>
  <c r="G156" i="9"/>
  <c r="G157" i="9"/>
  <c r="G158" i="9"/>
  <c r="G159" i="9"/>
  <c r="G160" i="9"/>
  <c r="G161" i="9"/>
  <c r="G162" i="9"/>
  <c r="G163" i="9"/>
  <c r="G164" i="9"/>
  <c r="G165" i="9"/>
  <c r="G166" i="9"/>
  <c r="G167" i="9"/>
  <c r="G168" i="9"/>
  <c r="G169" i="9"/>
  <c r="G170" i="9"/>
  <c r="G171" i="9"/>
  <c r="G172" i="9"/>
  <c r="G173" i="9"/>
  <c r="G174" i="9"/>
  <c r="G175" i="9"/>
  <c r="G176" i="9"/>
  <c r="G177" i="9"/>
  <c r="G178" i="9"/>
  <c r="G179" i="9"/>
  <c r="G180" i="9"/>
  <c r="G181" i="9"/>
  <c r="G182" i="9"/>
  <c r="G183" i="9"/>
  <c r="G184" i="9"/>
  <c r="G185" i="9"/>
  <c r="G186" i="9"/>
  <c r="G187" i="9"/>
  <c r="G188" i="9"/>
  <c r="G189" i="9"/>
  <c r="G190" i="9"/>
  <c r="G191" i="9"/>
  <c r="G192" i="9"/>
  <c r="G193" i="9"/>
  <c r="G194" i="9"/>
  <c r="G195" i="9"/>
  <c r="G196" i="9"/>
  <c r="G197" i="9"/>
  <c r="G198" i="9"/>
  <c r="G199" i="9"/>
  <c r="G200" i="9"/>
  <c r="G201" i="9"/>
  <c r="G202" i="9"/>
  <c r="G203" i="9"/>
  <c r="G204" i="9"/>
  <c r="G205" i="9"/>
  <c r="G206" i="9"/>
  <c r="G207" i="9"/>
  <c r="G208" i="9"/>
  <c r="G209" i="9"/>
  <c r="G210" i="9"/>
  <c r="G211" i="9"/>
  <c r="G212" i="9"/>
  <c r="G213" i="9"/>
  <c r="G214" i="9"/>
  <c r="G215" i="9"/>
  <c r="G216" i="9"/>
  <c r="G217" i="9"/>
  <c r="G218" i="9"/>
  <c r="G219" i="9"/>
  <c r="G220" i="9"/>
  <c r="G221" i="9"/>
  <c r="G222" i="9"/>
  <c r="G223" i="9"/>
  <c r="G224" i="9"/>
  <c r="G225" i="9"/>
  <c r="G226" i="9"/>
  <c r="G227" i="9"/>
  <c r="G228" i="9"/>
  <c r="G229" i="9"/>
  <c r="G230" i="9"/>
  <c r="G231" i="9"/>
  <c r="G232" i="9"/>
  <c r="G233" i="9"/>
  <c r="G234" i="9"/>
  <c r="G235" i="9"/>
  <c r="G236" i="9"/>
  <c r="G237" i="9"/>
  <c r="G238" i="9"/>
  <c r="G239" i="9"/>
  <c r="G240" i="9"/>
  <c r="G241" i="9"/>
  <c r="G242" i="9"/>
  <c r="G243" i="9"/>
  <c r="G244" i="9"/>
  <c r="G245" i="9"/>
  <c r="G246" i="9"/>
  <c r="G247" i="9"/>
  <c r="G248" i="9"/>
  <c r="G249" i="9"/>
  <c r="G250" i="9"/>
  <c r="G251" i="9"/>
  <c r="G252" i="9"/>
  <c r="G253" i="9"/>
  <c r="G254" i="9"/>
  <c r="G255" i="9"/>
  <c r="G256" i="9"/>
  <c r="G257" i="9"/>
  <c r="G258" i="9"/>
  <c r="G259" i="9"/>
  <c r="G260" i="9"/>
  <c r="G261" i="9"/>
  <c r="G262" i="9"/>
  <c r="G263" i="9"/>
  <c r="G264" i="9"/>
  <c r="G265" i="9"/>
  <c r="G266" i="9"/>
  <c r="G267" i="9"/>
  <c r="G268" i="9"/>
  <c r="G269" i="9"/>
  <c r="G270" i="9"/>
  <c r="G271" i="9"/>
  <c r="G272" i="9"/>
  <c r="G273" i="9"/>
  <c r="G274" i="9"/>
  <c r="G275" i="9"/>
  <c r="G276" i="9"/>
  <c r="G277" i="9"/>
  <c r="G278" i="9"/>
  <c r="G279" i="9"/>
  <c r="G280" i="9"/>
  <c r="G281" i="9"/>
  <c r="G282" i="9"/>
  <c r="G283" i="9"/>
  <c r="G284" i="9"/>
  <c r="G285" i="9"/>
  <c r="G286" i="9"/>
  <c r="G287" i="9"/>
  <c r="G288" i="9"/>
  <c r="G289" i="9"/>
  <c r="G290" i="9"/>
  <c r="G291" i="9"/>
  <c r="G292" i="9"/>
  <c r="G293" i="9"/>
  <c r="G294" i="9"/>
  <c r="G295" i="9"/>
  <c r="G296" i="9"/>
  <c r="G297" i="9"/>
  <c r="G298" i="9"/>
  <c r="G299" i="9"/>
  <c r="G300" i="9"/>
  <c r="G301" i="9"/>
  <c r="G302" i="9"/>
  <c r="G303" i="9"/>
  <c r="G304" i="9"/>
  <c r="G305" i="9"/>
  <c r="G306" i="9"/>
  <c r="G307" i="9"/>
  <c r="G308" i="9"/>
  <c r="G309" i="9"/>
  <c r="G310" i="9"/>
  <c r="G311" i="9"/>
  <c r="G312" i="9"/>
  <c r="G313" i="9"/>
  <c r="G314" i="9"/>
  <c r="G315" i="9"/>
  <c r="G316" i="9"/>
  <c r="G317" i="9"/>
  <c r="G318" i="9"/>
  <c r="G319" i="9"/>
  <c r="G320" i="9"/>
  <c r="G321" i="9"/>
  <c r="G322" i="9"/>
  <c r="G323" i="9"/>
  <c r="G324" i="9"/>
  <c r="G325" i="9"/>
  <c r="G326" i="9"/>
  <c r="G327" i="9"/>
  <c r="G328" i="9"/>
  <c r="G329" i="9"/>
  <c r="G330" i="9"/>
  <c r="G331" i="9"/>
  <c r="G332" i="9"/>
  <c r="G333" i="9"/>
  <c r="G334" i="9"/>
  <c r="G335" i="9"/>
  <c r="G336" i="9"/>
  <c r="G337" i="9"/>
  <c r="G338" i="9"/>
  <c r="G339" i="9"/>
  <c r="G340" i="9"/>
  <c r="G341" i="9"/>
  <c r="G342" i="9"/>
  <c r="G343" i="9"/>
  <c r="G344" i="9"/>
  <c r="G345" i="9"/>
  <c r="G346" i="9"/>
  <c r="G347" i="9"/>
  <c r="G348" i="9"/>
  <c r="G349" i="9"/>
  <c r="G350" i="9"/>
  <c r="G351" i="9"/>
  <c r="G352" i="9"/>
  <c r="G353" i="9"/>
  <c r="G354" i="9"/>
  <c r="G355" i="9"/>
  <c r="G356" i="9"/>
  <c r="G357" i="9"/>
  <c r="G358" i="9"/>
  <c r="G359" i="9"/>
  <c r="G360" i="9"/>
  <c r="G361" i="9"/>
  <c r="G362" i="9"/>
  <c r="G363" i="9"/>
  <c r="G364" i="9"/>
  <c r="G365" i="9"/>
  <c r="G366" i="9"/>
  <c r="G367" i="9"/>
  <c r="G368" i="9"/>
  <c r="G369" i="9"/>
  <c r="G370" i="9"/>
  <c r="G371" i="9"/>
  <c r="G372" i="9"/>
  <c r="G373" i="9"/>
  <c r="G374" i="9"/>
  <c r="G375" i="9"/>
  <c r="G376" i="9"/>
  <c r="G377" i="9"/>
  <c r="G378" i="9"/>
  <c r="G379" i="9"/>
  <c r="G380" i="9"/>
  <c r="G381" i="9"/>
  <c r="G382" i="9"/>
  <c r="G383" i="9"/>
  <c r="G384" i="9"/>
  <c r="G385" i="9"/>
  <c r="G386" i="9"/>
  <c r="G387" i="9"/>
  <c r="G388" i="9"/>
  <c r="G389" i="9"/>
  <c r="G390" i="9"/>
  <c r="G391" i="9"/>
  <c r="G392" i="9"/>
  <c r="G393" i="9"/>
  <c r="G394" i="9"/>
  <c r="G395" i="9"/>
  <c r="G396" i="9"/>
  <c r="G397" i="9"/>
  <c r="G398" i="9"/>
  <c r="G399" i="9"/>
  <c r="G400" i="9"/>
  <c r="G401" i="9"/>
  <c r="G402" i="9"/>
  <c r="G403" i="9"/>
  <c r="G404" i="9"/>
  <c r="G405" i="9"/>
  <c r="G406" i="9"/>
  <c r="G407" i="9"/>
  <c r="G408" i="9"/>
  <c r="G409" i="9"/>
  <c r="G410" i="9"/>
  <c r="G411" i="9"/>
  <c r="G412" i="9"/>
  <c r="G413" i="9"/>
  <c r="G414" i="9"/>
  <c r="G415" i="9"/>
  <c r="G416" i="9"/>
  <c r="G417" i="9"/>
  <c r="G418" i="9"/>
  <c r="G419" i="9"/>
  <c r="G420" i="9"/>
  <c r="G421" i="9"/>
  <c r="G422" i="9"/>
  <c r="G423" i="9"/>
  <c r="G424" i="9"/>
  <c r="G425" i="9"/>
  <c r="G426" i="9"/>
  <c r="G427" i="9"/>
  <c r="G428" i="9"/>
  <c r="G429" i="9"/>
  <c r="G430" i="9"/>
  <c r="G431" i="9"/>
  <c r="G432" i="9"/>
  <c r="G433" i="9"/>
  <c r="G434" i="9"/>
  <c r="G435" i="9"/>
  <c r="G436" i="9"/>
  <c r="G437" i="9"/>
  <c r="G438" i="9"/>
  <c r="G439" i="9"/>
  <c r="G440" i="9"/>
  <c r="G441" i="9"/>
  <c r="G442" i="9"/>
  <c r="G443" i="9"/>
  <c r="G444" i="9"/>
  <c r="G445" i="9"/>
  <c r="G446" i="9"/>
  <c r="G447" i="9"/>
  <c r="G448" i="9"/>
  <c r="G449" i="9"/>
  <c r="G450" i="9"/>
  <c r="G451" i="9"/>
  <c r="G452" i="9"/>
  <c r="G453" i="9"/>
  <c r="G454" i="9"/>
  <c r="G455" i="9"/>
  <c r="G456" i="9"/>
  <c r="G457" i="9"/>
  <c r="G458" i="9"/>
  <c r="G459" i="9"/>
  <c r="G460" i="9"/>
  <c r="G461" i="9"/>
  <c r="G462" i="9"/>
  <c r="G463" i="9"/>
  <c r="G464" i="9"/>
  <c r="G465" i="9"/>
  <c r="G466" i="9"/>
  <c r="G467" i="9"/>
  <c r="G468" i="9"/>
  <c r="G469" i="9"/>
  <c r="G470" i="9"/>
  <c r="G471" i="9"/>
  <c r="G472" i="9"/>
  <c r="G473" i="9"/>
  <c r="G474" i="9"/>
  <c r="G475" i="9"/>
  <c r="G476" i="9"/>
  <c r="G477" i="9"/>
  <c r="G478" i="9"/>
  <c r="G479" i="9"/>
  <c r="G480" i="9"/>
  <c r="G481" i="9"/>
  <c r="G482" i="9"/>
  <c r="G483" i="9"/>
  <c r="G484" i="9"/>
  <c r="G485" i="9"/>
  <c r="G486" i="9"/>
  <c r="G487" i="9"/>
  <c r="G488" i="9"/>
  <c r="G489" i="9"/>
  <c r="G490" i="9"/>
  <c r="G491" i="9"/>
  <c r="G492" i="9"/>
  <c r="G493" i="9"/>
  <c r="G494" i="9"/>
  <c r="G495" i="9"/>
  <c r="G496" i="9"/>
  <c r="G497" i="9"/>
  <c r="G498" i="9"/>
  <c r="G499" i="9"/>
  <c r="G500" i="9"/>
  <c r="G501" i="9"/>
  <c r="G502" i="9"/>
  <c r="G503" i="9"/>
  <c r="G504" i="9"/>
  <c r="G505" i="9"/>
  <c r="G506" i="9"/>
  <c r="G507" i="9"/>
  <c r="G508" i="9"/>
  <c r="G509" i="9"/>
  <c r="G510" i="9"/>
  <c r="G511" i="9"/>
  <c r="G512" i="9"/>
  <c r="G513" i="9"/>
  <c r="G514" i="9"/>
  <c r="G515" i="9"/>
  <c r="G516" i="9"/>
  <c r="G517" i="9"/>
  <c r="G518" i="9"/>
  <c r="G519" i="9"/>
  <c r="G520" i="9"/>
  <c r="G521" i="9"/>
  <c r="G522" i="9"/>
  <c r="G523" i="9"/>
  <c r="G524" i="9"/>
  <c r="G525" i="9"/>
  <c r="G526" i="9"/>
  <c r="G527" i="9"/>
  <c r="G528" i="9"/>
  <c r="G529" i="9"/>
  <c r="G530" i="9"/>
  <c r="G531" i="9"/>
  <c r="G532" i="9"/>
  <c r="G533" i="9"/>
  <c r="G534" i="9"/>
  <c r="G535" i="9"/>
  <c r="G536" i="9"/>
  <c r="G537" i="9"/>
  <c r="G538" i="9"/>
  <c r="G539" i="9"/>
  <c r="G540" i="9"/>
  <c r="G541" i="9"/>
  <c r="G542" i="9"/>
  <c r="G543" i="9"/>
  <c r="G544" i="9"/>
  <c r="G545" i="9"/>
  <c r="G546" i="9"/>
  <c r="G547" i="9"/>
  <c r="G548" i="9"/>
  <c r="G549" i="9"/>
  <c r="G550" i="9"/>
  <c r="G551" i="9"/>
  <c r="G552" i="9"/>
  <c r="G553" i="9"/>
  <c r="G554" i="9"/>
  <c r="G555" i="9"/>
  <c r="G556" i="9"/>
  <c r="G557" i="9"/>
  <c r="G558" i="9"/>
  <c r="G559" i="9"/>
  <c r="G560" i="9"/>
  <c r="G561" i="9"/>
  <c r="G562" i="9"/>
  <c r="G563" i="9"/>
  <c r="G564" i="9"/>
  <c r="G565" i="9"/>
  <c r="G566" i="9"/>
  <c r="G567" i="9"/>
  <c r="G568" i="9"/>
  <c r="G569" i="9"/>
  <c r="G570" i="9"/>
  <c r="G571" i="9"/>
  <c r="G572" i="9"/>
  <c r="G573" i="9"/>
  <c r="G574" i="9"/>
  <c r="G575" i="9"/>
  <c r="G576" i="9"/>
  <c r="G577" i="9"/>
  <c r="G578" i="9"/>
  <c r="G579" i="9"/>
  <c r="G580" i="9"/>
  <c r="G581" i="9"/>
  <c r="G582" i="9"/>
  <c r="G583" i="9"/>
  <c r="G584" i="9"/>
  <c r="G585" i="9"/>
  <c r="G586" i="9"/>
  <c r="G587" i="9"/>
  <c r="G588" i="9"/>
  <c r="G589" i="9"/>
  <c r="G590" i="9"/>
  <c r="G591" i="9"/>
  <c r="G592" i="9"/>
  <c r="G593" i="9"/>
  <c r="G594" i="9"/>
  <c r="G595" i="9"/>
  <c r="G596" i="9"/>
  <c r="G597" i="9"/>
  <c r="G598" i="9"/>
  <c r="G599" i="9"/>
  <c r="G600" i="9"/>
  <c r="G601" i="9"/>
  <c r="G602" i="9"/>
  <c r="G603" i="9"/>
  <c r="G604" i="9"/>
  <c r="G605" i="9"/>
  <c r="G606" i="9"/>
  <c r="G607" i="9"/>
  <c r="G608" i="9"/>
  <c r="G609" i="9"/>
  <c r="G610" i="9"/>
  <c r="G611" i="9"/>
  <c r="G612" i="9"/>
  <c r="G613" i="9"/>
  <c r="G614" i="9"/>
  <c r="G615" i="9"/>
  <c r="G616" i="9"/>
  <c r="G617" i="9"/>
  <c r="G618" i="9"/>
  <c r="G619" i="9"/>
  <c r="G620" i="9"/>
  <c r="G621" i="9"/>
  <c r="G622" i="9"/>
  <c r="G623" i="9"/>
  <c r="G624" i="9"/>
  <c r="G625" i="9"/>
  <c r="G626" i="9"/>
  <c r="G627" i="9"/>
  <c r="G628" i="9"/>
  <c r="G629" i="9"/>
  <c r="G630" i="9"/>
  <c r="G631" i="9"/>
  <c r="G632" i="9"/>
  <c r="G633" i="9"/>
  <c r="G634" i="9"/>
  <c r="G635" i="9"/>
  <c r="G636" i="9"/>
  <c r="G637" i="9"/>
  <c r="G638" i="9"/>
  <c r="G639" i="9"/>
  <c r="G640" i="9"/>
  <c r="G641" i="9"/>
  <c r="G642" i="9"/>
  <c r="G643" i="9"/>
  <c r="G644" i="9"/>
  <c r="G645" i="9"/>
  <c r="G646" i="9"/>
  <c r="G647" i="9"/>
  <c r="G648" i="9"/>
  <c r="G649" i="9"/>
  <c r="G650" i="9"/>
  <c r="G651" i="9"/>
  <c r="G652" i="9"/>
  <c r="G653" i="9"/>
  <c r="G654" i="9"/>
  <c r="G655" i="9"/>
  <c r="G656" i="9"/>
  <c r="G657" i="9"/>
  <c r="G658" i="9"/>
  <c r="G659" i="9"/>
  <c r="G660" i="9"/>
  <c r="G661" i="9"/>
  <c r="G662" i="9"/>
  <c r="G663" i="9"/>
  <c r="G664" i="9"/>
  <c r="G665" i="9"/>
  <c r="G666" i="9"/>
  <c r="G667" i="9"/>
  <c r="G668" i="9"/>
  <c r="G669" i="9"/>
  <c r="G670" i="9"/>
  <c r="G671" i="9"/>
  <c r="G672" i="9"/>
  <c r="G673" i="9"/>
  <c r="G674" i="9"/>
  <c r="G675" i="9"/>
  <c r="G676" i="9"/>
  <c r="G677" i="9"/>
  <c r="G678" i="9"/>
  <c r="G679" i="9"/>
  <c r="G680" i="9"/>
  <c r="G681" i="9"/>
  <c r="G682" i="9"/>
  <c r="G683" i="9"/>
  <c r="G684" i="9"/>
  <c r="G685" i="9"/>
  <c r="G686" i="9"/>
  <c r="G687" i="9"/>
  <c r="G688" i="9"/>
  <c r="G689" i="9"/>
  <c r="G690" i="9"/>
  <c r="G691" i="9"/>
  <c r="G692" i="9"/>
  <c r="G693" i="9"/>
  <c r="G694" i="9"/>
  <c r="G695" i="9"/>
  <c r="G696" i="9"/>
  <c r="G697" i="9"/>
  <c r="G698" i="9"/>
  <c r="G699" i="9"/>
  <c r="G700" i="9"/>
  <c r="G701" i="9"/>
  <c r="G702" i="9"/>
  <c r="G703" i="9"/>
  <c r="G704" i="9"/>
  <c r="G705" i="9"/>
  <c r="G706" i="9"/>
  <c r="G707" i="9"/>
  <c r="G708" i="9"/>
  <c r="G709" i="9"/>
  <c r="G710" i="9"/>
  <c r="G711" i="9"/>
  <c r="G712" i="9"/>
  <c r="G713" i="9"/>
  <c r="G714" i="9"/>
  <c r="G715" i="9"/>
  <c r="G716" i="9"/>
  <c r="G717" i="9"/>
  <c r="G718" i="9"/>
  <c r="G719" i="9"/>
  <c r="G720" i="9"/>
  <c r="G721" i="9"/>
  <c r="G722" i="9"/>
  <c r="G723" i="9"/>
  <c r="G724" i="9"/>
  <c r="G725" i="9"/>
  <c r="G726" i="9"/>
  <c r="G727" i="9"/>
  <c r="G728" i="9"/>
  <c r="G729" i="9"/>
  <c r="G730" i="9"/>
  <c r="G731" i="9"/>
  <c r="G732" i="9"/>
  <c r="G733" i="9"/>
  <c r="G734" i="9"/>
  <c r="G735" i="9"/>
  <c r="G736" i="9"/>
  <c r="G737" i="9"/>
  <c r="G738" i="9"/>
  <c r="G739" i="9"/>
  <c r="G740" i="9"/>
  <c r="G741" i="9"/>
  <c r="G742" i="9"/>
  <c r="G743" i="9"/>
  <c r="G744" i="9"/>
  <c r="G745" i="9"/>
  <c r="G746" i="9"/>
  <c r="G747" i="9"/>
  <c r="G748" i="9"/>
  <c r="G749" i="9"/>
  <c r="G750" i="9"/>
  <c r="G751" i="9"/>
  <c r="G752" i="9"/>
  <c r="G753" i="9"/>
  <c r="G754" i="9"/>
  <c r="G755" i="9"/>
  <c r="G756" i="9"/>
  <c r="G757" i="9"/>
  <c r="G758" i="9"/>
  <c r="G759" i="9"/>
  <c r="G760" i="9"/>
  <c r="G761" i="9"/>
  <c r="G762" i="9"/>
  <c r="G763" i="9"/>
  <c r="G764" i="9"/>
  <c r="G765" i="9"/>
  <c r="G766" i="9"/>
  <c r="G767" i="9"/>
  <c r="G768" i="9"/>
  <c r="G769" i="9"/>
  <c r="G770" i="9"/>
  <c r="G771" i="9"/>
  <c r="G772" i="9"/>
  <c r="G773" i="9"/>
  <c r="G774" i="9"/>
  <c r="G775" i="9"/>
  <c r="G776" i="9"/>
  <c r="G777" i="9"/>
  <c r="G778" i="9"/>
  <c r="G779" i="9"/>
  <c r="G780" i="9"/>
  <c r="G781" i="9"/>
  <c r="G782" i="9"/>
  <c r="G783" i="9"/>
  <c r="G784" i="9"/>
  <c r="G785" i="9"/>
  <c r="G786" i="9"/>
  <c r="G787" i="9"/>
  <c r="G788" i="9"/>
  <c r="G789" i="9"/>
  <c r="G790" i="9"/>
  <c r="G791" i="9"/>
  <c r="G792" i="9"/>
  <c r="G793" i="9"/>
  <c r="G794" i="9"/>
  <c r="G795" i="9"/>
  <c r="G796" i="9"/>
  <c r="G797" i="9"/>
  <c r="G798" i="9"/>
  <c r="G799" i="9"/>
  <c r="G800" i="9"/>
  <c r="G801" i="9"/>
  <c r="G802" i="9"/>
  <c r="G803" i="9"/>
  <c r="G804" i="9"/>
  <c r="G805" i="9"/>
  <c r="G806" i="9"/>
  <c r="G807" i="9"/>
  <c r="G808" i="9"/>
  <c r="G809" i="9"/>
  <c r="G810" i="9"/>
  <c r="G811" i="9"/>
  <c r="G812" i="9"/>
  <c r="G813" i="9"/>
  <c r="G814" i="9"/>
  <c r="G815" i="9"/>
  <c r="G816" i="9"/>
  <c r="G817" i="9"/>
  <c r="G818" i="9"/>
  <c r="G819" i="9"/>
  <c r="G820" i="9"/>
  <c r="G821" i="9"/>
  <c r="G822" i="9"/>
  <c r="G823" i="9"/>
  <c r="G824" i="9"/>
  <c r="G825" i="9"/>
  <c r="G826" i="9"/>
  <c r="G827" i="9"/>
  <c r="G828" i="9"/>
  <c r="G829" i="9"/>
  <c r="G830" i="9"/>
  <c r="G831" i="9"/>
  <c r="G832" i="9"/>
  <c r="G833" i="9"/>
  <c r="G834" i="9"/>
  <c r="G835" i="9"/>
  <c r="G836" i="9"/>
  <c r="G837" i="9"/>
  <c r="G838" i="9"/>
  <c r="G839" i="9"/>
  <c r="G840" i="9"/>
  <c r="G841" i="9"/>
  <c r="G842" i="9"/>
  <c r="G843" i="9"/>
  <c r="G844" i="9"/>
  <c r="G845" i="9"/>
  <c r="G846" i="9"/>
  <c r="G847" i="9"/>
  <c r="G848" i="9"/>
  <c r="G849" i="9"/>
  <c r="G850" i="9"/>
  <c r="G851" i="9"/>
  <c r="G852" i="9"/>
  <c r="G853" i="9"/>
  <c r="G854" i="9"/>
  <c r="G855" i="9"/>
  <c r="G856" i="9"/>
  <c r="G857" i="9"/>
  <c r="G858" i="9"/>
  <c r="G859" i="9"/>
  <c r="G860" i="9"/>
  <c r="G861" i="9"/>
  <c r="G862" i="9"/>
  <c r="G863" i="9"/>
  <c r="G864" i="9"/>
  <c r="G865" i="9"/>
  <c r="G866" i="9"/>
  <c r="G867" i="9"/>
  <c r="G868" i="9"/>
  <c r="G869" i="9"/>
  <c r="G870" i="9"/>
  <c r="G871" i="9"/>
  <c r="G872" i="9"/>
  <c r="G873" i="9"/>
  <c r="G874" i="9"/>
  <c r="G875" i="9"/>
  <c r="G876" i="9"/>
  <c r="G877" i="9"/>
  <c r="G878" i="9"/>
  <c r="G879" i="9"/>
  <c r="G880" i="9"/>
  <c r="G881" i="9"/>
  <c r="G882" i="9"/>
  <c r="G883" i="9"/>
  <c r="G884" i="9"/>
  <c r="G885" i="9"/>
  <c r="G886" i="9"/>
  <c r="G887" i="9"/>
  <c r="G888" i="9"/>
  <c r="G889" i="9"/>
  <c r="G890" i="9"/>
  <c r="G891" i="9"/>
  <c r="G892" i="9"/>
  <c r="G893" i="9"/>
  <c r="G894" i="9"/>
  <c r="G895" i="9"/>
  <c r="G896" i="9"/>
  <c r="G897" i="9"/>
  <c r="G898" i="9"/>
  <c r="G899" i="9"/>
  <c r="G900" i="9"/>
  <c r="G901" i="9"/>
  <c r="G902" i="9"/>
  <c r="G903" i="9"/>
  <c r="G904" i="9"/>
  <c r="G905" i="9"/>
  <c r="G906" i="9"/>
  <c r="G907" i="9"/>
  <c r="G908" i="9"/>
  <c r="G909" i="9"/>
  <c r="G910" i="9"/>
  <c r="G911" i="9"/>
  <c r="G912" i="9"/>
  <c r="G913" i="9"/>
  <c r="G914" i="9"/>
  <c r="G915" i="9"/>
  <c r="G916" i="9"/>
  <c r="G917" i="9"/>
  <c r="G918" i="9"/>
  <c r="G919" i="9"/>
  <c r="G920" i="9"/>
  <c r="G921" i="9"/>
  <c r="G922" i="9"/>
  <c r="G923" i="9"/>
  <c r="G924" i="9"/>
  <c r="G925" i="9"/>
  <c r="G926" i="9"/>
  <c r="G927" i="9"/>
  <c r="G928" i="9"/>
  <c r="G929" i="9"/>
  <c r="G930" i="9"/>
  <c r="G931" i="9"/>
  <c r="G932" i="9"/>
  <c r="G933" i="9"/>
  <c r="G934" i="9"/>
  <c r="G935" i="9"/>
  <c r="G936" i="9"/>
  <c r="G937" i="9"/>
  <c r="G938" i="9"/>
  <c r="G939" i="9"/>
  <c r="G940" i="9"/>
  <c r="G941" i="9"/>
  <c r="G942" i="9"/>
  <c r="G943" i="9"/>
  <c r="G944" i="9"/>
  <c r="G945" i="9"/>
  <c r="G946" i="9"/>
  <c r="G947" i="9"/>
  <c r="G948" i="9"/>
  <c r="G949" i="9"/>
  <c r="G950" i="9"/>
  <c r="G951" i="9"/>
  <c r="G952" i="9"/>
  <c r="G953" i="9"/>
  <c r="G954" i="9"/>
  <c r="G955" i="9"/>
  <c r="G956" i="9"/>
  <c r="G957" i="9"/>
  <c r="G958" i="9"/>
  <c r="G959" i="9"/>
  <c r="G960" i="9"/>
  <c r="G961" i="9"/>
  <c r="G962" i="9"/>
  <c r="G963" i="9"/>
  <c r="G964" i="9"/>
  <c r="G965" i="9"/>
  <c r="G966" i="9"/>
  <c r="G967" i="9"/>
  <c r="G968" i="9"/>
  <c r="G969" i="9"/>
  <c r="G970" i="9"/>
  <c r="G971" i="9"/>
  <c r="G972" i="9"/>
  <c r="G973" i="9"/>
  <c r="G974" i="9"/>
  <c r="G975" i="9"/>
  <c r="G976" i="9"/>
  <c r="G977" i="9"/>
  <c r="G978" i="9"/>
  <c r="G979" i="9"/>
  <c r="G980" i="9"/>
  <c r="G981" i="9"/>
  <c r="G982" i="9"/>
  <c r="G983" i="9"/>
  <c r="G984" i="9"/>
  <c r="G985" i="9"/>
  <c r="G986" i="9"/>
  <c r="G987" i="9"/>
  <c r="G988" i="9"/>
  <c r="G989" i="9"/>
  <c r="G990" i="9"/>
  <c r="G991" i="9"/>
  <c r="G992" i="9"/>
  <c r="G993" i="9"/>
  <c r="G994" i="9"/>
  <c r="G995" i="9"/>
  <c r="G996" i="9"/>
  <c r="G997" i="9"/>
  <c r="G998" i="9"/>
  <c r="G999" i="9"/>
  <c r="G1000" i="9"/>
  <c r="G1001" i="9"/>
  <c r="G1002" i="9"/>
  <c r="G1003" i="9"/>
  <c r="G1004" i="9"/>
  <c r="G1005" i="9"/>
  <c r="G1006" i="9"/>
  <c r="G1007" i="9"/>
  <c r="G1008" i="9"/>
  <c r="G1009" i="9"/>
  <c r="G1010" i="9"/>
  <c r="G1011" i="9"/>
  <c r="G1012" i="9"/>
  <c r="G1013" i="9"/>
  <c r="G1014" i="9"/>
  <c r="G1015" i="9"/>
  <c r="G1016" i="9"/>
  <c r="G1017" i="9"/>
  <c r="G1018" i="9"/>
  <c r="G1019" i="9"/>
  <c r="G1020" i="9"/>
  <c r="G1021" i="9"/>
  <c r="G1022" i="9"/>
  <c r="G1023" i="9"/>
  <c r="G1024" i="9"/>
  <c r="G1025" i="9"/>
  <c r="G1026" i="9"/>
  <c r="G1027" i="9"/>
  <c r="G1028" i="9"/>
  <c r="G1029" i="9"/>
  <c r="G1030" i="9"/>
  <c r="G1031" i="9"/>
  <c r="G1032" i="9"/>
  <c r="G1033" i="9"/>
  <c r="G1034" i="9"/>
  <c r="G1035" i="9"/>
  <c r="G1036" i="9"/>
  <c r="G1037" i="9"/>
  <c r="G1038" i="9"/>
  <c r="G1039" i="9"/>
  <c r="G1040" i="9"/>
  <c r="G1041" i="9"/>
  <c r="G1042" i="9"/>
  <c r="G1043" i="9"/>
  <c r="G1044" i="9"/>
  <c r="G1045" i="9"/>
  <c r="G1046" i="9"/>
  <c r="G1047" i="9"/>
  <c r="G1048" i="9"/>
  <c r="G1049" i="9"/>
  <c r="G1050" i="9"/>
  <c r="G1051" i="9"/>
  <c r="G1052" i="9"/>
  <c r="G1053" i="9"/>
  <c r="G1054" i="9"/>
  <c r="G1055" i="9"/>
  <c r="G1056" i="9"/>
  <c r="G1057" i="9"/>
  <c r="G1058" i="9"/>
  <c r="G1059" i="9"/>
  <c r="G1060" i="9"/>
  <c r="G1061" i="9"/>
  <c r="G1062" i="9"/>
  <c r="G1063" i="9"/>
  <c r="G1064" i="9"/>
  <c r="G1065" i="9"/>
  <c r="G1066" i="9"/>
  <c r="G1067" i="9"/>
  <c r="G1068" i="9"/>
  <c r="G1069" i="9"/>
  <c r="G1070" i="9"/>
  <c r="G1071" i="9"/>
  <c r="G1072" i="9"/>
  <c r="G1073" i="9"/>
  <c r="G1074" i="9"/>
  <c r="G1075" i="9"/>
  <c r="G1076" i="9"/>
  <c r="G1077" i="9"/>
  <c r="G1078" i="9"/>
  <c r="G1079" i="9"/>
  <c r="G1080" i="9"/>
  <c r="G1081" i="9"/>
  <c r="G1082" i="9"/>
  <c r="G1083" i="9"/>
  <c r="G1084" i="9"/>
  <c r="G1085" i="9"/>
  <c r="G1086" i="9"/>
  <c r="G1087" i="9"/>
  <c r="G1088" i="9"/>
  <c r="G1089" i="9"/>
  <c r="G1090" i="9"/>
  <c r="G1091" i="9"/>
  <c r="G1092" i="9"/>
  <c r="G1093" i="9"/>
  <c r="G1094" i="9"/>
  <c r="G1095" i="9"/>
  <c r="G1096" i="9"/>
  <c r="G1097" i="9"/>
  <c r="G1098" i="9"/>
  <c r="G1099" i="9"/>
  <c r="G1100" i="9"/>
  <c r="G1101" i="9"/>
  <c r="G1102" i="9"/>
  <c r="G1103" i="9"/>
  <c r="G1104" i="9"/>
  <c r="G1105" i="9"/>
  <c r="G1106" i="9"/>
  <c r="G1107" i="9"/>
  <c r="G1108" i="9"/>
  <c r="G1109" i="9"/>
  <c r="G1110" i="9"/>
  <c r="G1111" i="9"/>
  <c r="G1112" i="9"/>
  <c r="G1113" i="9"/>
  <c r="G1114" i="9"/>
  <c r="G1115" i="9"/>
  <c r="G1116" i="9"/>
  <c r="G1117" i="9"/>
  <c r="G1118" i="9"/>
  <c r="G1119" i="9"/>
  <c r="G1120" i="9"/>
  <c r="G1121" i="9"/>
  <c r="G1122" i="9"/>
  <c r="G1123" i="9"/>
  <c r="G1124" i="9"/>
  <c r="G1125" i="9"/>
  <c r="G1126" i="9"/>
  <c r="G1127" i="9"/>
  <c r="G1128" i="9"/>
  <c r="G1129" i="9"/>
  <c r="G1130" i="9"/>
  <c r="G1131" i="9"/>
  <c r="G1132" i="9"/>
  <c r="G1133" i="9"/>
  <c r="G1134" i="9"/>
  <c r="G1135" i="9"/>
  <c r="G1136" i="9"/>
  <c r="G1137" i="9"/>
  <c r="G1138" i="9"/>
  <c r="G1139" i="9"/>
  <c r="G1140" i="9"/>
  <c r="G1141" i="9"/>
  <c r="G1142" i="9"/>
  <c r="G1143" i="9"/>
  <c r="G1144" i="9"/>
  <c r="G1145" i="9"/>
  <c r="G1146" i="9"/>
  <c r="G1147" i="9"/>
  <c r="G1148" i="9"/>
  <c r="G1149" i="9"/>
  <c r="G1150" i="9"/>
  <c r="G1151" i="9"/>
  <c r="G1152" i="9"/>
  <c r="G1153" i="9"/>
  <c r="G1154" i="9"/>
  <c r="G1155" i="9"/>
  <c r="G1156" i="9"/>
  <c r="G1157" i="9"/>
  <c r="G1158" i="9"/>
  <c r="G1159" i="9"/>
  <c r="G1160" i="9"/>
  <c r="G1161" i="9"/>
  <c r="G1162" i="9"/>
  <c r="G1163" i="9"/>
  <c r="G1164" i="9"/>
  <c r="G1165" i="9"/>
  <c r="G1166" i="9"/>
  <c r="G1167" i="9"/>
  <c r="G1168" i="9"/>
  <c r="G1169" i="9"/>
  <c r="G1170" i="9"/>
  <c r="G1171" i="9"/>
  <c r="G1172" i="9"/>
  <c r="G1173" i="9"/>
  <c r="G1174" i="9"/>
  <c r="G1175" i="9"/>
  <c r="G1176" i="9"/>
  <c r="G1177" i="9"/>
  <c r="G1178" i="9"/>
  <c r="G1179" i="9"/>
  <c r="G1180" i="9"/>
  <c r="G1181" i="9"/>
  <c r="G1182" i="9"/>
  <c r="G1183" i="9"/>
  <c r="G1184" i="9"/>
  <c r="G1185" i="9"/>
  <c r="G1186" i="9"/>
  <c r="G1187" i="9"/>
  <c r="G1188" i="9"/>
  <c r="G1189" i="9"/>
  <c r="G1190" i="9"/>
  <c r="G1191" i="9"/>
  <c r="G1192" i="9"/>
  <c r="G1193" i="9"/>
  <c r="G1194" i="9"/>
  <c r="G1195" i="9"/>
  <c r="G1196" i="9"/>
  <c r="G1197" i="9"/>
  <c r="G1198" i="9"/>
  <c r="G1199" i="9"/>
  <c r="G1200" i="9"/>
  <c r="G1201" i="9"/>
  <c r="G1202" i="9"/>
  <c r="G1203" i="9"/>
  <c r="G1204" i="9"/>
  <c r="G1205" i="9"/>
  <c r="G1206" i="9"/>
  <c r="G1207" i="9"/>
  <c r="G1208" i="9"/>
  <c r="G1209" i="9"/>
  <c r="G1210" i="9"/>
  <c r="G1211" i="9"/>
  <c r="G1212" i="9"/>
  <c r="G1213" i="9"/>
  <c r="G1214" i="9"/>
  <c r="G1215" i="9"/>
  <c r="G1216" i="9"/>
  <c r="G1217" i="9"/>
  <c r="G1218" i="9"/>
  <c r="G1219" i="9"/>
  <c r="G1220" i="9"/>
  <c r="G1221" i="9"/>
  <c r="G1222" i="9"/>
  <c r="G1223" i="9"/>
  <c r="G1224" i="9"/>
  <c r="G1225" i="9"/>
  <c r="G1226" i="9"/>
  <c r="G1227" i="9"/>
  <c r="G1228" i="9"/>
  <c r="G1229" i="9"/>
  <c r="G1230" i="9"/>
  <c r="G1231" i="9"/>
  <c r="G1232" i="9"/>
  <c r="G1233" i="9"/>
  <c r="G1234" i="9"/>
  <c r="G1235" i="9"/>
  <c r="G1236" i="9"/>
  <c r="G1237" i="9"/>
  <c r="G1238" i="9"/>
  <c r="G1239" i="9"/>
  <c r="G1240" i="9"/>
  <c r="G1241" i="9"/>
  <c r="G1242" i="9"/>
  <c r="G1243" i="9"/>
  <c r="G1244" i="9"/>
  <c r="G1245" i="9"/>
  <c r="G1246" i="9"/>
  <c r="G1247" i="9"/>
  <c r="G1248" i="9"/>
  <c r="G1249" i="9"/>
  <c r="G1250" i="9"/>
  <c r="G1251" i="9"/>
  <c r="G1252" i="9"/>
  <c r="G1253" i="9"/>
  <c r="G1254" i="9"/>
  <c r="G1255" i="9"/>
  <c r="G1256" i="9"/>
  <c r="G1257" i="9"/>
  <c r="G1258" i="9"/>
  <c r="G1259" i="9"/>
  <c r="G1260" i="9"/>
  <c r="G1261" i="9"/>
  <c r="G1262" i="9"/>
  <c r="G1263" i="9"/>
  <c r="G1264" i="9"/>
  <c r="G1265" i="9"/>
  <c r="G1266" i="9"/>
  <c r="G1267" i="9"/>
  <c r="G1268" i="9"/>
  <c r="G1269" i="9"/>
  <c r="G1270" i="9"/>
  <c r="G1271" i="9"/>
  <c r="G1272" i="9"/>
  <c r="G1273" i="9"/>
  <c r="G1274" i="9"/>
  <c r="G1275" i="9"/>
  <c r="G1276" i="9"/>
  <c r="G1277" i="9"/>
  <c r="G1278" i="9"/>
  <c r="G1279" i="9"/>
  <c r="G1280" i="9"/>
  <c r="G1281" i="9"/>
  <c r="G1282" i="9"/>
  <c r="G1283" i="9"/>
  <c r="G1284" i="9"/>
  <c r="G1285" i="9"/>
  <c r="G1286" i="9"/>
  <c r="G1287" i="9"/>
  <c r="G1288" i="9"/>
  <c r="G1289" i="9"/>
  <c r="G1290" i="9"/>
  <c r="G1291" i="9"/>
  <c r="G1292" i="9"/>
  <c r="G1293" i="9"/>
  <c r="G1294" i="9"/>
  <c r="G1295" i="9"/>
  <c r="G1296" i="9"/>
  <c r="G1297" i="9"/>
  <c r="G1298" i="9"/>
  <c r="G1299" i="9"/>
  <c r="G1300" i="9"/>
  <c r="G1301" i="9"/>
  <c r="G1302" i="9"/>
  <c r="G1303" i="9"/>
  <c r="G1304" i="9"/>
  <c r="G1305" i="9"/>
  <c r="G1306" i="9"/>
  <c r="G1307" i="9"/>
  <c r="G1308" i="9"/>
  <c r="G1309" i="9"/>
  <c r="G1310" i="9"/>
  <c r="G1311" i="9"/>
  <c r="G1312" i="9"/>
  <c r="G1313" i="9"/>
  <c r="G1314" i="9"/>
  <c r="G1315" i="9"/>
  <c r="G1316" i="9"/>
  <c r="G1317" i="9"/>
  <c r="G1318" i="9"/>
  <c r="G1319" i="9"/>
  <c r="G1320" i="9"/>
  <c r="G1321" i="9"/>
  <c r="G1322" i="9"/>
  <c r="G1323" i="9"/>
  <c r="G1324" i="9"/>
  <c r="G1325" i="9"/>
  <c r="G1326" i="9"/>
  <c r="G1327" i="9"/>
  <c r="G1328" i="9"/>
  <c r="G1329" i="9"/>
  <c r="G1330" i="9"/>
  <c r="G1331" i="9"/>
  <c r="G1332" i="9"/>
  <c r="G1333" i="9"/>
  <c r="G1334" i="9"/>
  <c r="G1335" i="9"/>
  <c r="G1336" i="9"/>
  <c r="G1337" i="9"/>
  <c r="G1338" i="9"/>
  <c r="G1339" i="9"/>
  <c r="G1340" i="9"/>
  <c r="G1341" i="9"/>
  <c r="G1342" i="9"/>
  <c r="G1343" i="9"/>
  <c r="G1344" i="9"/>
  <c r="G1345" i="9"/>
  <c r="G1346" i="9"/>
  <c r="G1347" i="9"/>
  <c r="G1348" i="9"/>
  <c r="G1349" i="9"/>
  <c r="G1350" i="9"/>
  <c r="G1351" i="9"/>
  <c r="G1352" i="9"/>
  <c r="G1353" i="9"/>
  <c r="G1354" i="9"/>
  <c r="G1355" i="9"/>
  <c r="G1356" i="9"/>
  <c r="G1357" i="9"/>
  <c r="G1358" i="9"/>
  <c r="G1359" i="9"/>
  <c r="G1360" i="9"/>
  <c r="G1361" i="9"/>
  <c r="G1362" i="9"/>
  <c r="G1363" i="9"/>
  <c r="G1364" i="9"/>
  <c r="G1365" i="9"/>
  <c r="G1366" i="9"/>
  <c r="G1367" i="9"/>
  <c r="G1368" i="9"/>
  <c r="G1369" i="9"/>
  <c r="G1370" i="9"/>
  <c r="G1371" i="9"/>
  <c r="G1372" i="9"/>
  <c r="G1373" i="9"/>
  <c r="G1374" i="9"/>
  <c r="G1375" i="9"/>
  <c r="G1376" i="9"/>
  <c r="G1377" i="9"/>
  <c r="G1378" i="9"/>
  <c r="G1379" i="9"/>
  <c r="G1380" i="9"/>
  <c r="G1381" i="9"/>
  <c r="G1382" i="9"/>
  <c r="G1383" i="9"/>
  <c r="G1384" i="9"/>
  <c r="G1385" i="9"/>
  <c r="G1386" i="9"/>
  <c r="G1387" i="9"/>
  <c r="G1388" i="9"/>
  <c r="G1389" i="9"/>
  <c r="G1390" i="9"/>
  <c r="G1391" i="9"/>
  <c r="G1392" i="9"/>
  <c r="G1393" i="9"/>
  <c r="G1394" i="9"/>
  <c r="G1395" i="9"/>
  <c r="G1396" i="9"/>
  <c r="G1397" i="9"/>
  <c r="G1398" i="9"/>
  <c r="G1399" i="9"/>
  <c r="G1400" i="9"/>
  <c r="G1401" i="9"/>
  <c r="G1402" i="9"/>
  <c r="G1403" i="9"/>
  <c r="G1404" i="9"/>
  <c r="G1405" i="9"/>
  <c r="G1406" i="9"/>
  <c r="G1407" i="9"/>
  <c r="G1408" i="9"/>
  <c r="G1409" i="9"/>
  <c r="G1410" i="9"/>
  <c r="G1411" i="9"/>
  <c r="G1412" i="9"/>
  <c r="G1413" i="9"/>
  <c r="G1414" i="9"/>
  <c r="G1415" i="9"/>
  <c r="G1416" i="9"/>
  <c r="G1417" i="9"/>
  <c r="G1418" i="9"/>
  <c r="G1419" i="9"/>
  <c r="G1420" i="9"/>
  <c r="G1421" i="9"/>
  <c r="G1422" i="9"/>
  <c r="G1423" i="9"/>
  <c r="G1424" i="9"/>
  <c r="G1425" i="9"/>
  <c r="G1426" i="9"/>
  <c r="G1427" i="9"/>
  <c r="G1428" i="9"/>
  <c r="G1429" i="9"/>
  <c r="G1430" i="9"/>
  <c r="G1431" i="9"/>
  <c r="G1432" i="9"/>
  <c r="G1433" i="9"/>
  <c r="G1434" i="9"/>
  <c r="G1435" i="9"/>
  <c r="G1436" i="9"/>
  <c r="G1437" i="9"/>
  <c r="G1438" i="9"/>
  <c r="G1439" i="9"/>
  <c r="G1440" i="9"/>
  <c r="G1441" i="9"/>
  <c r="G1442" i="9"/>
  <c r="G1443" i="9"/>
  <c r="G1444" i="9"/>
  <c r="G1445" i="9"/>
  <c r="G1446" i="9"/>
  <c r="G1447" i="9"/>
  <c r="G1448" i="9"/>
  <c r="G1449" i="9"/>
  <c r="G1450" i="9"/>
  <c r="G1451" i="9"/>
  <c r="G1452" i="9"/>
  <c r="G1453" i="9"/>
  <c r="G1454" i="9"/>
  <c r="G1455" i="9"/>
  <c r="G1456" i="9"/>
  <c r="G1457" i="9"/>
  <c r="G1458" i="9"/>
  <c r="G1459" i="9"/>
  <c r="G1460" i="9"/>
  <c r="G1461" i="9"/>
  <c r="G1462" i="9"/>
  <c r="G1463" i="9"/>
  <c r="G1464" i="9"/>
  <c r="G1465" i="9"/>
  <c r="G1466" i="9"/>
  <c r="G1467" i="9"/>
  <c r="G1468" i="9"/>
  <c r="G1469" i="9"/>
  <c r="G1470" i="9"/>
  <c r="G1471" i="9"/>
  <c r="G1472" i="9"/>
  <c r="G1473" i="9"/>
  <c r="G1474" i="9"/>
  <c r="G1475" i="9"/>
  <c r="G1476" i="9"/>
  <c r="G1477" i="9"/>
  <c r="G1478" i="9"/>
  <c r="G1479" i="9"/>
  <c r="G1480" i="9"/>
  <c r="G1481" i="9"/>
  <c r="G1482" i="9"/>
  <c r="G1483" i="9"/>
  <c r="G1484" i="9"/>
  <c r="G1485" i="9"/>
  <c r="G1486" i="9"/>
  <c r="G1487" i="9"/>
  <c r="G1488" i="9"/>
  <c r="G1489" i="9"/>
  <c r="G1490" i="9"/>
  <c r="G1491" i="9"/>
  <c r="G1492" i="9"/>
  <c r="G1493" i="9"/>
  <c r="G1494" i="9"/>
  <c r="G1495" i="9"/>
  <c r="G1496" i="9"/>
  <c r="G1497" i="9"/>
  <c r="G1498" i="9"/>
  <c r="G1499" i="9"/>
  <c r="G1500" i="9"/>
  <c r="G1501" i="9"/>
  <c r="G1502" i="9"/>
  <c r="G1503" i="9"/>
  <c r="G1504" i="9"/>
  <c r="G1505" i="9"/>
  <c r="G1506" i="9"/>
  <c r="G1507" i="9"/>
  <c r="G1508" i="9"/>
  <c r="G1509" i="9"/>
  <c r="G1510" i="9"/>
  <c r="G1511" i="9"/>
  <c r="G1512" i="9"/>
  <c r="G1513" i="9"/>
  <c r="G1514" i="9"/>
  <c r="G1515" i="9"/>
  <c r="G1516" i="9"/>
  <c r="G1517" i="9"/>
  <c r="G1518" i="9"/>
  <c r="G1519" i="9"/>
  <c r="G1520" i="9"/>
  <c r="G1521" i="9"/>
  <c r="G1522" i="9"/>
  <c r="G1523" i="9"/>
  <c r="G1524" i="9"/>
  <c r="G1525" i="9"/>
  <c r="G1526" i="9"/>
  <c r="G1527" i="9"/>
  <c r="G1528" i="9"/>
  <c r="G1529" i="9"/>
  <c r="G1530" i="9"/>
  <c r="G1531" i="9"/>
  <c r="G1532" i="9"/>
  <c r="G1533" i="9"/>
  <c r="G1534" i="9"/>
  <c r="G1535" i="9"/>
  <c r="G1536" i="9"/>
  <c r="G1537" i="9"/>
  <c r="G1538" i="9"/>
  <c r="G1539" i="9"/>
  <c r="G1540" i="9"/>
  <c r="G1541" i="9"/>
  <c r="G1542" i="9"/>
  <c r="G1543" i="9"/>
  <c r="G1544" i="9"/>
  <c r="G1545" i="9"/>
  <c r="G1546" i="9"/>
  <c r="G1547" i="9"/>
  <c r="G1548" i="9"/>
  <c r="G1549" i="9"/>
  <c r="G1550" i="9"/>
  <c r="G1551" i="9"/>
  <c r="G1552" i="9"/>
  <c r="G1553" i="9"/>
  <c r="G1554" i="9"/>
  <c r="G1555" i="9"/>
  <c r="G1556" i="9"/>
  <c r="G1557" i="9"/>
  <c r="G1558" i="9"/>
  <c r="G1559" i="9"/>
  <c r="G1560" i="9"/>
  <c r="G1561" i="9"/>
  <c r="G1562" i="9"/>
  <c r="G1563" i="9"/>
  <c r="G1564" i="9"/>
  <c r="G1565" i="9"/>
  <c r="G1566" i="9"/>
  <c r="G1567" i="9"/>
  <c r="G1568" i="9"/>
  <c r="G1569" i="9"/>
  <c r="G1570" i="9"/>
  <c r="G1571" i="9"/>
  <c r="G1572" i="9"/>
  <c r="G1573" i="9"/>
  <c r="G1574" i="9"/>
  <c r="G1575" i="9"/>
  <c r="G1576" i="9"/>
  <c r="G1577" i="9"/>
  <c r="G1578" i="9"/>
  <c r="G1579" i="9"/>
  <c r="G1580" i="9"/>
  <c r="G1581" i="9"/>
  <c r="G1582" i="9"/>
  <c r="G1583" i="9"/>
  <c r="G1584" i="9"/>
  <c r="G1585" i="9"/>
  <c r="G1586" i="9"/>
  <c r="G1587" i="9"/>
  <c r="G1588" i="9"/>
  <c r="G1589" i="9"/>
  <c r="G1590" i="9"/>
  <c r="G1591" i="9"/>
  <c r="G1592" i="9"/>
  <c r="G1593" i="9"/>
  <c r="G1594" i="9"/>
  <c r="G1595" i="9"/>
  <c r="G1596" i="9"/>
  <c r="G1597" i="9"/>
  <c r="G1598" i="9"/>
  <c r="G1599" i="9"/>
  <c r="G1600" i="9"/>
  <c r="G1601" i="9"/>
  <c r="G1602" i="9"/>
  <c r="G1603" i="9"/>
  <c r="G1604" i="9"/>
  <c r="G1605" i="9"/>
  <c r="G1606" i="9"/>
  <c r="G1607" i="9"/>
  <c r="G1608" i="9"/>
  <c r="G1609" i="9"/>
  <c r="G1610" i="9"/>
  <c r="G1611" i="9"/>
  <c r="G1612" i="9"/>
  <c r="G1613" i="9"/>
  <c r="G1614" i="9"/>
  <c r="G1615" i="9"/>
  <c r="G1616" i="9"/>
  <c r="G1617" i="9"/>
  <c r="G1618" i="9"/>
  <c r="G1619" i="9"/>
  <c r="G1620" i="9"/>
  <c r="G1621" i="9"/>
  <c r="G1622" i="9"/>
  <c r="G1623" i="9"/>
  <c r="G1624" i="9"/>
  <c r="G1625" i="9"/>
  <c r="G1626" i="9"/>
  <c r="G1627" i="9"/>
  <c r="G1628" i="9"/>
  <c r="G1629" i="9"/>
  <c r="G1630" i="9"/>
  <c r="G1631" i="9"/>
  <c r="G1632" i="9"/>
  <c r="G1633" i="9"/>
  <c r="G1634" i="9"/>
  <c r="G1635" i="9"/>
  <c r="G1636" i="9"/>
  <c r="G1637" i="9"/>
  <c r="G1638" i="9"/>
  <c r="G1639" i="9"/>
  <c r="G1640" i="9"/>
  <c r="G1641" i="9"/>
  <c r="G1642" i="9"/>
  <c r="G1643" i="9"/>
  <c r="G1644" i="9"/>
  <c r="G1645" i="9"/>
  <c r="G1646" i="9"/>
  <c r="G1647" i="9"/>
  <c r="G1648" i="9"/>
  <c r="G1649" i="9"/>
  <c r="G1650" i="9"/>
  <c r="G1651" i="9"/>
  <c r="G1652" i="9"/>
  <c r="G1653" i="9"/>
  <c r="G1654" i="9"/>
  <c r="G1655" i="9"/>
  <c r="G1656" i="9"/>
  <c r="G1657" i="9"/>
  <c r="G1658" i="9"/>
  <c r="G1659" i="9"/>
  <c r="G1660" i="9"/>
  <c r="G1661" i="9"/>
  <c r="G1662" i="9"/>
  <c r="G1663" i="9"/>
  <c r="G1664" i="9"/>
  <c r="G1665" i="9"/>
  <c r="G1666" i="9"/>
  <c r="G1667" i="9"/>
  <c r="G1668" i="9"/>
  <c r="G1669" i="9"/>
  <c r="G1670" i="9"/>
  <c r="G1671" i="9"/>
  <c r="G1672" i="9"/>
  <c r="G1673" i="9"/>
  <c r="G1674" i="9"/>
  <c r="G1675" i="9"/>
  <c r="G1676" i="9"/>
  <c r="G1677" i="9"/>
  <c r="G1678" i="9"/>
  <c r="G1679" i="9"/>
  <c r="G1680" i="9"/>
  <c r="G1681" i="9"/>
  <c r="G1682" i="9"/>
  <c r="G1683" i="9"/>
  <c r="G1684" i="9"/>
  <c r="G1685" i="9"/>
  <c r="G1686" i="9"/>
  <c r="G1687" i="9"/>
  <c r="G1688" i="9"/>
  <c r="G1689" i="9"/>
  <c r="G1690" i="9"/>
  <c r="G1691" i="9"/>
  <c r="G1692" i="9"/>
  <c r="G1693" i="9"/>
  <c r="G1694" i="9"/>
  <c r="G1695" i="9"/>
  <c r="G1696" i="9"/>
  <c r="G1697" i="9"/>
  <c r="G1698" i="9"/>
  <c r="G1699" i="9"/>
  <c r="G1700" i="9"/>
  <c r="G1701" i="9"/>
  <c r="G1702" i="9"/>
  <c r="G1703" i="9"/>
  <c r="G1704" i="9"/>
  <c r="G1705" i="9"/>
  <c r="G1706" i="9"/>
  <c r="G1707" i="9"/>
  <c r="G1708" i="9"/>
  <c r="G1709" i="9"/>
  <c r="G1710" i="9"/>
  <c r="G1711" i="9"/>
  <c r="G1712" i="9"/>
  <c r="G1713" i="9"/>
  <c r="G1714" i="9"/>
  <c r="G1715" i="9"/>
  <c r="G1716" i="9"/>
  <c r="G1717" i="9"/>
  <c r="G1718" i="9"/>
  <c r="G1719" i="9"/>
  <c r="G1720" i="9"/>
  <c r="G1721" i="9"/>
  <c r="G1722" i="9"/>
  <c r="G1723" i="9"/>
  <c r="G1724" i="9"/>
  <c r="G1725" i="9"/>
  <c r="G1726" i="9"/>
  <c r="G1727" i="9"/>
  <c r="G1728" i="9"/>
  <c r="G1729" i="9"/>
  <c r="G1730" i="9"/>
  <c r="G1731" i="9"/>
  <c r="G1732" i="9"/>
  <c r="G1733" i="9"/>
  <c r="G1734" i="9"/>
  <c r="G1735" i="9"/>
  <c r="G1736" i="9"/>
  <c r="G1737" i="9"/>
  <c r="G1738" i="9"/>
  <c r="G1739" i="9"/>
  <c r="G1740" i="9"/>
  <c r="G1741" i="9"/>
  <c r="G1742" i="9"/>
  <c r="G1743" i="9"/>
  <c r="G1744" i="9"/>
  <c r="G1745" i="9"/>
  <c r="G1746" i="9"/>
  <c r="G1747" i="9"/>
  <c r="G1748" i="9"/>
  <c r="G1749" i="9"/>
  <c r="G1750" i="9"/>
  <c r="G1751" i="9"/>
  <c r="G1752" i="9"/>
  <c r="G1753" i="9"/>
  <c r="G1754" i="9"/>
  <c r="G1755" i="9"/>
  <c r="G1756" i="9"/>
  <c r="G1757" i="9"/>
  <c r="G1758" i="9"/>
  <c r="G1759" i="9"/>
  <c r="G1760" i="9"/>
  <c r="G1761" i="9"/>
  <c r="G1762" i="9"/>
  <c r="G1763" i="9"/>
  <c r="G1764" i="9"/>
  <c r="G1765" i="9"/>
  <c r="G1766" i="9"/>
  <c r="G1767" i="9"/>
  <c r="G1768" i="9"/>
  <c r="G1769" i="9"/>
  <c r="G1770" i="9"/>
  <c r="G1771" i="9"/>
  <c r="G1772" i="9"/>
  <c r="G1773" i="9"/>
  <c r="G1774" i="9"/>
  <c r="G1775" i="9"/>
  <c r="G1776" i="9"/>
  <c r="G1777" i="9"/>
  <c r="G1778" i="9"/>
  <c r="G1779" i="9"/>
  <c r="G1780" i="9"/>
  <c r="G1781" i="9"/>
  <c r="G1782" i="9"/>
  <c r="G1783" i="9"/>
  <c r="G1784" i="9"/>
  <c r="G1785" i="9"/>
  <c r="G1786" i="9"/>
  <c r="G1787" i="9"/>
  <c r="G1788" i="9"/>
  <c r="G1789" i="9"/>
  <c r="G1790" i="9"/>
  <c r="G1791" i="9"/>
  <c r="G1792" i="9"/>
  <c r="G1793" i="9"/>
  <c r="G1794" i="9"/>
  <c r="G1795" i="9"/>
  <c r="G1796" i="9"/>
  <c r="G1797" i="9"/>
  <c r="G1798" i="9"/>
  <c r="G1799" i="9"/>
  <c r="G1800" i="9"/>
  <c r="G1801" i="9"/>
  <c r="G1802" i="9"/>
  <c r="G1803" i="9"/>
  <c r="G1804" i="9"/>
  <c r="G1805" i="9"/>
  <c r="G1806" i="9"/>
  <c r="G1807" i="9"/>
  <c r="G1808" i="9"/>
  <c r="G1809" i="9"/>
  <c r="G1810" i="9"/>
  <c r="G1811" i="9"/>
  <c r="G1812" i="9"/>
  <c r="G1813" i="9"/>
  <c r="G1814" i="9"/>
  <c r="G1815" i="9"/>
  <c r="G1816" i="9"/>
  <c r="G1817" i="9"/>
  <c r="G1818" i="9"/>
  <c r="G1819" i="9"/>
  <c r="G1820" i="9"/>
  <c r="G1821" i="9"/>
  <c r="G1822" i="9"/>
  <c r="G1823" i="9"/>
  <c r="G1824" i="9"/>
  <c r="G1825" i="9"/>
  <c r="G1826" i="9"/>
  <c r="G1827" i="9"/>
  <c r="G1828" i="9"/>
  <c r="G1829" i="9"/>
  <c r="G1830" i="9"/>
  <c r="G1831" i="9"/>
  <c r="G1832" i="9"/>
  <c r="G1833" i="9"/>
  <c r="G1834" i="9"/>
  <c r="G1835" i="9"/>
  <c r="G1836" i="9"/>
  <c r="G1837" i="9"/>
  <c r="G1838" i="9"/>
  <c r="G1839" i="9"/>
  <c r="G1840" i="9"/>
  <c r="G1841" i="9"/>
  <c r="G1842" i="9"/>
  <c r="G1843" i="9"/>
  <c r="G1844" i="9"/>
  <c r="G1845" i="9"/>
  <c r="G1846" i="9"/>
  <c r="G1847" i="9"/>
  <c r="G1848" i="9"/>
  <c r="G1849" i="9"/>
  <c r="G1850" i="9"/>
  <c r="G1851" i="9"/>
  <c r="G1852" i="9"/>
  <c r="G1853" i="9"/>
  <c r="G1854" i="9"/>
  <c r="G1855" i="9"/>
  <c r="G1856" i="9"/>
  <c r="G1857" i="9"/>
  <c r="G1858" i="9"/>
  <c r="G1859" i="9"/>
  <c r="G1860" i="9"/>
  <c r="G1861" i="9"/>
  <c r="G1862" i="9"/>
  <c r="G1863" i="9"/>
  <c r="G1864" i="9"/>
  <c r="G1865" i="9"/>
  <c r="G1866" i="9"/>
  <c r="G1867" i="9"/>
  <c r="G1868" i="9"/>
  <c r="G1869" i="9"/>
  <c r="G1870" i="9"/>
  <c r="G1871" i="9"/>
  <c r="G1872" i="9"/>
  <c r="G1873" i="9"/>
  <c r="G1874" i="9"/>
  <c r="G1875" i="9"/>
  <c r="G1876" i="9"/>
  <c r="G1877" i="9"/>
  <c r="G1878" i="9"/>
  <c r="G1879" i="9"/>
  <c r="G1880" i="9"/>
  <c r="G1881" i="9"/>
  <c r="G1882" i="9"/>
  <c r="G1883" i="9"/>
  <c r="G1884" i="9"/>
  <c r="G1885" i="9"/>
  <c r="G1886" i="9"/>
  <c r="G1887" i="9"/>
  <c r="G1888" i="9"/>
  <c r="G1889" i="9"/>
  <c r="G1890" i="9"/>
  <c r="G1891" i="9"/>
  <c r="G1892" i="9"/>
  <c r="G1893" i="9"/>
  <c r="G1894" i="9"/>
  <c r="G1895" i="9"/>
  <c r="G1896" i="9"/>
  <c r="G1897" i="9"/>
  <c r="G1898" i="9"/>
  <c r="G1899" i="9"/>
  <c r="G1900" i="9"/>
  <c r="G1901" i="9"/>
  <c r="G1902" i="9"/>
  <c r="G1903" i="9"/>
  <c r="G1904" i="9"/>
  <c r="G1905" i="9"/>
  <c r="G1906" i="9"/>
  <c r="G1907" i="9"/>
  <c r="G1908" i="9"/>
  <c r="G1909" i="9"/>
  <c r="G1910" i="9"/>
  <c r="G1911" i="9"/>
  <c r="G1912" i="9"/>
  <c r="G1913" i="9"/>
  <c r="G1914" i="9"/>
  <c r="G1915" i="9"/>
  <c r="G1916" i="9"/>
  <c r="G1917" i="9"/>
  <c r="G1918" i="9"/>
  <c r="G1919" i="9"/>
  <c r="G1920" i="9"/>
  <c r="G1921" i="9"/>
  <c r="G1922" i="9"/>
  <c r="G1923" i="9"/>
  <c r="G1924" i="9"/>
  <c r="G1925" i="9"/>
  <c r="G1926" i="9"/>
  <c r="G1927" i="9"/>
  <c r="G1928" i="9"/>
  <c r="G1929" i="9"/>
  <c r="G1930" i="9"/>
  <c r="G1931" i="9"/>
  <c r="G1932" i="9"/>
  <c r="G1933" i="9"/>
  <c r="G1934" i="9"/>
  <c r="G1935" i="9"/>
  <c r="G1936" i="9"/>
  <c r="G1937" i="9"/>
  <c r="G1938" i="9"/>
  <c r="G1939" i="9"/>
  <c r="G1940" i="9"/>
  <c r="G1941" i="9"/>
  <c r="G1942" i="9"/>
  <c r="G1943" i="9"/>
  <c r="G1944" i="9"/>
  <c r="G1945" i="9"/>
  <c r="G1946" i="9"/>
  <c r="G1947" i="9"/>
  <c r="G1948" i="9"/>
  <c r="G1949" i="9"/>
  <c r="G1950" i="9"/>
  <c r="G1951" i="9"/>
  <c r="G1952" i="9"/>
  <c r="G1953" i="9"/>
  <c r="G1954" i="9"/>
  <c r="G1955" i="9"/>
  <c r="G1956" i="9"/>
  <c r="G1957" i="9"/>
  <c r="G1958" i="9"/>
  <c r="G1959" i="9"/>
  <c r="G1960" i="9"/>
  <c r="G1961" i="9"/>
  <c r="G1962" i="9"/>
  <c r="G1963" i="9"/>
  <c r="G1964" i="9"/>
  <c r="G1965" i="9"/>
  <c r="G1966" i="9"/>
  <c r="G1967" i="9"/>
  <c r="G1968" i="9"/>
  <c r="G1969" i="9"/>
  <c r="G1970" i="9"/>
  <c r="G1971" i="9"/>
  <c r="G1972" i="9"/>
  <c r="G1973" i="9"/>
  <c r="G1974" i="9"/>
  <c r="G1975" i="9"/>
  <c r="G1976" i="9"/>
  <c r="G1977" i="9"/>
  <c r="G1978" i="9"/>
  <c r="G1979" i="9"/>
  <c r="G1980" i="9"/>
  <c r="G1981" i="9"/>
  <c r="G1982" i="9"/>
  <c r="G1983" i="9"/>
  <c r="G1984" i="9"/>
  <c r="G1985" i="9"/>
  <c r="G1986" i="9"/>
  <c r="G1987" i="9"/>
  <c r="G1988" i="9"/>
  <c r="G1989" i="9"/>
  <c r="G1990" i="9"/>
  <c r="G1991" i="9"/>
  <c r="G1992" i="9"/>
  <c r="G1993" i="9"/>
  <c r="G1994" i="9"/>
  <c r="G1995" i="9"/>
  <c r="G1996" i="9"/>
  <c r="G1997" i="9"/>
  <c r="G1998" i="9"/>
  <c r="G1999" i="9"/>
  <c r="G2000" i="9"/>
  <c r="G2001" i="9"/>
  <c r="G2002" i="9"/>
  <c r="G2003" i="9"/>
  <c r="G2004" i="9"/>
  <c r="G2005" i="9"/>
  <c r="G2006" i="9"/>
  <c r="G2007" i="9"/>
  <c r="G2008" i="9"/>
  <c r="G2009" i="9"/>
  <c r="G2010" i="9"/>
  <c r="G2011" i="9"/>
  <c r="G2012" i="9"/>
  <c r="G2013" i="9"/>
  <c r="G2014" i="9"/>
  <c r="G2015" i="9"/>
  <c r="G2016" i="9"/>
  <c r="G2017" i="9"/>
  <c r="G2018" i="9"/>
  <c r="G2019" i="9"/>
  <c r="G2020" i="9"/>
  <c r="G2021" i="9"/>
  <c r="G2022" i="9"/>
  <c r="G2023" i="9"/>
  <c r="G2024" i="9"/>
  <c r="G2025" i="9"/>
  <c r="G2026" i="9"/>
  <c r="G2027" i="9"/>
  <c r="G2028" i="9"/>
  <c r="G2029" i="9"/>
  <c r="G2030" i="9"/>
  <c r="G2031" i="9"/>
  <c r="G2032" i="9"/>
  <c r="G2033" i="9"/>
  <c r="G2034" i="9"/>
  <c r="G2035" i="9"/>
  <c r="G2036" i="9"/>
  <c r="G2037" i="9"/>
  <c r="G2038" i="9"/>
  <c r="G2039" i="9"/>
  <c r="G2040" i="9"/>
  <c r="G2041" i="9"/>
  <c r="G2042" i="9"/>
  <c r="G2043" i="9"/>
  <c r="G2044" i="9"/>
  <c r="G2045" i="9"/>
  <c r="G2046" i="9"/>
  <c r="G2047" i="9"/>
  <c r="G2048" i="9"/>
  <c r="G2049" i="9"/>
  <c r="G2050" i="9"/>
  <c r="G2051" i="9"/>
  <c r="G2052" i="9"/>
  <c r="G2053" i="9"/>
  <c r="G2054" i="9"/>
  <c r="G2055" i="9"/>
  <c r="G2056" i="9"/>
  <c r="G2057" i="9"/>
  <c r="G2058" i="9"/>
  <c r="G2059" i="9"/>
  <c r="G2060" i="9"/>
  <c r="G2061" i="9"/>
  <c r="G2062" i="9"/>
  <c r="G2063" i="9"/>
  <c r="G2064" i="9"/>
  <c r="G2065" i="9"/>
  <c r="G2066" i="9"/>
  <c r="G2067" i="9"/>
  <c r="G2068" i="9"/>
  <c r="G2069" i="9"/>
  <c r="G2070" i="9"/>
  <c r="G2071" i="9"/>
  <c r="G2072" i="9"/>
  <c r="G2073" i="9"/>
  <c r="G2074" i="9"/>
  <c r="G2075" i="9"/>
  <c r="G2076" i="9"/>
  <c r="G2077" i="9"/>
  <c r="G2078" i="9"/>
  <c r="G2079" i="9"/>
  <c r="G2080" i="9"/>
  <c r="G2081" i="9"/>
  <c r="G2082" i="9"/>
  <c r="G2083" i="9"/>
  <c r="G2084" i="9"/>
  <c r="G2085" i="9"/>
  <c r="G2086" i="9"/>
  <c r="G2087" i="9"/>
  <c r="G2088" i="9"/>
  <c r="G2089" i="9"/>
  <c r="G2090" i="9"/>
  <c r="G2091" i="9"/>
  <c r="G2092" i="9"/>
  <c r="G2093" i="9"/>
  <c r="G2094" i="9"/>
  <c r="G2095" i="9"/>
  <c r="G2096" i="9"/>
  <c r="G2097" i="9"/>
  <c r="G2098" i="9"/>
  <c r="G2099" i="9"/>
  <c r="G2100" i="9"/>
  <c r="G2101" i="9"/>
  <c r="G2102" i="9"/>
  <c r="G2103" i="9"/>
  <c r="G2104" i="9"/>
  <c r="G2105" i="9"/>
  <c r="G2106" i="9"/>
  <c r="G2107" i="9"/>
  <c r="G2108" i="9"/>
  <c r="G2109" i="9"/>
  <c r="G2110" i="9"/>
  <c r="G2111" i="9"/>
  <c r="G2112" i="9"/>
  <c r="G2113" i="9"/>
  <c r="G2114" i="9"/>
  <c r="G2115" i="9"/>
  <c r="G2116" i="9"/>
  <c r="G2117" i="9"/>
  <c r="G2118" i="9"/>
  <c r="G2119" i="9"/>
  <c r="G2120" i="9"/>
  <c r="G2121" i="9"/>
  <c r="G2122" i="9"/>
  <c r="G2123" i="9"/>
  <c r="G2124" i="9"/>
  <c r="G2125" i="9"/>
  <c r="G2126" i="9"/>
  <c r="G2127" i="9"/>
  <c r="G2128" i="9"/>
  <c r="G2129" i="9"/>
  <c r="G2130" i="9"/>
  <c r="G2131" i="9"/>
  <c r="G2132" i="9"/>
  <c r="G2133" i="9"/>
  <c r="G2134" i="9"/>
  <c r="G2135" i="9"/>
  <c r="G2136" i="9"/>
  <c r="G2137" i="9"/>
  <c r="G2138" i="9"/>
  <c r="G2139" i="9"/>
  <c r="G2140" i="9"/>
  <c r="G2141" i="9"/>
  <c r="G2142" i="9"/>
  <c r="G2143" i="9"/>
  <c r="G2144" i="9"/>
  <c r="G2145" i="9"/>
  <c r="G2146" i="9"/>
  <c r="G2147" i="9"/>
  <c r="G2148" i="9"/>
  <c r="G2149" i="9"/>
  <c r="G2150" i="9"/>
  <c r="G2151" i="9"/>
  <c r="G2152" i="9"/>
  <c r="G2153" i="9"/>
  <c r="G2154" i="9"/>
  <c r="G2155" i="9"/>
  <c r="G2156" i="9"/>
  <c r="G2157" i="9"/>
  <c r="G2158" i="9"/>
  <c r="G2159" i="9"/>
  <c r="G2160" i="9"/>
  <c r="G2161" i="9"/>
  <c r="G2162" i="9"/>
  <c r="G2163" i="9"/>
  <c r="G2164" i="9"/>
  <c r="G2165" i="9"/>
  <c r="G2166" i="9"/>
  <c r="G2167" i="9"/>
  <c r="G2168" i="9"/>
  <c r="G2169" i="9"/>
  <c r="G2170" i="9"/>
  <c r="G2171" i="9"/>
  <c r="G2172" i="9"/>
  <c r="G2173" i="9"/>
  <c r="G2174" i="9"/>
  <c r="G2175" i="9"/>
  <c r="G2176" i="9"/>
  <c r="G2177" i="9"/>
  <c r="G2178" i="9"/>
  <c r="G2179" i="9"/>
  <c r="G2180" i="9"/>
  <c r="G2181" i="9"/>
  <c r="G2182" i="9"/>
  <c r="G2183" i="9"/>
  <c r="G2184" i="9"/>
  <c r="G2185" i="9"/>
  <c r="G2186" i="9"/>
  <c r="G2187" i="9"/>
  <c r="G2188" i="9"/>
  <c r="G2189" i="9"/>
  <c r="G2190" i="9"/>
  <c r="G2191" i="9"/>
  <c r="G2192" i="9"/>
  <c r="G2193" i="9"/>
  <c r="G2194" i="9"/>
  <c r="G2195" i="9"/>
  <c r="G2196" i="9"/>
  <c r="G2197" i="9"/>
  <c r="G2198" i="9"/>
  <c r="G2199" i="9"/>
  <c r="G2200" i="9"/>
  <c r="G2201" i="9"/>
  <c r="G2202" i="9"/>
  <c r="G2203" i="9"/>
  <c r="G2204" i="9"/>
  <c r="G2205" i="9"/>
  <c r="G2206" i="9"/>
  <c r="G2207" i="9"/>
  <c r="G2208" i="9"/>
  <c r="G2209" i="9"/>
  <c r="G2210" i="9"/>
  <c r="G2211" i="9"/>
  <c r="G2212" i="9"/>
  <c r="G2213" i="9"/>
  <c r="G2214" i="9"/>
  <c r="G2215" i="9"/>
  <c r="G2216" i="9"/>
  <c r="G2217" i="9"/>
  <c r="G2218" i="9"/>
  <c r="G2219" i="9"/>
  <c r="G2220" i="9"/>
  <c r="G2221" i="9"/>
  <c r="G2222" i="9"/>
  <c r="G2223" i="9"/>
  <c r="G2224" i="9"/>
  <c r="G2225" i="9"/>
  <c r="G2226" i="9"/>
  <c r="G2227" i="9"/>
  <c r="G2228" i="9"/>
  <c r="G2229" i="9"/>
  <c r="G2230" i="9"/>
  <c r="G2231" i="9"/>
  <c r="G2232" i="9"/>
  <c r="G2233" i="9"/>
  <c r="G2234" i="9"/>
  <c r="G2235" i="9"/>
  <c r="G2236" i="9"/>
  <c r="G2237" i="9"/>
  <c r="G2238" i="9"/>
  <c r="G2239" i="9"/>
  <c r="G2240" i="9"/>
  <c r="G2241" i="9"/>
  <c r="G2242" i="9"/>
  <c r="G2243" i="9"/>
  <c r="G2244" i="9"/>
  <c r="G2245" i="9"/>
  <c r="G2246" i="9"/>
  <c r="G2247" i="9"/>
  <c r="G2248" i="9"/>
  <c r="G2249" i="9"/>
  <c r="G2250" i="9"/>
  <c r="G2251" i="9"/>
  <c r="G2252" i="9"/>
  <c r="G2253" i="9"/>
  <c r="G2254" i="9"/>
  <c r="G2255" i="9"/>
  <c r="G2256" i="9"/>
  <c r="G2257" i="9"/>
  <c r="G2258" i="9"/>
  <c r="G2259" i="9"/>
  <c r="G2260" i="9"/>
  <c r="G2261" i="9"/>
  <c r="G2262" i="9"/>
  <c r="G2263" i="9"/>
  <c r="G2264" i="9"/>
  <c r="G2265" i="9"/>
  <c r="G2266" i="9"/>
  <c r="G2267" i="9"/>
  <c r="G2268" i="9"/>
  <c r="G2269" i="9"/>
  <c r="G2270" i="9"/>
  <c r="G2271" i="9"/>
  <c r="G2272" i="9"/>
  <c r="G2273" i="9"/>
  <c r="G2274" i="9"/>
  <c r="G2275" i="9"/>
  <c r="G2276" i="9"/>
  <c r="G2277" i="9"/>
  <c r="G2278" i="9"/>
  <c r="G2279" i="9"/>
  <c r="G2280" i="9"/>
  <c r="G2281" i="9"/>
  <c r="G2282" i="9"/>
  <c r="G2283" i="9"/>
  <c r="G2284" i="9"/>
  <c r="G2285" i="9"/>
  <c r="G2286" i="9"/>
  <c r="G2287" i="9"/>
  <c r="G2288" i="9"/>
  <c r="G2289" i="9"/>
  <c r="G2290" i="9"/>
  <c r="G2291" i="9"/>
  <c r="G2292" i="9"/>
  <c r="G2293" i="9"/>
  <c r="G2294" i="9"/>
  <c r="G2295" i="9"/>
  <c r="G2296" i="9"/>
  <c r="G2297" i="9"/>
  <c r="G2298" i="9"/>
  <c r="G2299" i="9"/>
  <c r="G2300" i="9"/>
  <c r="G2301" i="9"/>
  <c r="G2302" i="9"/>
  <c r="G2303" i="9"/>
  <c r="G2304" i="9"/>
  <c r="G2305" i="9"/>
  <c r="G2306" i="9"/>
  <c r="G2307" i="9"/>
  <c r="G2308" i="9"/>
  <c r="G2309" i="9"/>
  <c r="G2310" i="9"/>
  <c r="G2311" i="9"/>
  <c r="G2312" i="9"/>
  <c r="G2313" i="9"/>
  <c r="G2314" i="9"/>
  <c r="G2315" i="9"/>
  <c r="G2316" i="9"/>
  <c r="G2317" i="9"/>
  <c r="G2318" i="9"/>
  <c r="G2319" i="9"/>
  <c r="G2320" i="9"/>
  <c r="G2321" i="9"/>
  <c r="G2322" i="9"/>
  <c r="G2323" i="9"/>
  <c r="G2324" i="9"/>
  <c r="G2325" i="9"/>
  <c r="G2326" i="9"/>
  <c r="G2327" i="9"/>
  <c r="G2328" i="9"/>
  <c r="G2329" i="9"/>
  <c r="G2330" i="9"/>
  <c r="G2331" i="9"/>
  <c r="G2332" i="9"/>
  <c r="G2333" i="9"/>
  <c r="G2334" i="9"/>
  <c r="G2335" i="9"/>
  <c r="G2336" i="9"/>
  <c r="G2337" i="9"/>
  <c r="G2338" i="9"/>
  <c r="G2339" i="9"/>
  <c r="G2340" i="9"/>
  <c r="G2341" i="9"/>
  <c r="G2342" i="9"/>
  <c r="G2343" i="9"/>
  <c r="G2344" i="9"/>
  <c r="G2345" i="9"/>
  <c r="G2346" i="9"/>
  <c r="G2347" i="9"/>
  <c r="G2348" i="9"/>
  <c r="G2349" i="9"/>
  <c r="G2350" i="9"/>
  <c r="G2351" i="9"/>
  <c r="G2352" i="9"/>
  <c r="G2353" i="9"/>
  <c r="G2354" i="9"/>
  <c r="G2355" i="9"/>
  <c r="G2356" i="9"/>
  <c r="G2357" i="9"/>
  <c r="G2358" i="9"/>
  <c r="G2359" i="9"/>
  <c r="G2360" i="9"/>
  <c r="G2361" i="9"/>
  <c r="G2362" i="9"/>
  <c r="G2363" i="9"/>
  <c r="G2364" i="9"/>
  <c r="G2365" i="9"/>
  <c r="G2366" i="9"/>
  <c r="G2367" i="9"/>
  <c r="G2368" i="9"/>
  <c r="G2369" i="9"/>
  <c r="G2370" i="9"/>
  <c r="G2371" i="9"/>
  <c r="G2372" i="9"/>
  <c r="G2373" i="9"/>
  <c r="G2374" i="9"/>
  <c r="G2375" i="9"/>
  <c r="G2376" i="9"/>
  <c r="G2377" i="9"/>
  <c r="G2378" i="9"/>
  <c r="G2379" i="9"/>
  <c r="G2380" i="9"/>
  <c r="G2381" i="9"/>
  <c r="G2382" i="9"/>
  <c r="G2383" i="9"/>
  <c r="G2384" i="9"/>
  <c r="G2385" i="9"/>
  <c r="G2386" i="9"/>
  <c r="G2387" i="9"/>
  <c r="G2388" i="9"/>
  <c r="G2389" i="9"/>
  <c r="G2390" i="9"/>
  <c r="G2391" i="9"/>
  <c r="G2392" i="9"/>
  <c r="G2393" i="9"/>
  <c r="G2394" i="9"/>
  <c r="G2395" i="9"/>
  <c r="G2396" i="9"/>
  <c r="G2397" i="9"/>
  <c r="G2398" i="9"/>
  <c r="G2399" i="9"/>
  <c r="G2400" i="9"/>
  <c r="G2401" i="9"/>
  <c r="G2402" i="9"/>
  <c r="G2403" i="9"/>
  <c r="G2404" i="9"/>
  <c r="G2405" i="9"/>
  <c r="G2406" i="9"/>
  <c r="G2407" i="9"/>
  <c r="G2408" i="9"/>
  <c r="G2409" i="9"/>
  <c r="G2410" i="9"/>
  <c r="G2411" i="9"/>
  <c r="G2412" i="9"/>
  <c r="G2413" i="9"/>
  <c r="G2414" i="9"/>
  <c r="G2415" i="9"/>
  <c r="G2416" i="9"/>
  <c r="G2417" i="9"/>
  <c r="G2418" i="9"/>
  <c r="G2419" i="9"/>
  <c r="G2420" i="9"/>
  <c r="G2421" i="9"/>
  <c r="G2422" i="9"/>
  <c r="G2423" i="9"/>
  <c r="G2424" i="9"/>
  <c r="G2425" i="9"/>
  <c r="G2426" i="9"/>
  <c r="G2427" i="9"/>
  <c r="G2428" i="9"/>
  <c r="G2429" i="9"/>
  <c r="G2430" i="9"/>
  <c r="G2431" i="9"/>
  <c r="G2432" i="9"/>
  <c r="G2433" i="9"/>
  <c r="G2434" i="9"/>
  <c r="G2435" i="9"/>
  <c r="G2436" i="9"/>
  <c r="G2437" i="9"/>
  <c r="G2438" i="9"/>
  <c r="G2439" i="9"/>
  <c r="G2440" i="9"/>
  <c r="G2441" i="9"/>
  <c r="G2442" i="9"/>
  <c r="G2443" i="9"/>
  <c r="G2444" i="9"/>
  <c r="G2445" i="9"/>
  <c r="G2446" i="9"/>
  <c r="G2447" i="9"/>
  <c r="G2448" i="9"/>
  <c r="G2449" i="9"/>
  <c r="G2450" i="9"/>
  <c r="G2451" i="9"/>
  <c r="G2452" i="9"/>
  <c r="G2453" i="9"/>
  <c r="G2454" i="9"/>
  <c r="G2455" i="9"/>
  <c r="G2456" i="9"/>
  <c r="G2457" i="9"/>
  <c r="G2458" i="9"/>
  <c r="G2459" i="9"/>
  <c r="G2460" i="9"/>
  <c r="G2461" i="9"/>
  <c r="G2462" i="9"/>
  <c r="G2463" i="9"/>
  <c r="G2464" i="9"/>
  <c r="G2465" i="9"/>
  <c r="G2466" i="9"/>
  <c r="G2467" i="9"/>
  <c r="G2468" i="9"/>
  <c r="G2469" i="9"/>
  <c r="G2470" i="9"/>
  <c r="G2471" i="9"/>
  <c r="G2472" i="9"/>
  <c r="G2473" i="9"/>
  <c r="G2474" i="9"/>
  <c r="G2475" i="9"/>
  <c r="G2476" i="9"/>
  <c r="G2477" i="9"/>
  <c r="G2478" i="9"/>
  <c r="G2479" i="9"/>
  <c r="G2480" i="9"/>
  <c r="G2481" i="9"/>
  <c r="G2482" i="9"/>
  <c r="G2483" i="9"/>
  <c r="G2484" i="9"/>
  <c r="G2485" i="9"/>
  <c r="G2486" i="9"/>
  <c r="G2487" i="9"/>
  <c r="G2488" i="9"/>
  <c r="G2489" i="9"/>
  <c r="G2490" i="9"/>
  <c r="G2491" i="9"/>
  <c r="G2492" i="9"/>
  <c r="G2493" i="9"/>
  <c r="G2494" i="9"/>
  <c r="G2495" i="9"/>
  <c r="G2496" i="9"/>
  <c r="G2497" i="9"/>
  <c r="G2498" i="9"/>
  <c r="G2499" i="9"/>
  <c r="G2500" i="9"/>
  <c r="G2501" i="9"/>
  <c r="G2502" i="9"/>
  <c r="G2503" i="9"/>
  <c r="G2504" i="9"/>
  <c r="G2505" i="9"/>
  <c r="G2506" i="9"/>
  <c r="G2507" i="9"/>
  <c r="G2508" i="9"/>
  <c r="G2509" i="9"/>
  <c r="G2510" i="9"/>
  <c r="G2511" i="9"/>
  <c r="G2512" i="9"/>
  <c r="G2513" i="9"/>
  <c r="G2514" i="9"/>
  <c r="G2515" i="9"/>
  <c r="G2516" i="9"/>
  <c r="G2517" i="9"/>
  <c r="G2518" i="9"/>
  <c r="G2519" i="9"/>
  <c r="G2520" i="9"/>
  <c r="G2521" i="9"/>
  <c r="G2522" i="9"/>
  <c r="G2523" i="9"/>
  <c r="G2524" i="9"/>
  <c r="G2525" i="9"/>
  <c r="G2526" i="9"/>
  <c r="G2527" i="9"/>
  <c r="G2528" i="9"/>
  <c r="G2529" i="9"/>
  <c r="G2530" i="9"/>
  <c r="G2531" i="9"/>
  <c r="G2532" i="9"/>
  <c r="G2533" i="9"/>
  <c r="G2534" i="9"/>
  <c r="G2535" i="9"/>
  <c r="G2536" i="9"/>
  <c r="G2537" i="9"/>
  <c r="G2538" i="9"/>
  <c r="G2539" i="9"/>
  <c r="G2540" i="9"/>
  <c r="G2541" i="9"/>
  <c r="G2542" i="9"/>
  <c r="G2543" i="9"/>
  <c r="G2544" i="9"/>
  <c r="G2545" i="9"/>
  <c r="G2546" i="9"/>
  <c r="G2547" i="9"/>
  <c r="G2548" i="9"/>
  <c r="G2549" i="9"/>
  <c r="G2550" i="9"/>
  <c r="G2551" i="9"/>
  <c r="G2552" i="9"/>
  <c r="G2553" i="9"/>
  <c r="G2554" i="9"/>
  <c r="G2555" i="9"/>
  <c r="G2556" i="9"/>
  <c r="G2557" i="9"/>
  <c r="G2558" i="9"/>
  <c r="G2559" i="9"/>
  <c r="G2560" i="9"/>
  <c r="G2561" i="9"/>
  <c r="G2562" i="9"/>
  <c r="G2563" i="9"/>
  <c r="G2564" i="9"/>
  <c r="G2565" i="9"/>
  <c r="G2566" i="9"/>
  <c r="G2567" i="9"/>
  <c r="G2568" i="9"/>
  <c r="G2569" i="9"/>
  <c r="G2570" i="9"/>
  <c r="G2571" i="9"/>
  <c r="G2572" i="9"/>
  <c r="G2573" i="9"/>
  <c r="G2574" i="9"/>
  <c r="G2575" i="9"/>
  <c r="G2576" i="9"/>
  <c r="G2577" i="9"/>
  <c r="G2578" i="9"/>
  <c r="G2579" i="9"/>
  <c r="G2580" i="9"/>
  <c r="G2581" i="9"/>
  <c r="G2582" i="9"/>
  <c r="G2583" i="9"/>
  <c r="G2584" i="9"/>
  <c r="G2585" i="9"/>
  <c r="G2586" i="9"/>
  <c r="G2587" i="9"/>
  <c r="G2588" i="9"/>
  <c r="G2589" i="9"/>
  <c r="G2590" i="9"/>
  <c r="G2591" i="9"/>
  <c r="G2592" i="9"/>
  <c r="G2593" i="9"/>
  <c r="G2594" i="9"/>
  <c r="G2595" i="9"/>
  <c r="G2596" i="9"/>
  <c r="G2597" i="9"/>
  <c r="G2598" i="9"/>
  <c r="G2599" i="9"/>
  <c r="G2600" i="9"/>
  <c r="G2601" i="9"/>
  <c r="G2602" i="9"/>
  <c r="G2603" i="9"/>
  <c r="G2604" i="9"/>
  <c r="G2605" i="9"/>
  <c r="G2606" i="9"/>
  <c r="G2607" i="9"/>
  <c r="G2608" i="9"/>
  <c r="G2609" i="9"/>
  <c r="G2610" i="9"/>
  <c r="G2611" i="9"/>
  <c r="G2612" i="9"/>
  <c r="G2613" i="9"/>
  <c r="G2614" i="9"/>
  <c r="G2615" i="9"/>
  <c r="G2616" i="9"/>
  <c r="G2617" i="9"/>
  <c r="G2618" i="9"/>
  <c r="G2619" i="9"/>
  <c r="G2620" i="9"/>
  <c r="G2621" i="9"/>
  <c r="G2622" i="9"/>
  <c r="G2623" i="9"/>
  <c r="G2624" i="9"/>
  <c r="G2625" i="9"/>
  <c r="G2626" i="9"/>
  <c r="G2627" i="9"/>
  <c r="G2628" i="9"/>
  <c r="G2629" i="9"/>
  <c r="G2630" i="9"/>
  <c r="G2631" i="9"/>
  <c r="G2632" i="9"/>
  <c r="G2633" i="9"/>
  <c r="G2634" i="9"/>
  <c r="G2635" i="9"/>
  <c r="G2636" i="9"/>
  <c r="G2637" i="9"/>
  <c r="G2638" i="9"/>
  <c r="G2639" i="9"/>
  <c r="G2640" i="9"/>
  <c r="G2641" i="9"/>
  <c r="G2642" i="9"/>
  <c r="G2643" i="9"/>
  <c r="G2644" i="9"/>
  <c r="G2645" i="9"/>
  <c r="G2646" i="9"/>
  <c r="G2647" i="9"/>
  <c r="G2648" i="9"/>
  <c r="G2649" i="9"/>
  <c r="G2650" i="9"/>
  <c r="G2651" i="9"/>
  <c r="G2652" i="9"/>
  <c r="G2653" i="9"/>
  <c r="G2654" i="9"/>
  <c r="G2655" i="9"/>
  <c r="G2656" i="9"/>
  <c r="G2657" i="9"/>
  <c r="G2658" i="9"/>
  <c r="G2659" i="9"/>
  <c r="G2660" i="9"/>
  <c r="G2661" i="9"/>
  <c r="G2662" i="9"/>
  <c r="G2663" i="9"/>
  <c r="G2664" i="9"/>
  <c r="G2665" i="9"/>
  <c r="G2666" i="9"/>
  <c r="G2667" i="9"/>
  <c r="G2668" i="9"/>
  <c r="G2669" i="9"/>
  <c r="G2670" i="9"/>
  <c r="G2671" i="9"/>
  <c r="G2672" i="9"/>
  <c r="G2673" i="9"/>
  <c r="G2674" i="9"/>
  <c r="G2675" i="9"/>
  <c r="G2676" i="9"/>
  <c r="G2677" i="9"/>
  <c r="G2678" i="9"/>
  <c r="G2679" i="9"/>
  <c r="G2680" i="9"/>
  <c r="G2681" i="9"/>
  <c r="G2682" i="9"/>
  <c r="G2683" i="9"/>
  <c r="G2684" i="9"/>
  <c r="G2685" i="9"/>
  <c r="G2686" i="9"/>
  <c r="G2687" i="9"/>
  <c r="G2688" i="9"/>
  <c r="G2689" i="9"/>
  <c r="G2690" i="9"/>
  <c r="G2691" i="9"/>
  <c r="G2692" i="9"/>
  <c r="G2693" i="9"/>
  <c r="G2694" i="9"/>
  <c r="G2695" i="9"/>
  <c r="G2696" i="9"/>
  <c r="G2697" i="9"/>
  <c r="G2698" i="9"/>
  <c r="G2699" i="9"/>
  <c r="G2700" i="9"/>
  <c r="G2701" i="9"/>
  <c r="G2702" i="9"/>
  <c r="G2703" i="9"/>
  <c r="G2704" i="9"/>
  <c r="G2705" i="9"/>
  <c r="G2706" i="9"/>
  <c r="G2707" i="9"/>
  <c r="G2708" i="9"/>
  <c r="G2709" i="9"/>
  <c r="G2710" i="9"/>
  <c r="G2711" i="9"/>
  <c r="G2712" i="9"/>
  <c r="G2713" i="9"/>
  <c r="G2714" i="9"/>
  <c r="G2715" i="9"/>
  <c r="G2716" i="9"/>
  <c r="G2717" i="9"/>
  <c r="G2718" i="9"/>
  <c r="G2719" i="9"/>
  <c r="G2720" i="9"/>
  <c r="G2721" i="9"/>
  <c r="G2722" i="9"/>
  <c r="G2723" i="9"/>
  <c r="G2724" i="9"/>
  <c r="G2725" i="9"/>
  <c r="G2726" i="9"/>
  <c r="G2727" i="9"/>
  <c r="G2728" i="9"/>
  <c r="G2729" i="9"/>
  <c r="G2730" i="9"/>
  <c r="G2731" i="9"/>
  <c r="G2732" i="9"/>
  <c r="G2733" i="9"/>
  <c r="G2734" i="9"/>
  <c r="G2735" i="9"/>
  <c r="G2736" i="9"/>
  <c r="G2737" i="9"/>
  <c r="G2738" i="9"/>
  <c r="G2739" i="9"/>
  <c r="G2740" i="9"/>
  <c r="G2741" i="9"/>
  <c r="G2742" i="9"/>
  <c r="G2743" i="9"/>
  <c r="G2744" i="9"/>
  <c r="G2745" i="9"/>
  <c r="G2746" i="9"/>
  <c r="G2747" i="9"/>
  <c r="G2748" i="9"/>
  <c r="G2749" i="9"/>
  <c r="G2750" i="9"/>
  <c r="G2751" i="9"/>
  <c r="G2752" i="9"/>
  <c r="G2753" i="9"/>
  <c r="G2754" i="9"/>
  <c r="G2755" i="9"/>
  <c r="G2756" i="9"/>
  <c r="G2757" i="9"/>
  <c r="G2758" i="9"/>
  <c r="G2759" i="9"/>
  <c r="G2760" i="9"/>
  <c r="G2761" i="9"/>
  <c r="G2762" i="9"/>
  <c r="G2763" i="9"/>
  <c r="G2764" i="9"/>
  <c r="G2765" i="9"/>
  <c r="G2766" i="9"/>
  <c r="G2767" i="9"/>
  <c r="G2768" i="9"/>
  <c r="G2769" i="9"/>
  <c r="G2770" i="9"/>
  <c r="G2771" i="9"/>
  <c r="G2772" i="9"/>
  <c r="G2773" i="9"/>
  <c r="G2774" i="9"/>
  <c r="G2775" i="9"/>
  <c r="G2776" i="9"/>
  <c r="G2777" i="9"/>
  <c r="G2778" i="9"/>
  <c r="G2779" i="9"/>
  <c r="G2780" i="9"/>
  <c r="G2781" i="9"/>
  <c r="G2782" i="9"/>
  <c r="G2783" i="9"/>
  <c r="G2784" i="9"/>
  <c r="G2785" i="9"/>
  <c r="G2786" i="9"/>
  <c r="G2787" i="9"/>
  <c r="G2788" i="9"/>
  <c r="G2789" i="9"/>
  <c r="G2790" i="9"/>
  <c r="G2791" i="9"/>
  <c r="G2792" i="9"/>
  <c r="G2793" i="9"/>
  <c r="G2794" i="9"/>
  <c r="G2795" i="9"/>
  <c r="G2796" i="9"/>
  <c r="G2797" i="9"/>
  <c r="G2798" i="9"/>
  <c r="G2799" i="9"/>
  <c r="G2800" i="9"/>
  <c r="G2801" i="9"/>
  <c r="G2802" i="9"/>
  <c r="G2803" i="9"/>
  <c r="G2804" i="9"/>
  <c r="G2805" i="9"/>
  <c r="G2806" i="9"/>
  <c r="G2807" i="9"/>
  <c r="G2808" i="9"/>
  <c r="G2809" i="9"/>
  <c r="G2810" i="9"/>
  <c r="G2811" i="9"/>
  <c r="G2812" i="9"/>
  <c r="G2813" i="9"/>
  <c r="G2814" i="9"/>
  <c r="G2815" i="9"/>
  <c r="G2816" i="9"/>
  <c r="G2817" i="9"/>
  <c r="G2818" i="9"/>
  <c r="G2819" i="9"/>
  <c r="G2820" i="9"/>
  <c r="G2821" i="9"/>
  <c r="G2822" i="9"/>
  <c r="G2823" i="9"/>
  <c r="G2824" i="9"/>
  <c r="G2825" i="9"/>
  <c r="G2826" i="9"/>
  <c r="G2827" i="9"/>
  <c r="G2828" i="9"/>
  <c r="G2829" i="9"/>
  <c r="G2830" i="9"/>
  <c r="G2831" i="9"/>
  <c r="G2832" i="9"/>
  <c r="G2833" i="9"/>
  <c r="G2834" i="9"/>
  <c r="G2835" i="9"/>
  <c r="G2836" i="9"/>
  <c r="G2837" i="9"/>
  <c r="G2838" i="9"/>
  <c r="G2839" i="9"/>
  <c r="G2840" i="9"/>
  <c r="G2841" i="9"/>
  <c r="G2842" i="9"/>
  <c r="G2843" i="9"/>
  <c r="G2844" i="9"/>
  <c r="G2845" i="9"/>
  <c r="G2846" i="9"/>
  <c r="G2847" i="9"/>
  <c r="G2848" i="9"/>
  <c r="G2849" i="9"/>
  <c r="G2850" i="9"/>
  <c r="G2851" i="9"/>
  <c r="G2852" i="9"/>
  <c r="G2853" i="9"/>
  <c r="G2854" i="9"/>
  <c r="G2855" i="9"/>
  <c r="G2856" i="9"/>
  <c r="G2857" i="9"/>
  <c r="G2858" i="9"/>
  <c r="G2859" i="9"/>
  <c r="G2860" i="9"/>
  <c r="G2861" i="9"/>
  <c r="G2862" i="9"/>
  <c r="G2863" i="9"/>
  <c r="G2864" i="9"/>
  <c r="G2865" i="9"/>
  <c r="G2866" i="9"/>
  <c r="G2867" i="9"/>
  <c r="G2868" i="9"/>
  <c r="G2869" i="9"/>
  <c r="G2870" i="9"/>
  <c r="G2871" i="9"/>
  <c r="G2872" i="9"/>
  <c r="G2873" i="9"/>
  <c r="G2874" i="9"/>
  <c r="G2875" i="9"/>
  <c r="G2876" i="9"/>
  <c r="G2877" i="9"/>
  <c r="G2878" i="9"/>
  <c r="G2879" i="9"/>
  <c r="G2880" i="9"/>
  <c r="G2881" i="9"/>
  <c r="G2882" i="9"/>
  <c r="G2883" i="9"/>
  <c r="G2884" i="9"/>
  <c r="G2885" i="9"/>
  <c r="G2886" i="9"/>
  <c r="G2887" i="9"/>
  <c r="G2888" i="9"/>
  <c r="G2889" i="9"/>
  <c r="G2890" i="9"/>
  <c r="G2891" i="9"/>
  <c r="G2892" i="9"/>
  <c r="G2893" i="9"/>
  <c r="G2894" i="9"/>
  <c r="G2895" i="9"/>
  <c r="G2896" i="9"/>
  <c r="G2897" i="9"/>
  <c r="G2898" i="9"/>
  <c r="G2899" i="9"/>
  <c r="G2900" i="9"/>
  <c r="G2901" i="9"/>
  <c r="G2902" i="9"/>
  <c r="G2903" i="9"/>
  <c r="G2904" i="9"/>
  <c r="G2905" i="9"/>
  <c r="G2906" i="9"/>
  <c r="G2907" i="9"/>
  <c r="G2908" i="9"/>
  <c r="G2909" i="9"/>
  <c r="G2910" i="9"/>
  <c r="G2911" i="9"/>
  <c r="G2912" i="9"/>
  <c r="G2913" i="9"/>
  <c r="G2914" i="9"/>
  <c r="G2915" i="9"/>
  <c r="G2916" i="9"/>
  <c r="G2917" i="9"/>
  <c r="G2918" i="9"/>
  <c r="G2919" i="9"/>
  <c r="G2920" i="9"/>
  <c r="G2921" i="9"/>
  <c r="G2922" i="9"/>
  <c r="G2923" i="9"/>
  <c r="G2924" i="9"/>
  <c r="G2925" i="9"/>
  <c r="G2926" i="9"/>
  <c r="G2927" i="9"/>
  <c r="G2928" i="9"/>
  <c r="G2929" i="9"/>
  <c r="G2930" i="9"/>
  <c r="G2931" i="9"/>
  <c r="G2932" i="9"/>
  <c r="G2933" i="9"/>
  <c r="G2934" i="9"/>
  <c r="G2935" i="9"/>
  <c r="G2936" i="9"/>
  <c r="G2937" i="9"/>
  <c r="G2938" i="9"/>
  <c r="G2939" i="9"/>
  <c r="G2940" i="9"/>
  <c r="G2941" i="9"/>
  <c r="G2942" i="9"/>
  <c r="G2943" i="9"/>
  <c r="G2944" i="9"/>
  <c r="G2945" i="9"/>
  <c r="G2946" i="9"/>
  <c r="G2947" i="9"/>
  <c r="G2948" i="9"/>
  <c r="G2949" i="9"/>
  <c r="G2950" i="9"/>
  <c r="G2951" i="9"/>
  <c r="G2952" i="9"/>
  <c r="G2953" i="9"/>
  <c r="G2954" i="9"/>
  <c r="G2955" i="9"/>
  <c r="G2956" i="9"/>
  <c r="G2957" i="9"/>
  <c r="G2958" i="9"/>
  <c r="G2959" i="9"/>
  <c r="G2960" i="9"/>
  <c r="G2961" i="9"/>
  <c r="G2962" i="9"/>
  <c r="G2963" i="9"/>
  <c r="G2964" i="9"/>
  <c r="G2965" i="9"/>
  <c r="G2966" i="9"/>
  <c r="G2967" i="9"/>
  <c r="G2968" i="9"/>
  <c r="G2969" i="9"/>
  <c r="G2970" i="9"/>
  <c r="G2971" i="9"/>
  <c r="G2972" i="9"/>
  <c r="G2973" i="9"/>
  <c r="G2974" i="9"/>
  <c r="G2975" i="9"/>
  <c r="G2976" i="9"/>
  <c r="G2977" i="9"/>
  <c r="G2978" i="9"/>
  <c r="G2979" i="9"/>
  <c r="G2980" i="9"/>
  <c r="G2981" i="9"/>
  <c r="G2982" i="9"/>
  <c r="G2983" i="9"/>
  <c r="G2984" i="9"/>
  <c r="G2985" i="9"/>
  <c r="G2986" i="9"/>
  <c r="G2987" i="9"/>
  <c r="G2988" i="9"/>
  <c r="G2989" i="9"/>
  <c r="G2990" i="9"/>
  <c r="G2991" i="9"/>
  <c r="G2992" i="9"/>
  <c r="G2993" i="9"/>
  <c r="G2994" i="9"/>
  <c r="G2995" i="9"/>
  <c r="G2996" i="9"/>
  <c r="G2997" i="9"/>
  <c r="G2998" i="9"/>
  <c r="G2999" i="9"/>
  <c r="G3000" i="9"/>
  <c r="G3001" i="9"/>
  <c r="G3002" i="9"/>
  <c r="G3003" i="9"/>
  <c r="G3004" i="9"/>
  <c r="G3005" i="9"/>
  <c r="G3006" i="9"/>
  <c r="G3007" i="9"/>
  <c r="G3008" i="9"/>
  <c r="G3009" i="9"/>
  <c r="G3010" i="9"/>
  <c r="G3011" i="9"/>
  <c r="G3012" i="9"/>
  <c r="G3013" i="9"/>
  <c r="G3014" i="9"/>
  <c r="G3015" i="9"/>
  <c r="G3016" i="9"/>
  <c r="G3017" i="9"/>
  <c r="G3018" i="9"/>
  <c r="G3019" i="9"/>
  <c r="G3020" i="9"/>
  <c r="G3021" i="9"/>
  <c r="G3022" i="9"/>
  <c r="G3023" i="9"/>
  <c r="G3024" i="9"/>
  <c r="G3025" i="9"/>
  <c r="G3026" i="9"/>
  <c r="G3027" i="9"/>
  <c r="G3028" i="9"/>
  <c r="G3029" i="9"/>
  <c r="G3030" i="9"/>
  <c r="G3031" i="9"/>
  <c r="G3032" i="9"/>
  <c r="G3033" i="9"/>
  <c r="G3034" i="9"/>
  <c r="G3035" i="9"/>
  <c r="G3036" i="9"/>
  <c r="G3037" i="9"/>
  <c r="G3038" i="9"/>
  <c r="G3039" i="9"/>
  <c r="G3040" i="9"/>
  <c r="G3041" i="9"/>
  <c r="G3042" i="9"/>
  <c r="G3043" i="9"/>
  <c r="G3044" i="9"/>
  <c r="G3045" i="9"/>
  <c r="G3046" i="9"/>
  <c r="G3047" i="9"/>
  <c r="G3048" i="9"/>
  <c r="G3049" i="9"/>
  <c r="G3050" i="9"/>
  <c r="G3051" i="9"/>
  <c r="G3052" i="9"/>
  <c r="G3053" i="9"/>
  <c r="G3054" i="9"/>
  <c r="G3055" i="9"/>
  <c r="G3056" i="9"/>
  <c r="G3057" i="9"/>
  <c r="G3058" i="9"/>
  <c r="G3059" i="9"/>
  <c r="G3060" i="9"/>
  <c r="G3061" i="9"/>
  <c r="G3062" i="9"/>
  <c r="G3063" i="9"/>
  <c r="G3064" i="9"/>
  <c r="G3065" i="9"/>
  <c r="G3066" i="9"/>
  <c r="G3067" i="9"/>
  <c r="G3068" i="9"/>
  <c r="G3069" i="9"/>
  <c r="G3070" i="9"/>
  <c r="G3071" i="9"/>
  <c r="G3072" i="9"/>
  <c r="G3073" i="9"/>
  <c r="G3074" i="9"/>
  <c r="G3075" i="9"/>
  <c r="G3076" i="9"/>
  <c r="G3077" i="9"/>
  <c r="G3078" i="9"/>
  <c r="G3079" i="9"/>
  <c r="G3080" i="9"/>
  <c r="G3081" i="9"/>
  <c r="G3082" i="9"/>
  <c r="G3083" i="9"/>
  <c r="G3084" i="9"/>
  <c r="G3085" i="9"/>
  <c r="G3086" i="9"/>
  <c r="G3087" i="9"/>
  <c r="G3088" i="9"/>
  <c r="G3089" i="9"/>
  <c r="G3090" i="9"/>
  <c r="G3091" i="9"/>
  <c r="G3092" i="9"/>
  <c r="G3093" i="9"/>
  <c r="G3094" i="9"/>
  <c r="G3095" i="9"/>
  <c r="G3096" i="9"/>
  <c r="G3097" i="9"/>
  <c r="G3098" i="9"/>
  <c r="G3099" i="9"/>
  <c r="G3100" i="9"/>
  <c r="G3101" i="9"/>
  <c r="G3102" i="9"/>
  <c r="G3103" i="9"/>
  <c r="G3104" i="9"/>
  <c r="G3105" i="9"/>
  <c r="G3106" i="9"/>
  <c r="G3107" i="9"/>
  <c r="G3108" i="9"/>
  <c r="G3109" i="9"/>
  <c r="G3110" i="9"/>
  <c r="G3111" i="9"/>
  <c r="G3112" i="9"/>
  <c r="G3113" i="9"/>
  <c r="G3114" i="9"/>
  <c r="G3115" i="9"/>
  <c r="G3116" i="9"/>
  <c r="G3117" i="9"/>
  <c r="G3118" i="9"/>
  <c r="G3119" i="9"/>
  <c r="G3120" i="9"/>
  <c r="G3121" i="9"/>
  <c r="G3122" i="9"/>
  <c r="G3123" i="9"/>
  <c r="G3124" i="9"/>
  <c r="G3125" i="9"/>
  <c r="G3126" i="9"/>
  <c r="G3127" i="9"/>
  <c r="G3128" i="9"/>
  <c r="G3129" i="9"/>
  <c r="G3130" i="9"/>
  <c r="G3131" i="9"/>
  <c r="G3132" i="9"/>
  <c r="G3133" i="9"/>
  <c r="G3134" i="9"/>
  <c r="G3135" i="9"/>
  <c r="G3136" i="9"/>
  <c r="G3137" i="9"/>
  <c r="G3138" i="9"/>
  <c r="G3139" i="9"/>
  <c r="G3140" i="9"/>
  <c r="G3141" i="9"/>
  <c r="G3142" i="9"/>
  <c r="G3143" i="9"/>
  <c r="G3144" i="9"/>
  <c r="G3145" i="9"/>
  <c r="G3146" i="9"/>
  <c r="G3147" i="9"/>
  <c r="G3148" i="9"/>
  <c r="G3149" i="9"/>
  <c r="G3150" i="9"/>
  <c r="G3151" i="9"/>
  <c r="G3152" i="9"/>
  <c r="G3153" i="9"/>
  <c r="G3154" i="9"/>
  <c r="G3155" i="9"/>
  <c r="G3156" i="9"/>
  <c r="G3157" i="9"/>
  <c r="G3158" i="9"/>
  <c r="G3159" i="9"/>
  <c r="G3160" i="9"/>
  <c r="G3161" i="9"/>
  <c r="G3162" i="9"/>
  <c r="G3163" i="9"/>
  <c r="G3164" i="9"/>
  <c r="G3165" i="9"/>
  <c r="G3166" i="9"/>
  <c r="G3167" i="9"/>
  <c r="G3168" i="9"/>
  <c r="G3169" i="9"/>
  <c r="G3170" i="9"/>
  <c r="G3171" i="9"/>
  <c r="G3172" i="9"/>
  <c r="G3173" i="9"/>
  <c r="G3174" i="9"/>
  <c r="G3175" i="9"/>
  <c r="G3176" i="9"/>
  <c r="G3177" i="9"/>
  <c r="G3178" i="9"/>
  <c r="G3179" i="9"/>
  <c r="G3180" i="9"/>
  <c r="G3181" i="9"/>
  <c r="G3182" i="9"/>
  <c r="G3183" i="9"/>
  <c r="G3184" i="9"/>
  <c r="G3185" i="9"/>
  <c r="G3186" i="9"/>
  <c r="G3187" i="9"/>
  <c r="G3188" i="9"/>
  <c r="G3189" i="9"/>
  <c r="G3190" i="9"/>
  <c r="G3191" i="9"/>
  <c r="G3192" i="9"/>
  <c r="G3193" i="9"/>
  <c r="G3194" i="9"/>
  <c r="G3195" i="9"/>
  <c r="G3196" i="9"/>
  <c r="G3197" i="9"/>
  <c r="G3198" i="9"/>
  <c r="G3199" i="9"/>
  <c r="G3200" i="9"/>
  <c r="G3201" i="9"/>
  <c r="G3202" i="9"/>
  <c r="G3203" i="9"/>
  <c r="G3204" i="9"/>
  <c r="G3205" i="9"/>
  <c r="G3206" i="9"/>
  <c r="G3207" i="9"/>
  <c r="G3208" i="9"/>
  <c r="G3209" i="9"/>
  <c r="G3210" i="9"/>
  <c r="G3211" i="9"/>
  <c r="G3212" i="9"/>
  <c r="G3213" i="9"/>
  <c r="G3214" i="9"/>
  <c r="G3215" i="9"/>
  <c r="G3216" i="9"/>
  <c r="G3217" i="9"/>
  <c r="G3218" i="9"/>
  <c r="G3219" i="9"/>
  <c r="G3220" i="9"/>
  <c r="G3221" i="9"/>
  <c r="G3222" i="9"/>
  <c r="G3223" i="9"/>
  <c r="G3224" i="9"/>
  <c r="G3225" i="9"/>
  <c r="G3226" i="9"/>
  <c r="G3227" i="9"/>
  <c r="G3228" i="9"/>
  <c r="G3229" i="9"/>
  <c r="G3230" i="9"/>
  <c r="G3231" i="9"/>
  <c r="G3232" i="9"/>
  <c r="G3233" i="9"/>
  <c r="G3234" i="9"/>
  <c r="G3235" i="9"/>
  <c r="G3236" i="9"/>
  <c r="G3237" i="9"/>
  <c r="G3238" i="9"/>
  <c r="G3239" i="9"/>
  <c r="G3240" i="9"/>
  <c r="G3241" i="9"/>
  <c r="G3242" i="9"/>
  <c r="G3243" i="9"/>
  <c r="G3244" i="9"/>
  <c r="G3245" i="9"/>
  <c r="G3246" i="9"/>
  <c r="G3247" i="9"/>
  <c r="G3248" i="9"/>
  <c r="G3249" i="9"/>
  <c r="G3250" i="9"/>
  <c r="G3251" i="9"/>
  <c r="G3252" i="9"/>
  <c r="G3253" i="9"/>
  <c r="G3254" i="9"/>
  <c r="G3255" i="9"/>
  <c r="G3256" i="9"/>
  <c r="G3257" i="9"/>
  <c r="G3258" i="9"/>
  <c r="G3259" i="9"/>
  <c r="G3260" i="9"/>
  <c r="G3261" i="9"/>
  <c r="G3262" i="9"/>
  <c r="G3263" i="9"/>
  <c r="G3264" i="9"/>
  <c r="G3265" i="9"/>
  <c r="G3266" i="9"/>
  <c r="G3267" i="9"/>
  <c r="G3268" i="9"/>
  <c r="G3269" i="9"/>
  <c r="G3270" i="9"/>
  <c r="G3271" i="9"/>
  <c r="G3272" i="9"/>
  <c r="G3273" i="9"/>
  <c r="G3274" i="9"/>
  <c r="G3275" i="9"/>
  <c r="G3276" i="9"/>
  <c r="G3277" i="9"/>
  <c r="G3278" i="9"/>
  <c r="G3279" i="9"/>
  <c r="G3280" i="9"/>
  <c r="G3281" i="9"/>
  <c r="G3282" i="9"/>
  <c r="G3283" i="9"/>
  <c r="G3284" i="9"/>
  <c r="G3285" i="9"/>
  <c r="G3286" i="9"/>
  <c r="G3287" i="9"/>
  <c r="G3288" i="9"/>
  <c r="G3289" i="9"/>
  <c r="G3290" i="9"/>
  <c r="G3291" i="9"/>
  <c r="G3292" i="9"/>
  <c r="G3293" i="9"/>
  <c r="G3294" i="9"/>
  <c r="G3295" i="9"/>
  <c r="G3296" i="9"/>
  <c r="G3297" i="9"/>
  <c r="G3298" i="9"/>
  <c r="G3299" i="9"/>
  <c r="G3300" i="9"/>
  <c r="G3301" i="9"/>
  <c r="G3302" i="9"/>
  <c r="G3303" i="9"/>
  <c r="G3304" i="9"/>
  <c r="G3305" i="9"/>
  <c r="G3306" i="9"/>
  <c r="G3307" i="9"/>
  <c r="G3308" i="9"/>
  <c r="G3309" i="9"/>
  <c r="G3310" i="9"/>
  <c r="G3311" i="9"/>
  <c r="G3312" i="9"/>
  <c r="G3313" i="9"/>
  <c r="G3314" i="9"/>
  <c r="G3315" i="9"/>
  <c r="G3316" i="9"/>
  <c r="G3317" i="9"/>
  <c r="G3318" i="9"/>
  <c r="G3319" i="9"/>
  <c r="G3320" i="9"/>
  <c r="G3321" i="9"/>
  <c r="G3322" i="9"/>
  <c r="G3323" i="9"/>
  <c r="G3324" i="9"/>
  <c r="G3325" i="9"/>
  <c r="G3326" i="9"/>
  <c r="G3327" i="9"/>
  <c r="G3328" i="9"/>
  <c r="G3329" i="9"/>
  <c r="G3330" i="9"/>
  <c r="G3331" i="9"/>
  <c r="G3332" i="9"/>
  <c r="G3333" i="9"/>
  <c r="G3334" i="9"/>
  <c r="G3335" i="9"/>
  <c r="G3336" i="9"/>
  <c r="G3337" i="9"/>
  <c r="G3338" i="9"/>
  <c r="G3339" i="9"/>
  <c r="G3340" i="9"/>
  <c r="G3341" i="9"/>
  <c r="G3342" i="9"/>
  <c r="G3343" i="9"/>
  <c r="G3344" i="9"/>
  <c r="G3345" i="9"/>
  <c r="G3346" i="9"/>
  <c r="G3347" i="9"/>
  <c r="G3348" i="9"/>
  <c r="G3349" i="9"/>
  <c r="G3350" i="9"/>
  <c r="G3351" i="9"/>
  <c r="G3352" i="9"/>
  <c r="G3353" i="9"/>
  <c r="G3354" i="9"/>
  <c r="G3355" i="9"/>
  <c r="G3356" i="9"/>
  <c r="G3357" i="9"/>
  <c r="G3358" i="9"/>
  <c r="G3359" i="9"/>
  <c r="G3360" i="9"/>
  <c r="G3361" i="9"/>
  <c r="G3362" i="9"/>
  <c r="G3363" i="9"/>
  <c r="G3364" i="9"/>
  <c r="G3365" i="9"/>
  <c r="G3366" i="9"/>
  <c r="G3367" i="9"/>
  <c r="G3368" i="9"/>
  <c r="G3369" i="9"/>
  <c r="G3370" i="9"/>
  <c r="G3371" i="9"/>
  <c r="G3372" i="9"/>
  <c r="G3373" i="9"/>
  <c r="G3374" i="9"/>
  <c r="G3375" i="9"/>
  <c r="G3376" i="9"/>
  <c r="G3377" i="9"/>
  <c r="G3378" i="9"/>
  <c r="G3379" i="9"/>
  <c r="G3380" i="9"/>
  <c r="G3381" i="9"/>
  <c r="G3382" i="9"/>
  <c r="G3383" i="9"/>
  <c r="G3384" i="9"/>
  <c r="G3385" i="9"/>
  <c r="G3386" i="9"/>
  <c r="G3387" i="9"/>
  <c r="G3388" i="9"/>
  <c r="G3389" i="9"/>
  <c r="G3390" i="9"/>
  <c r="G3391" i="9"/>
  <c r="G3392" i="9"/>
  <c r="G3393" i="9"/>
  <c r="G3394" i="9"/>
  <c r="G3395" i="9"/>
  <c r="G3396" i="9"/>
  <c r="G3397" i="9"/>
  <c r="G3398" i="9"/>
  <c r="G3399" i="9"/>
  <c r="G3400" i="9"/>
  <c r="G3401" i="9"/>
  <c r="G3402" i="9"/>
  <c r="G3403" i="9"/>
  <c r="G3404" i="9"/>
  <c r="G3405" i="9"/>
  <c r="G3406" i="9"/>
  <c r="G3407" i="9"/>
  <c r="G3408" i="9"/>
  <c r="G3409" i="9"/>
  <c r="G3410" i="9"/>
  <c r="G3411" i="9"/>
  <c r="G3412" i="9"/>
  <c r="G3413" i="9"/>
  <c r="G3414" i="9"/>
  <c r="G3415" i="9"/>
  <c r="G3416" i="9"/>
  <c r="G3417" i="9"/>
  <c r="G3418" i="9"/>
  <c r="G3419" i="9"/>
  <c r="G3420" i="9"/>
  <c r="G3421" i="9"/>
  <c r="G3422" i="9"/>
  <c r="G3423" i="9"/>
  <c r="G3424" i="9"/>
  <c r="G3425" i="9"/>
  <c r="G3426" i="9"/>
  <c r="G3427" i="9"/>
  <c r="G3428" i="9"/>
  <c r="G3429" i="9"/>
  <c r="G3430" i="9"/>
  <c r="G3431" i="9"/>
  <c r="G3432" i="9"/>
  <c r="G3433" i="9"/>
  <c r="G3434" i="9"/>
  <c r="G3435" i="9"/>
  <c r="G3436" i="9"/>
  <c r="G3437" i="9"/>
  <c r="G3438" i="9"/>
  <c r="G3439" i="9"/>
  <c r="G3440" i="9"/>
  <c r="G3441" i="9"/>
  <c r="G3442" i="9"/>
  <c r="G3443" i="9"/>
  <c r="G3444" i="9"/>
  <c r="G3445" i="9"/>
  <c r="G3446" i="9"/>
  <c r="G3447" i="9"/>
  <c r="G3448" i="9"/>
  <c r="G3449" i="9"/>
  <c r="G3450" i="9"/>
  <c r="G3451" i="9"/>
  <c r="G3452" i="9"/>
  <c r="G3453" i="9"/>
  <c r="G3454" i="9"/>
  <c r="G3455" i="9"/>
  <c r="G3456" i="9"/>
  <c r="G3457" i="9"/>
  <c r="G3458" i="9"/>
  <c r="G3459" i="9"/>
  <c r="G3460" i="9"/>
  <c r="G3461" i="9"/>
  <c r="G3462" i="9"/>
  <c r="G3463" i="9"/>
  <c r="G3464" i="9"/>
  <c r="G3465" i="9"/>
  <c r="G3466" i="9"/>
  <c r="G3467" i="9"/>
  <c r="G3468" i="9"/>
  <c r="G3469" i="9"/>
  <c r="G3470" i="9"/>
  <c r="G3471" i="9"/>
  <c r="G3472" i="9"/>
  <c r="G3473" i="9"/>
  <c r="G3474" i="9"/>
  <c r="G3475" i="9"/>
  <c r="G3476" i="9"/>
  <c r="G3477" i="9"/>
  <c r="G3478" i="9"/>
  <c r="G3479" i="9"/>
  <c r="G3480" i="9"/>
  <c r="G3481" i="9"/>
  <c r="G3482" i="9"/>
  <c r="G3483" i="9"/>
  <c r="G3484" i="9"/>
  <c r="G3485" i="9"/>
  <c r="G3486" i="9"/>
  <c r="G3487" i="9"/>
  <c r="G3488" i="9"/>
  <c r="G3489" i="9"/>
  <c r="G3490" i="9"/>
  <c r="G3491" i="9"/>
  <c r="G3492" i="9"/>
  <c r="G3493" i="9"/>
  <c r="G3494" i="9"/>
  <c r="G3495" i="9"/>
  <c r="G3496" i="9"/>
  <c r="G3497" i="9"/>
  <c r="G3498" i="9"/>
  <c r="G3499" i="9"/>
  <c r="G3500" i="9"/>
  <c r="G3501" i="9"/>
  <c r="G3502" i="9"/>
  <c r="G3503" i="9"/>
  <c r="G3504" i="9"/>
  <c r="G3505" i="9"/>
  <c r="G3506" i="9"/>
  <c r="G3507" i="9"/>
  <c r="G3508" i="9"/>
  <c r="G3509" i="9"/>
  <c r="G3510" i="9"/>
  <c r="G3511" i="9"/>
  <c r="G3512" i="9"/>
  <c r="G3513" i="9"/>
  <c r="G3514" i="9"/>
  <c r="G3515" i="9"/>
  <c r="G3516" i="9"/>
  <c r="G3517" i="9"/>
  <c r="G3518" i="9"/>
  <c r="G3519" i="9"/>
  <c r="G3520" i="9"/>
  <c r="G3521" i="9"/>
  <c r="G3522" i="9"/>
  <c r="G3523" i="9"/>
  <c r="G3524" i="9"/>
  <c r="G3525" i="9"/>
  <c r="G3526" i="9"/>
  <c r="G3527" i="9"/>
  <c r="G3528" i="9"/>
  <c r="G3529" i="9"/>
  <c r="G3530" i="9"/>
  <c r="G3531" i="9"/>
  <c r="G3532" i="9"/>
  <c r="G3533" i="9"/>
  <c r="G3534" i="9"/>
  <c r="G3535" i="9"/>
  <c r="G3536" i="9"/>
  <c r="G3537" i="9"/>
  <c r="G3538" i="9"/>
  <c r="G3539" i="9"/>
  <c r="G3540" i="9"/>
  <c r="G3541" i="9"/>
  <c r="G3542" i="9"/>
  <c r="G3543" i="9"/>
  <c r="G3544" i="9"/>
  <c r="G3545" i="9"/>
  <c r="G3546" i="9"/>
  <c r="G3547" i="9"/>
  <c r="G3548" i="9"/>
  <c r="G3549" i="9"/>
  <c r="G3550" i="9"/>
  <c r="G3551" i="9"/>
  <c r="G3552" i="9"/>
  <c r="G3553" i="9"/>
  <c r="G3554" i="9"/>
  <c r="G3555" i="9"/>
  <c r="G3556" i="9"/>
  <c r="G3557" i="9"/>
  <c r="G3558" i="9"/>
  <c r="G3559" i="9"/>
  <c r="G3560" i="9"/>
  <c r="G3561" i="9"/>
  <c r="G3562" i="9"/>
  <c r="G3563" i="9"/>
  <c r="G3564" i="9"/>
  <c r="G3565" i="9"/>
  <c r="G3566" i="9"/>
  <c r="G3567" i="9"/>
  <c r="G3568" i="9"/>
  <c r="G3569" i="9"/>
  <c r="G3570" i="9"/>
  <c r="G3571" i="9"/>
  <c r="G3572" i="9"/>
  <c r="G3573" i="9"/>
  <c r="G3574" i="9"/>
  <c r="G3575" i="9"/>
  <c r="G3576" i="9"/>
  <c r="G3577" i="9"/>
  <c r="G3578" i="9"/>
  <c r="G3579" i="9"/>
  <c r="G3580" i="9"/>
  <c r="G3581" i="9"/>
  <c r="G3582" i="9"/>
  <c r="G3583" i="9"/>
  <c r="G3584" i="9"/>
  <c r="G3585" i="9"/>
  <c r="G3586" i="9"/>
  <c r="G3587" i="9"/>
  <c r="G3588" i="9"/>
  <c r="G3589" i="9"/>
  <c r="G3590" i="9"/>
  <c r="G3591" i="9"/>
  <c r="G3592" i="9"/>
  <c r="G3593" i="9"/>
  <c r="G3594" i="9"/>
  <c r="G3595" i="9"/>
  <c r="G3596" i="9"/>
  <c r="G3597" i="9"/>
  <c r="G3598" i="9"/>
  <c r="G3599" i="9"/>
  <c r="G3600" i="9"/>
  <c r="G3601" i="9"/>
  <c r="G3602" i="9"/>
  <c r="G3603" i="9"/>
  <c r="G3604" i="9"/>
  <c r="G3605" i="9"/>
  <c r="G3606" i="9"/>
  <c r="G3607" i="9"/>
  <c r="G3608" i="9"/>
  <c r="G3609" i="9"/>
  <c r="G3610" i="9"/>
  <c r="G3611" i="9"/>
  <c r="G3612" i="9"/>
  <c r="G3613" i="9"/>
  <c r="G3614" i="9"/>
  <c r="G3615" i="9"/>
  <c r="G3616" i="9"/>
  <c r="G3617" i="9"/>
  <c r="G3618" i="9"/>
  <c r="G3619" i="9"/>
  <c r="G3620" i="9"/>
  <c r="G3621" i="9"/>
  <c r="G3622" i="9"/>
  <c r="G3623" i="9"/>
  <c r="G3624" i="9"/>
  <c r="G3625" i="9"/>
  <c r="G3626" i="9"/>
  <c r="G3627" i="9"/>
  <c r="G3628" i="9"/>
  <c r="G3629" i="9"/>
  <c r="G3630" i="9"/>
  <c r="G3631" i="9"/>
  <c r="G3632" i="9"/>
  <c r="G3633" i="9"/>
  <c r="G3634" i="9"/>
  <c r="G3635" i="9"/>
  <c r="G3636" i="9"/>
  <c r="G3637" i="9"/>
  <c r="G3638" i="9"/>
  <c r="G3639" i="9"/>
  <c r="G3640" i="9"/>
  <c r="G3641" i="9"/>
  <c r="G3642" i="9"/>
  <c r="G3643" i="9"/>
  <c r="G3644" i="9"/>
  <c r="G3645" i="9"/>
  <c r="G3646" i="9"/>
  <c r="G3647" i="9"/>
  <c r="G3648" i="9"/>
  <c r="G3649" i="9"/>
  <c r="G3650" i="9"/>
  <c r="G3651" i="9"/>
  <c r="G3652" i="9"/>
  <c r="G3653" i="9"/>
  <c r="G3654" i="9"/>
  <c r="G3655" i="9"/>
  <c r="G3656" i="9"/>
  <c r="G3657" i="9"/>
  <c r="G3658" i="9"/>
  <c r="G3659" i="9"/>
  <c r="G3660" i="9"/>
  <c r="G3661" i="9"/>
  <c r="G3662" i="9"/>
  <c r="G3663" i="9"/>
  <c r="G3664" i="9"/>
  <c r="G3665" i="9"/>
  <c r="G3666" i="9"/>
  <c r="G3667" i="9"/>
  <c r="G3668" i="9"/>
  <c r="G3669" i="9"/>
  <c r="G3670" i="9"/>
  <c r="G3671" i="9"/>
  <c r="G3672" i="9"/>
  <c r="G3673" i="9"/>
  <c r="G3674" i="9"/>
  <c r="G3675" i="9"/>
  <c r="G3676" i="9"/>
  <c r="G3677" i="9"/>
  <c r="G3678" i="9"/>
  <c r="G3679" i="9"/>
  <c r="G3680" i="9"/>
  <c r="G3681" i="9"/>
  <c r="G3682" i="9"/>
  <c r="G3683" i="9"/>
  <c r="G3684" i="9"/>
  <c r="G3685" i="9"/>
  <c r="G3686" i="9"/>
  <c r="G3687" i="9"/>
  <c r="G3688" i="9"/>
  <c r="G3689" i="9"/>
  <c r="G3690" i="9"/>
  <c r="G3691" i="9"/>
  <c r="G3692" i="9"/>
  <c r="G3693" i="9"/>
  <c r="G3694" i="9"/>
  <c r="G3695" i="9"/>
  <c r="G3696" i="9"/>
  <c r="G3697" i="9"/>
  <c r="G3698" i="9"/>
  <c r="G3699" i="9"/>
  <c r="G3700" i="9"/>
  <c r="G3701" i="9"/>
  <c r="G3702" i="9"/>
  <c r="G3703" i="9"/>
  <c r="G3704" i="9"/>
  <c r="G3705" i="9"/>
  <c r="G3706" i="9"/>
  <c r="G3707" i="9"/>
  <c r="G3708" i="9"/>
  <c r="G3709" i="9"/>
  <c r="G3710" i="9"/>
  <c r="G3711" i="9"/>
  <c r="G3712" i="9"/>
  <c r="G3713" i="9"/>
  <c r="G3714" i="9"/>
  <c r="G3715" i="9"/>
  <c r="G3716" i="9"/>
  <c r="G3717" i="9"/>
  <c r="G3718" i="9"/>
  <c r="G3719" i="9"/>
  <c r="G3720" i="9"/>
  <c r="G3721" i="9"/>
  <c r="G3722" i="9"/>
  <c r="G3723" i="9"/>
  <c r="G3724" i="9"/>
  <c r="G3725" i="9"/>
  <c r="G3726" i="9"/>
  <c r="G3727" i="9"/>
  <c r="G3728" i="9"/>
  <c r="G3729" i="9"/>
  <c r="G3730" i="9"/>
  <c r="G3731" i="9"/>
  <c r="G3732" i="9"/>
  <c r="G3733" i="9"/>
  <c r="G3734" i="9"/>
  <c r="G3735" i="9"/>
  <c r="G3736" i="9"/>
  <c r="G3737" i="9"/>
  <c r="G3738" i="9"/>
  <c r="G3739" i="9"/>
  <c r="G3740" i="9"/>
  <c r="G3741" i="9"/>
  <c r="G3742" i="9"/>
  <c r="G3743" i="9"/>
  <c r="G3744" i="9"/>
  <c r="G3745" i="9"/>
  <c r="G3746" i="9"/>
  <c r="G3747" i="9"/>
  <c r="G3748" i="9"/>
  <c r="G3749" i="9"/>
  <c r="G3750" i="9"/>
  <c r="G3751" i="9"/>
  <c r="G3752" i="9"/>
  <c r="G3753" i="9"/>
  <c r="G3754" i="9"/>
  <c r="G3755" i="9"/>
  <c r="G3756" i="9"/>
  <c r="G3757" i="9"/>
  <c r="G3758" i="9"/>
  <c r="G3759" i="9"/>
  <c r="G3760" i="9"/>
  <c r="G3761" i="9"/>
  <c r="G3762" i="9"/>
  <c r="G3763" i="9"/>
  <c r="G3764" i="9"/>
  <c r="G3765" i="9"/>
  <c r="G3766" i="9"/>
  <c r="G3767" i="9"/>
  <c r="G3768" i="9"/>
  <c r="G3769" i="9"/>
  <c r="G3770" i="9"/>
  <c r="G3771" i="9"/>
  <c r="G3772" i="9"/>
  <c r="G3773" i="9"/>
  <c r="G3774" i="9"/>
  <c r="G3775" i="9"/>
  <c r="G3776" i="9"/>
  <c r="G3777" i="9"/>
  <c r="G3778" i="9"/>
  <c r="G3779" i="9"/>
  <c r="G3780" i="9"/>
  <c r="G3781" i="9"/>
  <c r="G3782" i="9"/>
  <c r="G3783" i="9"/>
  <c r="G3784" i="9"/>
  <c r="G3785" i="9"/>
  <c r="G3786" i="9"/>
  <c r="G3787" i="9"/>
  <c r="G3788" i="9"/>
  <c r="G3789" i="9"/>
  <c r="G3790" i="9"/>
  <c r="G3791" i="9"/>
  <c r="G3792" i="9"/>
  <c r="G3793" i="9"/>
  <c r="G3794" i="9"/>
  <c r="G3795" i="9"/>
  <c r="G3796" i="9"/>
  <c r="G3797" i="9"/>
  <c r="G3798" i="9"/>
  <c r="G3799" i="9"/>
  <c r="G3800" i="9"/>
  <c r="G3801" i="9"/>
  <c r="G3802" i="9"/>
  <c r="G3803" i="9"/>
  <c r="G3804" i="9"/>
  <c r="G3805" i="9"/>
  <c r="G3806" i="9"/>
  <c r="G3807" i="9"/>
  <c r="G3808" i="9"/>
  <c r="G3809" i="9"/>
  <c r="G3810" i="9"/>
  <c r="G3811" i="9"/>
  <c r="G3812" i="9"/>
  <c r="G3813" i="9"/>
  <c r="G3814" i="9"/>
  <c r="G3815" i="9"/>
  <c r="G3816" i="9"/>
  <c r="G3817" i="9"/>
  <c r="G3818" i="9"/>
  <c r="G3819" i="9"/>
  <c r="G3820" i="9"/>
  <c r="G3821" i="9"/>
  <c r="G3822" i="9"/>
  <c r="G3823" i="9"/>
  <c r="G3824" i="9"/>
  <c r="G3825" i="9"/>
  <c r="G3826" i="9"/>
  <c r="G3827" i="9"/>
  <c r="G3828" i="9"/>
  <c r="G3829" i="9"/>
  <c r="G3830" i="9"/>
  <c r="G3831" i="9"/>
  <c r="G3832" i="9"/>
  <c r="G3833" i="9"/>
  <c r="G3834" i="9"/>
  <c r="G3835" i="9"/>
  <c r="G3836" i="9"/>
  <c r="G3837" i="9"/>
  <c r="G3838" i="9"/>
  <c r="G3839" i="9"/>
  <c r="G3840" i="9"/>
  <c r="G3841" i="9"/>
  <c r="G3842" i="9"/>
  <c r="G3843" i="9"/>
  <c r="G3844" i="9"/>
  <c r="G3845" i="9"/>
  <c r="G3846" i="9"/>
  <c r="G3847" i="9"/>
  <c r="G3848" i="9"/>
  <c r="G3849" i="9"/>
  <c r="G3850" i="9"/>
  <c r="G3851" i="9"/>
  <c r="G3852" i="9"/>
  <c r="G3853" i="9"/>
  <c r="G3854" i="9"/>
  <c r="G3855" i="9"/>
  <c r="G3856" i="9"/>
  <c r="G3857" i="9"/>
  <c r="G3858" i="9"/>
  <c r="G3859" i="9"/>
  <c r="G3860" i="9"/>
  <c r="G3861" i="9"/>
  <c r="G3862" i="9"/>
  <c r="G3863" i="9"/>
  <c r="G3864" i="9"/>
  <c r="G3865" i="9"/>
  <c r="G3866" i="9"/>
  <c r="G3867" i="9"/>
  <c r="G3868" i="9"/>
  <c r="G3869" i="9"/>
  <c r="G3870" i="9"/>
  <c r="G3871" i="9"/>
  <c r="G3872" i="9"/>
  <c r="G3873" i="9"/>
  <c r="G3874" i="9"/>
  <c r="G3875" i="9"/>
  <c r="G3876" i="9"/>
  <c r="G3877" i="9"/>
  <c r="G3878" i="9"/>
  <c r="G3879" i="9"/>
  <c r="G3880" i="9"/>
  <c r="G3881" i="9"/>
  <c r="G3882" i="9"/>
  <c r="G3883" i="9"/>
  <c r="G3884" i="9"/>
  <c r="G3885" i="9"/>
  <c r="G3886" i="9"/>
  <c r="G3887" i="9"/>
  <c r="G3888" i="9"/>
  <c r="G3889" i="9"/>
  <c r="G3890" i="9"/>
  <c r="G3891" i="9"/>
  <c r="G3892" i="9"/>
  <c r="G3893" i="9"/>
  <c r="G3894" i="9"/>
  <c r="G3895" i="9"/>
  <c r="G3896" i="9"/>
  <c r="G3897" i="9"/>
  <c r="G3898" i="9"/>
  <c r="G3899" i="9"/>
  <c r="G3900" i="9"/>
  <c r="G3901" i="9"/>
  <c r="G3902" i="9"/>
  <c r="G3903" i="9"/>
  <c r="G3904" i="9"/>
  <c r="G3905" i="9"/>
  <c r="G3906" i="9"/>
  <c r="G3907" i="9"/>
  <c r="G3908" i="9"/>
  <c r="G3909" i="9"/>
  <c r="G3910" i="9"/>
  <c r="G3911" i="9"/>
  <c r="G3912" i="9"/>
  <c r="G3913" i="9"/>
  <c r="G3914" i="9"/>
  <c r="G3915" i="9"/>
  <c r="G3916" i="9"/>
  <c r="G3917" i="9"/>
  <c r="G3918" i="9"/>
  <c r="G3919" i="9"/>
  <c r="G3920" i="9"/>
  <c r="G3921" i="9"/>
  <c r="G3922" i="9"/>
  <c r="G3923" i="9"/>
  <c r="G3924" i="9"/>
  <c r="G3925" i="9"/>
  <c r="G3926" i="9"/>
  <c r="G3927" i="9"/>
  <c r="G3928" i="9"/>
  <c r="G3929" i="9"/>
  <c r="G3930" i="9"/>
  <c r="G3931" i="9"/>
  <c r="G3932" i="9"/>
  <c r="G3933" i="9"/>
  <c r="G3934" i="9"/>
  <c r="G3935" i="9"/>
  <c r="G3936" i="9"/>
  <c r="G3937" i="9"/>
  <c r="G3938" i="9"/>
  <c r="G3939" i="9"/>
  <c r="G3940" i="9"/>
  <c r="G3941" i="9"/>
  <c r="G3942" i="9"/>
  <c r="G3943" i="9"/>
  <c r="G3944" i="9"/>
  <c r="G3945" i="9"/>
  <c r="G3946" i="9"/>
  <c r="G3947" i="9"/>
  <c r="G3948" i="9"/>
  <c r="G3949" i="9"/>
  <c r="G3950" i="9"/>
  <c r="G3951" i="9"/>
  <c r="G3952" i="9"/>
  <c r="G3953" i="9"/>
  <c r="G3954" i="9"/>
  <c r="G3955" i="9"/>
  <c r="G3956" i="9"/>
  <c r="G3957" i="9"/>
  <c r="G3958" i="9"/>
  <c r="G3959" i="9"/>
  <c r="G3960" i="9"/>
  <c r="G3961" i="9"/>
  <c r="G3962" i="9"/>
  <c r="G3963" i="9"/>
  <c r="G3964" i="9"/>
  <c r="G3965" i="9"/>
  <c r="G3966" i="9"/>
  <c r="G3967" i="9"/>
  <c r="G3968" i="9"/>
  <c r="G3969" i="9"/>
  <c r="G3970" i="9"/>
  <c r="G3971" i="9"/>
  <c r="G3972" i="9"/>
  <c r="G3973" i="9"/>
  <c r="G3974" i="9"/>
  <c r="G3975" i="9"/>
  <c r="G3976" i="9"/>
  <c r="G3977" i="9"/>
  <c r="G3978" i="9"/>
  <c r="G3979" i="9"/>
  <c r="G3980" i="9"/>
  <c r="G3981" i="9"/>
  <c r="G3982" i="9"/>
  <c r="G3983" i="9"/>
  <c r="G3984" i="9"/>
  <c r="G3985" i="9"/>
  <c r="G3986" i="9"/>
  <c r="G3987" i="9"/>
  <c r="G3988" i="9"/>
  <c r="G3989" i="9"/>
  <c r="G3990" i="9"/>
  <c r="G3991" i="9"/>
  <c r="G3992" i="9"/>
  <c r="G3993" i="9"/>
  <c r="G3994" i="9"/>
  <c r="G3995" i="9"/>
  <c r="G3996" i="9"/>
  <c r="G3997" i="9"/>
  <c r="G3998" i="9"/>
  <c r="G3999" i="9"/>
  <c r="G4000" i="9"/>
  <c r="G4001" i="9"/>
  <c r="G4002" i="9"/>
  <c r="G4003" i="9"/>
  <c r="G4004" i="9"/>
  <c r="G4005" i="9"/>
  <c r="G4006" i="9"/>
  <c r="G4007" i="9"/>
  <c r="G4008" i="9"/>
  <c r="G4009" i="9"/>
  <c r="G4010" i="9"/>
  <c r="G4011" i="9"/>
  <c r="G4012" i="9"/>
  <c r="G4013" i="9"/>
  <c r="G4014" i="9"/>
  <c r="G4015" i="9"/>
  <c r="G4016" i="9"/>
  <c r="G4017" i="9"/>
  <c r="G4018" i="9"/>
  <c r="G4019" i="9"/>
  <c r="G4020" i="9"/>
  <c r="G4021" i="9"/>
  <c r="G4022" i="9"/>
  <c r="G4023" i="9"/>
  <c r="G4024" i="9"/>
  <c r="G4025" i="9"/>
  <c r="G4026" i="9"/>
  <c r="G4027" i="9"/>
  <c r="G4028" i="9"/>
  <c r="G4029" i="9"/>
  <c r="G4030" i="9"/>
  <c r="G4031" i="9"/>
  <c r="G4032" i="9"/>
  <c r="G4033" i="9"/>
  <c r="G4034" i="9"/>
  <c r="G4035" i="9"/>
  <c r="G4036" i="9"/>
  <c r="G4037" i="9"/>
  <c r="G4038" i="9"/>
  <c r="G4039" i="9"/>
  <c r="G4040" i="9"/>
  <c r="G4041" i="9"/>
  <c r="G4042" i="9"/>
  <c r="G4043" i="9"/>
  <c r="G4044" i="9"/>
  <c r="G4045" i="9"/>
  <c r="G4046" i="9"/>
  <c r="G4047" i="9"/>
  <c r="G4048" i="9"/>
  <c r="G4049" i="9"/>
  <c r="G4050" i="9"/>
  <c r="G4051" i="9"/>
  <c r="G4052" i="9"/>
  <c r="G4053" i="9"/>
  <c r="G4054" i="9"/>
  <c r="G4055" i="9"/>
  <c r="G4056" i="9"/>
  <c r="G4057" i="9"/>
  <c r="G4058" i="9"/>
  <c r="G4059" i="9"/>
  <c r="G4060" i="9"/>
  <c r="G4061" i="9"/>
  <c r="G4062" i="9"/>
  <c r="G4063" i="9"/>
  <c r="G4064" i="9"/>
  <c r="G4065" i="9"/>
  <c r="G4066" i="9"/>
  <c r="G4067" i="9"/>
  <c r="G4068" i="9"/>
  <c r="G4069" i="9"/>
  <c r="G4070" i="9"/>
  <c r="G4071" i="9"/>
  <c r="G4072" i="9"/>
  <c r="G4073" i="9"/>
  <c r="G4074" i="9"/>
  <c r="G4075" i="9"/>
  <c r="G4076" i="9"/>
  <c r="G4077" i="9"/>
  <c r="G4078" i="9"/>
  <c r="G4079" i="9"/>
  <c r="G4080" i="9"/>
  <c r="G4081" i="9"/>
  <c r="G4082" i="9"/>
  <c r="G4083" i="9"/>
  <c r="G4084" i="9"/>
  <c r="G4085" i="9"/>
  <c r="G4086" i="9"/>
  <c r="G4087" i="9"/>
  <c r="G4088" i="9"/>
  <c r="G4089" i="9"/>
  <c r="G4090" i="9"/>
  <c r="G4091" i="9"/>
  <c r="G4092" i="9"/>
  <c r="G4093" i="9"/>
  <c r="G4094" i="9"/>
  <c r="G4095" i="9"/>
  <c r="G4096" i="9"/>
  <c r="G4097" i="9"/>
  <c r="G4098" i="9"/>
  <c r="G4099" i="9"/>
  <c r="G4100" i="9"/>
  <c r="G4101" i="9"/>
  <c r="G4102" i="9"/>
  <c r="G4103" i="9"/>
  <c r="G4104" i="9"/>
  <c r="G4105" i="9"/>
  <c r="G4106" i="9"/>
  <c r="G4107" i="9"/>
  <c r="G4108" i="9"/>
  <c r="G4109" i="9"/>
  <c r="G4110" i="9"/>
  <c r="G4111" i="9"/>
  <c r="G4112" i="9"/>
  <c r="G4113" i="9"/>
  <c r="G4114" i="9"/>
  <c r="G4115" i="9"/>
  <c r="G4116" i="9"/>
  <c r="G4117" i="9"/>
  <c r="G4118" i="9"/>
  <c r="G4119" i="9"/>
  <c r="G4120" i="9"/>
  <c r="G4121" i="9"/>
  <c r="G4122" i="9"/>
  <c r="G4123" i="9"/>
  <c r="G4124" i="9"/>
  <c r="G4125" i="9"/>
  <c r="G4126" i="9"/>
  <c r="G4127" i="9"/>
  <c r="G4128" i="9"/>
  <c r="G4129" i="9"/>
  <c r="G4130" i="9"/>
  <c r="G4131" i="9"/>
  <c r="G4132" i="9"/>
  <c r="G4133" i="9"/>
  <c r="G4134" i="9"/>
  <c r="G4135" i="9"/>
  <c r="G4136" i="9"/>
  <c r="G4137" i="9"/>
  <c r="G4138" i="9"/>
  <c r="G4139" i="9"/>
  <c r="G4140" i="9"/>
  <c r="G4141" i="9"/>
  <c r="G4142" i="9"/>
  <c r="G4143" i="9"/>
  <c r="G4144" i="9"/>
  <c r="G4145" i="9"/>
  <c r="G4146" i="9"/>
  <c r="G4147" i="9"/>
  <c r="G4148" i="9"/>
  <c r="G4149" i="9"/>
  <c r="G4150" i="9"/>
  <c r="G4151" i="9"/>
  <c r="G4152" i="9"/>
  <c r="G4153" i="9"/>
  <c r="G4154" i="9"/>
  <c r="G4155" i="9"/>
  <c r="G4156" i="9"/>
  <c r="G4157" i="9"/>
  <c r="G4158" i="9"/>
  <c r="G4159" i="9"/>
  <c r="G4160" i="9"/>
  <c r="G4161" i="9"/>
  <c r="G4162" i="9"/>
  <c r="G4163" i="9"/>
  <c r="G4164" i="9"/>
  <c r="G4165" i="9"/>
  <c r="G4166" i="9"/>
  <c r="G4167" i="9"/>
  <c r="G4168" i="9"/>
  <c r="G4169" i="9"/>
  <c r="G4170" i="9"/>
  <c r="G4171" i="9"/>
  <c r="G4172" i="9"/>
  <c r="G4173" i="9"/>
  <c r="G4174" i="9"/>
  <c r="G4175" i="9"/>
  <c r="G4176" i="9"/>
  <c r="G4177" i="9"/>
  <c r="G4178" i="9"/>
  <c r="G4179" i="9"/>
  <c r="G4180" i="9"/>
  <c r="G4181" i="9"/>
  <c r="G4182" i="9"/>
  <c r="G4183" i="9"/>
  <c r="G4184" i="9"/>
  <c r="G4185" i="9"/>
  <c r="G4186" i="9"/>
  <c r="G4187" i="9"/>
  <c r="G4188" i="9"/>
  <c r="G4189" i="9"/>
  <c r="G4190" i="9"/>
  <c r="G4191" i="9"/>
  <c r="G4192" i="9"/>
  <c r="G4193" i="9"/>
  <c r="G4194" i="9"/>
  <c r="G4195" i="9"/>
  <c r="G4196" i="9"/>
  <c r="G4197" i="9"/>
  <c r="G4198" i="9"/>
  <c r="G4199" i="9"/>
  <c r="G4200" i="9"/>
  <c r="G4201" i="9"/>
  <c r="G4202" i="9"/>
  <c r="G4203" i="9"/>
  <c r="G4204" i="9"/>
  <c r="G4205" i="9"/>
  <c r="G4206" i="9"/>
  <c r="G4207" i="9"/>
  <c r="G4208" i="9"/>
  <c r="G4209" i="9"/>
  <c r="G4210" i="9"/>
  <c r="G4211" i="9"/>
  <c r="G4212" i="9"/>
  <c r="G4213" i="9"/>
  <c r="G4214" i="9"/>
  <c r="G4215" i="9"/>
  <c r="G4216" i="9"/>
  <c r="G4217" i="9"/>
  <c r="G4218" i="9"/>
  <c r="G4219" i="9"/>
  <c r="G4220" i="9"/>
  <c r="G4221" i="9"/>
  <c r="G4222" i="9"/>
  <c r="G4223" i="9"/>
  <c r="G4224" i="9"/>
  <c r="G4225" i="9"/>
  <c r="G4226" i="9"/>
  <c r="G4227" i="9"/>
  <c r="G4228" i="9"/>
  <c r="G4229" i="9"/>
  <c r="G4230" i="9"/>
  <c r="G4231" i="9"/>
  <c r="G4232" i="9"/>
  <c r="G4233" i="9"/>
  <c r="G4234" i="9"/>
  <c r="G4235" i="9"/>
  <c r="G4236" i="9"/>
  <c r="G4237" i="9"/>
  <c r="G4238" i="9"/>
  <c r="G4239" i="9"/>
  <c r="G4240" i="9"/>
  <c r="G4241" i="9"/>
  <c r="G4242" i="9"/>
  <c r="G4243" i="9"/>
  <c r="G4244" i="9"/>
  <c r="G4245" i="9"/>
  <c r="G4246" i="9"/>
  <c r="G4247" i="9"/>
  <c r="G4248" i="9"/>
  <c r="G4249" i="9"/>
  <c r="G4250" i="9"/>
  <c r="G4251" i="9"/>
  <c r="G4252" i="9"/>
  <c r="G4253" i="9"/>
  <c r="G4254" i="9"/>
  <c r="G4255" i="9"/>
  <c r="G4256" i="9"/>
  <c r="G4257" i="9"/>
  <c r="G4258" i="9"/>
  <c r="G4259" i="9"/>
  <c r="G4260" i="9"/>
  <c r="G4261" i="9"/>
  <c r="G4262" i="9"/>
  <c r="G4263" i="9"/>
  <c r="G4264" i="9"/>
  <c r="G4265" i="9"/>
  <c r="G4266" i="9"/>
  <c r="G4267" i="9"/>
  <c r="G4268" i="9"/>
  <c r="G4269" i="9"/>
  <c r="G4270" i="9"/>
  <c r="G4271" i="9"/>
  <c r="G4272" i="9"/>
  <c r="G4273" i="9"/>
  <c r="G4274" i="9"/>
  <c r="G4275" i="9"/>
  <c r="G4276" i="9"/>
  <c r="G4277" i="9"/>
  <c r="G4278" i="9"/>
  <c r="G4279" i="9"/>
  <c r="G4280" i="9"/>
  <c r="G4281" i="9"/>
  <c r="G4282" i="9"/>
  <c r="G4283" i="9"/>
  <c r="G4284" i="9"/>
  <c r="G4285" i="9"/>
  <c r="G4286" i="9"/>
  <c r="G4287" i="9"/>
  <c r="G4288" i="9"/>
  <c r="G4289" i="9"/>
  <c r="G4290" i="9"/>
  <c r="G4291" i="9"/>
  <c r="G4292" i="9"/>
  <c r="G4293" i="9"/>
  <c r="G4294" i="9"/>
  <c r="G4295" i="9"/>
  <c r="G4296" i="9"/>
  <c r="G4297" i="9"/>
  <c r="G4298" i="9"/>
  <c r="G4299" i="9"/>
  <c r="G4300" i="9"/>
  <c r="G4301" i="9"/>
  <c r="G4302" i="9"/>
  <c r="G4303" i="9"/>
  <c r="G4304" i="9"/>
  <c r="G4305" i="9"/>
  <c r="G4306" i="9"/>
  <c r="G4307" i="9"/>
  <c r="G4308" i="9"/>
  <c r="G4309" i="9"/>
  <c r="G4310" i="9"/>
  <c r="G4311" i="9"/>
  <c r="G4312" i="9"/>
  <c r="G4313" i="9"/>
  <c r="G4314" i="9"/>
  <c r="G4315" i="9"/>
  <c r="G4316" i="9"/>
  <c r="G4317" i="9"/>
  <c r="G4318" i="9"/>
  <c r="G4319" i="9"/>
  <c r="G4320" i="9"/>
  <c r="G4321" i="9"/>
  <c r="G4322" i="9"/>
  <c r="G4323" i="9"/>
  <c r="G4324" i="9"/>
  <c r="G4325" i="9"/>
  <c r="G4326" i="9"/>
  <c r="G4327" i="9"/>
  <c r="G4328" i="9"/>
  <c r="G4329" i="9"/>
  <c r="G4330" i="9"/>
  <c r="G4331" i="9"/>
  <c r="G4332" i="9"/>
  <c r="G4333" i="9"/>
  <c r="G4334" i="9"/>
  <c r="G4335" i="9"/>
  <c r="G4336" i="9"/>
  <c r="G4337" i="9"/>
  <c r="G4338" i="9"/>
  <c r="G4339" i="9"/>
  <c r="G4340" i="9"/>
  <c r="G4341" i="9"/>
  <c r="G4342" i="9"/>
  <c r="G4343" i="9"/>
  <c r="G4344" i="9"/>
  <c r="G4345" i="9"/>
  <c r="G4346" i="9"/>
  <c r="G4347" i="9"/>
  <c r="G4348" i="9"/>
  <c r="G4349" i="9"/>
  <c r="G4350" i="9"/>
  <c r="G4351" i="9"/>
  <c r="G4352" i="9"/>
  <c r="G4353" i="9"/>
  <c r="G4354" i="9"/>
  <c r="G4355" i="9"/>
  <c r="G4356" i="9"/>
  <c r="G4357" i="9"/>
  <c r="G4358" i="9"/>
  <c r="G4359" i="9"/>
  <c r="G4360" i="9"/>
  <c r="G4361" i="9"/>
  <c r="G4362" i="9"/>
  <c r="G4363" i="9"/>
  <c r="G4364" i="9"/>
  <c r="G4365" i="9"/>
  <c r="G4366" i="9"/>
  <c r="G4367" i="9"/>
  <c r="G4368" i="9"/>
  <c r="G4369" i="9"/>
  <c r="G4370" i="9"/>
  <c r="G4371" i="9"/>
  <c r="G4372" i="9"/>
  <c r="G4373" i="9"/>
  <c r="G4374" i="9"/>
  <c r="G4375" i="9"/>
  <c r="G4376" i="9"/>
  <c r="G4377" i="9"/>
  <c r="G4378" i="9"/>
  <c r="G4379" i="9"/>
  <c r="G4380" i="9"/>
  <c r="G4381" i="9"/>
  <c r="G4382" i="9"/>
  <c r="G4383" i="9"/>
  <c r="G4384" i="9"/>
  <c r="G4385" i="9"/>
  <c r="G4386" i="9"/>
  <c r="G4387" i="9"/>
  <c r="G4388" i="9"/>
  <c r="G4389" i="9"/>
  <c r="G4390" i="9"/>
  <c r="G4391" i="9"/>
  <c r="G4392" i="9"/>
  <c r="G4393" i="9"/>
  <c r="G4394" i="9"/>
  <c r="G4395" i="9"/>
  <c r="G4396" i="9"/>
  <c r="G4397" i="9"/>
  <c r="G4398" i="9"/>
  <c r="G4399" i="9"/>
  <c r="G4400" i="9"/>
  <c r="G4401" i="9"/>
  <c r="G4402" i="9"/>
  <c r="G4403" i="9"/>
  <c r="G4404" i="9"/>
  <c r="G4405" i="9"/>
  <c r="G4406" i="9"/>
  <c r="G4407" i="9"/>
  <c r="G4408" i="9"/>
  <c r="G4409" i="9"/>
  <c r="G4410" i="9"/>
  <c r="G4411" i="9"/>
  <c r="G4412" i="9"/>
  <c r="G4413" i="9"/>
  <c r="G4414" i="9"/>
  <c r="G4415" i="9"/>
  <c r="G4416" i="9"/>
  <c r="G4417" i="9"/>
  <c r="G4418" i="9"/>
  <c r="G4419" i="9"/>
  <c r="G4420" i="9"/>
  <c r="G4421" i="9"/>
  <c r="G4422" i="9"/>
  <c r="G4423" i="9"/>
  <c r="G4424" i="9"/>
  <c r="G4425" i="9"/>
  <c r="G4426" i="9"/>
  <c r="G4427" i="9"/>
  <c r="G4428" i="9"/>
  <c r="G4429" i="9"/>
  <c r="G4430" i="9"/>
  <c r="G4431" i="9"/>
  <c r="G4432" i="9"/>
  <c r="G4433" i="9"/>
  <c r="G4434" i="9"/>
  <c r="G4435" i="9"/>
  <c r="G4436" i="9"/>
  <c r="G4437" i="9"/>
  <c r="G4438" i="9"/>
  <c r="G4439" i="9"/>
  <c r="G4440" i="9"/>
  <c r="G4441" i="9"/>
  <c r="G4442" i="9"/>
  <c r="G4443" i="9"/>
  <c r="G4444" i="9"/>
  <c r="G4445" i="9"/>
  <c r="G4446" i="9"/>
  <c r="G4447" i="9"/>
  <c r="G4448" i="9"/>
  <c r="G4449" i="9"/>
  <c r="G4450" i="9"/>
  <c r="G4451" i="9"/>
  <c r="G4452" i="9"/>
  <c r="G4453" i="9"/>
  <c r="G4454" i="9"/>
  <c r="G4455" i="9"/>
  <c r="G4456" i="9"/>
  <c r="G4457" i="9"/>
  <c r="G4458" i="9"/>
  <c r="G4459" i="9"/>
  <c r="G4460" i="9"/>
  <c r="G4461" i="9"/>
  <c r="G4462" i="9"/>
  <c r="G4463" i="9"/>
  <c r="G4464" i="9"/>
  <c r="G4465" i="9"/>
  <c r="G4466" i="9"/>
  <c r="G4467" i="9"/>
  <c r="G4468" i="9"/>
  <c r="G4469" i="9"/>
  <c r="G4470" i="9"/>
  <c r="G4471" i="9"/>
  <c r="G4472" i="9"/>
  <c r="G4473" i="9"/>
  <c r="G4474" i="9"/>
  <c r="G4475" i="9"/>
  <c r="G4476" i="9"/>
  <c r="G4477" i="9"/>
  <c r="G4478" i="9"/>
  <c r="G4479" i="9"/>
  <c r="G4480" i="9"/>
  <c r="G4481" i="9"/>
  <c r="G4482" i="9"/>
  <c r="G4483" i="9"/>
  <c r="G4484" i="9"/>
  <c r="G4485" i="9"/>
  <c r="G4486" i="9"/>
  <c r="G4487" i="9"/>
  <c r="G4488" i="9"/>
  <c r="G4489" i="9"/>
  <c r="G4490" i="9"/>
  <c r="G4491" i="9"/>
  <c r="G4492" i="9"/>
  <c r="G4493" i="9"/>
  <c r="G4494" i="9"/>
  <c r="G4495" i="9"/>
  <c r="G4496" i="9"/>
  <c r="G4497" i="9"/>
  <c r="G4498" i="9"/>
  <c r="G4499" i="9"/>
  <c r="G4500" i="9"/>
  <c r="G4501" i="9"/>
  <c r="G4502" i="9"/>
  <c r="G4503" i="9"/>
  <c r="G4504" i="9"/>
  <c r="G4505" i="9"/>
  <c r="G4506" i="9"/>
  <c r="G4507" i="9"/>
  <c r="G4508" i="9"/>
  <c r="G4509" i="9"/>
  <c r="G4510" i="9"/>
  <c r="G4511" i="9"/>
  <c r="G4512" i="9"/>
  <c r="G4513" i="9"/>
  <c r="G4514" i="9"/>
  <c r="G4515" i="9"/>
  <c r="G4516" i="9"/>
  <c r="G4517" i="9"/>
  <c r="G4518" i="9"/>
  <c r="G4519" i="9"/>
  <c r="G4520" i="9"/>
  <c r="G4521" i="9"/>
  <c r="G4522" i="9"/>
  <c r="G4523" i="9"/>
  <c r="G4524" i="9"/>
  <c r="G4525" i="9"/>
  <c r="G4526" i="9"/>
  <c r="G4527" i="9"/>
  <c r="G4528" i="9"/>
  <c r="G4529" i="9"/>
  <c r="G4530" i="9"/>
  <c r="G4531" i="9"/>
  <c r="G4532" i="9"/>
  <c r="G4533" i="9"/>
  <c r="G4534" i="9"/>
  <c r="G4535" i="9"/>
  <c r="G4536" i="9"/>
  <c r="G4537" i="9"/>
  <c r="G4538" i="9"/>
  <c r="G4539" i="9"/>
  <c r="G4540" i="9"/>
  <c r="G4541" i="9"/>
  <c r="G4542" i="9"/>
  <c r="G4543" i="9"/>
  <c r="G4544" i="9"/>
  <c r="G4545" i="9"/>
  <c r="G4546" i="9"/>
  <c r="G4547" i="9"/>
  <c r="G4548" i="9"/>
  <c r="G4549" i="9"/>
  <c r="G4550" i="9"/>
  <c r="G4551" i="9"/>
  <c r="G4552" i="9"/>
  <c r="G4553" i="9"/>
  <c r="G4554" i="9"/>
  <c r="G4555" i="9"/>
  <c r="G4556" i="9"/>
  <c r="G4557" i="9"/>
  <c r="G4558" i="9"/>
  <c r="G4559" i="9"/>
  <c r="G4560" i="9"/>
  <c r="G4561" i="9"/>
  <c r="G4562" i="9"/>
  <c r="G4563" i="9"/>
  <c r="G4564" i="9"/>
  <c r="G4565" i="9"/>
  <c r="G4566" i="9"/>
  <c r="G4567" i="9"/>
  <c r="G4568" i="9"/>
  <c r="G4569" i="9"/>
  <c r="G4570" i="9"/>
  <c r="G4571" i="9"/>
  <c r="G4572" i="9"/>
  <c r="G4573" i="9"/>
  <c r="G4574" i="9"/>
  <c r="G4575" i="9"/>
  <c r="G4576" i="9"/>
  <c r="G4577" i="9"/>
  <c r="G4578" i="9"/>
  <c r="G4579" i="9"/>
  <c r="G4580" i="9"/>
  <c r="G4581" i="9"/>
  <c r="G4582" i="9"/>
  <c r="G4583" i="9"/>
  <c r="G4584" i="9"/>
  <c r="G4585" i="9"/>
  <c r="G4586" i="9"/>
  <c r="G4587" i="9"/>
  <c r="G4588" i="9"/>
  <c r="G4589" i="9"/>
  <c r="G4590" i="9"/>
  <c r="G4591" i="9"/>
  <c r="G4592" i="9"/>
  <c r="G4593" i="9"/>
  <c r="G4594" i="9"/>
  <c r="G4595" i="9"/>
  <c r="G4596" i="9"/>
  <c r="G4597" i="9"/>
  <c r="G4598" i="9"/>
  <c r="G4599" i="9"/>
  <c r="G4600" i="9"/>
  <c r="G4601" i="9"/>
  <c r="G4602" i="9"/>
  <c r="G4603" i="9"/>
  <c r="G4604" i="9"/>
  <c r="G4605" i="9"/>
  <c r="G4606" i="9"/>
  <c r="G4607" i="9"/>
  <c r="G4608" i="9"/>
  <c r="G4609" i="9"/>
  <c r="G4610" i="9"/>
  <c r="G4611" i="9"/>
  <c r="G4612" i="9"/>
  <c r="G4613" i="9"/>
  <c r="G4614" i="9"/>
  <c r="G4615" i="9"/>
  <c r="G4616" i="9"/>
  <c r="G4617" i="9"/>
  <c r="G4618" i="9"/>
  <c r="G4619" i="9"/>
  <c r="G4620" i="9"/>
  <c r="G4621" i="9"/>
  <c r="G4622" i="9"/>
  <c r="G4623" i="9"/>
  <c r="G4624" i="9"/>
  <c r="G4625" i="9"/>
  <c r="G4626" i="9"/>
  <c r="G4627" i="9"/>
  <c r="G4628" i="9"/>
  <c r="G4629" i="9"/>
  <c r="G4630" i="9"/>
  <c r="G4631" i="9"/>
  <c r="G4632" i="9"/>
  <c r="G4633" i="9"/>
  <c r="G4634" i="9"/>
  <c r="G4635" i="9"/>
  <c r="G4636" i="9"/>
  <c r="G4637" i="9"/>
  <c r="G4638" i="9"/>
  <c r="G4639" i="9"/>
  <c r="G4640" i="9"/>
  <c r="G4641" i="9"/>
  <c r="G4642" i="9"/>
  <c r="G4643" i="9"/>
  <c r="G4644" i="9"/>
  <c r="G4645" i="9"/>
  <c r="G4646" i="9"/>
  <c r="G4647" i="9"/>
  <c r="G4648" i="9"/>
  <c r="G4649" i="9"/>
  <c r="G4650" i="9"/>
  <c r="G4651" i="9"/>
  <c r="G4652" i="9"/>
  <c r="G4653" i="9"/>
  <c r="G4654" i="9"/>
  <c r="G4655" i="9"/>
  <c r="G4656" i="9"/>
  <c r="G4657" i="9"/>
  <c r="G4658" i="9"/>
  <c r="G4659" i="9"/>
  <c r="G4660" i="9"/>
  <c r="G4661" i="9"/>
  <c r="G4662" i="9"/>
  <c r="G4663" i="9"/>
  <c r="G4664" i="9"/>
  <c r="G4665" i="9"/>
  <c r="G4666" i="9"/>
  <c r="G4667" i="9"/>
  <c r="G4668" i="9"/>
  <c r="G4669" i="9"/>
  <c r="G4670" i="9"/>
  <c r="G4671" i="9"/>
  <c r="G4672" i="9"/>
  <c r="G4673" i="9"/>
  <c r="G4674" i="9"/>
  <c r="G4675" i="9"/>
  <c r="G4676" i="9"/>
  <c r="G4677" i="9"/>
  <c r="G4678" i="9"/>
  <c r="G4679" i="9"/>
  <c r="G4680" i="9"/>
  <c r="G4681" i="9"/>
  <c r="G4682" i="9"/>
  <c r="G4683" i="9"/>
  <c r="G4684" i="9"/>
  <c r="G4685" i="9"/>
  <c r="G4686" i="9"/>
  <c r="G4687" i="9"/>
  <c r="G4688" i="9"/>
  <c r="G4689" i="9"/>
  <c r="G4690" i="9"/>
  <c r="G4691" i="9"/>
  <c r="G4692" i="9"/>
  <c r="G4693" i="9"/>
  <c r="G4694" i="9"/>
  <c r="G4695" i="9"/>
  <c r="G4696" i="9"/>
  <c r="G4697" i="9"/>
  <c r="G4698" i="9"/>
  <c r="G4699" i="9"/>
  <c r="G4700" i="9"/>
  <c r="G4701" i="9"/>
  <c r="G4702" i="9"/>
  <c r="G4703" i="9"/>
  <c r="G4704" i="9"/>
  <c r="G4705" i="9"/>
  <c r="G4706" i="9"/>
  <c r="G4707" i="9"/>
  <c r="G4708" i="9"/>
  <c r="G4709" i="9"/>
  <c r="G4710" i="9"/>
  <c r="G4711" i="9"/>
  <c r="G4712" i="9"/>
  <c r="G4713" i="9"/>
  <c r="G4714" i="9"/>
  <c r="G4715" i="9"/>
  <c r="G4716" i="9"/>
  <c r="G4717" i="9"/>
  <c r="G4718" i="9"/>
  <c r="G4719" i="9"/>
  <c r="G4720" i="9"/>
  <c r="G4721" i="9"/>
  <c r="G4722" i="9"/>
  <c r="G4723" i="9"/>
  <c r="G4724" i="9"/>
  <c r="G4725" i="9"/>
  <c r="G4726" i="9"/>
  <c r="G4727" i="9"/>
  <c r="G4728" i="9"/>
  <c r="G4729" i="9"/>
  <c r="G4730" i="9"/>
  <c r="G4731" i="9"/>
  <c r="G4732" i="9"/>
  <c r="G4733" i="9"/>
  <c r="G4734" i="9"/>
  <c r="G4735" i="9"/>
  <c r="G4736" i="9"/>
  <c r="G4737" i="9"/>
  <c r="G4738" i="9"/>
  <c r="G4739" i="9"/>
  <c r="G4740" i="9"/>
  <c r="G4741" i="9"/>
  <c r="G4742" i="9"/>
  <c r="G4743" i="9"/>
  <c r="G4744" i="9"/>
  <c r="G4745" i="9"/>
  <c r="G4746" i="9"/>
  <c r="G4747" i="9"/>
  <c r="G4748" i="9"/>
  <c r="G4749" i="9"/>
  <c r="G4750" i="9"/>
  <c r="G4751" i="9"/>
  <c r="G4752" i="9"/>
  <c r="G4753" i="9"/>
  <c r="G4754" i="9"/>
  <c r="G4755" i="9"/>
  <c r="G4756" i="9"/>
  <c r="G4757" i="9"/>
  <c r="G4758" i="9"/>
  <c r="G4759" i="9"/>
  <c r="G4760" i="9"/>
  <c r="G4761" i="9"/>
  <c r="G4762" i="9"/>
  <c r="G4763" i="9"/>
  <c r="G4764" i="9"/>
  <c r="G4765" i="9"/>
  <c r="G4766" i="9"/>
  <c r="G4767" i="9"/>
  <c r="G4768" i="9"/>
  <c r="G4769" i="9"/>
  <c r="G4770" i="9"/>
  <c r="G4771" i="9"/>
  <c r="G4772" i="9"/>
  <c r="G4773" i="9"/>
  <c r="G4774" i="9"/>
  <c r="G4775" i="9"/>
  <c r="G4776" i="9"/>
  <c r="G4777" i="9"/>
  <c r="G4778" i="9"/>
  <c r="G4779" i="9"/>
  <c r="G4780" i="9"/>
  <c r="G4781" i="9"/>
  <c r="G4782" i="9"/>
  <c r="G4783" i="9"/>
  <c r="G4784" i="9"/>
  <c r="G4785" i="9"/>
  <c r="G4786" i="9"/>
  <c r="G4787" i="9"/>
  <c r="G4788" i="9"/>
  <c r="G4789" i="9"/>
  <c r="G4790" i="9"/>
  <c r="G4791" i="9"/>
  <c r="G4792" i="9"/>
  <c r="G4793" i="9"/>
  <c r="G4794" i="9"/>
  <c r="G4795" i="9"/>
  <c r="G4796" i="9"/>
  <c r="G4797" i="9"/>
  <c r="G4798" i="9"/>
  <c r="G4799" i="9"/>
  <c r="G4800" i="9"/>
  <c r="G4801" i="9"/>
  <c r="G4802" i="9"/>
  <c r="G4803" i="9"/>
  <c r="G4804" i="9"/>
  <c r="G4805" i="9"/>
  <c r="G4806" i="9"/>
  <c r="G4807" i="9"/>
  <c r="G4808" i="9"/>
  <c r="G4809" i="9"/>
  <c r="G4810" i="9"/>
  <c r="G4811" i="9"/>
  <c r="G4812" i="9"/>
  <c r="G4813" i="9"/>
  <c r="G4814" i="9"/>
  <c r="G4815" i="9"/>
  <c r="G4816" i="9"/>
  <c r="G4817" i="9"/>
  <c r="G4818" i="9"/>
  <c r="G4819" i="9"/>
  <c r="G4820" i="9"/>
  <c r="G4821" i="9"/>
  <c r="G4822" i="9"/>
  <c r="G4823" i="9"/>
  <c r="G4824" i="9"/>
  <c r="G4825" i="9"/>
  <c r="G4826" i="9"/>
  <c r="G4827" i="9"/>
  <c r="G4828" i="9"/>
  <c r="G4829" i="9"/>
  <c r="G4830" i="9"/>
  <c r="G4831" i="9"/>
  <c r="G4832" i="9"/>
  <c r="G4833" i="9"/>
  <c r="G4834" i="9"/>
  <c r="G4835" i="9"/>
  <c r="G4836" i="9"/>
  <c r="G4837" i="9"/>
  <c r="G4838" i="9"/>
  <c r="G4839" i="9"/>
  <c r="G4840" i="9"/>
  <c r="G4841" i="9"/>
  <c r="G4842" i="9"/>
  <c r="G4843" i="9"/>
  <c r="G4844" i="9"/>
  <c r="G4845" i="9"/>
  <c r="G4846" i="9"/>
  <c r="G4847" i="9"/>
  <c r="G4848" i="9"/>
  <c r="G4849" i="9"/>
  <c r="G4850" i="9"/>
  <c r="G4851" i="9"/>
  <c r="G4852" i="9"/>
  <c r="G4853" i="9"/>
  <c r="G4854" i="9"/>
  <c r="G4855" i="9"/>
  <c r="G4856" i="9"/>
  <c r="G4857" i="9"/>
  <c r="G4858" i="9"/>
  <c r="G4859" i="9"/>
  <c r="G4860" i="9"/>
  <c r="G4861" i="9"/>
  <c r="G4862" i="9"/>
  <c r="G4863" i="9"/>
  <c r="G4864" i="9"/>
  <c r="G4865" i="9"/>
  <c r="G4866" i="9"/>
  <c r="G4867" i="9"/>
  <c r="G4868" i="9"/>
  <c r="G4869" i="9"/>
  <c r="G4870" i="9"/>
  <c r="G4871" i="9"/>
  <c r="G4872" i="9"/>
  <c r="G4873" i="9"/>
  <c r="G4874" i="9"/>
  <c r="G4875" i="9"/>
  <c r="G4876" i="9"/>
  <c r="G4877" i="9"/>
  <c r="G4878" i="9"/>
  <c r="G4879" i="9"/>
  <c r="G4880" i="9"/>
  <c r="G4881" i="9"/>
  <c r="G4882" i="9"/>
  <c r="G4883" i="9"/>
  <c r="G4884" i="9"/>
  <c r="G4885" i="9"/>
  <c r="G4886" i="9"/>
  <c r="G4887" i="9"/>
  <c r="G4888" i="9"/>
  <c r="G4889" i="9"/>
  <c r="G4890" i="9"/>
  <c r="G4891" i="9"/>
  <c r="G4892" i="9"/>
  <c r="G4893" i="9"/>
  <c r="G4894" i="9"/>
  <c r="G4895" i="9"/>
  <c r="G4896" i="9"/>
  <c r="G4897" i="9"/>
  <c r="G4898" i="9"/>
  <c r="G4899" i="9"/>
  <c r="G4900" i="9"/>
  <c r="G4901" i="9"/>
  <c r="G4902" i="9"/>
  <c r="G4903" i="9"/>
  <c r="G4904" i="9"/>
  <c r="G4905" i="9"/>
  <c r="G4906" i="9"/>
  <c r="G4907" i="9"/>
  <c r="G4908" i="9"/>
  <c r="G4909" i="9"/>
  <c r="G4910" i="9"/>
  <c r="G4911" i="9"/>
  <c r="G4912" i="9"/>
  <c r="G4913" i="9"/>
  <c r="G4914" i="9"/>
  <c r="G4915" i="9"/>
  <c r="G4916" i="9"/>
  <c r="G4917" i="9"/>
  <c r="G4918" i="9"/>
  <c r="G4919" i="9"/>
  <c r="G4920" i="9"/>
  <c r="G4921" i="9"/>
  <c r="G4922" i="9"/>
  <c r="G4923" i="9"/>
  <c r="G4924" i="9"/>
  <c r="G4925" i="9"/>
  <c r="G4926" i="9"/>
  <c r="G4927" i="9"/>
  <c r="G4928" i="9"/>
  <c r="G4929" i="9"/>
  <c r="G4930" i="9"/>
  <c r="G4931" i="9"/>
  <c r="G4932" i="9"/>
  <c r="G4933" i="9"/>
  <c r="G4934" i="9"/>
  <c r="G4935" i="9"/>
  <c r="G4936" i="9"/>
  <c r="G4937" i="9"/>
  <c r="G4938" i="9"/>
  <c r="G4939" i="9"/>
  <c r="G4940" i="9"/>
  <c r="G4941" i="9"/>
  <c r="G4942" i="9"/>
  <c r="G4943" i="9"/>
  <c r="G4944" i="9"/>
  <c r="G4945" i="9"/>
  <c r="G4946" i="9"/>
  <c r="G4947" i="9"/>
  <c r="G4948" i="9"/>
  <c r="G4949" i="9"/>
  <c r="G4950" i="9"/>
  <c r="G4951" i="9"/>
  <c r="G4952" i="9"/>
  <c r="G4953" i="9"/>
  <c r="G4954" i="9"/>
  <c r="G4955" i="9"/>
  <c r="G4956" i="9"/>
  <c r="G4957" i="9"/>
  <c r="G4958" i="9"/>
  <c r="G4959" i="9"/>
  <c r="G4960" i="9"/>
  <c r="G4961" i="9"/>
  <c r="G4962" i="9"/>
  <c r="G4963" i="9"/>
  <c r="G4964" i="9"/>
  <c r="G4965" i="9"/>
  <c r="G4966" i="9"/>
  <c r="G4967" i="9"/>
  <c r="G4968" i="9"/>
  <c r="G4969" i="9"/>
  <c r="G4970" i="9"/>
  <c r="G4971" i="9"/>
  <c r="G4972" i="9"/>
  <c r="G4973" i="9"/>
  <c r="G4974" i="9"/>
  <c r="G4975" i="9"/>
  <c r="G4976" i="9"/>
  <c r="G4977" i="9"/>
  <c r="G4978" i="9"/>
  <c r="G4979" i="9"/>
  <c r="G4980" i="9"/>
  <c r="G4981" i="9"/>
  <c r="G4982" i="9"/>
  <c r="G4983" i="9"/>
  <c r="G4984" i="9"/>
  <c r="G4985" i="9"/>
  <c r="G4986" i="9"/>
  <c r="G4987" i="9"/>
  <c r="G4988" i="9"/>
  <c r="G4989" i="9"/>
  <c r="G4990" i="9"/>
  <c r="G4991" i="9"/>
  <c r="G4992" i="9"/>
  <c r="G4993" i="9"/>
  <c r="G4994" i="9"/>
  <c r="G4995" i="9"/>
  <c r="G4996" i="9"/>
  <c r="G4997" i="9"/>
  <c r="G4998" i="9"/>
  <c r="G4999" i="9"/>
  <c r="G5000" i="9"/>
  <c r="G5001" i="9"/>
  <c r="G5002" i="9"/>
  <c r="G5003" i="9"/>
  <c r="G5004" i="9"/>
  <c r="G5005" i="9"/>
  <c r="G5006" i="9"/>
  <c r="G5007" i="9"/>
  <c r="G5008" i="9"/>
  <c r="G5009" i="9"/>
  <c r="G5010" i="9"/>
  <c r="G5011" i="9"/>
  <c r="G5012" i="9"/>
  <c r="G5013" i="9"/>
  <c r="G5014" i="9"/>
  <c r="G5015" i="9"/>
  <c r="G2" i="9"/>
  <c r="G9" i="6" l="1"/>
  <c r="G4" i="6"/>
  <c r="G7" i="6"/>
  <c r="G8" i="6"/>
  <c r="G5" i="6"/>
  <c r="G6" i="6"/>
  <c r="AR9" i="6"/>
  <c r="AR21" i="6"/>
  <c r="AR7" i="6"/>
  <c r="AR10" i="6"/>
  <c r="F6" i="13"/>
  <c r="G6" i="13" s="1"/>
  <c r="F4" i="13"/>
  <c r="G4" i="13" s="1"/>
  <c r="D6" i="13"/>
  <c r="D5" i="13"/>
  <c r="F5" i="13"/>
  <c r="G5" i="13" s="1"/>
  <c r="I4" i="13"/>
  <c r="F7" i="13"/>
  <c r="G7" i="13" s="1"/>
  <c r="I7" i="13"/>
  <c r="E7" i="13"/>
  <c r="L7" i="13"/>
  <c r="M7" i="13" s="1"/>
  <c r="K7" i="13"/>
  <c r="E5" i="13"/>
  <c r="L5" i="13"/>
  <c r="M5" i="13" s="1"/>
  <c r="H5" i="13" s="1"/>
  <c r="K5" i="13"/>
  <c r="I2" i="13"/>
  <c r="F2" i="13"/>
  <c r="G2" i="13" s="1"/>
  <c r="D2" i="13"/>
  <c r="E6" i="13"/>
  <c r="K6" i="13"/>
  <c r="L6" i="13"/>
  <c r="M6" i="13" s="1"/>
  <c r="H6" i="13" s="1"/>
  <c r="K3" i="13"/>
  <c r="L3" i="13"/>
  <c r="M3" i="13" s="1"/>
  <c r="E3" i="13"/>
  <c r="E2" i="13"/>
  <c r="L2" i="13"/>
  <c r="M2" i="13" s="1"/>
  <c r="K2" i="13"/>
  <c r="I3" i="13"/>
  <c r="D3" i="13"/>
  <c r="F3" i="13"/>
  <c r="G3" i="13" s="1"/>
  <c r="E4" i="13"/>
  <c r="L4" i="13"/>
  <c r="M4" i="13" s="1"/>
  <c r="K4" i="13"/>
  <c r="G16" i="6" l="1"/>
  <c r="G72" i="6"/>
  <c r="G70" i="6"/>
  <c r="G15" i="6"/>
  <c r="J6" i="13"/>
  <c r="J7" i="13"/>
  <c r="J4" i="13"/>
  <c r="J5" i="13"/>
  <c r="J2" i="13"/>
  <c r="J3" i="13"/>
  <c r="H4" i="13"/>
  <c r="H3" i="13"/>
  <c r="H7" i="13"/>
  <c r="H2" i="13"/>
  <c r="AR11" i="6"/>
  <c r="G17" i="6" l="1"/>
  <c r="G77" i="6" l="1"/>
  <c r="G18" i="6"/>
  <c r="G79" i="6" l="1"/>
  <c r="G80" i="6" s="1"/>
  <c r="G19" i="6"/>
  <c r="G20" i="6" s="1"/>
  <c r="C8"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Matheus Hags</author>
  </authors>
  <commentList>
    <comment ref="B4" authorId="0" shapeId="0" xr:uid="{C0DEC467-2826-4323-AF5D-FEF3AB1DC7B0}">
      <text>
        <r>
          <rPr>
            <b/>
            <sz val="9"/>
            <color indexed="81"/>
            <rFont val="Segoe UI"/>
            <family val="2"/>
          </rPr>
          <t>Matheus Hags:</t>
        </r>
        <r>
          <rPr>
            <sz val="9"/>
            <color indexed="81"/>
            <rFont val="Segoe UI"/>
            <family val="2"/>
          </rPr>
          <t xml:space="preserve">
Nesta Conta são contabilizadas todas as vendas da empresa, do dia 01 de cada mês até o último dia do mês as 23:59 </t>
        </r>
      </text>
    </comment>
    <comment ref="B6" authorId="0" shapeId="0" xr:uid="{983618F2-D6B5-4C9A-818E-AFBFE55C1B57}">
      <text>
        <r>
          <rPr>
            <b/>
            <sz val="9"/>
            <color indexed="81"/>
            <rFont val="Segoe UI"/>
            <family val="2"/>
          </rPr>
          <t>Matheus Hags:</t>
        </r>
        <r>
          <rPr>
            <sz val="9"/>
            <color indexed="81"/>
            <rFont val="Segoe UI"/>
            <family val="2"/>
          </rPr>
          <t xml:space="preserve">
Refere-se ao custo da mercadoria vendida, sem os impostos, esta conta é a contrapartida do estoque e das compras</t>
        </r>
      </text>
    </comment>
    <comment ref="B8" authorId="0" shapeId="0" xr:uid="{83654B67-FF77-429F-98D1-3971B74EF147}">
      <text>
        <r>
          <rPr>
            <b/>
            <sz val="9"/>
            <color indexed="81"/>
            <rFont val="Segoe UI"/>
            <family val="2"/>
          </rPr>
          <t>Matheus Hags:</t>
        </r>
        <r>
          <rPr>
            <sz val="9"/>
            <color indexed="81"/>
            <rFont val="Segoe UI"/>
            <family val="2"/>
          </rPr>
          <t xml:space="preserve">
Refere-se ao débito de ICMS das vendas dos
produtos tributados de ICMS. Este valor irá depender
do cadastro dos produtos do banco de dados do
sistema do cliente</t>
        </r>
      </text>
    </comment>
    <comment ref="B9" authorId="0" shapeId="0" xr:uid="{ECB95299-8457-4D0B-ADEB-0BF47CD8688C}">
      <text>
        <r>
          <rPr>
            <b/>
            <sz val="9"/>
            <color indexed="81"/>
            <rFont val="Segoe UI"/>
            <family val="2"/>
          </rPr>
          <t>Matheus Hags:</t>
        </r>
        <r>
          <rPr>
            <sz val="9"/>
            <color indexed="81"/>
            <rFont val="Segoe UI"/>
            <family val="2"/>
          </rPr>
          <t xml:space="preserve">
Refere-se ao débito de PIS das vendas dos produtos
tributados de PIS. Da mesma forma irá depender do
cadastro de produtos 
</t>
        </r>
      </text>
    </comment>
    <comment ref="B10" authorId="0" shapeId="0" xr:uid="{B5E18064-8767-4B71-AC6E-E77F212CACE2}">
      <text>
        <r>
          <rPr>
            <b/>
            <sz val="9"/>
            <color indexed="81"/>
            <rFont val="Segoe UI"/>
            <family val="2"/>
          </rPr>
          <t>Matheus Hags:</t>
        </r>
        <r>
          <rPr>
            <sz val="9"/>
            <color indexed="81"/>
            <rFont val="Segoe UI"/>
            <family val="2"/>
          </rPr>
          <t xml:space="preserve">
Refere-se ao débito de PIS das vendas dos produtos tributados de COFINS. Irá depender do cadastro de produtos 
</t>
        </r>
      </text>
    </comment>
    <comment ref="B12" authorId="0" shapeId="0" xr:uid="{03653083-67BF-4172-BF52-466EE0E10932}">
      <text>
        <r>
          <rPr>
            <b/>
            <sz val="9"/>
            <color indexed="81"/>
            <rFont val="Segoe UI"/>
            <family val="2"/>
          </rPr>
          <t>Matheus Hags:</t>
        </r>
        <r>
          <rPr>
            <sz val="9"/>
            <color indexed="81"/>
            <rFont val="Segoe UI"/>
            <family val="2"/>
          </rPr>
          <t xml:space="preserve">
Refere-se ao valor que é pago aos sócios que trabalham na empresa. Sobre este valor irá incidir INSS patronal (que será descontado conforme tabela progressiva de INSS), o INSS parte do empregado e o IRPF conforme tabela progressiva. Pró-labore não tem custo de FGTS.</t>
        </r>
      </text>
    </comment>
    <comment ref="B13" authorId="0" shapeId="0" xr:uid="{CAAECBD9-D833-4B4A-96F3-A34323507635}">
      <text>
        <r>
          <rPr>
            <b/>
            <sz val="9"/>
            <color indexed="81"/>
            <rFont val="Segoe UI"/>
            <family val="2"/>
          </rPr>
          <t>Matheus Hags:</t>
        </r>
        <r>
          <rPr>
            <sz val="9"/>
            <color indexed="81"/>
            <rFont val="Segoe UI"/>
            <family val="2"/>
          </rPr>
          <t xml:space="preserve">
As empresas podem trabalhar com banco de horas ou pagamento de horas extras e desconto de atrasos. As Horas extras são pagas conforme CCT de cada Cliente, porém, a CLT estabelece que deve-se pagar, no mínimo, o adicional de 50% do valor de uma hora normal trabalhada em dias normais e dobra-se o percentual (100%) quando a hora extra é feita em finais de semana ou feriados, incide sobre elas INSS, IRRF e FGTS.</t>
        </r>
      </text>
    </comment>
    <comment ref="B14" authorId="0" shapeId="0" xr:uid="{60B1AD20-DB0F-41E2-933A-D7314E9FC1EE}">
      <text>
        <r>
          <rPr>
            <b/>
            <sz val="9"/>
            <color indexed="81"/>
            <rFont val="Segoe UI"/>
            <family val="2"/>
          </rPr>
          <t>Matheus Hags:</t>
        </r>
        <r>
          <rPr>
            <sz val="9"/>
            <color indexed="81"/>
            <rFont val="Segoe UI"/>
            <family val="2"/>
          </rPr>
          <t xml:space="preserve">
O 13ª salário é um salário extra pago no ano referente ao abono de natal previsto em lei. Este valor pago é composto do salário  contratual do empregado acrescido de média, se houver – a média é a soma de todos os valores variáveis recebidos pelo empregado dentro do ano em que irá receber o 13º, dividido por 12 ou pela quantidade de meses em que recebeu verba variável, a depender, também, da CCT São consideradas variáveis: horas extras pagas no ano e as medias de valores como bonificações quebra de caixa e insalubridade, dentre outras), esse 13 ª é fragmentado em 12 avos, a cada mês trabalhado pelo menos 15 dias dentro do mês, o colaborador ganha direito a 1 desses avos, Sobre o 13ª salario, incide INSS, IRRF e FGTS. 
</t>
        </r>
      </text>
    </comment>
    <comment ref="B15" authorId="0" shapeId="0" xr:uid="{3405AE20-F87A-446A-AA1C-30FABE461A50}">
      <text>
        <r>
          <rPr>
            <b/>
            <sz val="9"/>
            <color indexed="81"/>
            <rFont val="Segoe UI"/>
            <family val="2"/>
          </rPr>
          <t>Matheus Hags:</t>
        </r>
        <r>
          <rPr>
            <sz val="9"/>
            <color indexed="81"/>
            <rFont val="Segoe UI"/>
            <family val="2"/>
          </rPr>
          <t xml:space="preserve">
Férias é o direito que o funcionário tem de descansar 30 dias após ter completado, pelo menos, 12 meses na empresa. O cálculo feito para saber o valor da média das férias é o mesmo do 13º, porém se difere na questão do período em que é apurado a média,
sendo que, no caso das férias, serão as variáveis recebidas dentro do período aquisitivo do
empregado Além do valor referente ao mês e as medias, as férias tem sobre ela o pagamento de 1/3 do valor total das férias conforme lei, incide sobre férias INSS, IRRF, FGTS. 
</t>
        </r>
      </text>
    </comment>
    <comment ref="B16" authorId="0" shapeId="0" xr:uid="{34E12CCA-8FEF-4854-97E7-0D853E379490}">
      <text>
        <r>
          <rPr>
            <b/>
            <sz val="9"/>
            <color indexed="81"/>
            <rFont val="Segoe UI"/>
            <family val="2"/>
          </rPr>
          <t>Matheus Hags:</t>
        </r>
        <r>
          <rPr>
            <sz val="9"/>
            <color indexed="81"/>
            <rFont val="Segoe UI"/>
            <family val="2"/>
          </rPr>
          <t xml:space="preserve">
Quebra de caixa é o valor pago para os funcionários
que trabalham na função de caixa, conforme lei. O
pagamento desta verba nos dá o direito de descontar
do funcionário, diferenças de caixa caso haja algum
erro no fechamento dos valores de responsabilidade
do funcionário. Esses valores incidem para medias de
férias, 13ª, IRRF, INSS e FGTS. 
</t>
        </r>
      </text>
    </comment>
    <comment ref="B17" authorId="0" shapeId="0" xr:uid="{A8884B59-6499-4962-9559-3B79F4A0BCA6}">
      <text>
        <r>
          <rPr>
            <b/>
            <sz val="9"/>
            <color indexed="81"/>
            <rFont val="Segoe UI"/>
            <family val="2"/>
          </rPr>
          <t>Matheus Hags:</t>
        </r>
        <r>
          <rPr>
            <sz val="9"/>
            <color indexed="81"/>
            <rFont val="Segoe UI"/>
            <family val="2"/>
          </rPr>
          <t xml:space="preserve">
Aviso prévio é, no Brasil, a comunicação antecipada e obrigatória que, numa relação de emprego, uma parte deve fazer à outra de que deseja rescindir sem
justa causa o contrato de trabalho. Esta  comunicação deverá ser efetuada com prazo mínimo de 30 dias para contratos que tenham até um ano de vigência.
Caso a parte que solicitar a rescisão não quiser cumprir, se o pedido for pelo funcionário, ou não quiser que cumpra, se o desligamento for por parte
do empregador, deve-se indenizar a parte contraria, o valor dos 30 dias de indenização. 
</t>
        </r>
      </text>
    </comment>
    <comment ref="B18" authorId="0" shapeId="0" xr:uid="{DB198968-9C5C-4FD1-9818-501B9611D7E7}">
      <text>
        <r>
          <rPr>
            <b/>
            <sz val="9"/>
            <color indexed="81"/>
            <rFont val="Segoe UI"/>
            <family val="2"/>
          </rPr>
          <t>Matheus Hags:</t>
        </r>
        <r>
          <rPr>
            <sz val="9"/>
            <color indexed="81"/>
            <rFont val="Segoe UI"/>
            <family val="2"/>
          </rPr>
          <t xml:space="preserve">
Gratificações são os valores pagos referente aos 40%
de adicional de função, para os cargos de gestão, ou
as gratificações por metas batidas ou assiduidade.
Essas gratificações têm incidências de INSS, FGTS,
IRRF. 
</t>
        </r>
      </text>
    </comment>
    <comment ref="B19" authorId="0" shapeId="0" xr:uid="{B86956AF-B0E1-497C-B4F7-445FD5EFB0F7}">
      <text>
        <r>
          <rPr>
            <b/>
            <sz val="9"/>
            <color indexed="81"/>
            <rFont val="Segoe UI"/>
            <family val="2"/>
          </rPr>
          <t>Matheus Hags:</t>
        </r>
        <r>
          <rPr>
            <sz val="9"/>
            <color indexed="81"/>
            <rFont val="Segoe UI"/>
            <family val="2"/>
          </rPr>
          <t xml:space="preserve">
As indenizações trabalhistas são pagas na rescisão de cada funcionário e podem ser valores referentes a férias, 13ª, medias e aviso prévio. Esses valores, por se tratar de indenização, não tem incidência de INSS,
IRRF e FGTS. </t>
        </r>
      </text>
    </comment>
    <comment ref="B20" authorId="0" shapeId="0" xr:uid="{A4543C97-B420-4028-9E5D-F8AD06B86183}">
      <text>
        <r>
          <rPr>
            <b/>
            <sz val="9"/>
            <color indexed="81"/>
            <rFont val="Segoe UI"/>
            <family val="2"/>
          </rPr>
          <t>Matheus Hags:</t>
        </r>
        <r>
          <rPr>
            <sz val="9"/>
            <color indexed="81"/>
            <rFont val="Segoe UI"/>
            <family val="2"/>
          </rPr>
          <t xml:space="preserve">
É o pagamento do PIS, repassado pelo governo, de
acordo com a tabela de repasse, até no limite de um
salário mínimo.</t>
        </r>
      </text>
    </comment>
    <comment ref="B21" authorId="0" shapeId="0" xr:uid="{4D534F11-B2A0-40FE-AC29-C253FAAE5E34}">
      <text>
        <r>
          <rPr>
            <b/>
            <sz val="9"/>
            <color indexed="81"/>
            <rFont val="Segoe UI"/>
            <family val="2"/>
          </rPr>
          <t>Matheus Hags:</t>
        </r>
        <r>
          <rPr>
            <sz val="9"/>
            <color indexed="81"/>
            <rFont val="Segoe UI"/>
            <family val="2"/>
          </rPr>
          <t xml:space="preserve">
Despesas com refeição são os valores descontados referente ao ticket alimentação, refeição ou cestas básicas, um valor simbólico descontado em folha
conforme CCT.</t>
        </r>
      </text>
    </comment>
    <comment ref="B22" authorId="0" shapeId="0" xr:uid="{064B41D6-51AE-4461-9E68-22B96525B051}">
      <text>
        <r>
          <rPr>
            <b/>
            <sz val="9"/>
            <color indexed="81"/>
            <rFont val="Segoe UI"/>
            <family val="2"/>
          </rPr>
          <t>Matheus Hags:</t>
        </r>
        <r>
          <rPr>
            <sz val="9"/>
            <color indexed="81"/>
            <rFont val="Segoe UI"/>
            <family val="2"/>
          </rPr>
          <t xml:space="preserve">
Assistência médica, são os valores referente ao
convenio médico e ou odontológico descontado do funcionário, parte ou o todo desse valor pode ser descontado do funcionário dependendo da CCT ou acordo individual. 
</t>
        </r>
      </text>
    </comment>
    <comment ref="B23" authorId="0" shapeId="0" xr:uid="{8F353F09-03B1-48FE-A678-2C1653F10F68}">
      <text>
        <r>
          <rPr>
            <b/>
            <sz val="9"/>
            <color indexed="81"/>
            <rFont val="Segoe UI"/>
            <family val="2"/>
          </rPr>
          <t>Matheus Hags:</t>
        </r>
        <r>
          <rPr>
            <sz val="9"/>
            <color indexed="81"/>
            <rFont val="Segoe UI"/>
            <family val="2"/>
          </rPr>
          <t xml:space="preserve">
Seguro de vida, são os valores descontados do funcionário caso a empresa comtemple esse benefício de seguro e proteção de vida.</t>
        </r>
      </text>
    </comment>
    <comment ref="B24" authorId="0" shapeId="0" xr:uid="{62E3C7AE-3B9E-4777-99C7-1BF45E6E6522}">
      <text>
        <r>
          <rPr>
            <b/>
            <sz val="9"/>
            <color indexed="81"/>
            <rFont val="Segoe UI"/>
            <family val="2"/>
          </rPr>
          <t>Matheus Hags:</t>
        </r>
        <r>
          <rPr>
            <sz val="9"/>
            <color indexed="81"/>
            <rFont val="Segoe UI"/>
            <family val="2"/>
          </rPr>
          <t xml:space="preserve">
Vale transporte, é o desconto de 6% sobre o salário do funcionário, referente à passagem de vale transporte concedida pela empresa. Não há incidência de impostos.</t>
        </r>
      </text>
    </comment>
    <comment ref="B25" authorId="0" shapeId="0" xr:uid="{F8234F9C-4E85-417A-8842-A2B1F4994D16}">
      <text>
        <r>
          <rPr>
            <b/>
            <sz val="9"/>
            <color indexed="81"/>
            <rFont val="Segoe UI"/>
            <family val="2"/>
          </rPr>
          <t>Matheus Hags:</t>
        </r>
        <r>
          <rPr>
            <sz val="9"/>
            <color indexed="81"/>
            <rFont val="Segoe UI"/>
            <family val="2"/>
          </rPr>
          <t xml:space="preserve">
INSS parte empresa é o encargo referente à previdência social, terceiros, taxa de acidente do trabalho pela empresa, o valor gira de 25% a 28,5% do total da folha de pagamento, as empresas do simples nacional não têm pagamento de INSS parte empresa. 
</t>
        </r>
      </text>
    </comment>
    <comment ref="B26" authorId="0" shapeId="0" xr:uid="{A2F2F0CE-9A42-4DDC-833B-9CA4DE98CC62}">
      <text>
        <r>
          <rPr>
            <b/>
            <sz val="9"/>
            <color indexed="81"/>
            <rFont val="Segoe UI"/>
            <family val="2"/>
          </rPr>
          <t>Matheus Hags:</t>
        </r>
        <r>
          <rPr>
            <sz val="9"/>
            <color indexed="81"/>
            <rFont val="Segoe UI"/>
            <family val="2"/>
          </rPr>
          <t xml:space="preserve">
FGTS é o valor pago pela empresa referente aos 8%
de fundo de garantia obrigatório, com base nas
verbas que compõe remuneração mensal.</t>
        </r>
      </text>
    </comment>
    <comment ref="B27" authorId="0" shapeId="0" xr:uid="{699C2AEC-6DC0-4792-ADF9-50D94145FFD3}">
      <text>
        <r>
          <rPr>
            <b/>
            <sz val="9"/>
            <color indexed="81"/>
            <rFont val="Segoe UI"/>
            <family val="2"/>
          </rPr>
          <t>Matheus Hags:</t>
        </r>
        <r>
          <rPr>
            <sz val="9"/>
            <color indexed="81"/>
            <rFont val="Segoe UI"/>
            <family val="2"/>
          </rPr>
          <t xml:space="preserve">
A multa só cabe quando a empresa desliga o
funcionário sem justa causa. Tem-se que pagar a
multa de 40% sobre o saldo de FGTS de todo o Tempo que o funcionário esteve na empresa. 
</t>
        </r>
      </text>
    </comment>
    <comment ref="B28" authorId="0" shapeId="0" xr:uid="{B4096ABB-6FBF-4E2A-8F73-A2504387D179}">
      <text>
        <r>
          <rPr>
            <b/>
            <sz val="9"/>
            <color indexed="81"/>
            <rFont val="Segoe UI"/>
            <family val="2"/>
          </rPr>
          <t>Matheus Hags:</t>
        </r>
        <r>
          <rPr>
            <sz val="9"/>
            <color indexed="81"/>
            <rFont val="Segoe UI"/>
            <family val="2"/>
          </rPr>
          <t xml:space="preserve">
Provisão de férias, é uma estimativa de gastos com
as férias dos empregados, fragmentado por mês,
cabendo ajuste do valor provisionado nos meses
anteriores em virtude de reajustes salariais,
acrescidos dos encargos sociais cujo ônus cabe à
empresa. 
</t>
        </r>
      </text>
    </comment>
    <comment ref="B29" authorId="0" shapeId="0" xr:uid="{D0B5AB16-8F09-49D0-BE62-1BA0C1FC5557}">
      <text>
        <r>
          <rPr>
            <b/>
            <sz val="9"/>
            <color indexed="81"/>
            <rFont val="Segoe UI"/>
            <family val="2"/>
          </rPr>
          <t>Matheus Hags:</t>
        </r>
        <r>
          <rPr>
            <sz val="9"/>
            <color indexed="81"/>
            <rFont val="Segoe UI"/>
            <family val="2"/>
          </rPr>
          <t xml:space="preserve">
A provisão para o pagamento do 13º salário é a estimativa calculada na base de 1/12 avos da remuneração dos empregados que tiverem trabalhado no mínimo quinze dias no mês, cabendo ajuste do valor provisionado nos meses anteriores em virtude de reajustes salariais, acrescidos dos encargos sociais cujo ônus cabe à empresa. </t>
        </r>
      </text>
    </comment>
    <comment ref="B30" authorId="0" shapeId="0" xr:uid="{BDA369F8-D33A-4D1F-A7DA-88988C838C98}">
      <text>
        <r>
          <rPr>
            <b/>
            <sz val="9"/>
            <color indexed="81"/>
            <rFont val="Segoe UI"/>
            <family val="2"/>
          </rPr>
          <t>Matheus Hags:</t>
        </r>
        <r>
          <rPr>
            <sz val="9"/>
            <color indexed="81"/>
            <rFont val="Segoe UI"/>
            <family val="2"/>
          </rPr>
          <t xml:space="preserve">
Esta refere-se à depreciação de máquinas, tais como: batedeira, amassadeira, Câmara fria, freezers, ar condicionado ou todo tipo de máquinas com motor e é movimentada pela contabilidade conforme cadastro dos bens ativos da empresa, e taxa de
depreciação. A FGF controla estes bens através de planilhas. 
</t>
        </r>
      </text>
    </comment>
    <comment ref="B31" authorId="0" shapeId="0" xr:uid="{14C04112-1E37-4925-B2E7-756AE4DF05E5}">
      <text>
        <r>
          <rPr>
            <b/>
            <sz val="9"/>
            <color indexed="81"/>
            <rFont val="Segoe UI"/>
            <family val="2"/>
          </rPr>
          <t>Matheus Hags:</t>
        </r>
        <r>
          <rPr>
            <sz val="9"/>
            <color indexed="81"/>
            <rFont val="Segoe UI"/>
            <family val="2"/>
          </rPr>
          <t xml:space="preserve">
Esta refere-se à depreciação de veículos, acessórios
de veículos. Ela é movimentada pela contabilidade
conforme cadastro dos bens ativos da empresa, e
taxa de depreciação. A FGF controla estes bens
através de planilhas. A depreciação é por 5 anos, ou
seja, 60 meses. 
</t>
        </r>
      </text>
    </comment>
    <comment ref="B32" authorId="0" shapeId="0" xr:uid="{D4693CD0-F20C-4DFA-BD5F-78945C3D24DF}">
      <text>
        <r>
          <rPr>
            <b/>
            <sz val="9"/>
            <color indexed="81"/>
            <rFont val="Segoe UI"/>
            <family val="2"/>
          </rPr>
          <t>Matheus Hags:</t>
        </r>
        <r>
          <rPr>
            <sz val="9"/>
            <color indexed="81"/>
            <rFont val="Segoe UI"/>
            <family val="2"/>
          </rPr>
          <t xml:space="preserve">
Esta conta refere-se à depreciação de móveis e
utensílios tais como: cadeira, mesa, bancadas etc. A
depreciação é por 5 anos, ou seja, 60 meses 
</t>
        </r>
      </text>
    </comment>
    <comment ref="B33" authorId="0" shapeId="0" xr:uid="{A7EAD6D3-78CB-4DD8-8606-1136663C4B94}">
      <text>
        <r>
          <rPr>
            <b/>
            <sz val="9"/>
            <color indexed="81"/>
            <rFont val="Segoe UI"/>
            <family val="2"/>
          </rPr>
          <t>Matheus Hags:</t>
        </r>
        <r>
          <rPr>
            <sz val="9"/>
            <color indexed="81"/>
            <rFont val="Segoe UI"/>
            <family val="2"/>
          </rPr>
          <t xml:space="preserve">
Esta conta refere-se à depreciação de computadores e periféricos, sendo que sua depreciação é por 5 anos ou 60 meses.</t>
        </r>
      </text>
    </comment>
    <comment ref="B34" authorId="0" shapeId="0" xr:uid="{B5AEC88F-3638-4310-A031-F798957FEC4A}">
      <text>
        <r>
          <rPr>
            <b/>
            <sz val="9"/>
            <color indexed="81"/>
            <rFont val="Segoe UI"/>
            <family val="2"/>
          </rPr>
          <t>Matheus Hags:</t>
        </r>
        <r>
          <rPr>
            <sz val="9"/>
            <color indexed="81"/>
            <rFont val="Segoe UI"/>
            <family val="2"/>
          </rPr>
          <t xml:space="preserve">
Função: Registrar o valor de despesas com materiais
utilizados diretamente nos trabalhos administrativos. Ex: agenda, caderno, caneta, envelope, calculadora, folhas A4, etc. 
</t>
        </r>
      </text>
    </comment>
    <comment ref="B35" authorId="0" shapeId="0" xr:uid="{3FF85F42-D4B6-413B-9FB2-2DF240110637}">
      <text>
        <r>
          <rPr>
            <b/>
            <sz val="9"/>
            <color indexed="81"/>
            <rFont val="Segoe UI"/>
            <family val="2"/>
          </rPr>
          <t>Matheus Hags:</t>
        </r>
        <r>
          <rPr>
            <sz val="9"/>
            <color indexed="81"/>
            <rFont val="Segoe UI"/>
            <family val="2"/>
          </rPr>
          <t xml:space="preserve">
Função: Registrar a aquisição das despesas
destinados a higienização do mercado e os
ambientes de trabalho. Ex: vassoura, pano de
limpeza, desinfetante, luvas de borracha, baldes,
esponja etc.</t>
        </r>
      </text>
    </comment>
    <comment ref="B37" authorId="0" shapeId="0" xr:uid="{713A8658-1A60-422A-B9B9-6D8C109EE9FA}">
      <text>
        <r>
          <rPr>
            <b/>
            <sz val="9"/>
            <color indexed="81"/>
            <rFont val="Segoe UI"/>
            <family val="2"/>
          </rPr>
          <t>Matheus Hags:</t>
        </r>
        <r>
          <rPr>
            <sz val="9"/>
            <color indexed="81"/>
            <rFont val="Segoe UI"/>
            <family val="2"/>
          </rPr>
          <t xml:space="preserve">
Função: Registrar as perdas, furtos e avarias do mercado. A emissão das notas é fundamental para ajuste de estoque e para reduzir IRPJ E CSLL. 
</t>
        </r>
      </text>
    </comment>
    <comment ref="B39" authorId="0" shapeId="0" xr:uid="{922491A6-5F9B-4CB8-BB5B-1864C2467E07}">
      <text>
        <r>
          <rPr>
            <b/>
            <sz val="9"/>
            <color indexed="81"/>
            <rFont val="Segoe UI"/>
            <family val="2"/>
          </rPr>
          <t>Matheus Hags:</t>
        </r>
        <r>
          <rPr>
            <sz val="9"/>
            <color indexed="81"/>
            <rFont val="Segoe UI"/>
            <family val="2"/>
          </rPr>
          <t xml:space="preserve">
Função: Registrar as despesas com aquisição de
combustível e lubrificantes pertinentes a frota do
mercado (CFOP1653/2653). 
</t>
        </r>
      </text>
    </comment>
    <comment ref="B40" authorId="0" shapeId="0" xr:uid="{ACD88CFD-5224-4A1F-A268-C31BBE2DE384}">
      <text>
        <r>
          <rPr>
            <b/>
            <sz val="9"/>
            <color indexed="81"/>
            <rFont val="Segoe UI"/>
            <family val="2"/>
          </rPr>
          <t>Matheus Hags:</t>
        </r>
        <r>
          <rPr>
            <sz val="9"/>
            <color indexed="81"/>
            <rFont val="Segoe UI"/>
            <family val="2"/>
          </rPr>
          <t xml:space="preserve">
Função: Registrar os valores referentes tarifas de
cartões cobrados pelas operadoras.</t>
        </r>
      </text>
    </comment>
    <comment ref="B43" authorId="0" shapeId="0" xr:uid="{1B9CAA6E-075E-48FC-94DD-BA689FFA403F}">
      <text>
        <r>
          <rPr>
            <b/>
            <sz val="9"/>
            <color indexed="81"/>
            <rFont val="Segoe UI"/>
            <family val="2"/>
          </rPr>
          <t>Matheus Hags:</t>
        </r>
        <r>
          <rPr>
            <sz val="9"/>
            <color indexed="81"/>
            <rFont val="Segoe UI"/>
            <family val="2"/>
          </rPr>
          <t xml:space="preserve">
Função: Registrar os pagamentos com internet. Ex:
Net, Algar, Claro e Vivo etc. </t>
        </r>
      </text>
    </comment>
    <comment ref="B53" authorId="0" shapeId="0" xr:uid="{361C82E3-D80F-42CB-9DBE-02B8585AFE1E}">
      <text>
        <r>
          <rPr>
            <b/>
            <sz val="9"/>
            <color indexed="81"/>
            <rFont val="Segoe UI"/>
            <family val="2"/>
          </rPr>
          <t>Matheus Hags:</t>
        </r>
        <r>
          <rPr>
            <sz val="9"/>
            <color indexed="81"/>
            <rFont val="Segoe UI"/>
            <family val="2"/>
          </rPr>
          <t xml:space="preserve">
Função: Registrar os pagamentos referentes aos
demais serviços contratados não especificados
assim. 
</t>
        </r>
      </text>
    </comment>
    <comment ref="B54" authorId="0" shapeId="0" xr:uid="{3239E280-C251-4998-AB4B-7D3EC7C48B7C}">
      <text>
        <r>
          <rPr>
            <b/>
            <sz val="9"/>
            <color indexed="81"/>
            <rFont val="Segoe UI"/>
            <family val="2"/>
          </rPr>
          <t>Matheus Hags:</t>
        </r>
        <r>
          <rPr>
            <sz val="9"/>
            <color indexed="81"/>
            <rFont val="Segoe UI"/>
            <family val="2"/>
          </rPr>
          <t xml:space="preserve">
Função: Registrar os pagamentos referentes as guias
de INSS autônomo. Ex: RPA</t>
        </r>
      </text>
    </comment>
    <comment ref="B63" authorId="0" shapeId="0" xr:uid="{999F7F00-3FA6-47A0-9F0D-E328D4222344}">
      <text>
        <r>
          <rPr>
            <b/>
            <sz val="9"/>
            <color indexed="81"/>
            <rFont val="Segoe UI"/>
            <family val="2"/>
          </rPr>
          <t>Matheus Hags:</t>
        </r>
        <r>
          <rPr>
            <sz val="9"/>
            <color indexed="81"/>
            <rFont val="Segoe UI"/>
            <family val="2"/>
          </rPr>
          <t xml:space="preserve">
Função: Registrar os pagamentos do ICMS diferencial
de alíquota referentes as aquisições de mercadorias
de uso ou consumo e imobilizado adquiridas fora do
estado. 
</t>
        </r>
      </text>
    </comment>
    <comment ref="B64" authorId="0" shapeId="0" xr:uid="{34D25613-4E19-4371-9A84-DE350D675FB4}">
      <text>
        <r>
          <rPr>
            <b/>
            <sz val="9"/>
            <color indexed="81"/>
            <rFont val="Segoe UI"/>
            <family val="2"/>
          </rPr>
          <t>Matheus Hags:</t>
        </r>
        <r>
          <rPr>
            <sz val="9"/>
            <color indexed="81"/>
            <rFont val="Segoe UI"/>
            <family val="2"/>
          </rPr>
          <t xml:space="preserve">
Registro do imposto incidente sobre a receita bruta
proveniente da comercialização da produção rural.
Ele é composto do INSS, da contribuição para
o Senar e do RAT
</t>
        </r>
      </text>
    </comment>
    <comment ref="B65" authorId="0" shapeId="0" xr:uid="{1A5841B4-7881-4D3A-8953-78DD1346E972}">
      <text>
        <r>
          <rPr>
            <b/>
            <sz val="9"/>
            <color indexed="81"/>
            <rFont val="Segoe UI"/>
            <family val="2"/>
          </rPr>
          <t>Matheus Hags:</t>
        </r>
        <r>
          <rPr>
            <sz val="9"/>
            <color indexed="81"/>
            <rFont val="Segoe UI"/>
            <family val="2"/>
          </rPr>
          <t xml:space="preserve">
Função: Registrar as receitas como: Rendimentos de
aplicações financeiras, variações monetárias, juros s/
capital próprio recebidos. 
</t>
        </r>
      </text>
    </comment>
    <comment ref="B66" authorId="0" shapeId="0" xr:uid="{250100E3-E034-4695-9197-A539DDA02B81}">
      <text>
        <r>
          <rPr>
            <b/>
            <sz val="9"/>
            <color indexed="81"/>
            <rFont val="Segoe UI"/>
            <family val="2"/>
          </rPr>
          <t>Matheus Hags:</t>
        </r>
        <r>
          <rPr>
            <sz val="9"/>
            <color indexed="81"/>
            <rFont val="Segoe UI"/>
            <family val="2"/>
          </rPr>
          <t xml:space="preserve">
Função: Registrar as despesas como: Juros s/
empréstimos, Juros contratos de mútuo, Perdas de
fundos de aplicação, Juros sobre capital próprio. </t>
        </r>
      </text>
    </comment>
    <comment ref="B68" authorId="0" shapeId="0" xr:uid="{8C7CE006-C09D-43E1-A90F-2C74ED22C05F}">
      <text>
        <r>
          <rPr>
            <b/>
            <sz val="9"/>
            <color indexed="81"/>
            <rFont val="Segoe UI"/>
            <family val="2"/>
          </rPr>
          <t>Matheus Hags:</t>
        </r>
        <r>
          <rPr>
            <sz val="9"/>
            <color indexed="81"/>
            <rFont val="Segoe UI"/>
            <family val="2"/>
          </rPr>
          <t xml:space="preserve">
Tributo calculado sobre o lucro da empresa no final
apuração Imposto de renda e contribuição social.</t>
        </r>
      </text>
    </comment>
    <comment ref="E68" authorId="0" shapeId="0" xr:uid="{06FE4A25-7D7B-480F-8442-58A77F4C38B6}">
      <text>
        <r>
          <rPr>
            <b/>
            <sz val="9"/>
            <color indexed="81"/>
            <rFont val="Segoe UI"/>
            <family val="2"/>
          </rPr>
          <t>Matheus Hags:</t>
        </r>
        <r>
          <rPr>
            <sz val="9"/>
            <color indexed="81"/>
            <rFont val="Segoe UI"/>
            <family val="2"/>
          </rPr>
          <t xml:space="preserve">
Os Lucros antes de juros, impostos, depreciação e
amortização ou LAJIDA é um termo muito utilizado
por analistas financeiros na análise de balanços de
contabilidade de empresas de capital aberto.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Matheus Hags</author>
  </authors>
  <commentList>
    <comment ref="F16" authorId="0" shapeId="0" xr:uid="{B838330A-FF86-439A-8103-93CB467A121A}">
      <text>
        <r>
          <rPr>
            <sz val="9"/>
            <color indexed="81"/>
            <rFont val="Segoe UI"/>
            <family val="2"/>
          </rPr>
          <t xml:space="preserve">RECEITA OPERACIONAL BRUTA (FATURAMENTO)
- DEDUÇÕES (IMPOSTOS+DEVOLUÇÕES+ABATIMENTOS)
</t>
        </r>
      </text>
    </comment>
    <comment ref="F17" authorId="0" shapeId="0" xr:uid="{C974C673-4751-4827-ACE5-E39E9B1CBF0F}">
      <text>
        <r>
          <rPr>
            <sz val="9"/>
            <color indexed="81"/>
            <rFont val="Segoe UI"/>
            <family val="2"/>
          </rPr>
          <t xml:space="preserve">RECEITA OPERACIONAL LIQUIDA 
- CUSTOS DAS VENDAS (PRODUTOS/MERCADORIAS/SERVIÇOS)
</t>
        </r>
      </text>
    </comment>
    <comment ref="F18" authorId="0" shapeId="0" xr:uid="{E4045EE2-5B91-4790-9E1A-88FE99002EE4}">
      <text>
        <r>
          <rPr>
            <sz val="9"/>
            <color indexed="81"/>
            <rFont val="Segoe UI"/>
            <family val="2"/>
          </rPr>
          <t xml:space="preserve">RESULTADO OPERACIONAL BRUTO
- DESPESAS OPERACIONAIS (D. ADMINISTRATIVAS; C/VENDAS) 
- DESPESAS FINANCEIRAS LIQUIDAS
- OUTRAS RECEITAS/DESPESAS
</t>
        </r>
      </text>
    </comment>
    <comment ref="F72" authorId="0" shapeId="0" xr:uid="{584F3D02-B22F-41FA-813A-26CEF255BB48}">
      <text>
        <r>
          <rPr>
            <sz val="9"/>
            <color indexed="81"/>
            <rFont val="Segoe UI"/>
            <family val="2"/>
          </rPr>
          <t xml:space="preserve">RECEITA OPERACIONAL BRUTA (FATURAMENTO)
- DEDUÇÕES (IMPOSTOS+DEVOLUÇÕES+ABATIMENTOS)
</t>
        </r>
      </text>
    </comment>
    <comment ref="F74" authorId="0" shapeId="0" xr:uid="{54922118-ED54-4B02-8EF9-4111479CFCBD}">
      <text>
        <r>
          <rPr>
            <sz val="9"/>
            <color indexed="81"/>
            <rFont val="Segoe UI"/>
            <family val="2"/>
          </rPr>
          <t xml:space="preserve">RECEITA OPERACIONAL LIQUIDA 
- CUSTOS DAS VENDAS (PRODUTOS/MERCADORIAS/SERVIÇOS)
</t>
        </r>
      </text>
    </comment>
    <comment ref="F77" authorId="0" shapeId="0" xr:uid="{F6D3F155-9FC0-4BAB-8714-FB02F92D5A40}">
      <text>
        <r>
          <rPr>
            <sz val="9"/>
            <color indexed="81"/>
            <rFont val="Segoe UI"/>
            <family val="2"/>
          </rPr>
          <t xml:space="preserve">RESULTADO OPERACIONAL BRUTO
- DESPESAS OPERACIONAIS (D. ADMINISTRATIVAS; C/VENDAS) 
- DESPESAS FINANCEIRAS LIQUIDAS
- OUTRAS RECEITAS/DESPESAS
</t>
        </r>
      </text>
    </comment>
  </commentList>
</comments>
</file>

<file path=xl/sharedStrings.xml><?xml version="1.0" encoding="utf-8"?>
<sst xmlns="http://schemas.openxmlformats.org/spreadsheetml/2006/main" count="5723" uniqueCount="179">
  <si>
    <t>DESCRIÇÃO</t>
  </si>
  <si>
    <t>CATEGORIA</t>
  </si>
  <si>
    <t>TIPO</t>
  </si>
  <si>
    <t>PGTO em Cartão</t>
  </si>
  <si>
    <t>PGTO em Dinheiro</t>
  </si>
  <si>
    <t>Pró-labore</t>
  </si>
  <si>
    <t>Entrada</t>
  </si>
  <si>
    <t>Saída</t>
  </si>
  <si>
    <t>FGTS</t>
  </si>
  <si>
    <t>Tabela de Apoio</t>
  </si>
  <si>
    <t>DATA</t>
  </si>
  <si>
    <t>VALOR</t>
  </si>
  <si>
    <t>MÊS</t>
  </si>
  <si>
    <t>ANO</t>
  </si>
  <si>
    <t>Análises</t>
  </si>
  <si>
    <t>Detalhamento por categoria</t>
  </si>
  <si>
    <t>Extrato Operacinal</t>
  </si>
  <si>
    <t>Entradas e Saídas</t>
  </si>
  <si>
    <t>Faturamento Anual</t>
  </si>
  <si>
    <t>Rótulos de Linha</t>
  </si>
  <si>
    <t>Total Geral</t>
  </si>
  <si>
    <t>Soma de VALOR</t>
  </si>
  <si>
    <t>TOTAL</t>
  </si>
  <si>
    <t>DETALHAMENTO POR CATEGORIA</t>
  </si>
  <si>
    <t>EXTRATO OPERACIONAL</t>
  </si>
  <si>
    <t>ENTRADAS E SAÍDAS</t>
  </si>
  <si>
    <t>FATURAMENTO ANUAL</t>
  </si>
  <si>
    <t>Rótulos de Coluna</t>
  </si>
  <si>
    <t>ABR</t>
  </si>
  <si>
    <t>MAI</t>
  </si>
  <si>
    <t>JUN</t>
  </si>
  <si>
    <t>Participação nos resultados</t>
  </si>
  <si>
    <t>1. Despesas/Receitas Financeiras</t>
  </si>
  <si>
    <t>Publicidade e Propaganda</t>
  </si>
  <si>
    <t>PIS</t>
  </si>
  <si>
    <t>ÍCMS</t>
  </si>
  <si>
    <t>COFINS</t>
  </si>
  <si>
    <t>Custo</t>
  </si>
  <si>
    <t>Devolução de Vendas</t>
  </si>
  <si>
    <t>2. Deduções da Receita</t>
  </si>
  <si>
    <t>Salários e Ordenados</t>
  </si>
  <si>
    <t>3. Despesas Operacionais</t>
  </si>
  <si>
    <t>Hora Extra</t>
  </si>
  <si>
    <t>13° Salário</t>
  </si>
  <si>
    <t>Férias</t>
  </si>
  <si>
    <t>Quebra de Caixa</t>
  </si>
  <si>
    <t>Aviso Prévio</t>
  </si>
  <si>
    <t>Gratificações</t>
  </si>
  <si>
    <t>Indenizações Trabalhistas</t>
  </si>
  <si>
    <t>Abono Salarial</t>
  </si>
  <si>
    <t>Despesas com Refeição</t>
  </si>
  <si>
    <t>Assistência Médica a Funcionários</t>
  </si>
  <si>
    <t>Seguro de Vida</t>
  </si>
  <si>
    <t>Vale Transporte</t>
  </si>
  <si>
    <t>INSS Empresa</t>
  </si>
  <si>
    <t>MULTA FGTS</t>
  </si>
  <si>
    <t>Provisões de Férias e Encargos</t>
  </si>
  <si>
    <t xml:space="preserve">Provisão de 13° Salário e Encargos </t>
  </si>
  <si>
    <t>Depreciação de Máquinas E Equipamentos</t>
  </si>
  <si>
    <t>Depreciação de Veículos e Acessórios</t>
  </si>
  <si>
    <t>Depreciação de móveis e utensílios</t>
  </si>
  <si>
    <t>Depreciação de Equip. Informática</t>
  </si>
  <si>
    <t>Material de Expediente e Escritório</t>
  </si>
  <si>
    <t>Material de Consumo e Limpeza</t>
  </si>
  <si>
    <t>Contribuições e Associações de Classe</t>
  </si>
  <si>
    <t>Perdas, Furtos e Avarias de Mercado</t>
  </si>
  <si>
    <t>Combustíveis e Lubrificantes</t>
  </si>
  <si>
    <t>Tarifas, Comissões de ADM e Cartões</t>
  </si>
  <si>
    <t>Aluguéis e Condomínios</t>
  </si>
  <si>
    <t>Despesas com Telefone</t>
  </si>
  <si>
    <t>Despesas com Internet</t>
  </si>
  <si>
    <t>Energia Elétrica</t>
  </si>
  <si>
    <t>Água e Esgoto</t>
  </si>
  <si>
    <t>Manutenção e Reparo</t>
  </si>
  <si>
    <t>Assessoria Contábil</t>
  </si>
  <si>
    <t>Assessoria Jurídica</t>
  </si>
  <si>
    <t>Limpeza e Conservação</t>
  </si>
  <si>
    <t>Processamento de sistemas</t>
  </si>
  <si>
    <t>Consultoria e Assessoria Especializada</t>
  </si>
  <si>
    <t>Manutenção de Equipamento</t>
  </si>
  <si>
    <t>Prestador PJ - Demais Casos</t>
  </si>
  <si>
    <t>INSS de Terceiros PF</t>
  </si>
  <si>
    <t>Licenciamento e outras taxas</t>
  </si>
  <si>
    <t>IPVA</t>
  </si>
  <si>
    <t>Seguro de veículos</t>
  </si>
  <si>
    <t>Manutenção de veículos</t>
  </si>
  <si>
    <t>Multa e Infração de trânsito</t>
  </si>
  <si>
    <t>IPTU</t>
  </si>
  <si>
    <t>Impostos e taxas diversas</t>
  </si>
  <si>
    <t>ICMS Diferencial de Alíquota</t>
  </si>
  <si>
    <t>Funrural</t>
  </si>
  <si>
    <t>Despesa Tributária</t>
  </si>
  <si>
    <t>Despesa com Pessoal</t>
  </si>
  <si>
    <t>Despesa de Depreciação</t>
  </si>
  <si>
    <t>Despesa Gerais</t>
  </si>
  <si>
    <t>Despesa com Vendas</t>
  </si>
  <si>
    <t>Despesa com Ocupação</t>
  </si>
  <si>
    <t>Serviços Contratados</t>
  </si>
  <si>
    <t>Despesa com Veículos</t>
  </si>
  <si>
    <t>-</t>
  </si>
  <si>
    <t>Receita Financeira</t>
  </si>
  <si>
    <t>Despesa Financeira</t>
  </si>
  <si>
    <t>Provisão do IRPJ e CSSL</t>
  </si>
  <si>
    <t>EBTIDA</t>
  </si>
  <si>
    <t>4.Resultado Financeiro</t>
  </si>
  <si>
    <t>5.Resultado após o Resultado Financeiro</t>
  </si>
  <si>
    <t>Descrição</t>
  </si>
  <si>
    <t>Categoria</t>
  </si>
  <si>
    <t>Tipo</t>
  </si>
  <si>
    <t>Num.</t>
  </si>
  <si>
    <t>Info</t>
  </si>
  <si>
    <t xml:space="preserve">COFINS </t>
  </si>
  <si>
    <t>Tabela Auxiliar</t>
  </si>
  <si>
    <t>Receita Bruta</t>
  </si>
  <si>
    <t>Imposto</t>
  </si>
  <si>
    <t>DETALHE</t>
  </si>
  <si>
    <t>RECEITA OPERACIONAL LÍQUIDA (=)</t>
  </si>
  <si>
    <t>Deduções</t>
  </si>
  <si>
    <t>RESULTADO OPERACIONAL BRUTO (=)</t>
  </si>
  <si>
    <t>RESULTADO OPERACIONAL ANTES DO IR E CSLL (=)</t>
  </si>
  <si>
    <t>RESULTADO LIQUIDO DO EXERCICIO</t>
  </si>
  <si>
    <t>CUSTOS</t>
  </si>
  <si>
    <t>LUCRO</t>
  </si>
  <si>
    <t>Despesas c/ Produto</t>
  </si>
  <si>
    <t>faturamento</t>
  </si>
  <si>
    <t>entrada</t>
  </si>
  <si>
    <t>trim</t>
  </si>
  <si>
    <t>1° Trim</t>
  </si>
  <si>
    <t>2° Trim</t>
  </si>
  <si>
    <t>3° Trim</t>
  </si>
  <si>
    <t>4° Trim</t>
  </si>
  <si>
    <t>saída</t>
  </si>
  <si>
    <t>[&lt;999999]R$ #.#00,0."K";[&lt;999999999]R$ #.##0,0.."M";R$ #.##0,0..."B"</t>
  </si>
  <si>
    <t>DEDUÇÕES E DESPESAS</t>
  </si>
  <si>
    <t>TRIMESTRES</t>
  </si>
  <si>
    <t>GRAFICO WATERFALL</t>
  </si>
  <si>
    <t>velocimetro</t>
  </si>
  <si>
    <t>nivel</t>
  </si>
  <si>
    <t>faixa</t>
  </si>
  <si>
    <t>%</t>
  </si>
  <si>
    <t>Total</t>
  </si>
  <si>
    <t>Ruim</t>
  </si>
  <si>
    <t>Péssimo</t>
  </si>
  <si>
    <t>Razoável</t>
  </si>
  <si>
    <t>Bom</t>
  </si>
  <si>
    <t>Excelente</t>
  </si>
  <si>
    <t>marcador</t>
  </si>
  <si>
    <t>n.meses</t>
  </si>
  <si>
    <t>compl.</t>
  </si>
  <si>
    <t>1. Receita Operacional Bruta</t>
  </si>
  <si>
    <t>RECEITA OPERACIONAL  BRUTA</t>
  </si>
  <si>
    <t>FATURAMENTO</t>
  </si>
  <si>
    <t>DASHBOARD</t>
  </si>
  <si>
    <t>TOP 5 MAIORES GASTOS</t>
  </si>
  <si>
    <t>ENTRADA X SAÍDA</t>
  </si>
  <si>
    <t>VELOCIMETRO</t>
  </si>
  <si>
    <t>JAN</t>
  </si>
  <si>
    <t>FEV</t>
  </si>
  <si>
    <t>MAR</t>
  </si>
  <si>
    <t>JUL</t>
  </si>
  <si>
    <t>AGO</t>
  </si>
  <si>
    <t>SET</t>
  </si>
  <si>
    <t>OUT</t>
  </si>
  <si>
    <t>NOV</t>
  </si>
  <si>
    <t>DEZ</t>
  </si>
  <si>
    <t>3. Custos do Produto/Mercadoria/Serviço</t>
  </si>
  <si>
    <t>4. Despesas Operacionais</t>
  </si>
  <si>
    <t>6. Resultado após o Resultado Financeiro</t>
  </si>
  <si>
    <t>5. Resultado Financeiro</t>
  </si>
  <si>
    <t>7. Total</t>
  </si>
  <si>
    <t>3. Custos com P/M/S</t>
  </si>
  <si>
    <t>6. Resultado após RF</t>
  </si>
  <si>
    <t>*</t>
  </si>
  <si>
    <r>
      <rPr>
        <b/>
        <sz val="11"/>
        <color rgb="FFFF0000"/>
        <rFont val="Calibri"/>
        <family val="2"/>
        <scheme val="minor"/>
      </rPr>
      <t>*</t>
    </r>
    <r>
      <rPr>
        <b/>
        <sz val="11"/>
        <color theme="1"/>
        <rFont val="Calibri"/>
        <family val="2"/>
        <scheme val="minor"/>
      </rPr>
      <t xml:space="preserve"> RECEITA OPERACIONAL  BRUTA</t>
    </r>
  </si>
  <si>
    <r>
      <rPr>
        <b/>
        <sz val="11"/>
        <color rgb="FFFF0000"/>
        <rFont val="Calibri"/>
        <family val="2"/>
        <scheme val="minor"/>
      </rPr>
      <t>*</t>
    </r>
    <r>
      <rPr>
        <b/>
        <sz val="11"/>
        <color theme="1"/>
        <rFont val="Calibri"/>
        <family val="2"/>
        <scheme val="minor"/>
      </rPr>
      <t xml:space="preserve"> RECEITA OPERACIONAL LÍQUIDA (=)</t>
    </r>
  </si>
  <si>
    <r>
      <rPr>
        <b/>
        <sz val="11"/>
        <color rgb="FFFF0000"/>
        <rFont val="Calibri"/>
        <family val="2"/>
        <scheme val="minor"/>
      </rPr>
      <t>*</t>
    </r>
    <r>
      <rPr>
        <b/>
        <sz val="11"/>
        <color theme="1"/>
        <rFont val="Calibri"/>
        <family val="2"/>
        <scheme val="minor"/>
      </rPr>
      <t xml:space="preserve"> RESULTADO OPERACIONAL BRUTO (=)</t>
    </r>
  </si>
  <si>
    <r>
      <rPr>
        <b/>
        <sz val="11"/>
        <color rgb="FFFF0000"/>
        <rFont val="Calibri"/>
        <family val="2"/>
        <scheme val="minor"/>
      </rPr>
      <t>*</t>
    </r>
    <r>
      <rPr>
        <b/>
        <sz val="11"/>
        <color theme="1"/>
        <rFont val="Calibri"/>
        <family val="2"/>
        <scheme val="minor"/>
      </rPr>
      <t xml:space="preserve"> RESULTADO OPERACIONAL ANTES DO IR E CSLL (=)</t>
    </r>
  </si>
  <si>
    <r>
      <rPr>
        <b/>
        <sz val="11"/>
        <color rgb="FFFF0000"/>
        <rFont val="Calibri"/>
        <family val="2"/>
        <scheme val="minor"/>
      </rPr>
      <t>*</t>
    </r>
    <r>
      <rPr>
        <b/>
        <sz val="11"/>
        <color theme="1"/>
        <rFont val="Calibri"/>
        <family val="2"/>
        <scheme val="minor"/>
      </rPr>
      <t xml:space="preserve"> RESULTADO LIQUIDO DO EXERCICIO</t>
    </r>
  </si>
  <si>
    <t>Coluna1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</si>
</sst>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R$&quot;\ * #,##0.00_-;\-&quot;R$&quot;\ * #,##0.00_-;_-&quot;R$&quot;\ * &quot;-&quot;??_-;_-@_-"/>
    <numFmt numFmtId="164" formatCode="[&lt;999950]#,##0.0,&quot;K&quot;;[&lt;999950000]#,##0.0,,&quot;M&quot;;#,##0.0,,,&quot;B&quot;"/>
    <numFmt numFmtId="165" formatCode="[&lt;999999]&quot;R$&quot;\ #,#00.0,&quot;K&quot;;[&lt;999999999]&quot;R$&quot;\ #,##0.0,,&quot;M&quot;;&quot;R$&quot;\ #,##0.0,,,&quot;B&quot;"/>
  </numFmts>
  <fonts count="16" x14ac:knownFonts="1">
    <font>
      <sz val="11"/>
      <color theme="1"/>
      <name val="Calibri"/>
      <family val="2"/>
      <scheme val="minor"/>
    </font>
    <font>
      <sz val="11"/>
      <color theme="1"/>
      <name val="Cambria"/>
      <family val="1"/>
    </font>
    <font>
      <b/>
      <sz val="12"/>
      <color theme="0"/>
      <name val="Cambria"/>
      <family val="1"/>
    </font>
    <font>
      <sz val="11"/>
      <color theme="1"/>
      <name val="Calibri"/>
      <family val="2"/>
      <scheme val="minor"/>
    </font>
    <font>
      <sz val="12"/>
      <color theme="1"/>
      <name val="Cambria"/>
      <family val="1"/>
    </font>
    <font>
      <sz val="9"/>
      <color indexed="81"/>
      <name val="Segoe UI"/>
      <family val="2"/>
    </font>
    <font>
      <b/>
      <sz val="9"/>
      <color indexed="81"/>
      <name val="Segoe UI"/>
      <family val="2"/>
    </font>
    <font>
      <sz val="11"/>
      <color theme="0"/>
      <name val="Cambria"/>
      <family val="1"/>
    </font>
    <font>
      <sz val="20"/>
      <color theme="1"/>
      <name val="Calibri"/>
      <family val="2"/>
      <scheme val="minor"/>
    </font>
    <font>
      <sz val="26"/>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b/>
      <sz val="11"/>
      <color rgb="FFFF0000"/>
      <name val="Calibri"/>
      <family val="2"/>
      <scheme val="minor"/>
    </font>
    <font>
      <b/>
      <sz val="11"/>
      <color theme="1" tint="4.9989318521683403E-2"/>
      <name val="Calibri"/>
      <family val="2"/>
      <scheme val="minor"/>
    </font>
    <font>
      <b/>
      <sz val="12"/>
      <color theme="1"/>
      <name val="Calibri"/>
      <family val="2"/>
      <scheme val="minor"/>
    </font>
  </fonts>
  <fills count="9">
    <fill>
      <patternFill patternType="none"/>
    </fill>
    <fill>
      <patternFill patternType="gray125"/>
    </fill>
    <fill>
      <patternFill patternType="solid">
        <fgColor theme="4"/>
        <bgColor indexed="64"/>
      </patternFill>
    </fill>
    <fill>
      <patternFill patternType="solid">
        <fgColor theme="0" tint="-0.14999847407452621"/>
        <bgColor indexed="64"/>
      </patternFill>
    </fill>
    <fill>
      <patternFill patternType="solid">
        <fgColor rgb="FFFF0000"/>
        <bgColor indexed="64"/>
      </patternFill>
    </fill>
    <fill>
      <patternFill patternType="solid">
        <fgColor theme="1" tint="0.14999847407452621"/>
        <bgColor indexed="64"/>
      </patternFill>
    </fill>
    <fill>
      <patternFill patternType="solid">
        <fgColor theme="1" tint="4.9989318521683403E-2"/>
        <bgColor indexed="64"/>
      </patternFill>
    </fill>
    <fill>
      <patternFill patternType="solid">
        <fgColor theme="1" tint="0.499984740745262"/>
        <bgColor indexed="64"/>
      </patternFill>
    </fill>
    <fill>
      <patternFill patternType="solid">
        <fgColor theme="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rgb="FF999999"/>
      </left>
      <right/>
      <top style="thin">
        <color rgb="FF999999"/>
      </top>
      <bottom/>
      <diagonal/>
    </border>
    <border>
      <left style="thin">
        <color rgb="FF999999"/>
      </left>
      <right/>
      <top style="thin">
        <color indexed="65"/>
      </top>
      <bottom/>
      <diagonal/>
    </border>
    <border>
      <left style="thin">
        <color rgb="FF999999"/>
      </left>
      <right style="thin">
        <color rgb="FF999999"/>
      </right>
      <top style="thin">
        <color rgb="FF999999"/>
      </top>
      <bottom/>
      <diagonal/>
    </border>
    <border>
      <left style="thin">
        <color rgb="FF999999"/>
      </left>
      <right style="thin">
        <color rgb="FF999999"/>
      </right>
      <top style="thin">
        <color indexed="65"/>
      </top>
      <bottom/>
      <diagonal/>
    </border>
    <border>
      <left style="thin">
        <color rgb="FF999999"/>
      </left>
      <right/>
      <top style="thin">
        <color rgb="FF999999"/>
      </top>
      <bottom style="thin">
        <color rgb="FF999999"/>
      </bottom>
      <diagonal/>
    </border>
    <border>
      <left style="thin">
        <color rgb="FF999999"/>
      </left>
      <right/>
      <top style="thin">
        <color indexed="65"/>
      </top>
      <bottom style="thin">
        <color rgb="FF999999"/>
      </bottom>
      <diagonal/>
    </border>
    <border>
      <left style="thin">
        <color rgb="FF999999"/>
      </left>
      <right style="thin">
        <color rgb="FF999999"/>
      </right>
      <top style="thin">
        <color indexed="65"/>
      </top>
      <bottom style="thin">
        <color rgb="FF999999"/>
      </bottom>
      <diagonal/>
    </border>
    <border>
      <left style="thin">
        <color indexed="64"/>
      </left>
      <right/>
      <top/>
      <bottom/>
      <diagonal/>
    </border>
    <border>
      <left style="thin">
        <color rgb="FF999999"/>
      </left>
      <right style="thin">
        <color rgb="FF999999"/>
      </right>
      <top style="thin">
        <color rgb="FF999999"/>
      </top>
      <bottom style="thin">
        <color rgb="FF999999"/>
      </bottom>
      <diagonal/>
    </border>
    <border>
      <left/>
      <right style="thin">
        <color indexed="64"/>
      </right>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44" fontId="3" fillId="0" borderId="0" applyFont="0" applyFill="0" applyBorder="0" applyAlignment="0" applyProtection="0"/>
    <xf numFmtId="9" fontId="3" fillId="0" borderId="0" applyFont="0" applyFill="0" applyBorder="0" applyAlignment="0" applyProtection="0"/>
  </cellStyleXfs>
  <cellXfs count="76">
    <xf numFmtId="0" fontId="0" fillId="0" borderId="0" xfId="0"/>
    <xf numFmtId="0" fontId="1" fillId="0" borderId="0" xfId="0" applyFont="1"/>
    <xf numFmtId="14" fontId="0" fillId="0" borderId="0" xfId="0" applyNumberFormat="1"/>
    <xf numFmtId="0" fontId="0" fillId="0" borderId="0" xfId="0" applyNumberFormat="1"/>
    <xf numFmtId="44" fontId="4" fillId="0" borderId="0" xfId="0" pivotButton="1" applyNumberFormat="1" applyFont="1"/>
    <xf numFmtId="0" fontId="1" fillId="0" borderId="2" xfId="0" applyFont="1" applyFill="1" applyBorder="1"/>
    <xf numFmtId="0" fontId="0" fillId="0" borderId="0" xfId="0" applyFill="1"/>
    <xf numFmtId="0" fontId="1" fillId="0" borderId="3" xfId="0" applyFont="1" applyFill="1" applyBorder="1"/>
    <xf numFmtId="0" fontId="1" fillId="0" borderId="0" xfId="0" applyFont="1" applyFill="1" applyBorder="1"/>
    <xf numFmtId="0" fontId="0" fillId="0" borderId="0" xfId="0" pivotButton="1"/>
    <xf numFmtId="0" fontId="0" fillId="0" borderId="0" xfId="0" applyAlignment="1">
      <alignment horizontal="left"/>
    </xf>
    <xf numFmtId="44" fontId="0" fillId="0" borderId="0" xfId="0" applyNumberFormat="1"/>
    <xf numFmtId="0" fontId="0" fillId="3" borderId="0" xfId="0" applyFill="1" applyAlignment="1">
      <alignment horizontal="left"/>
    </xf>
    <xf numFmtId="0" fontId="0" fillId="5" borderId="0" xfId="0" applyFill="1"/>
    <xf numFmtId="44" fontId="0" fillId="0" borderId="0" xfId="1" applyFont="1"/>
    <xf numFmtId="0" fontId="0" fillId="3" borderId="0" xfId="0" applyFill="1"/>
    <xf numFmtId="44" fontId="0" fillId="3" borderId="0" xfId="1" applyFont="1" applyFill="1"/>
    <xf numFmtId="10" fontId="0" fillId="0" borderId="0" xfId="0" applyNumberFormat="1"/>
    <xf numFmtId="0" fontId="0" fillId="0" borderId="0" xfId="0" applyFont="1"/>
    <xf numFmtId="0" fontId="0" fillId="0" borderId="4" xfId="0" pivotButton="1" applyBorder="1"/>
    <xf numFmtId="0" fontId="0" fillId="0" borderId="6" xfId="0" applyBorder="1"/>
    <xf numFmtId="0" fontId="0" fillId="0" borderId="4" xfId="0" applyBorder="1" applyAlignment="1">
      <alignment horizontal="left"/>
    </xf>
    <xf numFmtId="0" fontId="0" fillId="0" borderId="6" xfId="0" applyNumberFormat="1" applyBorder="1"/>
    <xf numFmtId="0" fontId="0" fillId="0" borderId="5" xfId="0" applyBorder="1" applyAlignment="1">
      <alignment horizontal="left"/>
    </xf>
    <xf numFmtId="0" fontId="0" fillId="0" borderId="7" xfId="0" applyNumberFormat="1" applyBorder="1"/>
    <xf numFmtId="0" fontId="0" fillId="0" borderId="8" xfId="0" applyBorder="1" applyAlignment="1">
      <alignment horizontal="left"/>
    </xf>
    <xf numFmtId="0" fontId="0" fillId="0" borderId="12" xfId="0" applyNumberFormat="1" applyBorder="1"/>
    <xf numFmtId="0" fontId="0" fillId="0" borderId="9" xfId="0" applyBorder="1" applyAlignment="1">
      <alignment horizontal="left"/>
    </xf>
    <xf numFmtId="0" fontId="0" fillId="0" borderId="10" xfId="0" applyNumberFormat="1" applyBorder="1"/>
    <xf numFmtId="164" fontId="0" fillId="0" borderId="6" xfId="0" applyNumberFormat="1" applyBorder="1"/>
    <xf numFmtId="0" fontId="0" fillId="0" borderId="9" xfId="0" applyBorder="1" applyAlignment="1">
      <alignment horizontal="left" indent="1"/>
    </xf>
    <xf numFmtId="164" fontId="0" fillId="0" borderId="10" xfId="0" applyNumberFormat="1" applyBorder="1"/>
    <xf numFmtId="0" fontId="0" fillId="0" borderId="6" xfId="0" pivotButton="1" applyBorder="1"/>
    <xf numFmtId="0" fontId="0" fillId="0" borderId="6" xfId="0" applyBorder="1" applyAlignment="1">
      <alignment horizontal="left"/>
    </xf>
    <xf numFmtId="0" fontId="0" fillId="0" borderId="7" xfId="0" applyBorder="1" applyAlignment="1">
      <alignment horizontal="left"/>
    </xf>
    <xf numFmtId="0" fontId="0" fillId="0" borderId="10" xfId="0" applyBorder="1" applyAlignment="1">
      <alignment horizontal="left"/>
    </xf>
    <xf numFmtId="0" fontId="0" fillId="0" borderId="12" xfId="0" applyBorder="1" applyAlignment="1">
      <alignment horizontal="left"/>
    </xf>
    <xf numFmtId="0" fontId="0" fillId="0" borderId="4" xfId="0" applyBorder="1"/>
    <xf numFmtId="0" fontId="0" fillId="0" borderId="14" xfId="0" applyBorder="1"/>
    <xf numFmtId="0" fontId="0" fillId="0" borderId="15" xfId="0" applyBorder="1"/>
    <xf numFmtId="0" fontId="0" fillId="0" borderId="5" xfId="0" applyBorder="1"/>
    <xf numFmtId="0" fontId="0" fillId="0" borderId="16" xfId="0" applyBorder="1"/>
    <xf numFmtId="0" fontId="0" fillId="0" borderId="17" xfId="0" applyBorder="1"/>
    <xf numFmtId="0" fontId="0" fillId="0" borderId="9" xfId="0" applyBorder="1"/>
    <xf numFmtId="0" fontId="0" fillId="0" borderId="18" xfId="0" applyBorder="1"/>
    <xf numFmtId="0" fontId="0" fillId="0" borderId="19" xfId="0" applyBorder="1"/>
    <xf numFmtId="10" fontId="0" fillId="0" borderId="0" xfId="2" applyNumberFormat="1" applyFont="1"/>
    <xf numFmtId="0" fontId="0" fillId="0" borderId="0" xfId="0" applyBorder="1"/>
    <xf numFmtId="0" fontId="0" fillId="0" borderId="13" xfId="0" applyBorder="1"/>
    <xf numFmtId="0" fontId="0" fillId="0" borderId="11" xfId="0" applyBorder="1"/>
    <xf numFmtId="0" fontId="1" fillId="3" borderId="1" xfId="0" applyFont="1" applyFill="1" applyBorder="1"/>
    <xf numFmtId="44" fontId="1" fillId="3" borderId="1" xfId="1" applyFont="1" applyFill="1" applyBorder="1"/>
    <xf numFmtId="0" fontId="7" fillId="6" borderId="1" xfId="0" applyFont="1" applyFill="1" applyBorder="1"/>
    <xf numFmtId="44" fontId="7" fillId="6" borderId="1" xfId="1" applyFont="1" applyFill="1" applyBorder="1"/>
    <xf numFmtId="0" fontId="0" fillId="7" borderId="0" xfId="0" applyFill="1"/>
    <xf numFmtId="44" fontId="0" fillId="7" borderId="0" xfId="1" applyFont="1" applyFill="1"/>
    <xf numFmtId="0" fontId="7" fillId="7" borderId="0" xfId="0" applyFont="1" applyFill="1"/>
    <xf numFmtId="44" fontId="7" fillId="7" borderId="0" xfId="1" applyFont="1" applyFill="1"/>
    <xf numFmtId="0" fontId="0" fillId="3" borderId="1" xfId="0" applyFill="1" applyBorder="1"/>
    <xf numFmtId="44" fontId="0" fillId="3" borderId="1" xfId="1" applyFont="1" applyFill="1" applyBorder="1"/>
    <xf numFmtId="164" fontId="0" fillId="0" borderId="0" xfId="0" applyNumberFormat="1" applyBorder="1"/>
    <xf numFmtId="0" fontId="8" fillId="3" borderId="0" xfId="0" applyFont="1" applyFill="1"/>
    <xf numFmtId="165" fontId="0" fillId="0" borderId="0" xfId="1" applyNumberFormat="1" applyFont="1"/>
    <xf numFmtId="0" fontId="0" fillId="0" borderId="5" xfId="0" applyBorder="1" applyAlignment="1">
      <alignment horizontal="left" indent="1"/>
    </xf>
    <xf numFmtId="164" fontId="0" fillId="0" borderId="7" xfId="0" applyNumberFormat="1" applyBorder="1"/>
    <xf numFmtId="0" fontId="2" fillId="2" borderId="0" xfId="0" applyFont="1" applyFill="1" applyAlignment="1">
      <alignment horizontal="center"/>
    </xf>
    <xf numFmtId="0" fontId="0" fillId="4" borderId="0" xfId="0" applyFill="1" applyAlignment="1">
      <alignment horizontal="center"/>
    </xf>
    <xf numFmtId="0" fontId="9" fillId="0" borderId="0" xfId="0" applyFont="1" applyAlignment="1">
      <alignment horizontal="center" vertical="center"/>
    </xf>
    <xf numFmtId="0" fontId="8" fillId="3" borderId="0" xfId="0" applyFont="1" applyFill="1" applyAlignment="1">
      <alignment horizontal="center"/>
    </xf>
    <xf numFmtId="0" fontId="12" fillId="3" borderId="1" xfId="0" applyFont="1" applyFill="1" applyBorder="1"/>
    <xf numFmtId="0" fontId="11" fillId="0" borderId="11" xfId="0" applyFont="1" applyBorder="1"/>
    <xf numFmtId="0" fontId="12" fillId="3" borderId="21" xfId="0" applyFont="1" applyFill="1" applyBorder="1"/>
    <xf numFmtId="0" fontId="14" fillId="8" borderId="20" xfId="0" applyFont="1" applyFill="1" applyBorder="1" applyAlignment="1">
      <alignment horizontal="center"/>
    </xf>
    <xf numFmtId="0" fontId="10" fillId="8" borderId="20" xfId="0" applyFont="1" applyFill="1" applyBorder="1" applyAlignment="1">
      <alignment horizontal="right"/>
    </xf>
    <xf numFmtId="44" fontId="15" fillId="3" borderId="1" xfId="1" applyFont="1" applyFill="1" applyBorder="1"/>
    <xf numFmtId="44" fontId="15" fillId="3" borderId="21" xfId="1" applyFont="1" applyFill="1" applyBorder="1"/>
  </cellXfs>
  <cellStyles count="3">
    <cellStyle name="Moeda" xfId="1" builtinId="4"/>
    <cellStyle name="Normal" xfId="0" builtinId="0"/>
    <cellStyle name="Porcentagem" xfId="2" builtinId="5"/>
  </cellStyles>
  <dxfs count="44">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center" vertical="bottom" textRotation="0" wrapText="0" indent="0" justifyLastLine="0" shrinkToFit="0" readingOrder="0"/>
    </dxf>
    <dxf>
      <border outline="0">
        <top style="thin">
          <color indexed="64"/>
        </top>
      </border>
    </dxf>
    <dxf>
      <border outline="0">
        <bottom style="thin">
          <color indexed="64"/>
        </bottom>
      </border>
    </dxf>
    <dxf>
      <border outline="0">
        <bottom style="thin">
          <color indexed="64"/>
        </bottom>
      </border>
    </dxf>
    <dxf>
      <font>
        <sz val="12"/>
        <name val="Cambria"/>
        <family val="1"/>
        <scheme val="none"/>
      </font>
      <numFmt numFmtId="34" formatCode="_-&quot;R$&quot;\ * #,##0.00_-;\-&quot;R$&quot;\ * #,##0.00_-;_-&quot;R$&quot;\ * &quot;-&quot;??_-;_-@_-"/>
    </dxf>
    <dxf>
      <font>
        <sz val="12"/>
        <name val="Cambria"/>
        <family val="1"/>
        <scheme val="none"/>
      </font>
      <numFmt numFmtId="34" formatCode="_-&quot;R$&quot;\ * #,##0.00_-;\-&quot;R$&quot;\ * #,##0.00_-;_-&quot;R$&quot;\ * &quot;-&quot;??_-;_-@_-"/>
    </dxf>
    <dxf>
      <numFmt numFmtId="34" formatCode="_-&quot;R$&quot;\ * #,##0.00_-;\-&quot;R$&quot;\ * #,##0.00_-;_-&quot;R$&quot;\ * &quot;-&quot;??_-;_-@_-"/>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numFmt numFmtId="0" formatCode="General"/>
    </dxf>
    <dxf>
      <numFmt numFmtId="0" formatCode="General"/>
    </dxf>
    <dxf>
      <numFmt numFmtId="0" formatCode="General"/>
    </dxf>
    <dxf>
      <numFmt numFmtId="19" formatCode="dd/mm/yyyy"/>
    </dxf>
    <dxf>
      <font>
        <strike val="0"/>
        <outline val="0"/>
        <shadow val="0"/>
        <u val="none"/>
        <vertAlign val="baseline"/>
        <name val="Cambria"/>
        <family val="1"/>
        <scheme val="none"/>
      </font>
    </dxf>
    <dxf>
      <font>
        <strike val="0"/>
        <outline val="0"/>
        <shadow val="0"/>
        <u val="none"/>
        <vertAlign val="baseline"/>
        <name val="Cambria"/>
        <family val="1"/>
        <scheme val="none"/>
      </font>
      <fill>
        <patternFill patternType="none">
          <fgColor indexed="64"/>
          <bgColor indexed="65"/>
        </patternFill>
      </fill>
    </dxf>
    <dxf>
      <font>
        <strike val="0"/>
        <outline val="0"/>
        <shadow val="0"/>
        <u val="none"/>
        <vertAlign val="baseline"/>
        <name val="Cambria"/>
        <family val="1"/>
        <scheme val="none"/>
      </font>
      <fill>
        <patternFill patternType="none">
          <fgColor indexed="64"/>
          <bgColor indexed="65"/>
        </patternFill>
      </fill>
    </dxf>
    <dxf>
      <font>
        <strike val="0"/>
        <outline val="0"/>
        <shadow val="0"/>
        <u val="none"/>
        <vertAlign val="baseline"/>
        <name val="Cambria"/>
        <family val="1"/>
        <scheme val="none"/>
      </font>
      <fill>
        <patternFill patternType="none">
          <fgColor indexed="64"/>
          <bgColor indexed="65"/>
        </patternFill>
      </fill>
    </dxf>
    <dxf>
      <border>
        <top style="thin">
          <color theme="1"/>
        </top>
        <bottom style="thin">
          <color theme="1"/>
        </bottom>
      </border>
    </dxf>
    <dxf>
      <font>
        <b/>
        <i val="0"/>
      </font>
      <border>
        <top style="thin">
          <color theme="1"/>
        </top>
        <bottom style="thin">
          <color theme="1"/>
        </bottom>
      </border>
    </dxf>
    <dxf>
      <font>
        <b/>
        <color theme="1"/>
      </font>
    </dxf>
    <dxf>
      <font>
        <b/>
        <color theme="1" tint="0.499984740745262"/>
      </font>
    </dxf>
    <dxf>
      <font>
        <b/>
        <color theme="1"/>
      </font>
    </dxf>
    <dxf>
      <fill>
        <patternFill>
          <bgColor theme="5" tint="-0.499984740745262"/>
        </patternFill>
      </fill>
    </dxf>
    <dxf>
      <font>
        <b/>
        <color theme="1" tint="0.499984740745262"/>
      </font>
    </dxf>
    <dxf>
      <font>
        <b/>
        <color theme="1"/>
      </font>
      <border>
        <bottom style="thin">
          <color theme="0" tint="-0.249977111117893"/>
        </bottom>
      </border>
    </dxf>
    <dxf>
      <fill>
        <patternFill>
          <bgColor theme="4" tint="-0.499984740745262"/>
        </patternFill>
      </fill>
    </dxf>
    <dxf>
      <font>
        <color theme="1"/>
      </font>
      <fill>
        <patternFill patternType="solid">
          <fgColor theme="0" tint="-0.249977111117893"/>
          <bgColor theme="0" tint="-0.34998626667073579"/>
        </patternFill>
      </fill>
      <border>
        <left style="thin">
          <color theme="0" tint="-0.34998626667073579"/>
        </left>
        <right style="thin">
          <color theme="0" tint="-0.34998626667073579"/>
        </right>
        <top style="thin">
          <color theme="0" tint="-0.34998626667073579"/>
        </top>
      </border>
    </dxf>
    <dxf>
      <font>
        <b/>
        <i val="0"/>
      </font>
    </dxf>
    <dxf>
      <font>
        <b/>
        <i val="0"/>
      </font>
      <fill>
        <patternFill patternType="solid">
          <fgColor theme="0" tint="-0.14993743705557422"/>
          <bgColor theme="0" tint="-0.14996795556505021"/>
        </patternFill>
      </fill>
      <border>
        <left style="thin">
          <color theme="0" tint="-0.249977111117893"/>
        </left>
        <right style="thin">
          <color theme="0" tint="-0.249977111117893"/>
        </right>
      </border>
    </dxf>
    <dxf>
      <fill>
        <patternFill>
          <bgColor rgb="FFFF66CC"/>
        </patternFill>
      </fill>
    </dxf>
    <dxf>
      <fill>
        <patternFill patternType="solid">
          <fgColor theme="0" tint="-0.14990691854609822"/>
          <bgColor theme="2" tint="-0.89996032593768116"/>
        </patternFill>
      </fill>
      <border>
        <top style="thin">
          <color theme="0" tint="-0.249977111117893"/>
        </top>
        <bottom style="thin">
          <color theme="0" tint="-0.249977111117893"/>
        </bottom>
      </border>
    </dxf>
    <dxf>
      <fill>
        <patternFill>
          <bgColor theme="9" tint="-0.24994659260841701"/>
        </patternFill>
      </fill>
    </dxf>
    <dxf>
      <font>
        <color theme="0"/>
      </font>
      <fill>
        <patternFill patternType="solid">
          <fgColor theme="1"/>
          <bgColor theme="1"/>
        </patternFill>
      </fill>
      <border>
        <left/>
        <right/>
        <vertical/>
      </border>
    </dxf>
    <dxf>
      <font>
        <b/>
        <i val="0"/>
        <color theme="0"/>
      </font>
      <fill>
        <patternFill patternType="solid">
          <fgColor theme="1"/>
          <bgColor theme="1"/>
        </patternFill>
      </fill>
      <border>
        <left/>
        <right/>
        <vertical/>
      </border>
    </dxf>
    <dxf>
      <font>
        <color theme="1"/>
      </font>
      <fill>
        <patternFill patternType="solid">
          <fgColor theme="0" tint="-4.9989318521683403E-2"/>
          <bgColor theme="0" tint="-4.9989318521683403E-2"/>
        </patternFill>
      </fill>
      <border>
        <left style="thin">
          <color theme="0" tint="-0.14999847407452621"/>
        </left>
        <right style="thin">
          <color theme="0" tint="-0.14999847407452621"/>
        </right>
        <vertical style="thin">
          <color theme="0" tint="-0.14999847407452621"/>
        </vertical>
      </border>
    </dxf>
    <dxf>
      <fill>
        <patternFill patternType="solid">
          <bgColor theme="0" tint="-4.9989318521683403E-2"/>
        </patternFill>
      </fill>
      <border diagonalUp="0" diagonalDown="0">
        <left/>
        <right/>
        <top/>
        <bottom/>
        <vertical/>
        <horizontal/>
      </border>
    </dxf>
    <dxf>
      <fill>
        <patternFill patternType="solid">
          <bgColor theme="0" tint="-0.14996795556505021"/>
        </patternFill>
      </fill>
      <border>
        <left style="thin">
          <color auto="1"/>
        </left>
        <right style="thin">
          <color auto="1"/>
        </right>
        <top style="thin">
          <color auto="1"/>
        </top>
        <bottom style="thin">
          <color auto="1"/>
        </bottom>
      </border>
    </dxf>
    <dxf>
      <fill>
        <patternFill>
          <bgColor rgb="FF0D73B9"/>
        </patternFill>
      </fill>
    </dxf>
  </dxfs>
  <tableStyles count="4" defaultTableStyle="TableStyleMedium2" defaultPivotStyle="PivotStyleLight16">
    <tableStyle name="Estilo dre" pivot="0" table="0" count="9" xr9:uid="{27D1FA5F-CB2B-489D-A4B8-C949FF2551E0}">
      <tableStyleElement type="wholeTable" dxfId="43"/>
    </tableStyle>
    <tableStyle name="Estilo dre 2" pivot="0" table="0" count="9" xr9:uid="{74CBB41A-3768-4B5C-90E9-1DD28081CCFE}">
      <tableStyleElement type="wholeTable" dxfId="42"/>
    </tableStyle>
    <tableStyle name="Estilo dre 2 2" pivot="0" table="0" count="9" xr9:uid="{B6DAFEC2-43AA-4A2A-A0B3-69E7D5C9077A}">
      <tableStyleElement type="wholeTable" dxfId="41"/>
    </tableStyle>
    <tableStyle name="PivotStyleMedium15 2" table="0" count="18" xr9:uid="{EC3F4EF2-EC19-45C8-85B3-1892F2655E3F}">
      <tableStyleElement type="wholeTable" dxfId="40"/>
      <tableStyleElement type="headerRow" dxfId="39"/>
      <tableStyleElement type="totalRow" dxfId="38"/>
      <tableStyleElement type="firstColumn" dxfId="37"/>
      <tableStyleElement type="firstRowStripe" dxfId="36"/>
      <tableStyleElement type="secondRowStripe" dxfId="35"/>
      <tableStyleElement type="firstColumnStripe" dxfId="34"/>
      <tableStyleElement type="secondColumnStripe" dxfId="33"/>
      <tableStyleElement type="firstSubtotalColumn" dxfId="32"/>
      <tableStyleElement type="secondSubtotalColumn" dxfId="31"/>
      <tableStyleElement type="firstSubtotalRow" dxfId="30"/>
      <tableStyleElement type="secondSubtotalRow" dxfId="29"/>
      <tableStyleElement type="firstColumnSubheading" dxfId="28"/>
      <tableStyleElement type="firstRowSubheading" dxfId="27"/>
      <tableStyleElement type="secondRowSubheading" dxfId="26"/>
      <tableStyleElement type="thirdRowSubheading" dxfId="25"/>
      <tableStyleElement type="pageFieldLabels" dxfId="24"/>
      <tableStyleElement type="pageFieldValues" dxfId="23"/>
    </tableStyle>
  </tableStyles>
  <colors>
    <mruColors>
      <color rgb="FF72AE78"/>
      <color rgb="FF5CA263"/>
      <color rgb="FF15FF7F"/>
      <color rgb="FF00DE64"/>
      <color rgb="FF244D5C"/>
      <color rgb="FF540000"/>
      <color rgb="FF1E7C6A"/>
      <color rgb="FF9A0000"/>
      <color rgb="FF7F7F7F"/>
      <color rgb="FF519DBF"/>
    </mruColors>
  </colors>
  <extLst>
    <ext xmlns:x14="http://schemas.microsoft.com/office/spreadsheetml/2009/9/main" uri="{46F421CA-312F-682f-3DD2-61675219B42D}">
      <x14:dxfs count="24">
        <dxf>
          <font>
            <sz val="14"/>
            <color theme="0"/>
          </font>
          <fill>
            <gradientFill degree="45">
              <stop position="0">
                <color theme="1" tint="0.49803155613879818"/>
              </stop>
              <stop position="1">
                <color theme="1" tint="0.1490218817712943"/>
              </stop>
            </gradientFill>
          </fill>
        </dxf>
        <dxf>
          <font>
            <sz val="14"/>
            <color theme="0"/>
          </font>
          <fill>
            <gradientFill degree="45">
              <stop position="0">
                <color theme="1" tint="0.25098422193060094"/>
              </stop>
              <stop position="1">
                <color theme="1" tint="0.1490218817712943"/>
              </stop>
            </gradientFill>
          </fill>
        </dxf>
        <dxf>
          <font>
            <sz val="14"/>
            <color theme="0"/>
          </font>
          <fill>
            <gradientFill degree="90">
              <stop position="0">
                <color theme="1" tint="0.34900967436750391"/>
              </stop>
              <stop position="1">
                <color theme="1" tint="0.1490218817712943"/>
              </stop>
            </gradientFill>
          </fill>
        </dxf>
        <dxf>
          <font>
            <sz val="14"/>
            <color theme="0"/>
          </font>
          <fill>
            <gradientFill degree="45">
              <stop position="0">
                <color theme="1" tint="0.25098422193060094"/>
              </stop>
              <stop position="1">
                <color theme="1" tint="5.0965910824915313E-2"/>
              </stop>
            </gradientFill>
          </fill>
        </dxf>
        <dxf>
          <fill>
            <gradientFill degree="45">
              <stop position="0">
                <color theme="1" tint="0.25098422193060094"/>
              </stop>
              <stop position="1">
                <color theme="0" tint="-0.49803155613879818"/>
              </stop>
            </gradientFill>
          </fill>
        </dxf>
        <dxf>
          <font>
            <color theme="0"/>
          </font>
          <fill>
            <patternFill patternType="solid">
              <fgColor auto="1"/>
              <bgColor theme="1" tint="4.9989318521683403E-2"/>
            </patternFill>
          </fill>
        </dxf>
        <dxf>
          <font>
            <color theme="0"/>
          </font>
          <fill>
            <gradientFill degree="45">
              <stop position="0">
                <color theme="1" tint="0.1490218817712943"/>
              </stop>
              <stop position="1">
                <color theme="0" tint="-0.49803155613879818"/>
              </stop>
            </gradientFill>
          </fill>
        </dxf>
        <dxf>
          <font>
            <color theme="0"/>
          </font>
          <fill>
            <gradientFill degree="45">
              <stop position="0">
                <color theme="1" tint="0.25098422193060094"/>
              </stop>
              <stop position="1">
                <color theme="0" tint="-0.49803155613879818"/>
              </stop>
            </gradientFill>
          </fill>
        </dxf>
        <dxf>
          <font>
            <color theme="0"/>
          </font>
          <fill>
            <patternFill>
              <bgColor theme="1" tint="0.14996795556505021"/>
            </patternFill>
          </fill>
        </dxf>
        <dxf>
          <font>
            <color theme="0"/>
          </font>
          <fill>
            <patternFill>
              <bgColor theme="1" tint="0.14996795556505021"/>
            </patternFill>
          </fill>
        </dxf>
        <dxf>
          <font>
            <sz val="12"/>
            <color theme="0"/>
          </font>
          <fill>
            <patternFill>
              <bgColor theme="5" tint="-0.24994659260841701"/>
            </patternFill>
          </fill>
        </dxf>
        <dxf>
          <font>
            <color theme="0"/>
          </font>
          <fill>
            <patternFill>
              <bgColor theme="5" tint="-0.24994659260841701"/>
            </patternFill>
          </fill>
        </dxf>
        <dxf>
          <fill>
            <patternFill>
              <bgColor theme="0" tint="-0.34998626667073579"/>
            </patternFill>
          </fill>
        </dxf>
        <dxf>
          <font>
            <color theme="0"/>
          </font>
          <fill>
            <patternFill>
              <bgColor rgb="FF1C1C1C"/>
            </patternFill>
          </fill>
        </dxf>
        <dxf>
          <fill>
            <patternFill>
              <bgColor theme="0" tint="-0.34998626667073579"/>
            </patternFill>
          </fill>
        </dxf>
        <dxf>
          <fill>
            <patternFill>
              <bgColor theme="0" tint="-0.34998626667073579"/>
            </patternFill>
          </fill>
        </dxf>
        <dxf>
          <font>
            <color theme="0"/>
          </font>
          <fill>
            <patternFill>
              <bgColor theme="1" tint="0.14996795556505021"/>
            </patternFill>
          </fill>
        </dxf>
        <dxf>
          <font>
            <color theme="0"/>
          </font>
          <fill>
            <patternFill>
              <bgColor theme="1" tint="0.14996795556505021"/>
            </patternFill>
          </fill>
        </dxf>
        <dxf>
          <font>
            <sz val="12"/>
            <color theme="0"/>
          </font>
          <fill>
            <patternFill>
              <bgColor theme="5" tint="-0.24994659260841701"/>
            </patternFill>
          </fill>
        </dxf>
        <dxf>
          <font>
            <color theme="0"/>
          </font>
          <fill>
            <patternFill>
              <bgColor theme="5" tint="-0.24994659260841701"/>
            </patternFill>
          </fill>
        </dxf>
        <dxf>
          <fill>
            <patternFill>
              <bgColor theme="8"/>
            </patternFill>
          </fill>
        </dxf>
        <dxf>
          <font>
            <color theme="0"/>
          </font>
          <fill>
            <patternFill>
              <bgColor theme="1" tint="0.14996795556505021"/>
            </patternFill>
          </fill>
        </dxf>
        <dxf>
          <fill>
            <patternFill>
              <bgColor theme="0" tint="-0.34998626667073579"/>
            </patternFill>
          </fill>
        </dxf>
        <dxf>
          <fill>
            <patternFill>
              <bgColor theme="8" tint="0.59996337778862885"/>
            </patternFill>
          </fill>
        </dxf>
      </x14:dxfs>
    </ext>
    <ext xmlns:x14="http://schemas.microsoft.com/office/spreadsheetml/2009/9/main" uri="{EB79DEF2-80B8-43e5-95BD-54CBDDF9020C}">
      <x14:slicerStyles defaultSlicerStyle="SlicerStyleLight1">
        <x14:slicerStyle name="Estilo dre">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Estilo dre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Estilo dre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0.985323852194539"/>
        </c:manualLayout>
      </c:layout>
      <c:doughnutChart>
        <c:varyColors val="1"/>
        <c:ser>
          <c:idx val="0"/>
          <c:order val="0"/>
          <c:tx>
            <c:strRef>
              <c:f>Apoio!$AQ$6</c:f>
              <c:strCache>
                <c:ptCount val="1"/>
                <c:pt idx="0">
                  <c:v>nivel</c:v>
                </c:pt>
              </c:strCache>
            </c:strRef>
          </c:tx>
          <c:spPr>
            <a:ln>
              <a:noFill/>
            </a:ln>
          </c:spPr>
          <c:dPt>
            <c:idx val="0"/>
            <c:bubble3D val="0"/>
            <c:spPr>
              <a:solidFill>
                <a:srgbClr val="C00000"/>
              </a:solidFill>
              <a:ln w="19050">
                <a:noFill/>
              </a:ln>
              <a:effectLst/>
            </c:spPr>
            <c:extLst>
              <c:ext xmlns:c16="http://schemas.microsoft.com/office/drawing/2014/chart" uri="{C3380CC4-5D6E-409C-BE32-E72D297353CC}">
                <c16:uniqueId val="{00000001-4C15-4F5C-9F34-A6905DE0DD84}"/>
              </c:ext>
            </c:extLst>
          </c:dPt>
          <c:dPt>
            <c:idx val="1"/>
            <c:bubble3D val="0"/>
            <c:spPr>
              <a:solidFill>
                <a:srgbClr val="EE2800"/>
              </a:solidFill>
              <a:ln w="19050">
                <a:noFill/>
              </a:ln>
              <a:effectLst/>
            </c:spPr>
            <c:extLst>
              <c:ext xmlns:c16="http://schemas.microsoft.com/office/drawing/2014/chart" uri="{C3380CC4-5D6E-409C-BE32-E72D297353CC}">
                <c16:uniqueId val="{00000003-4C15-4F5C-9F34-A6905DE0DD84}"/>
              </c:ext>
            </c:extLst>
          </c:dPt>
          <c:dPt>
            <c:idx val="2"/>
            <c:bubble3D val="0"/>
            <c:spPr>
              <a:solidFill>
                <a:srgbClr val="F76819"/>
              </a:solidFill>
              <a:ln w="19050">
                <a:noFill/>
              </a:ln>
              <a:effectLst/>
            </c:spPr>
            <c:extLst>
              <c:ext xmlns:c16="http://schemas.microsoft.com/office/drawing/2014/chart" uri="{C3380CC4-5D6E-409C-BE32-E72D297353CC}">
                <c16:uniqueId val="{00000005-4C15-4F5C-9F34-A6905DE0DD84}"/>
              </c:ext>
            </c:extLst>
          </c:dPt>
          <c:dPt>
            <c:idx val="3"/>
            <c:bubble3D val="0"/>
            <c:spPr>
              <a:solidFill>
                <a:srgbClr val="FF9900"/>
              </a:solidFill>
              <a:ln w="19050">
                <a:noFill/>
              </a:ln>
              <a:effectLst/>
            </c:spPr>
            <c:extLst>
              <c:ext xmlns:c16="http://schemas.microsoft.com/office/drawing/2014/chart" uri="{C3380CC4-5D6E-409C-BE32-E72D297353CC}">
                <c16:uniqueId val="{00000007-4C15-4F5C-9F34-A6905DE0DD84}"/>
              </c:ext>
            </c:extLst>
          </c:dPt>
          <c:dPt>
            <c:idx val="4"/>
            <c:bubble3D val="0"/>
            <c:spPr>
              <a:solidFill>
                <a:srgbClr val="009644"/>
              </a:solidFill>
              <a:ln w="19050">
                <a:noFill/>
              </a:ln>
              <a:effectLst/>
            </c:spPr>
            <c:extLst>
              <c:ext xmlns:c16="http://schemas.microsoft.com/office/drawing/2014/chart" uri="{C3380CC4-5D6E-409C-BE32-E72D297353CC}">
                <c16:uniqueId val="{00000009-4C15-4F5C-9F34-A6905DE0DD84}"/>
              </c:ext>
            </c:extLst>
          </c:dPt>
          <c:dPt>
            <c:idx val="5"/>
            <c:bubble3D val="0"/>
            <c:spPr>
              <a:noFill/>
              <a:ln w="19050">
                <a:noFill/>
              </a:ln>
              <a:effectLst/>
            </c:spPr>
            <c:extLst>
              <c:ext xmlns:c16="http://schemas.microsoft.com/office/drawing/2014/chart" uri="{C3380CC4-5D6E-409C-BE32-E72D297353CC}">
                <c16:uniqueId val="{0000000B-4C15-4F5C-9F34-A6905DE0DD84}"/>
              </c:ext>
            </c:extLst>
          </c:dPt>
          <c:dLbls>
            <c:dLbl>
              <c:idx val="5"/>
              <c:delete val="1"/>
              <c:extLst>
                <c:ext xmlns:c15="http://schemas.microsoft.com/office/drawing/2012/chart" uri="{CE6537A1-D6FC-4f65-9D91-7224C49458BB}"/>
                <c:ext xmlns:c16="http://schemas.microsoft.com/office/drawing/2014/chart" uri="{C3380CC4-5D6E-409C-BE32-E72D297353CC}">
                  <c16:uniqueId val="{0000000B-4C15-4F5C-9F34-A6905DE0DD84}"/>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ysClr val="windowText" lastClr="000000"/>
                    </a:solidFill>
                    <a:latin typeface="+mn-lt"/>
                    <a:ea typeface="+mn-ea"/>
                    <a:cs typeface="+mn-cs"/>
                  </a:defRPr>
                </a:pPr>
                <a:endParaRPr lang="pt-BR"/>
              </a:p>
            </c:txPr>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Apoio!$AQ$7:$AQ$12</c:f>
              <c:strCache>
                <c:ptCount val="6"/>
                <c:pt idx="0">
                  <c:v>Péssimo</c:v>
                </c:pt>
                <c:pt idx="1">
                  <c:v>Ruim</c:v>
                </c:pt>
                <c:pt idx="2">
                  <c:v>Razoável</c:v>
                </c:pt>
                <c:pt idx="3">
                  <c:v>Bom</c:v>
                </c:pt>
                <c:pt idx="4">
                  <c:v>Excelente</c:v>
                </c:pt>
                <c:pt idx="5">
                  <c:v>Total</c:v>
                </c:pt>
              </c:strCache>
            </c:strRef>
          </c:cat>
          <c:val>
            <c:numRef>
              <c:f>Apoio!$AR$7:$AR$12</c:f>
              <c:numCache>
                <c:formatCode>General</c:formatCode>
                <c:ptCount val="6"/>
                <c:pt idx="0">
                  <c:v>7200000</c:v>
                </c:pt>
                <c:pt idx="1">
                  <c:v>4800000</c:v>
                </c:pt>
                <c:pt idx="2">
                  <c:v>4800000</c:v>
                </c:pt>
                <c:pt idx="3">
                  <c:v>3600000</c:v>
                </c:pt>
                <c:pt idx="4">
                  <c:v>3600000</c:v>
                </c:pt>
                <c:pt idx="5">
                  <c:v>24000000</c:v>
                </c:pt>
              </c:numCache>
            </c:numRef>
          </c:val>
          <c:extLst>
            <c:ext xmlns:c16="http://schemas.microsoft.com/office/drawing/2014/chart" uri="{C3380CC4-5D6E-409C-BE32-E72D297353CC}">
              <c16:uniqueId val="{0000000C-4C15-4F5C-9F34-A6905DE0DD84}"/>
            </c:ext>
          </c:extLst>
        </c:ser>
        <c:dLbls>
          <c:showLegendKey val="0"/>
          <c:showVal val="0"/>
          <c:showCatName val="0"/>
          <c:showSerName val="0"/>
          <c:showPercent val="0"/>
          <c:showBubbleSize val="0"/>
          <c:showLeaderLines val="1"/>
        </c:dLbls>
        <c:firstSliceAng val="270"/>
        <c:holeSize val="50"/>
      </c:doughnutChart>
      <c:pieChart>
        <c:varyColors val="1"/>
        <c:ser>
          <c:idx val="1"/>
          <c:order val="1"/>
          <c:tx>
            <c:v>marcador</c:v>
          </c:tx>
          <c:spPr>
            <a:ln>
              <a:solidFill>
                <a:schemeClr val="tx1">
                  <a:alpha val="0"/>
                </a:schemeClr>
              </a:solidFill>
            </a:ln>
          </c:spPr>
          <c:dPt>
            <c:idx val="0"/>
            <c:bubble3D val="0"/>
            <c:spPr>
              <a:noFill/>
              <a:ln w="19050">
                <a:solidFill>
                  <a:schemeClr val="tx1">
                    <a:alpha val="0"/>
                  </a:schemeClr>
                </a:solidFill>
              </a:ln>
              <a:effectLst/>
            </c:spPr>
            <c:extLst>
              <c:ext xmlns:c16="http://schemas.microsoft.com/office/drawing/2014/chart" uri="{C3380CC4-5D6E-409C-BE32-E72D297353CC}">
                <c16:uniqueId val="{0000000F-3F16-4A95-86D6-237FA685B6AF}"/>
              </c:ext>
            </c:extLst>
          </c:dPt>
          <c:dPt>
            <c:idx val="1"/>
            <c:bubble3D val="0"/>
            <c:explosion val="2"/>
            <c:spPr>
              <a:gradFill flip="none" rotWithShape="1">
                <a:gsLst>
                  <a:gs pos="100000">
                    <a:schemeClr val="tx1">
                      <a:alpha val="80000"/>
                    </a:schemeClr>
                  </a:gs>
                  <a:gs pos="0">
                    <a:schemeClr val="tx1">
                      <a:alpha val="80000"/>
                    </a:schemeClr>
                  </a:gs>
                  <a:gs pos="50000">
                    <a:schemeClr val="tx1"/>
                  </a:gs>
                </a:gsLst>
                <a:path path="circle">
                  <a:fillToRect l="50000" t="50000" r="50000" b="50000"/>
                </a:path>
                <a:tileRect/>
              </a:gradFill>
              <a:ln w="9525">
                <a:solidFill>
                  <a:schemeClr val="tx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10-3F16-4A95-86D6-237FA685B6AF}"/>
              </c:ext>
            </c:extLst>
          </c:dPt>
          <c:dPt>
            <c:idx val="2"/>
            <c:bubble3D val="0"/>
            <c:explosion val="1"/>
            <c:spPr>
              <a:noFill/>
              <a:ln w="19050">
                <a:solidFill>
                  <a:schemeClr val="tx1">
                    <a:alpha val="0"/>
                  </a:schemeClr>
                </a:solidFill>
              </a:ln>
              <a:effectLst>
                <a:innerShdw blurRad="63500" dist="50800" dir="16200000">
                  <a:prstClr val="black">
                    <a:alpha val="50000"/>
                  </a:prstClr>
                </a:innerShdw>
              </a:effectLst>
            </c:spPr>
            <c:extLst>
              <c:ext xmlns:c16="http://schemas.microsoft.com/office/drawing/2014/chart" uri="{C3380CC4-5D6E-409C-BE32-E72D297353CC}">
                <c16:uniqueId val="{00000011-3F16-4A95-86D6-237FA685B6AF}"/>
              </c:ext>
            </c:extLst>
          </c:dPt>
          <c:val>
            <c:numRef>
              <c:f>Apoio!$AR$19:$AR$21</c:f>
              <c:numCache>
                <c:formatCode>General</c:formatCode>
                <c:ptCount val="3"/>
                <c:pt idx="0" formatCode="[&lt;999999]&quot;R$&quot;\ #,#00.0,&quot;K&quot;;[&lt;999999999]&quot;R$&quot;\ #,##0.0,,&quot;M&quot;;&quot;R$&quot;\ #,##0.0,,,&quot;B&quot;">
                  <c:v>14136581</c:v>
                </c:pt>
                <c:pt idx="1">
                  <c:v>192000</c:v>
                </c:pt>
                <c:pt idx="2">
                  <c:v>24000000</c:v>
                </c:pt>
              </c:numCache>
            </c:numRef>
          </c:val>
          <c:extLst>
            <c:ext xmlns:c16="http://schemas.microsoft.com/office/drawing/2014/chart" uri="{C3380CC4-5D6E-409C-BE32-E72D297353CC}">
              <c16:uniqueId val="{0000000E-3F16-4A95-86D6-237FA685B6AF}"/>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0609259259259261E-3"/>
          <c:y val="3.8646296296296289E-3"/>
          <c:w val="1"/>
          <c:h val="0.99587811633662904"/>
        </c:manualLayout>
      </c:layout>
      <c:doughnutChart>
        <c:varyColors val="1"/>
        <c:dLbls>
          <c:showLegendKey val="0"/>
          <c:showVal val="0"/>
          <c:showCatName val="0"/>
          <c:showSerName val="0"/>
          <c:showPercent val="0"/>
          <c:showBubbleSize val="0"/>
          <c:showLeaderLines val="0"/>
        </c:dLbls>
        <c:firstSliceAng val="27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33433534621718863"/>
          <c:y val="0.10589982269970141"/>
          <c:w val="0.62367714368633975"/>
          <c:h val="0.83092470895277037"/>
        </c:manualLayout>
      </c:layout>
      <c:barChart>
        <c:barDir val="bar"/>
        <c:grouping val="stacked"/>
        <c:varyColors val="0"/>
        <c:ser>
          <c:idx val="0"/>
          <c:order val="0"/>
          <c:tx>
            <c:v>Summary</c:v>
          </c:tx>
          <c:spPr>
            <a:solidFill>
              <a:srgbClr val="008000"/>
            </a:solidFill>
            <a:ln>
              <a:noFill/>
            </a:ln>
            <a:effectLst/>
          </c:spPr>
          <c:invertIfNegative val="0"/>
          <c:dPt>
            <c:idx val="0"/>
            <c:invertIfNegative val="0"/>
            <c:bubble3D val="0"/>
            <c:spPr>
              <a:solidFill>
                <a:srgbClr val="FFC000"/>
              </a:solidFill>
              <a:ln>
                <a:noFill/>
              </a:ln>
              <a:effectLst/>
            </c:spPr>
            <c:extLst>
              <c:ext xmlns:c16="http://schemas.microsoft.com/office/drawing/2014/chart" uri="{C3380CC4-5D6E-409C-BE32-E72D297353CC}">
                <c16:uniqueId val="{00000001-7A35-4DBF-8D58-C156B37FB277}"/>
              </c:ext>
            </c:extLst>
          </c:dPt>
          <c:dPt>
            <c:idx val="6"/>
            <c:invertIfNegative val="0"/>
            <c:bubble3D val="0"/>
            <c:spPr>
              <a:solidFill>
                <a:srgbClr val="00B050"/>
              </a:solidFill>
              <a:ln>
                <a:noFill/>
              </a:ln>
              <a:effectLst/>
            </c:spPr>
            <c:extLst>
              <c:ext xmlns:c16="http://schemas.microsoft.com/office/drawing/2014/chart" uri="{C3380CC4-5D6E-409C-BE32-E72D297353CC}">
                <c16:uniqueId val="{00000003-F6EA-432A-AA25-A9156F701243}"/>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7"/>
              <c:pt idx="0">
                <c:v>1. Receita Operacional Bruta</c:v>
              </c:pt>
              <c:pt idx="1">
                <c:v>2. Deduções da Receita</c:v>
              </c:pt>
              <c:pt idx="2">
                <c:v>3. Custos com P/M/S</c:v>
              </c:pt>
              <c:pt idx="3">
                <c:v>4. Despesas Operacionais</c:v>
              </c:pt>
              <c:pt idx="4">
                <c:v>5. Resultado Financeiro</c:v>
              </c:pt>
              <c:pt idx="5">
                <c:v>6. Resultado após RF</c:v>
              </c:pt>
              <c:pt idx="6">
                <c:v>7. Total</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Kutools_Chart!$C$1:$C$8</c15:sqref>
                  </c15:fullRef>
                </c:ext>
              </c:extLst>
              <c:f>(Kutools_Chart!$C$1:$C$6,Kutools_Chart!$C$8)</c:f>
              <c:numCache>
                <c:formatCode>General</c:formatCode>
                <c:ptCount val="7"/>
                <c:pt idx="0" formatCode="0.00%">
                  <c:v>1</c:v>
                </c:pt>
                <c:pt idx="6" formatCode="0.00%">
                  <c:v>0.48829791305266812</c:v>
                </c:pt>
              </c:numCache>
            </c:numRef>
          </c:val>
          <c:extLst>
            <c:ext xmlns:c16="http://schemas.microsoft.com/office/drawing/2014/chart" uri="{C3380CC4-5D6E-409C-BE32-E72D297353CC}">
              <c16:uniqueId val="{00000002-7A35-4DBF-8D58-C156B37FB277}"/>
            </c:ext>
          </c:extLst>
        </c:ser>
        <c:ser>
          <c:idx val="1"/>
          <c:order val="1"/>
          <c:spPr>
            <a:noFill/>
            <a:ln>
              <a:noFill/>
            </a:ln>
            <a:effectLst/>
            <a:extLst>
              <a:ext uri="{909E8E84-426E-40DD-AFC4-6F175D3DCCD1}">
                <a14:hiddenFill xmlns:a14="http://schemas.microsoft.com/office/drawing/2010/main">
                  <a:solidFill>
                    <a:srgbClr val="F8931D"/>
                  </a:solidFill>
                </a14:hiddenFill>
              </a:ext>
            </a:extLst>
          </c:spPr>
          <c:invertIfNegative val="0"/>
          <c:dLbls>
            <c:delete val="1"/>
          </c:dLbls>
          <c:cat>
            <c:strLit>
              <c:ptCount val="7"/>
              <c:pt idx="0">
                <c:v>1. Receita Operacional Bruta</c:v>
              </c:pt>
              <c:pt idx="1">
                <c:v>2. Deduções da Receita</c:v>
              </c:pt>
              <c:pt idx="2">
                <c:v>3. Custos com P/M/S</c:v>
              </c:pt>
              <c:pt idx="3">
                <c:v>4. Despesas Operacionais</c:v>
              </c:pt>
              <c:pt idx="4">
                <c:v>5. Resultado Financeiro</c:v>
              </c:pt>
              <c:pt idx="5">
                <c:v>6. Resultado após RF</c:v>
              </c:pt>
              <c:pt idx="6">
                <c:v>7. Total</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Kutools_Chart!$D$1:$D$8</c15:sqref>
                  </c15:fullRef>
                </c:ext>
              </c:extLst>
              <c:f>(Kutools_Chart!$D$1:$D$6,Kutools_Chart!$D$8)</c:f>
              <c:numCache>
                <c:formatCode>General</c:formatCode>
                <c:ptCount val="7"/>
                <c:pt idx="0">
                  <c:v>#N/A</c:v>
                </c:pt>
                <c:pt idx="1">
                  <c:v>0.78767779847192188</c:v>
                </c:pt>
                <c:pt idx="2">
                  <c:v>0.65645802192199088</c:v>
                </c:pt>
                <c:pt idx="3">
                  <c:v>0.46458673423227298</c:v>
                </c:pt>
                <c:pt idx="4">
                  <c:v>0.46458673423227298</c:v>
                </c:pt>
                <c:pt idx="5">
                  <c:v>0.48829791305266812</c:v>
                </c:pt>
                <c:pt idx="6">
                  <c:v>#N/A</c:v>
                </c:pt>
              </c:numCache>
            </c:numRef>
          </c:val>
          <c:extLst>
            <c:ext xmlns:c16="http://schemas.microsoft.com/office/drawing/2014/chart" uri="{C3380CC4-5D6E-409C-BE32-E72D297353CC}">
              <c16:uniqueId val="{00000003-7A35-4DBF-8D58-C156B37FB277}"/>
            </c:ext>
          </c:extLst>
        </c:ser>
        <c:ser>
          <c:idx val="2"/>
          <c:order val="2"/>
          <c:spPr>
            <a:noFill/>
            <a:ln>
              <a:noFill/>
            </a:ln>
            <a:effectLst/>
            <a:extLst>
              <a:ext uri="{909E8E84-426E-40DD-AFC4-6F175D3DCCD1}">
                <a14:hiddenFill xmlns:a14="http://schemas.microsoft.com/office/drawing/2010/main">
                  <a:solidFill>
                    <a:srgbClr val="CE8D3E"/>
                  </a:solidFill>
                </a14:hiddenFill>
              </a:ext>
            </a:extLst>
          </c:spPr>
          <c:invertIfNegative val="0"/>
          <c:dLbls>
            <c:delete val="1"/>
          </c:dLbls>
          <c:cat>
            <c:strLit>
              <c:ptCount val="7"/>
              <c:pt idx="0">
                <c:v>1. Receita Operacional Bruta</c:v>
              </c:pt>
              <c:pt idx="1">
                <c:v>2. Deduções da Receita</c:v>
              </c:pt>
              <c:pt idx="2">
                <c:v>3. Custos com P/M/S</c:v>
              </c:pt>
              <c:pt idx="3">
                <c:v>4. Despesas Operacionais</c:v>
              </c:pt>
              <c:pt idx="4">
                <c:v>5. Resultado Financeiro</c:v>
              </c:pt>
              <c:pt idx="5">
                <c:v>6. Resultado após RF</c:v>
              </c:pt>
              <c:pt idx="6">
                <c:v>7. Total</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Kutools_Chart!$E$1:$E$8</c15:sqref>
                  </c15:fullRef>
                </c:ext>
              </c:extLst>
              <c:f>(Kutools_Chart!$E$1:$E$6,Kutools_Chart!$E$8)</c:f>
              <c:numCache>
                <c:formatCode>General</c:formatCode>
                <c:ptCount val="7"/>
                <c:pt idx="0">
                  <c:v>#N/A</c:v>
                </c:pt>
                <c:pt idx="1">
                  <c:v>0</c:v>
                </c:pt>
                <c:pt idx="2">
                  <c:v>0</c:v>
                </c:pt>
                <c:pt idx="3">
                  <c:v>0</c:v>
                </c:pt>
                <c:pt idx="4">
                  <c:v>0</c:v>
                </c:pt>
                <c:pt idx="5">
                  <c:v>0</c:v>
                </c:pt>
                <c:pt idx="6">
                  <c:v>#N/A</c:v>
                </c:pt>
              </c:numCache>
            </c:numRef>
          </c:val>
          <c:extLst>
            <c:ext xmlns:c16="http://schemas.microsoft.com/office/drawing/2014/chart" uri="{C3380CC4-5D6E-409C-BE32-E72D297353CC}">
              <c16:uniqueId val="{00000004-7A35-4DBF-8D58-C156B37FB277}"/>
            </c:ext>
          </c:extLst>
        </c:ser>
        <c:ser>
          <c:idx val="3"/>
          <c:order val="3"/>
          <c:tx>
            <c:v>Increase</c:v>
          </c:tx>
          <c:spPr>
            <a:solidFill>
              <a:srgbClr val="00B050"/>
            </a:solidFill>
            <a:ln>
              <a:noFill/>
            </a:ln>
            <a:effectLst/>
          </c:spPr>
          <c:invertIfNegative val="0"/>
          <c:dLbls>
            <c:dLbl>
              <c:idx val="4"/>
              <c:layout>
                <c:manualLayout>
                  <c:x val="-4.3163945718571566E-2"/>
                  <c:y val="8.1695908638194631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DD2-4E0C-823D-6E8E87B142BF}"/>
                </c:ext>
              </c:extLst>
            </c:dLbl>
            <c:dLbl>
              <c:idx val="5"/>
              <c:layout>
                <c:manualLayout>
                  <c:x val="-4.9666073407904528E-2"/>
                  <c:y val="4.4575954739125047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6EA-432A-AA25-A9156F701243}"/>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alpha val="0"/>
                        </a:schemeClr>
                      </a:solidFill>
                      <a:round/>
                    </a:ln>
                    <a:effectLst/>
                  </c:spPr>
                </c15:leaderLines>
              </c:ext>
            </c:extLst>
          </c:dLbls>
          <c:cat>
            <c:strRef>
              <c:extLst>
                <c:ext xmlns:c15="http://schemas.microsoft.com/office/drawing/2012/chart" uri="{02D57815-91ED-43cb-92C2-25804820EDAC}">
                  <c15:fullRef>
                    <c15:sqref>Apoio!$AJ$18:$AJ$25</c15:sqref>
                  </c15:fullRef>
                </c:ext>
              </c:extLst>
              <c:f>(Apoio!$AJ$18:$AJ$23,Apoio!$AJ$25)</c:f>
              <c:strCache>
                <c:ptCount val="7"/>
                <c:pt idx="0">
                  <c:v>1. Receita Operacional Bruta</c:v>
                </c:pt>
                <c:pt idx="1">
                  <c:v>2. Deduções da Receita</c:v>
                </c:pt>
                <c:pt idx="2">
                  <c:v>3. Custos com P/M/S</c:v>
                </c:pt>
                <c:pt idx="3">
                  <c:v>4. Despesas Operacionais</c:v>
                </c:pt>
                <c:pt idx="4">
                  <c:v>5. Resultado Financeiro</c:v>
                </c:pt>
                <c:pt idx="5">
                  <c:v>6. Resultado após RF</c:v>
                </c:pt>
                <c:pt idx="6">
                  <c:v>7. Total</c:v>
                </c:pt>
              </c:strCache>
            </c:strRef>
          </c:cat>
          <c:val>
            <c:numRef>
              <c:extLst>
                <c:ext xmlns:c15="http://schemas.microsoft.com/office/drawing/2012/chart" uri="{02D57815-91ED-43cb-92C2-25804820EDAC}">
                  <c15:fullRef>
                    <c15:sqref>Kutools_Chart!$F$1:$F$8</c15:sqref>
                  </c15:fullRef>
                </c:ext>
              </c:extLst>
              <c:f>(Kutools_Chart!$F$1:$F$6,Kutools_Chart!$F$8)</c:f>
              <c:numCache>
                <c:formatCode>General</c:formatCode>
                <c:ptCount val="7"/>
                <c:pt idx="0">
                  <c:v>#N/A</c:v>
                </c:pt>
                <c:pt idx="1">
                  <c:v>#N/A</c:v>
                </c:pt>
                <c:pt idx="2">
                  <c:v>#N/A</c:v>
                </c:pt>
                <c:pt idx="3">
                  <c:v>#N/A</c:v>
                </c:pt>
                <c:pt idx="4">
                  <c:v>2.8621701385929173E-2</c:v>
                </c:pt>
                <c:pt idx="5">
                  <c:v>#N/A</c:v>
                </c:pt>
                <c:pt idx="6">
                  <c:v>#N/A</c:v>
                </c:pt>
              </c:numCache>
            </c:numRef>
          </c:val>
          <c:extLst>
            <c:ext xmlns:c16="http://schemas.microsoft.com/office/drawing/2014/chart" uri="{C3380CC4-5D6E-409C-BE32-E72D297353CC}">
              <c16:uniqueId val="{00000005-7A35-4DBF-8D58-C156B37FB277}"/>
            </c:ext>
          </c:extLst>
        </c:ser>
        <c:ser>
          <c:idx val="4"/>
          <c:order val="4"/>
          <c:spPr>
            <a:noFill/>
            <a:ln>
              <a:noFill/>
            </a:ln>
            <a:effectLst/>
            <a:extLst>
              <a:ext uri="{909E8E84-426E-40DD-AFC4-6F175D3DCCD1}">
                <a14:hiddenFill xmlns:a14="http://schemas.microsoft.com/office/drawing/2010/main">
                  <a:solidFill>
                    <a:srgbClr val="E64823"/>
                  </a:solidFill>
                </a14:hiddenFill>
              </a:ext>
            </a:extLst>
          </c:spPr>
          <c:invertIfNegative val="0"/>
          <c:dLbls>
            <c:delete val="1"/>
          </c:dLbls>
          <c:cat>
            <c:strLit>
              <c:ptCount val="7"/>
              <c:pt idx="0">
                <c:v>1. Receita Operacional Bruta</c:v>
              </c:pt>
              <c:pt idx="1">
                <c:v>2. Deduções da Receita</c:v>
              </c:pt>
              <c:pt idx="2">
                <c:v>3. Custos com P/M/S</c:v>
              </c:pt>
              <c:pt idx="3">
                <c:v>4. Despesas Operacionais</c:v>
              </c:pt>
              <c:pt idx="4">
                <c:v>5. Resultado Financeiro</c:v>
              </c:pt>
              <c:pt idx="5">
                <c:v>6. Resultado após RF</c:v>
              </c:pt>
              <c:pt idx="6">
                <c:v>7. Total</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Kutools_Chart!$G$1:$G$8</c15:sqref>
                  </c15:fullRef>
                </c:ext>
              </c:extLst>
              <c:f>(Kutools_Chart!$G$1:$G$6,Kutools_Chart!$G$8)</c:f>
              <c:numCache>
                <c:formatCode>General</c:formatCode>
                <c:ptCount val="7"/>
                <c:pt idx="0">
                  <c:v>#N/A</c:v>
                </c:pt>
                <c:pt idx="1">
                  <c:v>#N/A</c:v>
                </c:pt>
                <c:pt idx="2">
                  <c:v>#N/A</c:v>
                </c:pt>
                <c:pt idx="3">
                  <c:v>#N/A</c:v>
                </c:pt>
                <c:pt idx="4">
                  <c:v>0</c:v>
                </c:pt>
                <c:pt idx="5">
                  <c:v>#N/A</c:v>
                </c:pt>
                <c:pt idx="6">
                  <c:v>#N/A</c:v>
                </c:pt>
              </c:numCache>
            </c:numRef>
          </c:val>
          <c:extLst>
            <c:ext xmlns:c16="http://schemas.microsoft.com/office/drawing/2014/chart" uri="{C3380CC4-5D6E-409C-BE32-E72D297353CC}">
              <c16:uniqueId val="{0000000E-7A35-4DBF-8D58-C156B37FB277}"/>
            </c:ext>
          </c:extLst>
        </c:ser>
        <c:ser>
          <c:idx val="6"/>
          <c:order val="5"/>
          <c:tx>
            <c:v>Decrease</c:v>
          </c:tx>
          <c:spPr>
            <a:solidFill>
              <a:srgbClr val="9B0D0D"/>
            </a:solidFill>
            <a:ln>
              <a:noFill/>
            </a:ln>
            <a:effectLst/>
          </c:spPr>
          <c:invertIfNegative val="0"/>
          <c:dLbls>
            <c:dLbl>
              <c:idx val="1"/>
              <c:layout>
                <c:manualLayout>
                  <c:x val="-9.7695382022511199E-2"/>
                  <c:y val="3.5088125581804984E-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7A35-4DBF-8D58-C156B37FB277}"/>
                </c:ext>
              </c:extLst>
            </c:dLbl>
            <c:dLbl>
              <c:idx val="2"/>
              <c:layout>
                <c:manualLayout>
                  <c:x val="-8.4373284473987023E-2"/>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7A35-4DBF-8D58-C156B37FB277}"/>
                </c:ext>
              </c:extLst>
            </c:dLbl>
            <c:dLbl>
              <c:idx val="3"/>
              <c:layout>
                <c:manualLayout>
                  <c:x val="-9.3254682839669784E-2"/>
                  <c:y val="3.5088125589974574E-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7A35-4DBF-8D58-C156B37FB277}"/>
                </c:ext>
              </c:extLst>
            </c:dLbl>
            <c:dLbl>
              <c:idx val="4"/>
              <c:layout>
                <c:manualLayout>
                  <c:x val="-0.10657678038819403"/>
                  <c:y val="3.5088125581804984E-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7A35-4DBF-8D58-C156B37FB277}"/>
                </c:ext>
              </c:extLst>
            </c:dLbl>
            <c:dLbl>
              <c:idx val="5"/>
              <c:layout>
                <c:manualLayout>
                  <c:x val="-3.9966292645572846E-2"/>
                  <c:y val="8.1695908638194631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7A35-4DBF-8D58-C156B37FB277}"/>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0" cap="flat" cmpd="sng" algn="ctr">
                      <a:solidFill>
                        <a:srgbClr val="AF2217">
                          <a:alpha val="0"/>
                        </a:srgbClr>
                      </a:solidFill>
                      <a:round/>
                    </a:ln>
                    <a:effectLst/>
                  </c:spPr>
                </c15:leaderLines>
              </c:ext>
            </c:extLst>
          </c:dLbls>
          <c:cat>
            <c:strLit>
              <c:ptCount val="7"/>
              <c:pt idx="0">
                <c:v>1. Receita Operacional Bruta</c:v>
              </c:pt>
              <c:pt idx="1">
                <c:v>2. Deduções da Receita</c:v>
              </c:pt>
              <c:pt idx="2">
                <c:v>3. Custos com P/M/S</c:v>
              </c:pt>
              <c:pt idx="3">
                <c:v>4. Despesas Operacionais</c:v>
              </c:pt>
              <c:pt idx="4">
                <c:v>5. Resultado Financeiro</c:v>
              </c:pt>
              <c:pt idx="5">
                <c:v>6. Resultado após RF</c:v>
              </c:pt>
              <c:pt idx="6">
                <c:v>7. Total</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Kutools_Chart!$I$1:$I$8</c15:sqref>
                  </c15:fullRef>
                </c:ext>
              </c:extLst>
              <c:f>(Kutools_Chart!$I$1:$I$6,Kutools_Chart!$I$8)</c:f>
              <c:numCache>
                <c:formatCode>General</c:formatCode>
                <c:ptCount val="7"/>
                <c:pt idx="0">
                  <c:v>#N/A</c:v>
                </c:pt>
                <c:pt idx="1">
                  <c:v>0.21232220152807812</c:v>
                </c:pt>
                <c:pt idx="2">
                  <c:v>0.131219776549931</c:v>
                </c:pt>
                <c:pt idx="3">
                  <c:v>0.1918712876897179</c:v>
                </c:pt>
                <c:pt idx="4">
                  <c:v>#N/A</c:v>
                </c:pt>
                <c:pt idx="5">
                  <c:v>4.9105225655340567E-3</c:v>
                </c:pt>
                <c:pt idx="6">
                  <c:v>#N/A</c:v>
                </c:pt>
              </c:numCache>
            </c:numRef>
          </c:val>
          <c:extLst>
            <c:ext xmlns:c15="http://schemas.microsoft.com/office/drawing/2012/chart" uri="{02D57815-91ED-43cb-92C2-25804820EDAC}">
              <c15:categoryFilterExceptions>
                <c15:categoryFilterException>
                  <c15:sqref>Kutools_Chart!$I$7</c15:sqref>
                  <c15:dLbl>
                    <c:idx val="5"/>
                    <c:layout>
                      <c:manualLayout>
                        <c:x val="-3.9966292645572846E-2"/>
                        <c:y val="0"/>
                      </c:manualLayout>
                    </c:layout>
                    <c:dLblPos val="ctr"/>
                    <c:showLegendKey val="0"/>
                    <c:showVal val="1"/>
                    <c:showCatName val="0"/>
                    <c:showSerName val="0"/>
                    <c:showPercent val="0"/>
                    <c:showBubbleSize val="0"/>
                    <c:extLst>
                      <c:ext uri="{CE6537A1-D6FC-4f65-9D91-7224C49458BB}"/>
                      <c:ext xmlns:c16="http://schemas.microsoft.com/office/drawing/2014/chart" uri="{C3380CC4-5D6E-409C-BE32-E72D297353CC}">
                        <c16:uniqueId val="{00000014-7A35-4DBF-8D58-C156B37FB277}"/>
                      </c:ext>
                    </c:extLst>
                  </c15:dLbl>
                </c15:categoryFilterException>
              </c15:categoryFilterExceptions>
            </c:ext>
            <c:ext xmlns:c16="http://schemas.microsoft.com/office/drawing/2014/chart" uri="{C3380CC4-5D6E-409C-BE32-E72D297353CC}">
              <c16:uniqueId val="{00000015-7A35-4DBF-8D58-C156B37FB277}"/>
            </c:ext>
          </c:extLst>
        </c:ser>
        <c:ser>
          <c:idx val="7"/>
          <c:order val="6"/>
          <c:spPr>
            <a:noFill/>
            <a:ln>
              <a:noFill/>
            </a:ln>
            <a:effectLst/>
            <a:extLst>
              <a:ext uri="{909E8E84-426E-40DD-AFC4-6F175D3DCCD1}">
                <a14:hiddenFill xmlns:a14="http://schemas.microsoft.com/office/drawing/2010/main">
                  <a:solidFill>
                    <a:srgbClr val="F8931D">
                      <a:lumMod val="60000"/>
                    </a:srgbClr>
                  </a:solidFill>
                </a14:hiddenFill>
              </a:ext>
            </a:extLst>
          </c:spPr>
          <c:invertIfNegative val="0"/>
          <c:dLbls>
            <c:dLbl>
              <c:idx val="0"/>
              <c:tx>
                <c:rich>
                  <a:bodyPr/>
                  <a:lstStyle/>
                  <a:p>
                    <a:fld id="{6DF51CA8-4409-4971-AB6A-3E518780BC61}" type="CELLREF">
                      <a:rPr lang="pt-BR"/>
                      <a:pPr/>
                      <a:t>[CELLREF]</a:t>
                    </a:fld>
                    <a:endParaRPr lang="pt-BR"/>
                  </a:p>
                </c:rich>
              </c:tx>
              <c:dLblPos val="inBase"/>
              <c:showLegendKey val="0"/>
              <c:showVal val="1"/>
              <c:showCatName val="0"/>
              <c:showSerName val="0"/>
              <c:showPercent val="0"/>
              <c:showBubbleSize val="0"/>
              <c:extLst>
                <c:ext xmlns:c15="http://schemas.microsoft.com/office/drawing/2012/chart" uri="{CE6537A1-D6FC-4f65-9D91-7224C49458BB}">
                  <c15:dlblFieldTable>
                    <c15:dlblFTEntry>
                      <c15:txfldGUID>{6DF51CA8-4409-4971-AB6A-3E518780BC61}</c15:txfldGUID>
                      <c15:f>Apoio!$AK$18</c15:f>
                      <c15:dlblFieldTableCache>
                        <c:ptCount val="1"/>
                        <c:pt idx="0">
                          <c:v>1</c:v>
                        </c:pt>
                      </c15:dlblFieldTableCache>
                    </c15:dlblFTEntry>
                  </c15:dlblFieldTable>
                  <c15:showDataLabelsRange val="0"/>
                </c:ext>
                <c:ext xmlns:c16="http://schemas.microsoft.com/office/drawing/2014/chart" uri="{C3380CC4-5D6E-409C-BE32-E72D297353CC}">
                  <c16:uniqueId val="{00000016-7A35-4DBF-8D58-C156B37FB277}"/>
                </c:ext>
              </c:extLst>
            </c:dLbl>
            <c:dLbl>
              <c:idx val="1"/>
              <c:tx>
                <c:rich>
                  <a:bodyPr/>
                  <a:lstStyle/>
                  <a:p>
                    <a:fld id="{C50B72EB-E459-436C-B587-6810F8C22827}" type="CELLREF">
                      <a:rPr lang="pt-BR"/>
                      <a:pPr/>
                      <a:t>[CELLREF]</a:t>
                    </a:fld>
                    <a:endParaRPr lang="pt-BR"/>
                  </a:p>
                </c:rich>
              </c:tx>
              <c:dLblPos val="inBase"/>
              <c:showLegendKey val="0"/>
              <c:showVal val="1"/>
              <c:showCatName val="0"/>
              <c:showSerName val="0"/>
              <c:showPercent val="0"/>
              <c:showBubbleSize val="0"/>
              <c:extLst>
                <c:ext xmlns:c15="http://schemas.microsoft.com/office/drawing/2012/chart" uri="{CE6537A1-D6FC-4f65-9D91-7224C49458BB}">
                  <c15:dlblFieldTable>
                    <c15:dlblFTEntry>
                      <c15:txfldGUID>{C50B72EB-E459-436C-B587-6810F8C22827}</c15:txfldGUID>
                      <c15:f>Apoio!$AK$19</c15:f>
                      <c15:dlblFieldTableCache>
                        <c:ptCount val="1"/>
                        <c:pt idx="0">
                          <c:v>-0,212322202</c:v>
                        </c:pt>
                      </c15:dlblFieldTableCache>
                    </c15:dlblFTEntry>
                  </c15:dlblFieldTable>
                  <c15:showDataLabelsRange val="0"/>
                </c:ext>
                <c:ext xmlns:c16="http://schemas.microsoft.com/office/drawing/2014/chart" uri="{C3380CC4-5D6E-409C-BE32-E72D297353CC}">
                  <c16:uniqueId val="{00000017-7A35-4DBF-8D58-C156B37FB277}"/>
                </c:ext>
              </c:extLst>
            </c:dLbl>
            <c:dLbl>
              <c:idx val="2"/>
              <c:tx>
                <c:rich>
                  <a:bodyPr/>
                  <a:lstStyle/>
                  <a:p>
                    <a:fld id="{4403111F-6F0A-4821-A527-CF0FCDB2459E}" type="CELLREF">
                      <a:rPr lang="pt-BR"/>
                      <a:pPr/>
                      <a:t>[CELLREF]</a:t>
                    </a:fld>
                    <a:endParaRPr lang="pt-BR"/>
                  </a:p>
                </c:rich>
              </c:tx>
              <c:dLblPos val="inBase"/>
              <c:showLegendKey val="0"/>
              <c:showVal val="1"/>
              <c:showCatName val="0"/>
              <c:showSerName val="0"/>
              <c:showPercent val="0"/>
              <c:showBubbleSize val="0"/>
              <c:extLst>
                <c:ext xmlns:c15="http://schemas.microsoft.com/office/drawing/2012/chart" uri="{CE6537A1-D6FC-4f65-9D91-7224C49458BB}">
                  <c15:dlblFieldTable>
                    <c15:dlblFTEntry>
                      <c15:txfldGUID>{4403111F-6F0A-4821-A527-CF0FCDB2459E}</c15:txfldGUID>
                      <c15:f>Apoio!$AK$20</c15:f>
                      <c15:dlblFieldTableCache>
                        <c:ptCount val="1"/>
                        <c:pt idx="0">
                          <c:v>-0,131219777</c:v>
                        </c:pt>
                      </c15:dlblFieldTableCache>
                    </c15:dlblFTEntry>
                  </c15:dlblFieldTable>
                  <c15:showDataLabelsRange val="0"/>
                </c:ext>
                <c:ext xmlns:c16="http://schemas.microsoft.com/office/drawing/2014/chart" uri="{C3380CC4-5D6E-409C-BE32-E72D297353CC}">
                  <c16:uniqueId val="{00000018-7A35-4DBF-8D58-C156B37FB277}"/>
                </c:ext>
              </c:extLst>
            </c:dLbl>
            <c:dLbl>
              <c:idx val="3"/>
              <c:tx>
                <c:rich>
                  <a:bodyPr/>
                  <a:lstStyle/>
                  <a:p>
                    <a:fld id="{95EE068A-F919-440A-BF59-8BB1103C0B5A}" type="CELLREF">
                      <a:rPr lang="pt-BR"/>
                      <a:pPr/>
                      <a:t>[CELLREF]</a:t>
                    </a:fld>
                    <a:endParaRPr lang="pt-BR"/>
                  </a:p>
                </c:rich>
              </c:tx>
              <c:dLblPos val="inBase"/>
              <c:showLegendKey val="0"/>
              <c:showVal val="1"/>
              <c:showCatName val="0"/>
              <c:showSerName val="0"/>
              <c:showPercent val="0"/>
              <c:showBubbleSize val="0"/>
              <c:extLst>
                <c:ext xmlns:c15="http://schemas.microsoft.com/office/drawing/2012/chart" uri="{CE6537A1-D6FC-4f65-9D91-7224C49458BB}">
                  <c15:dlblFieldTable>
                    <c15:dlblFTEntry>
                      <c15:txfldGUID>{95EE068A-F919-440A-BF59-8BB1103C0B5A}</c15:txfldGUID>
                      <c15:f>Apoio!$AK$21</c15:f>
                      <c15:dlblFieldTableCache>
                        <c:ptCount val="1"/>
                        <c:pt idx="0">
                          <c:v>-0,191871288</c:v>
                        </c:pt>
                      </c15:dlblFieldTableCache>
                    </c15:dlblFTEntry>
                  </c15:dlblFieldTable>
                  <c15:showDataLabelsRange val="0"/>
                </c:ext>
                <c:ext xmlns:c16="http://schemas.microsoft.com/office/drawing/2014/chart" uri="{C3380CC4-5D6E-409C-BE32-E72D297353CC}">
                  <c16:uniqueId val="{00000019-7A35-4DBF-8D58-C156B37FB277}"/>
                </c:ext>
              </c:extLst>
            </c:dLbl>
            <c:dLbl>
              <c:idx val="4"/>
              <c:tx>
                <c:rich>
                  <a:bodyPr/>
                  <a:lstStyle/>
                  <a:p>
                    <a:fld id="{C5C12833-05F7-41EA-B049-8D512F7871F9}" type="CELLREF">
                      <a:rPr lang="en-US"/>
                      <a:pPr/>
                      <a:t>[CELLREF]</a:t>
                    </a:fld>
                    <a:endParaRPr lang="pt-BR"/>
                  </a:p>
                </c:rich>
              </c:tx>
              <c:dLblPos val="inBase"/>
              <c:showLegendKey val="0"/>
              <c:showVal val="1"/>
              <c:showCatName val="0"/>
              <c:showSerName val="0"/>
              <c:showPercent val="0"/>
              <c:showBubbleSize val="0"/>
              <c:extLst>
                <c:ext xmlns:c15="http://schemas.microsoft.com/office/drawing/2012/chart" uri="{CE6537A1-D6FC-4f65-9D91-7224C49458BB}">
                  <c15:dlblFieldTable>
                    <c15:dlblFTEntry>
                      <c15:txfldGUID>{C5C12833-05F7-41EA-B049-8D512F7871F9}</c15:txfldGUID>
                      <c15:f>Apoio!$AK$22</c15:f>
                      <c15:dlblFieldTableCache>
                        <c:ptCount val="1"/>
                        <c:pt idx="0">
                          <c:v>0,028621701</c:v>
                        </c:pt>
                      </c15:dlblFieldTableCache>
                    </c15:dlblFTEntry>
                  </c15:dlblFieldTable>
                  <c15:showDataLabelsRange val="0"/>
                </c:ext>
                <c:ext xmlns:c16="http://schemas.microsoft.com/office/drawing/2014/chart" uri="{C3380CC4-5D6E-409C-BE32-E72D297353CC}">
                  <c16:uniqueId val="{0000001A-7A35-4DBF-8D58-C156B37FB277}"/>
                </c:ext>
              </c:extLst>
            </c:dLbl>
            <c:dLbl>
              <c:idx val="5"/>
              <c:tx>
                <c:rich>
                  <a:bodyPr/>
                  <a:lstStyle/>
                  <a:p>
                    <a:fld id="{19904199-F3B7-4173-B836-A753FCEFC5C4}" type="CELLREF">
                      <a:rPr lang="pt-BR"/>
                      <a:pPr/>
                      <a:t>[CELLREF]</a:t>
                    </a:fld>
                    <a:endParaRPr lang="pt-BR"/>
                  </a:p>
                </c:rich>
              </c:tx>
              <c:dLblPos val="inBase"/>
              <c:showLegendKey val="0"/>
              <c:showVal val="1"/>
              <c:showCatName val="0"/>
              <c:showSerName val="0"/>
              <c:showPercent val="0"/>
              <c:showBubbleSize val="0"/>
              <c:extLst>
                <c:ext xmlns:c15="http://schemas.microsoft.com/office/drawing/2012/chart" uri="{CE6537A1-D6FC-4f65-9D91-7224C49458BB}">
                  <c15:dlblFieldTable>
                    <c15:dlblFTEntry>
                      <c15:txfldGUID>{19904199-F3B7-4173-B836-A753FCEFC5C4}</c15:txfldGUID>
                      <c15:f>Apoio!$AK$23</c15:f>
                      <c15:dlblFieldTableCache>
                        <c:ptCount val="1"/>
                        <c:pt idx="0">
                          <c:v>-0,004910523</c:v>
                        </c:pt>
                      </c15:dlblFieldTableCache>
                    </c15:dlblFTEntry>
                  </c15:dlblFieldTable>
                  <c15:showDataLabelsRange val="0"/>
                </c:ext>
                <c:ext xmlns:c16="http://schemas.microsoft.com/office/drawing/2014/chart" uri="{C3380CC4-5D6E-409C-BE32-E72D297353CC}">
                  <c16:uniqueId val="{0000001B-7A35-4DBF-8D58-C156B37FB277}"/>
                </c:ext>
              </c:extLst>
            </c:dLbl>
            <c:dLbl>
              <c:idx val="6"/>
              <c:tx>
                <c:rich>
                  <a:bodyPr/>
                  <a:lstStyle/>
                  <a:p>
                    <a:fld id="{6CD6DA6E-9D02-4B1F-9227-C0EEEE81E452}" type="CELLREF">
                      <a:rPr lang="pt-BR"/>
                      <a:pPr/>
                      <a:t>[CELLREF]</a:t>
                    </a:fld>
                    <a:endParaRPr lang="pt-BR"/>
                  </a:p>
                </c:rich>
              </c:tx>
              <c:dLblPos val="inBase"/>
              <c:showLegendKey val="0"/>
              <c:showVal val="1"/>
              <c:showCatName val="0"/>
              <c:showSerName val="0"/>
              <c:showPercent val="0"/>
              <c:showBubbleSize val="0"/>
              <c:extLst>
                <c:ext xmlns:c15="http://schemas.microsoft.com/office/drawing/2012/chart" uri="{CE6537A1-D6FC-4f65-9D91-7224C49458BB}">
                  <c15:dlblFieldTable>
                    <c15:dlblFTEntry>
                      <c15:txfldGUID>{6CD6DA6E-9D02-4B1F-9227-C0EEEE81E452}</c15:txfldGUID>
                      <c15:f>Apoio!$AK$25</c15:f>
                      <c15:dlblFieldTableCache>
                        <c:ptCount val="1"/>
                        <c:pt idx="0">
                          <c:v>0,488297913</c:v>
                        </c:pt>
                      </c15:dlblFieldTableCache>
                    </c15:dlblFTEntry>
                  </c15:dlblFieldTable>
                  <c15:showDataLabelsRange val="0"/>
                </c:ext>
                <c:ext xmlns:c16="http://schemas.microsoft.com/office/drawing/2014/chart" uri="{C3380CC4-5D6E-409C-BE32-E72D297353CC}">
                  <c16:uniqueId val="{0000001D-7A35-4DBF-8D58-C156B37FB27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7"/>
              <c:pt idx="0">
                <c:v>1. Receita Operacional Bruta</c:v>
              </c:pt>
              <c:pt idx="1">
                <c:v>2. Deduções da Receita</c:v>
              </c:pt>
              <c:pt idx="2">
                <c:v>3. Custos com P/M/S</c:v>
              </c:pt>
              <c:pt idx="3">
                <c:v>4. Despesas Operacionais</c:v>
              </c:pt>
              <c:pt idx="4">
                <c:v>5. Resultado Financeiro</c:v>
              </c:pt>
              <c:pt idx="5">
                <c:v>6. Resultado após RF</c:v>
              </c:pt>
              <c:pt idx="6">
                <c:v>7. Total</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Kutools_Chart!$J$1:$J$8</c15:sqref>
                  </c15:fullRef>
                </c:ext>
              </c:extLst>
              <c:f>(Kutools_Chart!$J$1:$J$6,Kutools_Chart!$J$8)</c:f>
              <c:numCache>
                <c:formatCode>General</c:formatCode>
                <c:ptCount val="7"/>
                <c:pt idx="0">
                  <c:v>#N/A</c:v>
                </c:pt>
                <c:pt idx="1">
                  <c:v>#N/A</c:v>
                </c:pt>
                <c:pt idx="2">
                  <c:v>#N/A</c:v>
                </c:pt>
                <c:pt idx="3">
                  <c:v>#N/A</c:v>
                </c:pt>
                <c:pt idx="4">
                  <c:v>#N/A</c:v>
                </c:pt>
                <c:pt idx="5">
                  <c:v>#N/A</c:v>
                </c:pt>
                <c:pt idx="6">
                  <c:v>#N/A</c:v>
                </c:pt>
              </c:numCache>
            </c:numRef>
          </c:val>
          <c:extLst>
            <c:ext xmlns:c15="http://schemas.microsoft.com/office/drawing/2012/chart" uri="{02D57815-91ED-43cb-92C2-25804820EDAC}">
              <c15:categoryFilterExceptions>
                <c15:categoryFilterException>
                  <c15:sqref>Kutools_Chart!$J$7</c15:sqref>
                  <c15:dLbl>
                    <c:idx val="5"/>
                    <c:tx>
                      <c:rich>
                        <a:bodyPr/>
                        <a:lstStyle/>
                        <a:p>
                          <a:fld id="{A01DFEE5-61C8-49D4-BDB7-95505200AADF}" type="CELLREF">
                            <a:rPr lang="pt-BR"/>
                            <a:pPr/>
                            <a:t>[CELLREF]</a:t>
                          </a:fld>
                          <a:endParaRPr lang="pt-BR"/>
                        </a:p>
                      </c:rich>
                    </c:tx>
                    <c:dLblPos val="inBase"/>
                    <c:showLegendKey val="0"/>
                    <c:showVal val="1"/>
                    <c:showCatName val="0"/>
                    <c:showSerName val="0"/>
                    <c:showPercent val="0"/>
                    <c:showBubbleSize val="0"/>
                    <c:extLst>
                      <c:ext uri="{CE6537A1-D6FC-4f65-9D91-7224C49458BB}">
                        <c15:dlblFieldTable>
                          <c15:dlblFTEntry>
                            <c15:txfldGUID>{A01DFEE5-61C8-49D4-BDB7-95505200AADF}</c15:txfldGUID>
                            <c15:f>Apoio!$AK$24</c15:f>
                            <c15:dlblFieldTableCache>
                              <c:ptCount val="1"/>
                              <c:pt idx="0">
                                <c:v>0</c:v>
                              </c:pt>
                            </c15:dlblFieldTableCache>
                          </c15:dlblFTEntry>
                        </c15:dlblFieldTable>
                        <c15:showDataLabelsRange val="0"/>
                      </c:ext>
                      <c:ext xmlns:c16="http://schemas.microsoft.com/office/drawing/2014/chart" uri="{C3380CC4-5D6E-409C-BE32-E72D297353CC}">
                        <c16:uniqueId val="{0000001C-7A35-4DBF-8D58-C156B37FB277}"/>
                      </c:ext>
                    </c:extLst>
                  </c15:dLbl>
                </c15:categoryFilterException>
              </c15:categoryFilterExceptions>
            </c:ext>
            <c:ext xmlns:c16="http://schemas.microsoft.com/office/drawing/2014/chart" uri="{C3380CC4-5D6E-409C-BE32-E72D297353CC}">
              <c16:uniqueId val="{0000001E-7A35-4DBF-8D58-C156B37FB277}"/>
            </c:ext>
          </c:extLst>
        </c:ser>
        <c:ser>
          <c:idx val="8"/>
          <c:order val="7"/>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7"/>
              <c:pt idx="0">
                <c:v>1. Receita Operacional Bruta</c:v>
              </c:pt>
              <c:pt idx="1">
                <c:v>2. Deduções da Receita</c:v>
              </c:pt>
              <c:pt idx="2">
                <c:v>3. Custos com P/M/S</c:v>
              </c:pt>
              <c:pt idx="3">
                <c:v>4. Despesas Operacionais</c:v>
              </c:pt>
              <c:pt idx="4">
                <c:v>5. Resultado Financeiro</c:v>
              </c:pt>
              <c:pt idx="5">
                <c:v>6. Resultado após RF</c:v>
              </c:pt>
              <c:pt idx="6">
                <c:v>7. Total</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Kutools_Chart!$K$1:$K$8</c15:sqref>
                  </c15:fullRef>
                </c:ext>
              </c:extLst>
              <c:f>(Kutools_Chart!$K$1:$K$6,Kutools_Chart!$K$8)</c:f>
              <c:numCache>
                <c:formatCode>General</c:formatCode>
                <c:ptCount val="7"/>
                <c:pt idx="0">
                  <c:v>#N/A</c:v>
                </c:pt>
                <c:pt idx="1">
                  <c:v>#N/A</c:v>
                </c:pt>
                <c:pt idx="2">
                  <c:v>#N/A</c:v>
                </c:pt>
                <c:pt idx="3">
                  <c:v>#N/A</c:v>
                </c:pt>
                <c:pt idx="4">
                  <c:v>#N/A</c:v>
                </c:pt>
                <c:pt idx="5">
                  <c:v>#N/A</c:v>
                </c:pt>
                <c:pt idx="6">
                  <c:v>#N/A</c:v>
                </c:pt>
              </c:numCache>
            </c:numRef>
          </c:val>
          <c:extLst>
            <c:ext xmlns:c16="http://schemas.microsoft.com/office/drawing/2014/chart" uri="{C3380CC4-5D6E-409C-BE32-E72D297353CC}">
              <c16:uniqueId val="{0000001F-7A35-4DBF-8D58-C156B37FB277}"/>
            </c:ext>
          </c:extLst>
        </c:ser>
        <c:ser>
          <c:idx val="9"/>
          <c:order val="8"/>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7"/>
              <c:pt idx="0">
                <c:v>1. Receita Operacional Bruta</c:v>
              </c:pt>
              <c:pt idx="1">
                <c:v>2. Deduções da Receita</c:v>
              </c:pt>
              <c:pt idx="2">
                <c:v>3. Custos com P/M/S</c:v>
              </c:pt>
              <c:pt idx="3">
                <c:v>4. Despesas Operacionais</c:v>
              </c:pt>
              <c:pt idx="4">
                <c:v>5. Resultado Financeiro</c:v>
              </c:pt>
              <c:pt idx="5">
                <c:v>6. Resultado após RF</c:v>
              </c:pt>
              <c:pt idx="6">
                <c:v>7. Total</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Kutools_Chart!$L$1:$L$8</c15:sqref>
                  </c15:fullRef>
                </c:ext>
              </c:extLst>
              <c:f>(Kutools_Chart!$L$1:$L$6,Kutools_Chart!$L$8)</c:f>
              <c:numCache>
                <c:formatCode>General</c:formatCode>
                <c:ptCount val="7"/>
                <c:pt idx="0">
                  <c:v>#N/A</c:v>
                </c:pt>
                <c:pt idx="1">
                  <c:v>#N/A</c:v>
                </c:pt>
                <c:pt idx="2">
                  <c:v>#N/A</c:v>
                </c:pt>
                <c:pt idx="3">
                  <c:v>#N/A</c:v>
                </c:pt>
                <c:pt idx="4">
                  <c:v>#N/A</c:v>
                </c:pt>
                <c:pt idx="5">
                  <c:v>#N/A</c:v>
                </c:pt>
                <c:pt idx="6">
                  <c:v>#N/A</c:v>
                </c:pt>
              </c:numCache>
            </c:numRef>
          </c:val>
          <c:extLst>
            <c:ext xmlns:c16="http://schemas.microsoft.com/office/drawing/2014/chart" uri="{C3380CC4-5D6E-409C-BE32-E72D297353CC}">
              <c16:uniqueId val="{00000020-7A35-4DBF-8D58-C156B37FB277}"/>
            </c:ext>
          </c:extLst>
        </c:ser>
        <c:ser>
          <c:idx val="10"/>
          <c:order val="9"/>
          <c:spPr>
            <a:noFill/>
            <a:ln>
              <a:noFill/>
            </a:ln>
            <a:effectLst/>
            <a:extLst>
              <a:ext uri="{909E8E84-426E-40DD-AFC4-6F175D3DCCD1}">
                <a14:hiddenFill xmlns:a14="http://schemas.microsoft.com/office/drawing/2010/main">
                  <a:solidFill>
                    <a:srgbClr val="E64823">
                      <a:lumMod val="60000"/>
                    </a:srgbClr>
                  </a:solidFill>
                </a14:hiddenFill>
              </a:ext>
            </a:extLst>
          </c:spPr>
          <c:invertIfNegative val="0"/>
          <c:dLbls>
            <c:dLbl>
              <c:idx val="0"/>
              <c:tx>
                <c:rich>
                  <a:bodyPr/>
                  <a:lstStyle/>
                  <a:p>
                    <a:fld id="{3481F2A6-EE18-47C5-9717-85ACB2926EBF}" type="CELLREF">
                      <a:rPr lang="pt-BR"/>
                      <a:pPr/>
                      <a:t>[CELLREF]</a:t>
                    </a:fld>
                    <a:endParaRPr lang="pt-BR"/>
                  </a:p>
                </c:rich>
              </c:tx>
              <c:dLblPos val="inBase"/>
              <c:showLegendKey val="0"/>
              <c:showVal val="1"/>
              <c:showCatName val="0"/>
              <c:showSerName val="0"/>
              <c:showPercent val="0"/>
              <c:showBubbleSize val="0"/>
              <c:extLst>
                <c:ext xmlns:c15="http://schemas.microsoft.com/office/drawing/2012/chart" uri="{CE6537A1-D6FC-4f65-9D91-7224C49458BB}">
                  <c15:dlblFieldTable>
                    <c15:dlblFTEntry>
                      <c15:txfldGUID>{3481F2A6-EE18-47C5-9717-85ACB2926EBF}</c15:txfldGUID>
                      <c15:f>Apoio!$AK$18</c15:f>
                      <c15:dlblFieldTableCache>
                        <c:ptCount val="1"/>
                        <c:pt idx="0">
                          <c:v>1</c:v>
                        </c:pt>
                      </c15:dlblFieldTableCache>
                    </c15:dlblFTEntry>
                  </c15:dlblFieldTable>
                  <c15:showDataLabelsRange val="0"/>
                </c:ext>
                <c:ext xmlns:c16="http://schemas.microsoft.com/office/drawing/2014/chart" uri="{C3380CC4-5D6E-409C-BE32-E72D297353CC}">
                  <c16:uniqueId val="{00000021-7A35-4DBF-8D58-C156B37FB277}"/>
                </c:ext>
              </c:extLst>
            </c:dLbl>
            <c:dLbl>
              <c:idx val="1"/>
              <c:tx>
                <c:rich>
                  <a:bodyPr/>
                  <a:lstStyle/>
                  <a:p>
                    <a:fld id="{0F8EC2D3-6834-429C-B4E4-618D3A3EAC0F}" type="CELLREF">
                      <a:rPr lang="en-US"/>
                      <a:pPr/>
                      <a:t>[CELLREF]</a:t>
                    </a:fld>
                    <a:endParaRPr lang="pt-BR"/>
                  </a:p>
                </c:rich>
              </c:tx>
              <c:dLblPos val="inBase"/>
              <c:showLegendKey val="0"/>
              <c:showVal val="1"/>
              <c:showCatName val="0"/>
              <c:showSerName val="0"/>
              <c:showPercent val="0"/>
              <c:showBubbleSize val="0"/>
              <c:extLst>
                <c:ext xmlns:c15="http://schemas.microsoft.com/office/drawing/2012/chart" uri="{CE6537A1-D6FC-4f65-9D91-7224C49458BB}">
                  <c15:dlblFieldTable>
                    <c15:dlblFTEntry>
                      <c15:txfldGUID>{0F8EC2D3-6834-429C-B4E4-618D3A3EAC0F}</c15:txfldGUID>
                      <c15:f>Apoio!$AK$19</c15:f>
                      <c15:dlblFieldTableCache>
                        <c:ptCount val="1"/>
                        <c:pt idx="0">
                          <c:v>-0,212322202</c:v>
                        </c:pt>
                      </c15:dlblFieldTableCache>
                    </c15:dlblFTEntry>
                  </c15:dlblFieldTable>
                  <c15:showDataLabelsRange val="0"/>
                </c:ext>
                <c:ext xmlns:c16="http://schemas.microsoft.com/office/drawing/2014/chart" uri="{C3380CC4-5D6E-409C-BE32-E72D297353CC}">
                  <c16:uniqueId val="{00000022-7A35-4DBF-8D58-C156B37FB277}"/>
                </c:ext>
              </c:extLst>
            </c:dLbl>
            <c:dLbl>
              <c:idx val="2"/>
              <c:tx>
                <c:rich>
                  <a:bodyPr/>
                  <a:lstStyle/>
                  <a:p>
                    <a:fld id="{E7C01F78-57E1-4341-AEB4-57ECE747A465}" type="CELLREF">
                      <a:rPr lang="en-US"/>
                      <a:pPr/>
                      <a:t>[CELLREF]</a:t>
                    </a:fld>
                    <a:endParaRPr lang="pt-BR"/>
                  </a:p>
                </c:rich>
              </c:tx>
              <c:dLblPos val="inBase"/>
              <c:showLegendKey val="0"/>
              <c:showVal val="1"/>
              <c:showCatName val="0"/>
              <c:showSerName val="0"/>
              <c:showPercent val="0"/>
              <c:showBubbleSize val="0"/>
              <c:extLst>
                <c:ext xmlns:c15="http://schemas.microsoft.com/office/drawing/2012/chart" uri="{CE6537A1-D6FC-4f65-9D91-7224C49458BB}">
                  <c15:dlblFieldTable>
                    <c15:dlblFTEntry>
                      <c15:txfldGUID>{E7C01F78-57E1-4341-AEB4-57ECE747A465}</c15:txfldGUID>
                      <c15:f>Apoio!$AK$20</c15:f>
                      <c15:dlblFieldTableCache>
                        <c:ptCount val="1"/>
                        <c:pt idx="0">
                          <c:v>-0,131219777</c:v>
                        </c:pt>
                      </c15:dlblFieldTableCache>
                    </c15:dlblFTEntry>
                  </c15:dlblFieldTable>
                  <c15:showDataLabelsRange val="0"/>
                </c:ext>
                <c:ext xmlns:c16="http://schemas.microsoft.com/office/drawing/2014/chart" uri="{C3380CC4-5D6E-409C-BE32-E72D297353CC}">
                  <c16:uniqueId val="{00000023-7A35-4DBF-8D58-C156B37FB277}"/>
                </c:ext>
              </c:extLst>
            </c:dLbl>
            <c:dLbl>
              <c:idx val="3"/>
              <c:tx>
                <c:rich>
                  <a:bodyPr/>
                  <a:lstStyle/>
                  <a:p>
                    <a:fld id="{3B85A9AD-346D-40E1-8749-0251DC856379}" type="CELLREF">
                      <a:rPr lang="en-US"/>
                      <a:pPr/>
                      <a:t>[CELLREF]</a:t>
                    </a:fld>
                    <a:endParaRPr lang="pt-BR"/>
                  </a:p>
                </c:rich>
              </c:tx>
              <c:dLblPos val="inBase"/>
              <c:showLegendKey val="0"/>
              <c:showVal val="1"/>
              <c:showCatName val="0"/>
              <c:showSerName val="0"/>
              <c:showPercent val="0"/>
              <c:showBubbleSize val="0"/>
              <c:extLst>
                <c:ext xmlns:c15="http://schemas.microsoft.com/office/drawing/2012/chart" uri="{CE6537A1-D6FC-4f65-9D91-7224C49458BB}">
                  <c15:dlblFieldTable>
                    <c15:dlblFTEntry>
                      <c15:txfldGUID>{3B85A9AD-346D-40E1-8749-0251DC856379}</c15:txfldGUID>
                      <c15:f>Apoio!$AK$21</c15:f>
                      <c15:dlblFieldTableCache>
                        <c:ptCount val="1"/>
                        <c:pt idx="0">
                          <c:v>-0,191871288</c:v>
                        </c:pt>
                      </c15:dlblFieldTableCache>
                    </c15:dlblFTEntry>
                  </c15:dlblFieldTable>
                  <c15:showDataLabelsRange val="0"/>
                </c:ext>
                <c:ext xmlns:c16="http://schemas.microsoft.com/office/drawing/2014/chart" uri="{C3380CC4-5D6E-409C-BE32-E72D297353CC}">
                  <c16:uniqueId val="{00000024-7A35-4DBF-8D58-C156B37FB277}"/>
                </c:ext>
              </c:extLst>
            </c:dLbl>
            <c:dLbl>
              <c:idx val="4"/>
              <c:tx>
                <c:rich>
                  <a:bodyPr/>
                  <a:lstStyle/>
                  <a:p>
                    <a:fld id="{470B163A-5FA3-403D-BFBD-33F94EDA338A}" type="CELLREF">
                      <a:rPr lang="en-US"/>
                      <a:pPr/>
                      <a:t>[CELLREF]</a:t>
                    </a:fld>
                    <a:endParaRPr lang="pt-BR"/>
                  </a:p>
                </c:rich>
              </c:tx>
              <c:dLblPos val="inBase"/>
              <c:showLegendKey val="0"/>
              <c:showVal val="1"/>
              <c:showCatName val="0"/>
              <c:showSerName val="0"/>
              <c:showPercent val="0"/>
              <c:showBubbleSize val="0"/>
              <c:extLst>
                <c:ext xmlns:c15="http://schemas.microsoft.com/office/drawing/2012/chart" uri="{CE6537A1-D6FC-4f65-9D91-7224C49458BB}">
                  <c15:dlblFieldTable>
                    <c15:dlblFTEntry>
                      <c15:txfldGUID>{470B163A-5FA3-403D-BFBD-33F94EDA338A}</c15:txfldGUID>
                      <c15:f>Apoio!$AK$22</c15:f>
                      <c15:dlblFieldTableCache>
                        <c:ptCount val="1"/>
                        <c:pt idx="0">
                          <c:v>0,028621701</c:v>
                        </c:pt>
                      </c15:dlblFieldTableCache>
                    </c15:dlblFTEntry>
                  </c15:dlblFieldTable>
                  <c15:showDataLabelsRange val="0"/>
                </c:ext>
                <c:ext xmlns:c16="http://schemas.microsoft.com/office/drawing/2014/chart" uri="{C3380CC4-5D6E-409C-BE32-E72D297353CC}">
                  <c16:uniqueId val="{00000025-7A35-4DBF-8D58-C156B37FB277}"/>
                </c:ext>
              </c:extLst>
            </c:dLbl>
            <c:dLbl>
              <c:idx val="5"/>
              <c:tx>
                <c:rich>
                  <a:bodyPr/>
                  <a:lstStyle/>
                  <a:p>
                    <a:fld id="{5674E798-41FF-441F-B343-9F9636D47FB3}" type="CELLREF">
                      <a:rPr lang="en-US"/>
                      <a:pPr/>
                      <a:t>[CELLREF]</a:t>
                    </a:fld>
                    <a:endParaRPr lang="pt-BR"/>
                  </a:p>
                </c:rich>
              </c:tx>
              <c:dLblPos val="inBase"/>
              <c:showLegendKey val="0"/>
              <c:showVal val="1"/>
              <c:showCatName val="0"/>
              <c:showSerName val="0"/>
              <c:showPercent val="0"/>
              <c:showBubbleSize val="0"/>
              <c:extLst>
                <c:ext xmlns:c15="http://schemas.microsoft.com/office/drawing/2012/chart" uri="{CE6537A1-D6FC-4f65-9D91-7224C49458BB}">
                  <c15:dlblFieldTable>
                    <c15:dlblFTEntry>
                      <c15:txfldGUID>{5674E798-41FF-441F-B343-9F9636D47FB3}</c15:txfldGUID>
                      <c15:f>Apoio!$AK$23</c15:f>
                      <c15:dlblFieldTableCache>
                        <c:ptCount val="1"/>
                        <c:pt idx="0">
                          <c:v>-0,004910523</c:v>
                        </c:pt>
                      </c15:dlblFieldTableCache>
                    </c15:dlblFTEntry>
                  </c15:dlblFieldTable>
                  <c15:showDataLabelsRange val="0"/>
                </c:ext>
                <c:ext xmlns:c16="http://schemas.microsoft.com/office/drawing/2014/chart" uri="{C3380CC4-5D6E-409C-BE32-E72D297353CC}">
                  <c16:uniqueId val="{00000026-7A35-4DBF-8D58-C156B37FB277}"/>
                </c:ext>
              </c:extLst>
            </c:dLbl>
            <c:dLbl>
              <c:idx val="6"/>
              <c:tx>
                <c:rich>
                  <a:bodyPr/>
                  <a:lstStyle/>
                  <a:p>
                    <a:fld id="{CC7FBF17-F9F3-452D-A679-0AB4C8FD6B0A}" type="CELLREF">
                      <a:rPr lang="pt-BR"/>
                      <a:pPr/>
                      <a:t>[CELLREF]</a:t>
                    </a:fld>
                    <a:endParaRPr lang="pt-BR"/>
                  </a:p>
                </c:rich>
              </c:tx>
              <c:dLblPos val="inBase"/>
              <c:showLegendKey val="0"/>
              <c:showVal val="1"/>
              <c:showCatName val="0"/>
              <c:showSerName val="0"/>
              <c:showPercent val="0"/>
              <c:showBubbleSize val="0"/>
              <c:extLst>
                <c:ext xmlns:c15="http://schemas.microsoft.com/office/drawing/2012/chart" uri="{CE6537A1-D6FC-4f65-9D91-7224C49458BB}">
                  <c15:dlblFieldTable>
                    <c15:dlblFTEntry>
                      <c15:txfldGUID>{CC7FBF17-F9F3-452D-A679-0AB4C8FD6B0A}</c15:txfldGUID>
                      <c15:f>Apoio!$AK$25</c15:f>
                      <c15:dlblFieldTableCache>
                        <c:ptCount val="1"/>
                        <c:pt idx="0">
                          <c:v>0,488297913</c:v>
                        </c:pt>
                      </c15:dlblFieldTableCache>
                    </c15:dlblFTEntry>
                  </c15:dlblFieldTable>
                  <c15:showDataLabelsRange val="0"/>
                </c:ext>
                <c:ext xmlns:c16="http://schemas.microsoft.com/office/drawing/2014/chart" uri="{C3380CC4-5D6E-409C-BE32-E72D297353CC}">
                  <c16:uniqueId val="{00000028-7A35-4DBF-8D58-C156B37FB27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7"/>
              <c:pt idx="0">
                <c:v>1. Receita Operacional Bruta</c:v>
              </c:pt>
              <c:pt idx="1">
                <c:v>2. Deduções da Receita</c:v>
              </c:pt>
              <c:pt idx="2">
                <c:v>3. Custos com P/M/S</c:v>
              </c:pt>
              <c:pt idx="3">
                <c:v>4. Despesas Operacionais</c:v>
              </c:pt>
              <c:pt idx="4">
                <c:v>5. Resultado Financeiro</c:v>
              </c:pt>
              <c:pt idx="5">
                <c:v>6. Resultado após RF</c:v>
              </c:pt>
              <c:pt idx="6">
                <c:v>7. Total</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Kutools_Chart!$M$1:$M$8</c15:sqref>
                  </c15:fullRef>
                </c:ext>
              </c:extLst>
              <c:f>(Kutools_Chart!$M$1:$M$6,Kutools_Chart!$M$8)</c:f>
              <c:numCache>
                <c:formatCode>General</c:formatCode>
                <c:ptCount val="7"/>
                <c:pt idx="0">
                  <c:v>#N/A</c:v>
                </c:pt>
                <c:pt idx="1">
                  <c:v>#N/A</c:v>
                </c:pt>
                <c:pt idx="2">
                  <c:v>#N/A</c:v>
                </c:pt>
                <c:pt idx="3">
                  <c:v>#N/A</c:v>
                </c:pt>
                <c:pt idx="4">
                  <c:v>#N/A</c:v>
                </c:pt>
                <c:pt idx="5">
                  <c:v>#N/A</c:v>
                </c:pt>
                <c:pt idx="6">
                  <c:v>#N/A</c:v>
                </c:pt>
              </c:numCache>
            </c:numRef>
          </c:val>
          <c:extLst>
            <c:ext xmlns:c15="http://schemas.microsoft.com/office/drawing/2012/chart" uri="{02D57815-91ED-43cb-92C2-25804820EDAC}">
              <c15:categoryFilterExceptions>
                <c15:categoryFilterException>
                  <c15:sqref>Kutools_Chart!$M$7</c15:sqref>
                  <c15:dLbl>
                    <c:idx val="5"/>
                    <c:tx>
                      <c:rich>
                        <a:bodyPr/>
                        <a:lstStyle/>
                        <a:p>
                          <a:fld id="{90B3964F-E099-4BED-A8AA-5FAD7E1243A0}" type="CELLREF">
                            <a:rPr lang="en-US"/>
                            <a:pPr/>
                            <a:t>[CELLREF]</a:t>
                          </a:fld>
                          <a:endParaRPr lang="pt-BR"/>
                        </a:p>
                      </c:rich>
                    </c:tx>
                    <c:dLblPos val="inBase"/>
                    <c:showLegendKey val="0"/>
                    <c:showVal val="1"/>
                    <c:showCatName val="0"/>
                    <c:showSerName val="0"/>
                    <c:showPercent val="0"/>
                    <c:showBubbleSize val="0"/>
                    <c:extLst>
                      <c:ext uri="{CE6537A1-D6FC-4f65-9D91-7224C49458BB}">
                        <c15:dlblFieldTable>
                          <c15:dlblFTEntry>
                            <c15:txfldGUID>{90B3964F-E099-4BED-A8AA-5FAD7E1243A0}</c15:txfldGUID>
                            <c15:f>Apoio!$AK$24</c15:f>
                            <c15:dlblFieldTableCache>
                              <c:ptCount val="1"/>
                              <c:pt idx="0">
                                <c:v>0</c:v>
                              </c:pt>
                            </c15:dlblFieldTableCache>
                          </c15:dlblFTEntry>
                        </c15:dlblFieldTable>
                        <c15:showDataLabelsRange val="0"/>
                      </c:ext>
                      <c:ext xmlns:c16="http://schemas.microsoft.com/office/drawing/2014/chart" uri="{C3380CC4-5D6E-409C-BE32-E72D297353CC}">
                        <c16:uniqueId val="{00000027-7A35-4DBF-8D58-C156B37FB277}"/>
                      </c:ext>
                    </c:extLst>
                  </c15:dLbl>
                </c15:categoryFilterException>
              </c15:categoryFilterExceptions>
            </c:ext>
            <c:ext xmlns:c16="http://schemas.microsoft.com/office/drawing/2014/chart" uri="{C3380CC4-5D6E-409C-BE32-E72D297353CC}">
              <c16:uniqueId val="{00000029-7A35-4DBF-8D58-C156B37FB277}"/>
            </c:ext>
          </c:extLst>
        </c:ser>
        <c:dLbls>
          <c:dLblPos val="inBase"/>
          <c:showLegendKey val="0"/>
          <c:showVal val="1"/>
          <c:showCatName val="0"/>
          <c:showSerName val="0"/>
          <c:showPercent val="0"/>
          <c:showBubbleSize val="0"/>
        </c:dLbls>
        <c:gapWidth val="50"/>
        <c:overlap val="100"/>
        <c:axId val="2100108351"/>
        <c:axId val="2100108767"/>
      </c:barChart>
      <c:catAx>
        <c:axId val="2100108351"/>
        <c:scaling>
          <c:orientation val="maxMin"/>
        </c:scaling>
        <c:delete val="0"/>
        <c:axPos val="l"/>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pt-BR"/>
          </a:p>
        </c:txPr>
        <c:crossAx val="2100108767"/>
        <c:crosses val="autoZero"/>
        <c:auto val="1"/>
        <c:lblAlgn val="ctr"/>
        <c:lblOffset val="100"/>
        <c:noMultiLvlLbl val="0"/>
      </c:catAx>
      <c:valAx>
        <c:axId val="2100108767"/>
        <c:scaling>
          <c:orientation val="minMax"/>
        </c:scaling>
        <c:delete val="1"/>
        <c:axPos val="t"/>
        <c:numFmt formatCode="0.00%" sourceLinked="1"/>
        <c:majorTickMark val="none"/>
        <c:minorTickMark val="none"/>
        <c:tickLblPos val="high"/>
        <c:crossAx val="2100108351"/>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0555562296114929E-2"/>
          <c:y val="0.36957438320209968"/>
          <c:w val="0.94422699399901466"/>
          <c:h val="0.43502152230971136"/>
        </c:manualLayout>
      </c:layout>
      <c:barChart>
        <c:barDir val="col"/>
        <c:grouping val="clustered"/>
        <c:varyColors val="0"/>
        <c:ser>
          <c:idx val="0"/>
          <c:order val="0"/>
          <c:tx>
            <c:v>Entrada</c:v>
          </c:tx>
          <c:spPr>
            <a:solidFill>
              <a:srgbClr val="00B050"/>
            </a:solidFill>
            <a:ln>
              <a:solidFill>
                <a:schemeClr val="tx1"/>
              </a:solidFill>
            </a:ln>
            <a:effectLst/>
          </c:spPr>
          <c:invertIfNegative val="0"/>
          <c:dLbls>
            <c:numFmt formatCode="[&lt;999950]&quot;R$&quot;\ #,##0.0,&quot;K&quot;;[&lt;999950000]&quot;R$&quot;\ #,##0.0,,&quot;M&quot;;&quot;R$&quot;\ #,##0.0,,,&quot;B&quot;" sourceLinked="0"/>
            <c:spPr>
              <a:noFill/>
              <a:ln>
                <a:noFill/>
              </a:ln>
              <a:effectLst/>
            </c:spPr>
            <c:txPr>
              <a:bodyPr rot="-5400000" spcFirstLastPara="1" vertOverflow="ellipsis" wrap="square" lIns="38100" tIns="19050" rIns="38100" bIns="19050" anchor="ctr" anchorCtr="0">
                <a:spAutoFit/>
              </a:bodyPr>
              <a:lstStyle/>
              <a:p>
                <a:pPr algn="ctr">
                  <a:defRPr lang="en-US" sz="1100" b="1" i="0" u="none" strike="noStrike" kern="1200" baseline="0">
                    <a:solidFill>
                      <a:sysClr val="windowText" lastClr="000000"/>
                    </a:solidFill>
                    <a:latin typeface="Cambria" panose="02040503050406030204" pitchFamily="18" charset="0"/>
                    <a:ea typeface="Cambria" panose="02040503050406030204" pitchFamily="18" charset="0"/>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Apoio!$AF$15:$AF$18</c:f>
              <c:strCache>
                <c:ptCount val="4"/>
                <c:pt idx="0">
                  <c:v>1° Trim</c:v>
                </c:pt>
                <c:pt idx="1">
                  <c:v>2° Trim</c:v>
                </c:pt>
                <c:pt idx="2">
                  <c:v>3° Trim</c:v>
                </c:pt>
                <c:pt idx="3">
                  <c:v>4° Trim</c:v>
                </c:pt>
              </c:strCache>
            </c:strRef>
          </c:cat>
          <c:val>
            <c:numRef>
              <c:f>Apoio!$AG$5:$AG$8</c:f>
              <c:numCache>
                <c:formatCode>General</c:formatCode>
                <c:ptCount val="4"/>
                <c:pt idx="0">
                  <c:v>4404855</c:v>
                </c:pt>
                <c:pt idx="1">
                  <c:v>3917565</c:v>
                </c:pt>
                <c:pt idx="2">
                  <c:v>4091933</c:v>
                </c:pt>
                <c:pt idx="3">
                  <c:v>1722228</c:v>
                </c:pt>
              </c:numCache>
            </c:numRef>
          </c:val>
          <c:extLst>
            <c:ext xmlns:c16="http://schemas.microsoft.com/office/drawing/2014/chart" uri="{C3380CC4-5D6E-409C-BE32-E72D297353CC}">
              <c16:uniqueId val="{00000000-1B4E-47C4-8398-A9E1BBC721A8}"/>
            </c:ext>
          </c:extLst>
        </c:ser>
        <c:ser>
          <c:idx val="1"/>
          <c:order val="1"/>
          <c:tx>
            <c:v>Saída</c:v>
          </c:tx>
          <c:spPr>
            <a:solidFill>
              <a:srgbClr val="C00000"/>
            </a:solidFill>
            <a:ln>
              <a:solidFill>
                <a:schemeClr val="tx1"/>
              </a:solidFill>
            </a:ln>
            <a:effectLst/>
          </c:spPr>
          <c:invertIfNegative val="0"/>
          <c:dLbls>
            <c:numFmt formatCode="[&lt;999950]&quot;R$&quot;\ #,##0.0,&quot;K&quot;;[&lt;999950000]&quot;R$&quot;\ #,##0.0,,&quot;M&quot;;&quot;R$&quot;\ #,##0.0,,,&quot;B&quot;" sourceLinked="0"/>
            <c:spPr>
              <a:noFill/>
              <a:ln>
                <a:noFill/>
              </a:ln>
              <a:effectLst/>
            </c:spPr>
            <c:txPr>
              <a:bodyPr rot="-5400000" spcFirstLastPara="1" vertOverflow="ellipsis" wrap="square" lIns="38100" tIns="19050" rIns="38100" bIns="19050" anchor="ctr" anchorCtr="0">
                <a:spAutoFit/>
              </a:bodyPr>
              <a:lstStyle/>
              <a:p>
                <a:pPr algn="ctr">
                  <a:defRPr lang="en-US" sz="1100" b="1" i="0" u="none" strike="noStrike" kern="1200" baseline="0">
                    <a:solidFill>
                      <a:sysClr val="windowText" lastClr="000000"/>
                    </a:solidFill>
                    <a:latin typeface="Cambria" panose="02040503050406030204" pitchFamily="18" charset="0"/>
                    <a:ea typeface="Cambria" panose="02040503050406030204" pitchFamily="18" charset="0"/>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Apoio!$AF$15:$AF$18</c:f>
              <c:strCache>
                <c:ptCount val="4"/>
                <c:pt idx="0">
                  <c:v>1° Trim</c:v>
                </c:pt>
                <c:pt idx="1">
                  <c:v>2° Trim</c:v>
                </c:pt>
                <c:pt idx="2">
                  <c:v>3° Trim</c:v>
                </c:pt>
                <c:pt idx="3">
                  <c:v>4° Trim</c:v>
                </c:pt>
              </c:strCache>
            </c:strRef>
          </c:cat>
          <c:val>
            <c:numRef>
              <c:f>Apoio!$AG$15:$AG$18</c:f>
              <c:numCache>
                <c:formatCode>General</c:formatCode>
                <c:ptCount val="4"/>
                <c:pt idx="0">
                  <c:v>2243607</c:v>
                </c:pt>
                <c:pt idx="1">
                  <c:v>2027703</c:v>
                </c:pt>
                <c:pt idx="2">
                  <c:v>2105999</c:v>
                </c:pt>
                <c:pt idx="3">
                  <c:v>856409</c:v>
                </c:pt>
              </c:numCache>
            </c:numRef>
          </c:val>
          <c:extLst>
            <c:ext xmlns:c16="http://schemas.microsoft.com/office/drawing/2014/chart" uri="{C3380CC4-5D6E-409C-BE32-E72D297353CC}">
              <c16:uniqueId val="{00000001-1B4E-47C4-8398-A9E1BBC721A8}"/>
            </c:ext>
          </c:extLst>
        </c:ser>
        <c:dLbls>
          <c:dLblPos val="outEnd"/>
          <c:showLegendKey val="0"/>
          <c:showVal val="1"/>
          <c:showCatName val="0"/>
          <c:showSerName val="0"/>
          <c:showPercent val="0"/>
          <c:showBubbleSize val="0"/>
        </c:dLbls>
        <c:gapWidth val="150"/>
        <c:axId val="2067710399"/>
        <c:axId val="2067710815"/>
      </c:barChart>
      <c:catAx>
        <c:axId val="2067710399"/>
        <c:scaling>
          <c:orientation val="minMax"/>
        </c:scaling>
        <c:delete val="0"/>
        <c:axPos val="b"/>
        <c:numFmt formatCode="General" sourceLinked="1"/>
        <c:majorTickMark val="none"/>
        <c:minorTickMark val="none"/>
        <c:tickLblPos val="low"/>
        <c:spPr>
          <a:noFill/>
          <a:ln w="9525" cap="flat" cmpd="sng" algn="ctr">
            <a:solidFill>
              <a:srgbClr val="000000"/>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Cambria" panose="02040503050406030204" pitchFamily="18" charset="0"/>
                <a:ea typeface="Cambria" panose="02040503050406030204" pitchFamily="18" charset="0"/>
                <a:cs typeface="+mn-cs"/>
              </a:defRPr>
            </a:pPr>
            <a:endParaRPr lang="pt-BR"/>
          </a:p>
        </c:txPr>
        <c:crossAx val="2067710815"/>
        <c:crosses val="autoZero"/>
        <c:auto val="1"/>
        <c:lblAlgn val="ctr"/>
        <c:lblOffset val="100"/>
        <c:noMultiLvlLbl val="0"/>
      </c:catAx>
      <c:valAx>
        <c:axId val="2067710815"/>
        <c:scaling>
          <c:orientation val="minMax"/>
        </c:scaling>
        <c:delete val="1"/>
        <c:axPos val="l"/>
        <c:numFmt formatCode="General" sourceLinked="1"/>
        <c:majorTickMark val="none"/>
        <c:minorTickMark val="none"/>
        <c:tickLblPos val="nextTo"/>
        <c:crossAx val="20677103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[DRE.V4.xlsm]Apoio!Tabela dinâmica2</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rtl="0">
                <a:defRPr lang="en-US" sz="1400" b="1" i="0" u="none" strike="noStrike" kern="1200" baseline="0">
                  <a:solidFill>
                    <a:schemeClr val="bg1"/>
                  </a:solidFill>
                  <a:latin typeface="Cambria" panose="02040503050406030204" pitchFamily="18" charset="0"/>
                  <a:ea typeface="Cambria" panose="02040503050406030204" pitchFamily="18" charset="0"/>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bg1">
              <a:lumMod val="75000"/>
            </a:schemeClr>
          </a:solidFill>
          <a:ln w="19050">
            <a:noFill/>
          </a:ln>
          <a:effectLst/>
        </c:spPr>
        <c:dLbl>
          <c:idx val="0"/>
          <c:layout>
            <c:manualLayout>
              <c:x val="-0.47774645813247235"/>
              <c:y val="2.1434826553916424E-2"/>
            </c:manualLayout>
          </c:layout>
          <c:tx>
            <c:rich>
              <a:bodyPr rot="0" spcFirstLastPara="1" vertOverflow="ellipsis" vert="horz" wrap="square" lIns="38100" tIns="19050" rIns="38100" bIns="19050" anchor="ctr" anchorCtr="0">
                <a:noAutofit/>
              </a:bodyPr>
              <a:lstStyle/>
              <a:p>
                <a:pPr algn="ctr" rtl="0">
                  <a:defRPr lang="en-US" sz="1600" b="1" i="0" u="none" strike="noStrike" kern="1200" baseline="0">
                    <a:solidFill>
                      <a:schemeClr val="bg1"/>
                    </a:solidFill>
                    <a:latin typeface="Cambria" panose="02040503050406030204" pitchFamily="18" charset="0"/>
                    <a:ea typeface="Cambria" panose="02040503050406030204" pitchFamily="18" charset="0"/>
                    <a:cs typeface="+mn-cs"/>
                  </a:defRPr>
                </a:pPr>
                <a:r>
                  <a:rPr lang="en-US" sz="1600"/>
                  <a:t>Entrada</a:t>
                </a:r>
              </a:p>
              <a:p>
                <a:pPr algn="ctr" rtl="0">
                  <a:defRPr lang="en-US" sz="1600" b="1">
                    <a:solidFill>
                      <a:schemeClr val="bg1"/>
                    </a:solidFill>
                    <a:latin typeface="Cambria" panose="02040503050406030204" pitchFamily="18" charset="0"/>
                    <a:ea typeface="Cambria" panose="02040503050406030204" pitchFamily="18" charset="0"/>
                  </a:defRPr>
                </a:pPr>
                <a:fld id="{CD9D2276-906C-4ACC-8FE4-CE73B3485BFE}" type="VALUE">
                  <a:rPr lang="en-US" sz="1600"/>
                  <a:pPr algn="ctr" rtl="0">
                    <a:defRPr lang="en-US" sz="1600" b="1">
                      <a:solidFill>
                        <a:schemeClr val="bg1"/>
                      </a:solidFill>
                      <a:latin typeface="Cambria" panose="02040503050406030204" pitchFamily="18" charset="0"/>
                      <a:ea typeface="Cambria" panose="02040503050406030204" pitchFamily="18" charset="0"/>
                    </a:defRPr>
                  </a:pPr>
                  <a:t>[VALOR]</a:t>
                </a:fld>
                <a:endParaRPr lang="pt-BR"/>
              </a:p>
            </c:rich>
          </c:tx>
          <c:spPr>
            <a:noFill/>
            <a:ln>
              <a:noFill/>
            </a:ln>
            <a:effectLst/>
          </c:spPr>
          <c:txPr>
            <a:bodyPr rot="0" spcFirstLastPara="1" vertOverflow="ellipsis" vert="horz" wrap="square" lIns="38100" tIns="19050" rIns="38100" bIns="19050" anchor="ctr" anchorCtr="0">
              <a:noAutofit/>
            </a:bodyPr>
            <a:lstStyle/>
            <a:p>
              <a:pPr algn="ctr" rtl="0">
                <a:defRPr lang="en-US" sz="1600" b="1" i="0" u="none" strike="noStrike" kern="1200" baseline="0">
                  <a:solidFill>
                    <a:schemeClr val="bg1"/>
                  </a:solidFill>
                  <a:latin typeface="Cambria" panose="02040503050406030204" pitchFamily="18" charset="0"/>
                  <a:ea typeface="Cambria" panose="02040503050406030204" pitchFamily="18" charset="0"/>
                  <a:cs typeface="+mn-cs"/>
                </a:defRPr>
              </a:pPr>
              <a:endParaRPr lang="pt-BR"/>
            </a:p>
          </c:txPr>
          <c:showLegendKey val="0"/>
          <c:showVal val="1"/>
          <c:showCatName val="0"/>
          <c:showSerName val="0"/>
          <c:showPercent val="0"/>
          <c:showBubbleSize val="0"/>
          <c:extLst>
            <c:ext xmlns:c15="http://schemas.microsoft.com/office/drawing/2012/chart" uri="{CE6537A1-D6FC-4f65-9D91-7224C49458BB}">
              <c15:layout>
                <c:manualLayout>
                  <c:w val="0.45140750856466494"/>
                  <c:h val="0.32436076476760695"/>
                </c:manualLayout>
              </c15:layout>
              <c15:dlblFieldTable/>
              <c15:showDataLabelsRange val="0"/>
            </c:ext>
          </c:extLst>
        </c:dLbl>
      </c:pivotFmt>
      <c:pivotFmt>
        <c:idx val="6"/>
        <c:spPr>
          <a:solidFill>
            <a:schemeClr val="tx1">
              <a:lumMod val="85000"/>
              <a:lumOff val="15000"/>
            </a:schemeClr>
          </a:solidFill>
          <a:ln w="19050">
            <a:noFill/>
          </a:ln>
          <a:effectLst/>
        </c:spPr>
        <c:dLbl>
          <c:idx val="0"/>
          <c:layout>
            <c:manualLayout>
              <c:x val="-0.46518182373877842"/>
              <c:y val="-6.1239950466020279E-3"/>
            </c:manualLayout>
          </c:layout>
          <c:tx>
            <c:rich>
              <a:bodyPr rot="0" spcFirstLastPara="1" vertOverflow="ellipsis" vert="horz" wrap="square" lIns="38100" tIns="19050" rIns="38100" bIns="19050" anchor="ctr" anchorCtr="0">
                <a:noAutofit/>
              </a:bodyPr>
              <a:lstStyle/>
              <a:p>
                <a:pPr algn="ctr" rtl="0">
                  <a:defRPr lang="en-US" sz="1600" b="1" i="0" u="none" strike="noStrike" kern="1200" baseline="0">
                    <a:solidFill>
                      <a:schemeClr val="bg1"/>
                    </a:solidFill>
                    <a:latin typeface="Cambria" panose="02040503050406030204" pitchFamily="18" charset="0"/>
                    <a:ea typeface="Cambria" panose="02040503050406030204" pitchFamily="18" charset="0"/>
                    <a:cs typeface="+mn-cs"/>
                  </a:defRPr>
                </a:pPr>
                <a:r>
                  <a:rPr lang="en-US" sz="1600"/>
                  <a:t>Saída</a:t>
                </a:r>
              </a:p>
              <a:p>
                <a:pPr algn="ctr" rtl="0">
                  <a:defRPr lang="en-US" sz="1600" b="1">
                    <a:solidFill>
                      <a:schemeClr val="bg1"/>
                    </a:solidFill>
                    <a:latin typeface="Cambria" panose="02040503050406030204" pitchFamily="18" charset="0"/>
                    <a:ea typeface="Cambria" panose="02040503050406030204" pitchFamily="18" charset="0"/>
                  </a:defRPr>
                </a:pPr>
                <a:fld id="{C1B2C2CF-0A54-4E1C-B69B-D25149C4D78D}" type="VALUE">
                  <a:rPr lang="en-US" sz="1600"/>
                  <a:pPr algn="ctr" rtl="0">
                    <a:defRPr lang="en-US" sz="1600" b="1">
                      <a:solidFill>
                        <a:schemeClr val="bg1"/>
                      </a:solidFill>
                      <a:latin typeface="Cambria" panose="02040503050406030204" pitchFamily="18" charset="0"/>
                      <a:ea typeface="Cambria" panose="02040503050406030204" pitchFamily="18" charset="0"/>
                    </a:defRPr>
                  </a:pPr>
                  <a:t>[VALOR]</a:t>
                </a:fld>
                <a:endParaRPr lang="pt-BR"/>
              </a:p>
            </c:rich>
          </c:tx>
          <c:spPr>
            <a:noFill/>
            <a:ln>
              <a:noFill/>
            </a:ln>
            <a:effectLst/>
          </c:spPr>
          <c:txPr>
            <a:bodyPr rot="0" spcFirstLastPara="1" vertOverflow="ellipsis" vert="horz" wrap="square" lIns="38100" tIns="19050" rIns="38100" bIns="19050" anchor="ctr" anchorCtr="0">
              <a:noAutofit/>
            </a:bodyPr>
            <a:lstStyle/>
            <a:p>
              <a:pPr algn="ctr" rtl="0">
                <a:defRPr lang="en-US" sz="1600" b="1" i="0" u="none" strike="noStrike" kern="1200" baseline="0">
                  <a:solidFill>
                    <a:schemeClr val="bg1"/>
                  </a:solidFill>
                  <a:latin typeface="Cambria" panose="02040503050406030204" pitchFamily="18" charset="0"/>
                  <a:ea typeface="Cambria" panose="02040503050406030204" pitchFamily="18" charset="0"/>
                  <a:cs typeface="+mn-cs"/>
                </a:defRPr>
              </a:pPr>
              <a:endParaRPr lang="pt-BR"/>
            </a:p>
          </c:txPr>
          <c:showLegendKey val="0"/>
          <c:showVal val="1"/>
          <c:showCatName val="0"/>
          <c:showSerName val="0"/>
          <c:showPercent val="0"/>
          <c:showBubbleSize val="0"/>
          <c:extLst>
            <c:ext xmlns:c15="http://schemas.microsoft.com/office/drawing/2012/chart" uri="{CE6537A1-D6FC-4f65-9D91-7224C49458BB}">
              <c15:layout>
                <c:manualLayout>
                  <c:w val="0.44250352172354679"/>
                  <c:h val="0.3382145585149065"/>
                </c:manualLayout>
              </c15:layout>
              <c15:dlblFieldTable/>
              <c15:showDataLabelsRange val="0"/>
            </c:ext>
          </c:extLst>
        </c:dLbl>
      </c:pivotFmt>
    </c:pivotFmts>
    <c:plotArea>
      <c:layout>
        <c:manualLayout>
          <c:layoutTarget val="inner"/>
          <c:xMode val="edge"/>
          <c:yMode val="edge"/>
          <c:x val="0.49789564862229074"/>
          <c:y val="0.20191799503117089"/>
          <c:w val="0.43987070583129101"/>
          <c:h val="0.64999315242886246"/>
        </c:manualLayout>
      </c:layout>
      <c:doughnutChart>
        <c:varyColors val="1"/>
        <c:ser>
          <c:idx val="0"/>
          <c:order val="0"/>
          <c:tx>
            <c:strRef>
              <c:f>Apoio!$K$5</c:f>
              <c:strCache>
                <c:ptCount val="1"/>
                <c:pt idx="0">
                  <c:v>Total</c:v>
                </c:pt>
              </c:strCache>
            </c:strRef>
          </c:tx>
          <c:spPr>
            <a:ln>
              <a:noFill/>
            </a:ln>
          </c:spPr>
          <c:dPt>
            <c:idx val="0"/>
            <c:bubble3D val="0"/>
            <c:spPr>
              <a:solidFill>
                <a:schemeClr val="bg1">
                  <a:lumMod val="75000"/>
                </a:schemeClr>
              </a:solidFill>
              <a:ln w="19050">
                <a:noFill/>
              </a:ln>
              <a:effectLst/>
            </c:spPr>
            <c:extLst>
              <c:ext xmlns:c16="http://schemas.microsoft.com/office/drawing/2014/chart" uri="{C3380CC4-5D6E-409C-BE32-E72D297353CC}">
                <c16:uniqueId val="{00000001-FE6B-4202-A604-F97F7A5D977D}"/>
              </c:ext>
            </c:extLst>
          </c:dPt>
          <c:dPt>
            <c:idx val="1"/>
            <c:bubble3D val="0"/>
            <c:spPr>
              <a:solidFill>
                <a:schemeClr val="tx1">
                  <a:lumMod val="85000"/>
                  <a:lumOff val="15000"/>
                </a:schemeClr>
              </a:solidFill>
              <a:ln w="19050">
                <a:noFill/>
              </a:ln>
              <a:effectLst/>
            </c:spPr>
            <c:extLst>
              <c:ext xmlns:c16="http://schemas.microsoft.com/office/drawing/2014/chart" uri="{C3380CC4-5D6E-409C-BE32-E72D297353CC}">
                <c16:uniqueId val="{00000003-FE6B-4202-A604-F97F7A5D977D}"/>
              </c:ext>
            </c:extLst>
          </c:dPt>
          <c:dLbls>
            <c:dLbl>
              <c:idx val="0"/>
              <c:layout>
                <c:manualLayout>
                  <c:x val="-0.47774645813247235"/>
                  <c:y val="2.1434826553916424E-2"/>
                </c:manualLayout>
              </c:layout>
              <c:tx>
                <c:rich>
                  <a:bodyPr rot="0" spcFirstLastPara="1" vertOverflow="ellipsis" vert="horz" wrap="square" lIns="38100" tIns="19050" rIns="38100" bIns="19050" anchor="ctr" anchorCtr="0">
                    <a:noAutofit/>
                  </a:bodyPr>
                  <a:lstStyle/>
                  <a:p>
                    <a:pPr algn="ctr" rtl="0">
                      <a:defRPr lang="en-US" sz="1600" b="1" i="0" u="none" strike="noStrike" kern="1200" baseline="0">
                        <a:solidFill>
                          <a:schemeClr val="bg1"/>
                        </a:solidFill>
                        <a:latin typeface="Cambria" panose="02040503050406030204" pitchFamily="18" charset="0"/>
                        <a:ea typeface="Cambria" panose="02040503050406030204" pitchFamily="18" charset="0"/>
                        <a:cs typeface="+mn-cs"/>
                      </a:defRPr>
                    </a:pPr>
                    <a:r>
                      <a:rPr lang="en-US" sz="1600"/>
                      <a:t>Entrada</a:t>
                    </a:r>
                  </a:p>
                  <a:p>
                    <a:pPr algn="ctr" rtl="0">
                      <a:defRPr lang="en-US" sz="1600" b="1">
                        <a:solidFill>
                          <a:schemeClr val="bg1"/>
                        </a:solidFill>
                        <a:latin typeface="Cambria" panose="02040503050406030204" pitchFamily="18" charset="0"/>
                        <a:ea typeface="Cambria" panose="02040503050406030204" pitchFamily="18" charset="0"/>
                      </a:defRPr>
                    </a:pPr>
                    <a:fld id="{CD9D2276-906C-4ACC-8FE4-CE73B3485BFE}" type="VALUE">
                      <a:rPr lang="en-US" sz="1600"/>
                      <a:pPr algn="ctr" rtl="0">
                        <a:defRPr lang="en-US" sz="1600" b="1">
                          <a:solidFill>
                            <a:schemeClr val="bg1"/>
                          </a:solidFill>
                          <a:latin typeface="Cambria" panose="02040503050406030204" pitchFamily="18" charset="0"/>
                          <a:ea typeface="Cambria" panose="02040503050406030204" pitchFamily="18" charset="0"/>
                        </a:defRPr>
                      </a:pPr>
                      <a:t>[VALOR]</a:t>
                    </a:fld>
                    <a:endParaRPr lang="pt-BR"/>
                  </a:p>
                </c:rich>
              </c:tx>
              <c:spPr>
                <a:noFill/>
                <a:ln>
                  <a:noFill/>
                </a:ln>
                <a:effectLst/>
              </c:spPr>
              <c:txPr>
                <a:bodyPr rot="0" spcFirstLastPara="1" vertOverflow="ellipsis" vert="horz" wrap="square" lIns="38100" tIns="19050" rIns="38100" bIns="19050" anchor="ctr" anchorCtr="0">
                  <a:noAutofit/>
                </a:bodyPr>
                <a:lstStyle/>
                <a:p>
                  <a:pPr algn="ctr" rtl="0">
                    <a:defRPr lang="en-US" sz="1600" b="1" i="0" u="none" strike="noStrike" kern="1200" baseline="0">
                      <a:solidFill>
                        <a:schemeClr val="bg1"/>
                      </a:solidFill>
                      <a:latin typeface="Cambria" panose="02040503050406030204" pitchFamily="18" charset="0"/>
                      <a:ea typeface="Cambria" panose="02040503050406030204" pitchFamily="18" charset="0"/>
                      <a:cs typeface="+mn-cs"/>
                    </a:defRPr>
                  </a:pPr>
                  <a:endParaRPr lang="pt-BR"/>
                </a:p>
              </c:txPr>
              <c:showLegendKey val="0"/>
              <c:showVal val="1"/>
              <c:showCatName val="0"/>
              <c:showSerName val="0"/>
              <c:showPercent val="0"/>
              <c:showBubbleSize val="0"/>
              <c:extLst>
                <c:ext xmlns:c15="http://schemas.microsoft.com/office/drawing/2012/chart" uri="{CE6537A1-D6FC-4f65-9D91-7224C49458BB}">
                  <c15:layout>
                    <c:manualLayout>
                      <c:w val="0.45140750856466494"/>
                      <c:h val="0.32436076476760695"/>
                    </c:manualLayout>
                  </c15:layout>
                  <c15:dlblFieldTable/>
                  <c15:showDataLabelsRange val="0"/>
                </c:ext>
                <c:ext xmlns:c16="http://schemas.microsoft.com/office/drawing/2014/chart" uri="{C3380CC4-5D6E-409C-BE32-E72D297353CC}">
                  <c16:uniqueId val="{00000001-FE6B-4202-A604-F97F7A5D977D}"/>
                </c:ext>
              </c:extLst>
            </c:dLbl>
            <c:dLbl>
              <c:idx val="1"/>
              <c:layout>
                <c:manualLayout>
                  <c:x val="-0.46518182373877842"/>
                  <c:y val="-6.1239950466020279E-3"/>
                </c:manualLayout>
              </c:layout>
              <c:tx>
                <c:rich>
                  <a:bodyPr rot="0" spcFirstLastPara="1" vertOverflow="ellipsis" vert="horz" wrap="square" lIns="38100" tIns="19050" rIns="38100" bIns="19050" anchor="ctr" anchorCtr="0">
                    <a:noAutofit/>
                  </a:bodyPr>
                  <a:lstStyle/>
                  <a:p>
                    <a:pPr algn="ctr" rtl="0">
                      <a:defRPr lang="en-US" sz="1600" b="1" i="0" u="none" strike="noStrike" kern="1200" baseline="0">
                        <a:solidFill>
                          <a:schemeClr val="bg1"/>
                        </a:solidFill>
                        <a:latin typeface="Cambria" panose="02040503050406030204" pitchFamily="18" charset="0"/>
                        <a:ea typeface="Cambria" panose="02040503050406030204" pitchFamily="18" charset="0"/>
                        <a:cs typeface="+mn-cs"/>
                      </a:defRPr>
                    </a:pPr>
                    <a:r>
                      <a:rPr lang="en-US" sz="1600"/>
                      <a:t>Saída</a:t>
                    </a:r>
                  </a:p>
                  <a:p>
                    <a:pPr algn="ctr" rtl="0">
                      <a:defRPr lang="en-US" sz="1600" b="1">
                        <a:solidFill>
                          <a:schemeClr val="bg1"/>
                        </a:solidFill>
                        <a:latin typeface="Cambria" panose="02040503050406030204" pitchFamily="18" charset="0"/>
                        <a:ea typeface="Cambria" panose="02040503050406030204" pitchFamily="18" charset="0"/>
                      </a:defRPr>
                    </a:pPr>
                    <a:fld id="{C1B2C2CF-0A54-4E1C-B69B-D25149C4D78D}" type="VALUE">
                      <a:rPr lang="en-US" sz="1600"/>
                      <a:pPr algn="ctr" rtl="0">
                        <a:defRPr lang="en-US" sz="1600" b="1">
                          <a:solidFill>
                            <a:schemeClr val="bg1"/>
                          </a:solidFill>
                          <a:latin typeface="Cambria" panose="02040503050406030204" pitchFamily="18" charset="0"/>
                          <a:ea typeface="Cambria" panose="02040503050406030204" pitchFamily="18" charset="0"/>
                        </a:defRPr>
                      </a:pPr>
                      <a:t>[VALOR]</a:t>
                    </a:fld>
                    <a:endParaRPr lang="pt-BR"/>
                  </a:p>
                </c:rich>
              </c:tx>
              <c:spPr>
                <a:noFill/>
                <a:ln>
                  <a:noFill/>
                </a:ln>
                <a:effectLst/>
              </c:spPr>
              <c:txPr>
                <a:bodyPr rot="0" spcFirstLastPara="1" vertOverflow="ellipsis" vert="horz" wrap="square" lIns="38100" tIns="19050" rIns="38100" bIns="19050" anchor="ctr" anchorCtr="0">
                  <a:noAutofit/>
                </a:bodyPr>
                <a:lstStyle/>
                <a:p>
                  <a:pPr algn="ctr" rtl="0">
                    <a:defRPr lang="en-US" sz="1600" b="1" i="0" u="none" strike="noStrike" kern="1200" baseline="0">
                      <a:solidFill>
                        <a:schemeClr val="bg1"/>
                      </a:solidFill>
                      <a:latin typeface="Cambria" panose="02040503050406030204" pitchFamily="18" charset="0"/>
                      <a:ea typeface="Cambria" panose="02040503050406030204" pitchFamily="18" charset="0"/>
                      <a:cs typeface="+mn-cs"/>
                    </a:defRPr>
                  </a:pPr>
                  <a:endParaRPr lang="pt-BR"/>
                </a:p>
              </c:txPr>
              <c:showLegendKey val="0"/>
              <c:showVal val="1"/>
              <c:showCatName val="0"/>
              <c:showSerName val="0"/>
              <c:showPercent val="0"/>
              <c:showBubbleSize val="0"/>
              <c:extLst>
                <c:ext xmlns:c15="http://schemas.microsoft.com/office/drawing/2012/chart" uri="{CE6537A1-D6FC-4f65-9D91-7224C49458BB}">
                  <c15:layout>
                    <c:manualLayout>
                      <c:w val="0.44250352172354679"/>
                      <c:h val="0.3382145585149065"/>
                    </c:manualLayout>
                  </c15:layout>
                  <c15:dlblFieldTable/>
                  <c15:showDataLabelsRange val="0"/>
                </c:ext>
                <c:ext xmlns:c16="http://schemas.microsoft.com/office/drawing/2014/chart" uri="{C3380CC4-5D6E-409C-BE32-E72D297353CC}">
                  <c16:uniqueId val="{00000003-FE6B-4202-A604-F97F7A5D977D}"/>
                </c:ext>
              </c:extLst>
            </c:dLbl>
            <c:spPr>
              <a:noFill/>
              <a:ln>
                <a:noFill/>
              </a:ln>
              <a:effectLst/>
            </c:spPr>
            <c:txPr>
              <a:bodyPr rot="0" spcFirstLastPara="1" vertOverflow="ellipsis" vert="horz" wrap="square" lIns="38100" tIns="19050" rIns="38100" bIns="19050" anchor="ctr" anchorCtr="0">
                <a:spAutoFit/>
              </a:bodyPr>
              <a:lstStyle/>
              <a:p>
                <a:pPr algn="ctr" rtl="0">
                  <a:defRPr lang="en-US" sz="1400" b="1" i="0" u="none" strike="noStrike" kern="1200" baseline="0">
                    <a:solidFill>
                      <a:schemeClr val="bg1"/>
                    </a:solidFill>
                    <a:latin typeface="Cambria" panose="02040503050406030204" pitchFamily="18" charset="0"/>
                    <a:ea typeface="Cambria" panose="02040503050406030204" pitchFamily="18" charset="0"/>
                    <a:cs typeface="+mn-cs"/>
                  </a:defRPr>
                </a:pPr>
                <a:endParaRPr lang="pt-BR"/>
              </a:p>
            </c:txPr>
            <c:showLegendKey val="0"/>
            <c:showVal val="1"/>
            <c:showCatName val="0"/>
            <c:showSerName val="0"/>
            <c:showPercent val="0"/>
            <c:showBubbleSize val="0"/>
            <c:showLeaderLines val="1"/>
            <c:leaderLines>
              <c:spPr>
                <a:ln w="15875" cap="flat" cmpd="sng" algn="ctr">
                  <a:solidFill>
                    <a:schemeClr val="bg1"/>
                  </a:solidFill>
                  <a:round/>
                </a:ln>
                <a:effectLst/>
              </c:spPr>
            </c:leaderLines>
            <c:extLst>
              <c:ext xmlns:c15="http://schemas.microsoft.com/office/drawing/2012/chart" uri="{CE6537A1-D6FC-4f65-9D91-7224C49458BB}"/>
            </c:extLst>
          </c:dLbls>
          <c:cat>
            <c:strRef>
              <c:f>Apoio!$J$6:$J$7</c:f>
              <c:strCache>
                <c:ptCount val="2"/>
                <c:pt idx="0">
                  <c:v>Entrada</c:v>
                </c:pt>
                <c:pt idx="1">
                  <c:v>Saída</c:v>
                </c:pt>
              </c:strCache>
            </c:strRef>
          </c:cat>
          <c:val>
            <c:numRef>
              <c:f>Apoio!$K$6:$K$7</c:f>
              <c:numCache>
                <c:formatCode>General</c:formatCode>
                <c:ptCount val="2"/>
                <c:pt idx="0">
                  <c:v>14163044</c:v>
                </c:pt>
                <c:pt idx="1">
                  <c:v>-7235595</c:v>
                </c:pt>
              </c:numCache>
            </c:numRef>
          </c:val>
          <c:extLst>
            <c:ext xmlns:c16="http://schemas.microsoft.com/office/drawing/2014/chart" uri="{C3380CC4-5D6E-409C-BE32-E72D297353CC}">
              <c16:uniqueId val="{00000004-FE6B-4202-A604-F97F7A5D977D}"/>
            </c:ext>
          </c:extLst>
        </c:ser>
        <c:dLbls>
          <c:showLegendKey val="0"/>
          <c:showVal val="1"/>
          <c:showCatName val="0"/>
          <c:showSerName val="0"/>
          <c:showPercent val="0"/>
          <c:showBubbleSize val="0"/>
          <c:showLeaderLines val="1"/>
        </c:dLbls>
        <c:firstSliceAng val="246"/>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plotArea>
      <cx:plotAreaRegion>
        <cx:series layoutId="funnel" uniqueId="{9DB41F62-D765-4C01-9802-53FF2165B2AB}">
          <cx:spPr>
            <a:solidFill>
              <a:srgbClr val="244D5C"/>
            </a:solidFill>
          </cx:spPr>
          <cx:dataLabels>
            <cx:numFmt formatCode="[&lt;999999]R$ #.#00,0.&quot;K&quot;;[&lt;999999999]R$ #.##0,0..&quot;M&quot;;R$ #.##0,0...&quot;B&quot;" sourceLinked="0"/>
            <cx:txPr>
              <a:bodyPr spcFirstLastPara="1" vertOverflow="ellipsis" horzOverflow="overflow" wrap="square" lIns="0" tIns="0" rIns="0" bIns="0" anchor="ctr" anchorCtr="1"/>
              <a:lstStyle/>
              <a:p>
                <a:pPr algn="ctr" rtl="0">
                  <a:defRPr sz="1100" b="1">
                    <a:solidFill>
                      <a:schemeClr val="bg1"/>
                    </a:solidFill>
                  </a:defRPr>
                </a:pPr>
                <a:endParaRPr lang="pt-BR" sz="1100" b="1" i="0" u="none" strike="noStrike" baseline="0">
                  <a:solidFill>
                    <a:schemeClr val="bg1"/>
                  </a:solidFill>
                  <a:latin typeface="Calibri" panose="020F0502020204030204"/>
                </a:endParaRPr>
              </a:p>
            </cx:txPr>
            <cx:visibility seriesName="0" categoryName="0" value="1"/>
            <cx:separator>, </cx:separator>
            <cx:dataLabel idx="4">
              <cx:txPr>
                <a:bodyPr spcFirstLastPara="1" vertOverflow="ellipsis" horzOverflow="overflow" wrap="square" lIns="0" tIns="0" rIns="0" bIns="0" anchor="ctr" anchorCtr="1"/>
                <a:lstStyle/>
                <a:p>
                  <a:pPr algn="ctr" rtl="0">
                    <a:defRPr sz="1050"/>
                  </a:pPr>
                  <a:r>
                    <a:rPr lang="pt-BR" sz="1050" b="1" i="0" u="none" strike="noStrike" baseline="0">
                      <a:solidFill>
                        <a:schemeClr val="bg1"/>
                      </a:solidFill>
                      <a:latin typeface="Calibri" panose="020F0502020204030204"/>
                    </a:rPr>
                    <a:t>R$ 384,4K</a:t>
                  </a:r>
                </a:p>
              </cx:txPr>
            </cx:dataLabel>
          </cx:dataLabels>
          <cx:dataId val="0"/>
        </cx:series>
      </cx:plotAreaRegion>
      <cx:axis id="0">
        <cx:catScaling gapWidth="0.0599999987"/>
        <cx:tickLabels/>
        <cx:spPr>
          <a:ln>
            <a:solidFill>
              <a:schemeClr val="tx1"/>
            </a:solidFill>
          </a:ln>
        </cx:spPr>
        <cx:txPr>
          <a:bodyPr spcFirstLastPara="1" vertOverflow="ellipsis" horzOverflow="overflow" wrap="square" lIns="0" tIns="0" rIns="0" bIns="0" anchor="ctr" anchorCtr="1"/>
          <a:lstStyle/>
          <a:p>
            <a:pPr algn="ctr" rtl="0">
              <a:defRPr sz="1100" b="1">
                <a:solidFill>
                  <a:sysClr val="windowText" lastClr="000000"/>
                </a:solidFill>
              </a:defRPr>
            </a:pPr>
            <a:endParaRPr lang="pt-BR" sz="1100" b="1" i="0" u="none" strike="noStrike" baseline="0">
              <a:solidFill>
                <a:sysClr val="windowText" lastClr="000000"/>
              </a:solidFill>
              <a:latin typeface="Calibri" panose="020F0502020204030204"/>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DRE!A1"/><Relationship Id="rId3" Type="http://schemas.openxmlformats.org/officeDocument/2006/relationships/chart" Target="../charts/chart2.xml"/><Relationship Id="rId7" Type="http://schemas.openxmlformats.org/officeDocument/2006/relationships/image" Target="../media/image2.png"/><Relationship Id="rId12" Type="http://schemas.openxmlformats.org/officeDocument/2006/relationships/hyperlink" Target="#Dashboard!A1"/><Relationship Id="rId2" Type="http://schemas.openxmlformats.org/officeDocument/2006/relationships/chart" Target="../charts/chart1.xml"/><Relationship Id="rId1" Type="http://schemas.microsoft.com/office/2014/relationships/chartEx" Target="../charts/chartEx1.xml"/><Relationship Id="rId6" Type="http://schemas.openxmlformats.org/officeDocument/2006/relationships/image" Target="../media/image1.png"/><Relationship Id="rId11" Type="http://schemas.openxmlformats.org/officeDocument/2006/relationships/hyperlink" Target="#DataBase!A1"/><Relationship Id="rId5" Type="http://schemas.openxmlformats.org/officeDocument/2006/relationships/chart" Target="../charts/chart4.xml"/><Relationship Id="rId10" Type="http://schemas.openxmlformats.org/officeDocument/2006/relationships/image" Target="../media/image5.png"/><Relationship Id="rId4" Type="http://schemas.openxmlformats.org/officeDocument/2006/relationships/chart" Target="../charts/chart3.xml"/><Relationship Id="rId9" Type="http://schemas.openxmlformats.org/officeDocument/2006/relationships/image" Target="../media/image4.png"/></Relationships>
</file>

<file path=xl/drawings/_rels/drawing2.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7.png"/><Relationship Id="rId7" Type="http://schemas.openxmlformats.org/officeDocument/2006/relationships/hyperlink" Target="#DRE!A1"/><Relationship Id="rId2" Type="http://schemas.openxmlformats.org/officeDocument/2006/relationships/hyperlink" Target="https://santosbancarios.com.br/artigo/pra-onde-vai-o-dinheiro-da-sentenca-contra-o-santander" TargetMode="External"/><Relationship Id="rId1" Type="http://schemas.openxmlformats.org/officeDocument/2006/relationships/image" Target="../media/image6.jpeg"/><Relationship Id="rId6" Type="http://schemas.openxmlformats.org/officeDocument/2006/relationships/hyperlink" Target="#DataBase!A1"/><Relationship Id="rId5" Type="http://schemas.openxmlformats.org/officeDocument/2006/relationships/hyperlink" Target="#Dashboard!A1"/><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3" Type="http://schemas.openxmlformats.org/officeDocument/2006/relationships/hyperlink" Target="#DRE!A1"/><Relationship Id="rId2" Type="http://schemas.openxmlformats.org/officeDocument/2006/relationships/hyperlink" Target="#DataBase!A1"/><Relationship Id="rId1" Type="http://schemas.openxmlformats.org/officeDocument/2006/relationships/hyperlink" Target="#Dashboard!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21</xdr:col>
      <xdr:colOff>57150</xdr:colOff>
      <xdr:row>35</xdr:row>
      <xdr:rowOff>9525</xdr:rowOff>
    </xdr:to>
    <xdr:sp macro="" textlink="">
      <xdr:nvSpPr>
        <xdr:cNvPr id="3" name="FUNDO">
          <a:extLst>
            <a:ext uri="{FF2B5EF4-FFF2-40B4-BE49-F238E27FC236}">
              <a16:creationId xmlns:a16="http://schemas.microsoft.com/office/drawing/2014/main" id="{0181EF37-6045-4F05-BCDD-085582E962DA}"/>
            </a:ext>
            <a:ext uri="{C183D7F6-B498-43B3-948B-1728B52AA6E4}">
              <adec:decorative xmlns:adec="http://schemas.microsoft.com/office/drawing/2017/decorative" val="1"/>
            </a:ext>
          </a:extLst>
        </xdr:cNvPr>
        <xdr:cNvSpPr/>
      </xdr:nvSpPr>
      <xdr:spPr>
        <a:xfrm>
          <a:off x="0" y="0"/>
          <a:ext cx="12808744" cy="6677025"/>
        </a:xfrm>
        <a:prstGeom prst="rect">
          <a:avLst/>
        </a:prstGeom>
        <a:solidFill>
          <a:schemeClr val="bg1">
            <a:lumMod val="7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12</xdr:col>
      <xdr:colOff>271150</xdr:colOff>
      <xdr:row>22</xdr:row>
      <xdr:rowOff>93997</xdr:rowOff>
    </xdr:from>
    <xdr:to>
      <xdr:col>20</xdr:col>
      <xdr:colOff>433496</xdr:colOff>
      <xdr:row>33</xdr:row>
      <xdr:rowOff>817</xdr:rowOff>
    </xdr:to>
    <xdr:grpSp>
      <xdr:nvGrpSpPr>
        <xdr:cNvPr id="26" name="TOP 5 PERDAS">
          <a:extLst>
            <a:ext uri="{FF2B5EF4-FFF2-40B4-BE49-F238E27FC236}">
              <a16:creationId xmlns:a16="http://schemas.microsoft.com/office/drawing/2014/main" id="{3CE6ADB9-4E8D-487B-849D-49CB583BEC0C}"/>
            </a:ext>
          </a:extLst>
        </xdr:cNvPr>
        <xdr:cNvGrpSpPr/>
      </xdr:nvGrpSpPr>
      <xdr:grpSpPr>
        <a:xfrm>
          <a:off x="7586350" y="4284997"/>
          <a:ext cx="5039146" cy="2002320"/>
          <a:chOff x="7586350" y="4284997"/>
          <a:chExt cx="5039146" cy="2002320"/>
        </a:xfrm>
      </xdr:grpSpPr>
      <xdr:sp macro="" textlink="">
        <xdr:nvSpPr>
          <xdr:cNvPr id="43" name="Retângulo: Cantos Arredondados 42">
            <a:extLst>
              <a:ext uri="{FF2B5EF4-FFF2-40B4-BE49-F238E27FC236}">
                <a16:creationId xmlns:a16="http://schemas.microsoft.com/office/drawing/2014/main" id="{CE663B40-D96A-4DF1-A828-3A432FEF841A}"/>
              </a:ext>
              <a:ext uri="{C183D7F6-B498-43B3-948B-1728B52AA6E4}">
                <adec:decorative xmlns:adec="http://schemas.microsoft.com/office/drawing/2017/decorative" val="1"/>
              </a:ext>
            </a:extLst>
          </xdr:cNvPr>
          <xdr:cNvSpPr/>
        </xdr:nvSpPr>
        <xdr:spPr>
          <a:xfrm>
            <a:off x="7586350" y="4284997"/>
            <a:ext cx="5039146" cy="2002320"/>
          </a:xfrm>
          <a:prstGeom prst="roundRect">
            <a:avLst>
              <a:gd name="adj" fmla="val 9046"/>
            </a:avLst>
          </a:prstGeom>
          <a:solidFill>
            <a:schemeClr val="accent6">
              <a:lumMod val="40000"/>
              <a:lumOff val="6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pt-BR" sz="1100">
              <a:solidFill>
                <a:schemeClr val="bg1">
                  <a:lumMod val="95000"/>
                </a:schemeClr>
              </a:solidFill>
              <a:latin typeface="+mn-lt"/>
              <a:ea typeface="+mn-ea"/>
              <a:cs typeface="+mn-cs"/>
            </a:endParaRPr>
          </a:p>
        </xdr:txBody>
      </xdr:sp>
      <mc:AlternateContent xmlns:mc="http://schemas.openxmlformats.org/markup-compatibility/2006">
        <mc:Choice xmlns:cx2="http://schemas.microsoft.com/office/drawing/2015/10/21/chartex" Requires="cx2">
          <xdr:graphicFrame macro="">
            <xdr:nvGraphicFramePr>
              <xdr:cNvPr id="46" name="Gráfico 45">
                <a:extLst>
                  <a:ext uri="{FF2B5EF4-FFF2-40B4-BE49-F238E27FC236}">
                    <a16:creationId xmlns:a16="http://schemas.microsoft.com/office/drawing/2014/main" id="{1E051BB4-7F59-4ACD-AF79-356779EB903C}"/>
                  </a:ext>
                </a:extLst>
              </xdr:cNvPr>
              <xdr:cNvGraphicFramePr>
                <a:graphicFrameLocks/>
              </xdr:cNvGraphicFramePr>
            </xdr:nvGraphicFramePr>
            <xdr:xfrm>
              <a:off x="7648576" y="4648200"/>
              <a:ext cx="4876800" cy="1552575"/>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648576" y="4648200"/>
                <a:ext cx="4876800" cy="1552575"/>
              </a:xfrm>
              <a:prstGeom prst="rect">
                <a:avLst/>
              </a:prstGeom>
              <a:solidFill>
                <a:prstClr val="white"/>
              </a:solidFill>
              <a:ln w="1">
                <a:solidFill>
                  <a:prstClr val="green"/>
                </a:solidFill>
              </a:ln>
            </xdr:spPr>
            <xdr:txBody>
              <a:bodyPr vertOverflow="clip" horzOverflow="clip"/>
              <a:lstStyle/>
              <a:p>
                <a:r>
                  <a:rPr lang="pt-BR" sz="1100"/>
                  <a:t>Este gráfico não está disponível na sua versão de Excel.
Editar esta forma ou salvar esta pasta de trabalho em um formato de arquivo diferente quebrará o gráfico permanentemente.</a:t>
                </a:r>
              </a:p>
            </xdr:txBody>
          </xdr:sp>
        </mc:Fallback>
      </mc:AlternateContent>
      <xdr:sp macro="" textlink="">
        <xdr:nvSpPr>
          <xdr:cNvPr id="47" name="Retângulo 46">
            <a:extLst>
              <a:ext uri="{FF2B5EF4-FFF2-40B4-BE49-F238E27FC236}">
                <a16:creationId xmlns:a16="http://schemas.microsoft.com/office/drawing/2014/main" id="{794159C7-7ACA-4104-8A0D-FE94B2CCFD18}"/>
              </a:ext>
            </a:extLst>
          </xdr:cNvPr>
          <xdr:cNvSpPr/>
        </xdr:nvSpPr>
        <xdr:spPr>
          <a:xfrm>
            <a:off x="7705725" y="4291013"/>
            <a:ext cx="3667125" cy="419100"/>
          </a:xfrm>
          <a:prstGeom prst="rect">
            <a:avLst/>
          </a:prstGeom>
          <a:noFill/>
        </xdr:spPr>
        <xdr:txBody>
          <a:bodyPr wrap="square" lIns="91440" tIns="45720" rIns="91440" bIns="45720">
            <a:noAutofit/>
          </a:bodyPr>
          <a:lstStyle/>
          <a:p>
            <a:pPr marL="0" indent="0" algn="l"/>
            <a:r>
              <a:rPr lang="en-US" sz="2000" b="0" i="0" u="none" strike="noStrike" cap="none" spc="0">
                <a:ln w="0"/>
                <a:solidFill>
                  <a:sysClr val="windowText" lastClr="000000"/>
                </a:solidFill>
                <a:effectLst>
                  <a:outerShdw blurRad="38100" dist="19050" dir="2700000" algn="tl" rotWithShape="0">
                    <a:schemeClr val="dk1">
                      <a:alpha val="40000"/>
                    </a:schemeClr>
                  </a:outerShdw>
                </a:effectLst>
                <a:latin typeface="Cambria"/>
                <a:ea typeface="Cambria"/>
                <a:cs typeface="+mn-cs"/>
              </a:rPr>
              <a:t>TOP</a:t>
            </a:r>
            <a:r>
              <a:rPr lang="en-US" sz="2000" b="0" i="0" u="none" strike="noStrike" cap="none" spc="0" baseline="0">
                <a:ln w="0"/>
                <a:solidFill>
                  <a:sysClr val="windowText" lastClr="000000"/>
                </a:solidFill>
                <a:effectLst>
                  <a:outerShdw blurRad="38100" dist="19050" dir="2700000" algn="tl" rotWithShape="0">
                    <a:schemeClr val="dk1">
                      <a:alpha val="40000"/>
                    </a:schemeClr>
                  </a:outerShdw>
                </a:effectLst>
                <a:latin typeface="Cambria"/>
                <a:ea typeface="Cambria"/>
                <a:cs typeface="+mn-cs"/>
              </a:rPr>
              <a:t> 5 </a:t>
            </a:r>
            <a:r>
              <a:rPr lang="en-US" sz="2000" b="0" i="0" u="none" strike="noStrike" cap="none" spc="0">
                <a:ln w="0"/>
                <a:solidFill>
                  <a:sysClr val="windowText" lastClr="000000"/>
                </a:solidFill>
                <a:effectLst>
                  <a:outerShdw blurRad="38100" dist="19050" dir="2700000" algn="tl" rotWithShape="0">
                    <a:schemeClr val="dk1">
                      <a:alpha val="40000"/>
                    </a:schemeClr>
                  </a:outerShdw>
                </a:effectLst>
                <a:latin typeface="Cambria"/>
                <a:ea typeface="Cambria"/>
                <a:cs typeface="+mn-cs"/>
              </a:rPr>
              <a:t>MAIORES</a:t>
            </a:r>
            <a:r>
              <a:rPr lang="en-US" sz="2000" b="0" i="0" u="none" strike="noStrike" cap="none" spc="0" baseline="0">
                <a:ln w="0"/>
                <a:solidFill>
                  <a:sysClr val="windowText" lastClr="000000"/>
                </a:solidFill>
                <a:effectLst>
                  <a:outerShdw blurRad="38100" dist="19050" dir="2700000" algn="tl" rotWithShape="0">
                    <a:schemeClr val="dk1">
                      <a:alpha val="40000"/>
                    </a:schemeClr>
                  </a:outerShdw>
                </a:effectLst>
                <a:latin typeface="Cambria"/>
                <a:ea typeface="Cambria"/>
                <a:cs typeface="+mn-cs"/>
              </a:rPr>
              <a:t> GASTOS</a:t>
            </a:r>
            <a:endParaRPr lang="en-US" sz="2000" b="0" i="0" u="none" strike="noStrike" cap="none" spc="0">
              <a:ln w="0"/>
              <a:solidFill>
                <a:sysClr val="windowText" lastClr="000000"/>
              </a:solidFill>
              <a:effectLst>
                <a:outerShdw blurRad="38100" dist="19050" dir="2700000" algn="tl" rotWithShape="0">
                  <a:schemeClr val="dk1">
                    <a:alpha val="40000"/>
                  </a:schemeClr>
                </a:outerShdw>
              </a:effectLst>
              <a:latin typeface="Cambria"/>
              <a:ea typeface="Cambria"/>
              <a:cs typeface="+mn-cs"/>
            </a:endParaRPr>
          </a:p>
        </xdr:txBody>
      </xdr:sp>
    </xdr:grpSp>
    <xdr:clientData/>
  </xdr:twoCellAnchor>
  <xdr:twoCellAnchor>
    <xdr:from>
      <xdr:col>12</xdr:col>
      <xdr:colOff>280538</xdr:colOff>
      <xdr:row>6</xdr:row>
      <xdr:rowOff>48489</xdr:rowOff>
    </xdr:from>
    <xdr:to>
      <xdr:col>20</xdr:col>
      <xdr:colOff>440579</xdr:colOff>
      <xdr:row>31</xdr:row>
      <xdr:rowOff>138109</xdr:rowOff>
    </xdr:to>
    <xdr:grpSp>
      <xdr:nvGrpSpPr>
        <xdr:cNvPr id="28" name="DESEMPENHO DO FATURAMENTO">
          <a:extLst>
            <a:ext uri="{FF2B5EF4-FFF2-40B4-BE49-F238E27FC236}">
              <a16:creationId xmlns:a16="http://schemas.microsoft.com/office/drawing/2014/main" id="{6BD57AB3-50FD-494D-A25D-DCB216D0A7A0}"/>
            </a:ext>
          </a:extLst>
        </xdr:cNvPr>
        <xdr:cNvGrpSpPr/>
      </xdr:nvGrpSpPr>
      <xdr:grpSpPr>
        <a:xfrm>
          <a:off x="7595738" y="1191489"/>
          <a:ext cx="5036841" cy="4852120"/>
          <a:chOff x="7595738" y="1191489"/>
          <a:chExt cx="5036841" cy="4852120"/>
        </a:xfrm>
      </xdr:grpSpPr>
      <xdr:sp macro="" textlink="">
        <xdr:nvSpPr>
          <xdr:cNvPr id="75" name="Retângulo: Cantos Arredondados 74">
            <a:extLst>
              <a:ext uri="{FF2B5EF4-FFF2-40B4-BE49-F238E27FC236}">
                <a16:creationId xmlns:a16="http://schemas.microsoft.com/office/drawing/2014/main" id="{055F95E4-20FD-4869-8172-A6D15E8C63B4}"/>
              </a:ext>
              <a:ext uri="{C183D7F6-B498-43B3-948B-1728B52AA6E4}">
                <adec:decorative xmlns:adec="http://schemas.microsoft.com/office/drawing/2017/decorative" val="1"/>
              </a:ext>
            </a:extLst>
          </xdr:cNvPr>
          <xdr:cNvSpPr/>
        </xdr:nvSpPr>
        <xdr:spPr>
          <a:xfrm>
            <a:off x="7595738" y="1191489"/>
            <a:ext cx="5036841" cy="2986026"/>
          </a:xfrm>
          <a:prstGeom prst="roundRect">
            <a:avLst>
              <a:gd name="adj" fmla="val 5224"/>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sp macro="" textlink="">
        <xdr:nvSpPr>
          <xdr:cNvPr id="11" name="Círculo Parcial 10">
            <a:extLst>
              <a:ext uri="{FF2B5EF4-FFF2-40B4-BE49-F238E27FC236}">
                <a16:creationId xmlns:a16="http://schemas.microsoft.com/office/drawing/2014/main" id="{79F5C46B-CD2C-4123-A9F2-C67A0BAAB424}"/>
              </a:ext>
            </a:extLst>
          </xdr:cNvPr>
          <xdr:cNvSpPr/>
        </xdr:nvSpPr>
        <xdr:spPr>
          <a:xfrm flipV="1">
            <a:off x="7846218" y="1595436"/>
            <a:ext cx="4452937" cy="4448173"/>
          </a:xfrm>
          <a:prstGeom prst="pie">
            <a:avLst>
              <a:gd name="adj1" fmla="val 0"/>
              <a:gd name="adj2" fmla="val 10817412"/>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aphicFrame macro="">
        <xdr:nvGraphicFramePr>
          <xdr:cNvPr id="70" name="Gráfico 69">
            <a:extLst>
              <a:ext uri="{FF2B5EF4-FFF2-40B4-BE49-F238E27FC236}">
                <a16:creationId xmlns:a16="http://schemas.microsoft.com/office/drawing/2014/main" id="{9689512C-8CE3-4778-913E-9AE69B6117E0}"/>
              </a:ext>
            </a:extLst>
          </xdr:cNvPr>
          <xdr:cNvGraphicFramePr/>
        </xdr:nvGraphicFramePr>
        <xdr:xfrm>
          <a:off x="7600008" y="1693293"/>
          <a:ext cx="4985669" cy="4339356"/>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54" name="Círculo Parcial 53">
            <a:extLst>
              <a:ext uri="{FF2B5EF4-FFF2-40B4-BE49-F238E27FC236}">
                <a16:creationId xmlns:a16="http://schemas.microsoft.com/office/drawing/2014/main" id="{C20763DB-48CA-47B0-87F7-C76F60D96742}"/>
              </a:ext>
            </a:extLst>
          </xdr:cNvPr>
          <xdr:cNvSpPr/>
        </xdr:nvSpPr>
        <xdr:spPr>
          <a:xfrm rot="5400000">
            <a:off x="9092727" y="2886075"/>
            <a:ext cx="2000250" cy="1943100"/>
          </a:xfrm>
          <a:prstGeom prst="pie">
            <a:avLst>
              <a:gd name="adj1" fmla="val 5364922"/>
              <a:gd name="adj2" fmla="val 16200000"/>
            </a:avLst>
          </a:prstGeom>
          <a:solidFill>
            <a:schemeClr val="bg1">
              <a:lumMod val="65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Apoio!AR19">
        <xdr:nvSpPr>
          <xdr:cNvPr id="51" name="Retângulo 50">
            <a:extLst>
              <a:ext uri="{FF2B5EF4-FFF2-40B4-BE49-F238E27FC236}">
                <a16:creationId xmlns:a16="http://schemas.microsoft.com/office/drawing/2014/main" id="{731971EC-C693-4ADF-9334-E558F109E20B}"/>
              </a:ext>
            </a:extLst>
          </xdr:cNvPr>
          <xdr:cNvSpPr/>
        </xdr:nvSpPr>
        <xdr:spPr>
          <a:xfrm>
            <a:off x="9005309" y="3324225"/>
            <a:ext cx="2188369" cy="528362"/>
          </a:xfrm>
          <a:prstGeom prst="rect">
            <a:avLst/>
          </a:prstGeom>
          <a:noFill/>
          <a:effectLst>
            <a:outerShdw blurRad="50800" dist="38100" dir="2700000" algn="tl" rotWithShape="0">
              <a:prstClr val="black">
                <a:alpha val="40000"/>
              </a:prstClr>
            </a:outerShdw>
          </a:effectLst>
        </xdr:spPr>
        <xdr:txBody>
          <a:bodyPr wrap="none" lIns="91440" tIns="45720" rIns="91440" bIns="45720">
            <a:noAutofit/>
          </a:bodyPr>
          <a:lstStyle/>
          <a:p>
            <a:pPr marL="0" indent="0" algn="ctr"/>
            <a:fld id="{9E3A45EB-19A4-4E51-8BEE-4663E0911487}" type="TxLink">
              <a:rPr lang="en-US" sz="3200" b="0" i="0" u="none" strike="noStrike" cap="none" spc="0">
                <a:ln w="0"/>
                <a:solidFill>
                  <a:srgbClr val="000000"/>
                </a:solidFill>
                <a:effectLst>
                  <a:outerShdw blurRad="38100" dist="19050" dir="2700000" algn="tl" rotWithShape="0">
                    <a:schemeClr val="dk1">
                      <a:alpha val="40000"/>
                    </a:schemeClr>
                  </a:outerShdw>
                </a:effectLst>
                <a:latin typeface="Cambria"/>
                <a:ea typeface="Cambria"/>
                <a:cs typeface="+mn-cs"/>
              </a:rPr>
              <a:pPr marL="0" indent="0" algn="ctr"/>
              <a:t>R$ 14,1M</a:t>
            </a:fld>
            <a:endParaRPr lang="pt-BR" sz="4400" b="0" i="0" u="none" strike="noStrike" cap="none" spc="0">
              <a:ln w="0"/>
              <a:solidFill>
                <a:srgbClr val="000000"/>
              </a:solidFill>
              <a:effectLst>
                <a:outerShdw blurRad="38100" dist="19050" dir="2700000" algn="tl" rotWithShape="0">
                  <a:schemeClr val="dk1">
                    <a:alpha val="40000"/>
                  </a:schemeClr>
                </a:outerShdw>
              </a:effectLst>
              <a:latin typeface="Cambria"/>
              <a:ea typeface="Cambria"/>
              <a:cs typeface="+mn-cs"/>
            </a:endParaRPr>
          </a:p>
        </xdr:txBody>
      </xdr:sp>
      <xdr:sp macro="" textlink="">
        <xdr:nvSpPr>
          <xdr:cNvPr id="76" name="Retângulo 75">
            <a:extLst>
              <a:ext uri="{FF2B5EF4-FFF2-40B4-BE49-F238E27FC236}">
                <a16:creationId xmlns:a16="http://schemas.microsoft.com/office/drawing/2014/main" id="{5D74C59F-54A5-436B-8951-47D4EDE5000B}"/>
              </a:ext>
            </a:extLst>
          </xdr:cNvPr>
          <xdr:cNvSpPr/>
        </xdr:nvSpPr>
        <xdr:spPr>
          <a:xfrm>
            <a:off x="7705725" y="1191800"/>
            <a:ext cx="4252892" cy="390525"/>
          </a:xfrm>
          <a:prstGeom prst="rect">
            <a:avLst/>
          </a:prstGeom>
          <a:noFill/>
        </xdr:spPr>
        <xdr:txBody>
          <a:bodyPr wrap="square" lIns="91440" tIns="45720" rIns="91440" bIns="45720">
            <a:noAutofit/>
          </a:bodyPr>
          <a:lstStyle/>
          <a:p>
            <a:pPr marL="0" indent="0" algn="l"/>
            <a:r>
              <a:rPr lang="en-US" sz="2000" b="0" i="0" u="none" strike="noStrike" cap="none" spc="0">
                <a:ln w="0"/>
                <a:solidFill>
                  <a:sysClr val="windowText" lastClr="000000"/>
                </a:solidFill>
                <a:effectLst>
                  <a:outerShdw blurRad="38100" dist="19050" dir="2700000" algn="tl" rotWithShape="0">
                    <a:schemeClr val="dk1">
                      <a:alpha val="40000"/>
                    </a:schemeClr>
                  </a:outerShdw>
                </a:effectLst>
                <a:latin typeface="Cambria"/>
                <a:ea typeface="Cambria"/>
                <a:cs typeface="+mn-cs"/>
              </a:rPr>
              <a:t>DESEMPENHO DO FATURAMENTO</a:t>
            </a:r>
          </a:p>
        </xdr:txBody>
      </xdr:sp>
      <xdr:graphicFrame macro="">
        <xdr:nvGraphicFramePr>
          <xdr:cNvPr id="71" name="Gráfico 70">
            <a:extLst>
              <a:ext uri="{FF2B5EF4-FFF2-40B4-BE49-F238E27FC236}">
                <a16:creationId xmlns:a16="http://schemas.microsoft.com/office/drawing/2014/main" id="{295D02A4-7012-4BBF-9123-6980CD8B06E0}"/>
              </a:ext>
            </a:extLst>
          </xdr:cNvPr>
          <xdr:cNvGraphicFramePr/>
        </xdr:nvGraphicFramePr>
        <xdr:xfrm>
          <a:off x="7712873" y="1668149"/>
          <a:ext cx="4768902" cy="4293532"/>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12" name="Retângulo 11">
            <a:extLst>
              <a:ext uri="{FF2B5EF4-FFF2-40B4-BE49-F238E27FC236}">
                <a16:creationId xmlns:a16="http://schemas.microsoft.com/office/drawing/2014/main" id="{9410C99B-829B-4323-8089-7763F0BF6B58}"/>
              </a:ext>
            </a:extLst>
          </xdr:cNvPr>
          <xdr:cNvSpPr/>
        </xdr:nvSpPr>
        <xdr:spPr>
          <a:xfrm>
            <a:off x="7846221" y="3819525"/>
            <a:ext cx="4454250" cy="119907"/>
          </a:xfrm>
          <a:prstGeom prst="rect">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clientData/>
  </xdr:twoCellAnchor>
  <xdr:twoCellAnchor editAs="absolute">
    <xdr:from>
      <xdr:col>4</xdr:col>
      <xdr:colOff>4768</xdr:colOff>
      <xdr:row>17</xdr:row>
      <xdr:rowOff>60611</xdr:rowOff>
    </xdr:from>
    <xdr:to>
      <xdr:col>13</xdr:col>
      <xdr:colOff>238188</xdr:colOff>
      <xdr:row>33</xdr:row>
      <xdr:rowOff>4589</xdr:rowOff>
    </xdr:to>
    <xdr:grpSp>
      <xdr:nvGrpSpPr>
        <xdr:cNvPr id="9" name="08 DETALHAMENTO">
          <a:extLst>
            <a:ext uri="{FF2B5EF4-FFF2-40B4-BE49-F238E27FC236}">
              <a16:creationId xmlns:a16="http://schemas.microsoft.com/office/drawing/2014/main" id="{44F33307-7FC1-4E31-846C-3DED0B6EBD30}"/>
            </a:ext>
          </a:extLst>
        </xdr:cNvPr>
        <xdr:cNvGrpSpPr/>
      </xdr:nvGrpSpPr>
      <xdr:grpSpPr>
        <a:xfrm>
          <a:off x="2443168" y="3299111"/>
          <a:ext cx="5719820" cy="2991978"/>
          <a:chOff x="2411995" y="1191489"/>
          <a:chExt cx="5688648" cy="2991978"/>
        </a:xfrm>
      </xdr:grpSpPr>
      <xdr:sp macro="" textlink="">
        <xdr:nvSpPr>
          <xdr:cNvPr id="32" name="Retângulo: Cantos Arredondados 31">
            <a:extLst>
              <a:ext uri="{FF2B5EF4-FFF2-40B4-BE49-F238E27FC236}">
                <a16:creationId xmlns:a16="http://schemas.microsoft.com/office/drawing/2014/main" id="{55DD7CF1-377C-467B-B35F-F999A23D89BC}"/>
              </a:ext>
              <a:ext uri="{C183D7F6-B498-43B3-948B-1728B52AA6E4}">
                <adec:decorative xmlns:adec="http://schemas.microsoft.com/office/drawing/2017/decorative" val="1"/>
              </a:ext>
            </a:extLst>
          </xdr:cNvPr>
          <xdr:cNvSpPr/>
        </xdr:nvSpPr>
        <xdr:spPr>
          <a:xfrm>
            <a:off x="2417847" y="1191489"/>
            <a:ext cx="5007876" cy="2986026"/>
          </a:xfrm>
          <a:prstGeom prst="roundRect">
            <a:avLst>
              <a:gd name="adj" fmla="val 5224"/>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aphicFrame macro="">
        <xdr:nvGraphicFramePr>
          <xdr:cNvPr id="52" name="Gráfico 51">
            <a:extLst>
              <a:ext uri="{FF2B5EF4-FFF2-40B4-BE49-F238E27FC236}">
                <a16:creationId xmlns:a16="http://schemas.microsoft.com/office/drawing/2014/main" id="{DCAD02BD-7987-4B40-8A2E-D5A3F8245603}"/>
              </a:ext>
            </a:extLst>
          </xdr:cNvPr>
          <xdr:cNvGraphicFramePr>
            <a:graphicFrameLocks/>
          </xdr:cNvGraphicFramePr>
        </xdr:nvGraphicFramePr>
        <xdr:xfrm>
          <a:off x="2411995" y="1333500"/>
          <a:ext cx="5688648" cy="2849967"/>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58" name="Retângulo 57">
            <a:extLst>
              <a:ext uri="{FF2B5EF4-FFF2-40B4-BE49-F238E27FC236}">
                <a16:creationId xmlns:a16="http://schemas.microsoft.com/office/drawing/2014/main" id="{36FF35F2-5FD6-474A-83D4-FF3CD8947F85}"/>
              </a:ext>
            </a:extLst>
          </xdr:cNvPr>
          <xdr:cNvSpPr/>
        </xdr:nvSpPr>
        <xdr:spPr>
          <a:xfrm>
            <a:off x="2567420" y="1200150"/>
            <a:ext cx="2440560" cy="419100"/>
          </a:xfrm>
          <a:prstGeom prst="rect">
            <a:avLst/>
          </a:prstGeom>
          <a:noFill/>
        </xdr:spPr>
        <xdr:txBody>
          <a:bodyPr wrap="square" lIns="91440" tIns="45720" rIns="91440" bIns="45720">
            <a:noAutofit/>
          </a:bodyPr>
          <a:lstStyle/>
          <a:p>
            <a:pPr marL="0" indent="0" algn="l"/>
            <a:r>
              <a:rPr lang="en-US" sz="2000" b="0" i="0" u="none" strike="noStrike" cap="none" spc="0">
                <a:ln w="0"/>
                <a:solidFill>
                  <a:sysClr val="windowText" lastClr="000000"/>
                </a:solidFill>
                <a:effectLst>
                  <a:outerShdw blurRad="38100" dist="19050" dir="2700000" algn="tl" rotWithShape="0">
                    <a:schemeClr val="dk1">
                      <a:alpha val="40000"/>
                    </a:schemeClr>
                  </a:outerShdw>
                </a:effectLst>
                <a:latin typeface="Cambria"/>
                <a:ea typeface="Cambria"/>
                <a:cs typeface="+mn-cs"/>
              </a:rPr>
              <a:t>DETALHAMENTO</a:t>
            </a:r>
          </a:p>
        </xdr:txBody>
      </xdr:sp>
    </xdr:grpSp>
    <xdr:clientData/>
  </xdr:twoCellAnchor>
  <xdr:twoCellAnchor editAs="absolute">
    <xdr:from>
      <xdr:col>4</xdr:col>
      <xdr:colOff>724</xdr:colOff>
      <xdr:row>6</xdr:row>
      <xdr:rowOff>48103</xdr:rowOff>
    </xdr:from>
    <xdr:to>
      <xdr:col>12</xdr:col>
      <xdr:colOff>170274</xdr:colOff>
      <xdr:row>16</xdr:row>
      <xdr:rowOff>145423</xdr:rowOff>
    </xdr:to>
    <xdr:grpSp>
      <xdr:nvGrpSpPr>
        <xdr:cNvPr id="14" name="06 ENTRADAXSAIDA">
          <a:extLst>
            <a:ext uri="{FF2B5EF4-FFF2-40B4-BE49-F238E27FC236}">
              <a16:creationId xmlns:a16="http://schemas.microsoft.com/office/drawing/2014/main" id="{B9109037-C2AA-4FEB-BB67-71C5CB7928D8}"/>
            </a:ext>
          </a:extLst>
        </xdr:cNvPr>
        <xdr:cNvGrpSpPr/>
      </xdr:nvGrpSpPr>
      <xdr:grpSpPr>
        <a:xfrm>
          <a:off x="2439124" y="1191103"/>
          <a:ext cx="5046350" cy="2002320"/>
          <a:chOff x="2417847" y="4284997"/>
          <a:chExt cx="5012455" cy="2002320"/>
        </a:xfrm>
      </xdr:grpSpPr>
      <xdr:sp macro="" textlink="">
        <xdr:nvSpPr>
          <xdr:cNvPr id="31" name="Retângulo: Cantos Arredondados 30">
            <a:extLst>
              <a:ext uri="{FF2B5EF4-FFF2-40B4-BE49-F238E27FC236}">
                <a16:creationId xmlns:a16="http://schemas.microsoft.com/office/drawing/2014/main" id="{FA8DB4B1-6D93-49A2-B11F-8556D36DCCAC}"/>
              </a:ext>
              <a:ext uri="{C183D7F6-B498-43B3-948B-1728B52AA6E4}">
                <adec:decorative xmlns:adec="http://schemas.microsoft.com/office/drawing/2017/decorative" val="1"/>
              </a:ext>
            </a:extLst>
          </xdr:cNvPr>
          <xdr:cNvSpPr/>
        </xdr:nvSpPr>
        <xdr:spPr>
          <a:xfrm>
            <a:off x="2417847" y="4284997"/>
            <a:ext cx="5012455" cy="2002320"/>
          </a:xfrm>
          <a:prstGeom prst="roundRect">
            <a:avLst>
              <a:gd name="adj" fmla="val 9046"/>
            </a:avLst>
          </a:prstGeom>
          <a:solidFill>
            <a:schemeClr val="accent3">
              <a:lumMod val="40000"/>
              <a:lumOff val="6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aphicFrame macro="">
        <xdr:nvGraphicFramePr>
          <xdr:cNvPr id="45" name="Gráfico 44">
            <a:extLst>
              <a:ext uri="{FF2B5EF4-FFF2-40B4-BE49-F238E27FC236}">
                <a16:creationId xmlns:a16="http://schemas.microsoft.com/office/drawing/2014/main" id="{8A213289-8458-4DB9-9831-7910853C3CA0}"/>
              </a:ext>
            </a:extLst>
          </xdr:cNvPr>
          <xdr:cNvGraphicFramePr>
            <a:graphicFrameLocks/>
          </xdr:cNvGraphicFramePr>
        </xdr:nvGraphicFramePr>
        <xdr:xfrm>
          <a:off x="2432357" y="4656427"/>
          <a:ext cx="4936529" cy="1542618"/>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48" name="Retângulo 47">
            <a:extLst>
              <a:ext uri="{FF2B5EF4-FFF2-40B4-BE49-F238E27FC236}">
                <a16:creationId xmlns:a16="http://schemas.microsoft.com/office/drawing/2014/main" id="{C52DC4DA-06C8-4FA1-ADFF-A3D98DA91029}"/>
              </a:ext>
            </a:extLst>
          </xdr:cNvPr>
          <xdr:cNvSpPr/>
        </xdr:nvSpPr>
        <xdr:spPr>
          <a:xfrm>
            <a:off x="2567420" y="4295775"/>
            <a:ext cx="2410825" cy="390525"/>
          </a:xfrm>
          <a:prstGeom prst="rect">
            <a:avLst/>
          </a:prstGeom>
          <a:noFill/>
        </xdr:spPr>
        <xdr:txBody>
          <a:bodyPr wrap="square" lIns="91440" tIns="45720" rIns="91440" bIns="45720">
            <a:noAutofit/>
          </a:bodyPr>
          <a:lstStyle/>
          <a:p>
            <a:pPr marL="0" indent="0" algn="l"/>
            <a:r>
              <a:rPr lang="en-US" sz="2000" b="0" i="0" u="none" strike="noStrike" cap="none" spc="0">
                <a:ln w="0"/>
                <a:solidFill>
                  <a:sysClr val="windowText" lastClr="000000"/>
                </a:solidFill>
                <a:effectLst>
                  <a:outerShdw blurRad="38100" dist="19050" dir="2700000" algn="tl" rotWithShape="0">
                    <a:schemeClr val="dk1">
                      <a:alpha val="40000"/>
                    </a:schemeClr>
                  </a:outerShdw>
                </a:effectLst>
                <a:latin typeface="Cambria"/>
                <a:ea typeface="Cambria"/>
                <a:cs typeface="+mn-cs"/>
              </a:rPr>
              <a:t>ENTRADA X SAÍDA</a:t>
            </a:r>
          </a:p>
        </xdr:txBody>
      </xdr:sp>
    </xdr:grpSp>
    <xdr:clientData/>
  </xdr:twoCellAnchor>
  <xdr:twoCellAnchor>
    <xdr:from>
      <xdr:col>16</xdr:col>
      <xdr:colOff>423648</xdr:colOff>
      <xdr:row>0</xdr:row>
      <xdr:rowOff>176069</xdr:rowOff>
    </xdr:from>
    <xdr:to>
      <xdr:col>20</xdr:col>
      <xdr:colOff>442773</xdr:colOff>
      <xdr:row>5</xdr:row>
      <xdr:rowOff>123569</xdr:rowOff>
    </xdr:to>
    <xdr:grpSp>
      <xdr:nvGrpSpPr>
        <xdr:cNvPr id="21" name="05 LUCRO">
          <a:extLst>
            <a:ext uri="{FF2B5EF4-FFF2-40B4-BE49-F238E27FC236}">
              <a16:creationId xmlns:a16="http://schemas.microsoft.com/office/drawing/2014/main" id="{DBB09D75-6E15-43BC-A745-3C5A5DB48A1A}"/>
            </a:ext>
          </a:extLst>
        </xdr:cNvPr>
        <xdr:cNvGrpSpPr/>
      </xdr:nvGrpSpPr>
      <xdr:grpSpPr>
        <a:xfrm>
          <a:off x="10177248" y="176069"/>
          <a:ext cx="2457525" cy="900000"/>
          <a:chOff x="10177248" y="176069"/>
          <a:chExt cx="2457525" cy="900000"/>
        </a:xfrm>
      </xdr:grpSpPr>
      <xdr:sp macro="" textlink="">
        <xdr:nvSpPr>
          <xdr:cNvPr id="13" name="Retângulo: Cantos Arredondados 12">
            <a:extLst>
              <a:ext uri="{FF2B5EF4-FFF2-40B4-BE49-F238E27FC236}">
                <a16:creationId xmlns:a16="http://schemas.microsoft.com/office/drawing/2014/main" id="{5D5A41A7-E96E-44BE-8BA8-58C6F82AF40F}"/>
              </a:ext>
              <a:ext uri="{C183D7F6-B498-43B3-948B-1728B52AA6E4}">
                <adec:decorative xmlns:adec="http://schemas.microsoft.com/office/drawing/2017/decorative" val="1"/>
              </a:ext>
            </a:extLst>
          </xdr:cNvPr>
          <xdr:cNvSpPr/>
        </xdr:nvSpPr>
        <xdr:spPr>
          <a:xfrm>
            <a:off x="10177248" y="176069"/>
            <a:ext cx="2457525" cy="900000"/>
          </a:xfrm>
          <a:prstGeom prst="roundRect">
            <a:avLst/>
          </a:prstGeom>
          <a:solidFill>
            <a:srgbClr val="72AE7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Apoio!S11">
        <xdr:nvSpPr>
          <xdr:cNvPr id="72" name="Retângulo 71">
            <a:extLst>
              <a:ext uri="{FF2B5EF4-FFF2-40B4-BE49-F238E27FC236}">
                <a16:creationId xmlns:a16="http://schemas.microsoft.com/office/drawing/2014/main" id="{7DAA7389-CEAC-4497-BC34-D3666BEF685C}"/>
              </a:ext>
            </a:extLst>
          </xdr:cNvPr>
          <xdr:cNvSpPr/>
        </xdr:nvSpPr>
        <xdr:spPr>
          <a:xfrm>
            <a:off x="10954988" y="662780"/>
            <a:ext cx="1665638" cy="381001"/>
          </a:xfrm>
          <a:prstGeom prst="rect">
            <a:avLst/>
          </a:prstGeom>
          <a:noFill/>
        </xdr:spPr>
        <xdr:txBody>
          <a:bodyPr wrap="none" lIns="91440" tIns="45720" rIns="91440" bIns="45720">
            <a:noAutofit/>
          </a:bodyPr>
          <a:lstStyle/>
          <a:p>
            <a:pPr marL="0" indent="0" algn="l"/>
            <a:fld id="{E55C8926-3941-4FCC-89A8-7B0FF2F84C3D}" type="TxLink">
              <a:rPr lang="en-US" sz="1600" b="0" i="0" u="none" strike="noStrike" cap="none" spc="0">
                <a:ln w="0"/>
                <a:solidFill>
                  <a:srgbClr val="000000"/>
                </a:solidFill>
                <a:effectLst>
                  <a:outerShdw blurRad="38100" dist="19050" dir="2700000" algn="tl" rotWithShape="0">
                    <a:schemeClr val="dk1">
                      <a:alpha val="40000"/>
                    </a:schemeClr>
                  </a:outerShdw>
                </a:effectLst>
                <a:latin typeface="Cambria"/>
                <a:ea typeface="Cambria"/>
                <a:cs typeface="+mn-cs"/>
              </a:rPr>
              <a:pPr marL="0" indent="0" algn="l"/>
              <a:t> R$ 6.902.863,00 </a:t>
            </a:fld>
            <a:endParaRPr lang="pt-BR" sz="1600" b="0" i="0" u="none" strike="noStrike" cap="none" spc="0">
              <a:ln w="0"/>
              <a:solidFill>
                <a:srgbClr val="000000"/>
              </a:solidFill>
              <a:effectLst>
                <a:outerShdw blurRad="38100" dist="19050" dir="2700000" algn="tl" rotWithShape="0">
                  <a:schemeClr val="dk1">
                    <a:alpha val="40000"/>
                  </a:schemeClr>
                </a:outerShdw>
              </a:effectLst>
              <a:latin typeface="Cambria"/>
              <a:ea typeface="Cambria"/>
              <a:cs typeface="+mn-cs"/>
            </a:endParaRPr>
          </a:p>
        </xdr:txBody>
      </xdr:sp>
      <xdr:cxnSp macro="">
        <xdr:nvCxnSpPr>
          <xdr:cNvPr id="73" name="Conector reto 72">
            <a:extLst>
              <a:ext uri="{FF2B5EF4-FFF2-40B4-BE49-F238E27FC236}">
                <a16:creationId xmlns:a16="http://schemas.microsoft.com/office/drawing/2014/main" id="{2128723A-8EDF-4629-B938-9A5D48D0B234}"/>
              </a:ext>
            </a:extLst>
          </xdr:cNvPr>
          <xdr:cNvCxnSpPr/>
        </xdr:nvCxnSpPr>
        <xdr:spPr>
          <a:xfrm>
            <a:off x="11025357" y="238306"/>
            <a:ext cx="0" cy="755292"/>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pic>
        <xdr:nvPicPr>
          <xdr:cNvPr id="79" name="Imagem 78">
            <a:extLst>
              <a:ext uri="{FF2B5EF4-FFF2-40B4-BE49-F238E27FC236}">
                <a16:creationId xmlns:a16="http://schemas.microsoft.com/office/drawing/2014/main" id="{F333919F-565C-4789-89C2-382FEDA5FDAC}"/>
              </a:ext>
            </a:extLst>
          </xdr:cNvPr>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0289382" y="297656"/>
            <a:ext cx="650381" cy="648000"/>
          </a:xfrm>
          <a:prstGeom prst="rect">
            <a:avLst/>
          </a:prstGeom>
        </xdr:spPr>
      </xdr:pic>
      <xdr:sp macro="" textlink="">
        <xdr:nvSpPr>
          <xdr:cNvPr id="36" name="Retângulo 35">
            <a:extLst>
              <a:ext uri="{FF2B5EF4-FFF2-40B4-BE49-F238E27FC236}">
                <a16:creationId xmlns:a16="http://schemas.microsoft.com/office/drawing/2014/main" id="{2C32FCED-6A9B-4649-8F43-E54CC2F7E7F5}"/>
              </a:ext>
            </a:extLst>
          </xdr:cNvPr>
          <xdr:cNvSpPr/>
        </xdr:nvSpPr>
        <xdr:spPr>
          <a:xfrm>
            <a:off x="10952285" y="271127"/>
            <a:ext cx="1525465" cy="276560"/>
          </a:xfrm>
          <a:prstGeom prst="rect">
            <a:avLst/>
          </a:prstGeom>
          <a:noFill/>
        </xdr:spPr>
        <xdr:txBody>
          <a:bodyPr wrap="square" lIns="91440" tIns="45720" rIns="91440" bIns="45720">
            <a:noAutofit/>
          </a:bodyPr>
          <a:lstStyle/>
          <a:p>
            <a:pPr marL="0" indent="0" algn="l"/>
            <a:r>
              <a:rPr lang="en-US" sz="1800" b="0" i="0" u="none" strike="noStrike" cap="none" spc="0">
                <a:ln w="0"/>
                <a:solidFill>
                  <a:schemeClr val="tx1"/>
                </a:solidFill>
                <a:effectLst>
                  <a:outerShdw blurRad="38100" dist="19050" dir="2700000" algn="tl" rotWithShape="0">
                    <a:schemeClr val="dk1">
                      <a:alpha val="40000"/>
                    </a:schemeClr>
                  </a:outerShdw>
                </a:effectLst>
                <a:latin typeface="Cambria"/>
                <a:ea typeface="Cambria"/>
                <a:cs typeface="+mn-cs"/>
              </a:rPr>
              <a:t> LUCRO</a:t>
            </a:r>
          </a:p>
        </xdr:txBody>
      </xdr:sp>
    </xdr:grpSp>
    <xdr:clientData/>
  </xdr:twoCellAnchor>
  <xdr:twoCellAnchor>
    <xdr:from>
      <xdr:col>12</xdr:col>
      <xdr:colOff>280538</xdr:colOff>
      <xdr:row>0</xdr:row>
      <xdr:rowOff>176069</xdr:rowOff>
    </xdr:from>
    <xdr:to>
      <xdr:col>17</xdr:col>
      <xdr:colOff>60187</xdr:colOff>
      <xdr:row>5</xdr:row>
      <xdr:rowOff>123569</xdr:rowOff>
    </xdr:to>
    <xdr:grpSp>
      <xdr:nvGrpSpPr>
        <xdr:cNvPr id="25" name="04 DEDUÇÕES">
          <a:extLst>
            <a:ext uri="{FF2B5EF4-FFF2-40B4-BE49-F238E27FC236}">
              <a16:creationId xmlns:a16="http://schemas.microsoft.com/office/drawing/2014/main" id="{CEEBDD5B-6660-43E0-9A6D-2AC6745859B8}"/>
            </a:ext>
          </a:extLst>
        </xdr:cNvPr>
        <xdr:cNvGrpSpPr/>
      </xdr:nvGrpSpPr>
      <xdr:grpSpPr>
        <a:xfrm>
          <a:off x="7595738" y="176069"/>
          <a:ext cx="2827649" cy="900000"/>
          <a:chOff x="7595738" y="176069"/>
          <a:chExt cx="2827649" cy="900000"/>
        </a:xfrm>
      </xdr:grpSpPr>
      <xdr:grpSp>
        <xdr:nvGrpSpPr>
          <xdr:cNvPr id="20" name="Agrupar 19">
            <a:extLst>
              <a:ext uri="{FF2B5EF4-FFF2-40B4-BE49-F238E27FC236}">
                <a16:creationId xmlns:a16="http://schemas.microsoft.com/office/drawing/2014/main" id="{FCF18262-714A-4D2C-9241-EF227BF9F388}"/>
              </a:ext>
            </a:extLst>
          </xdr:cNvPr>
          <xdr:cNvGrpSpPr/>
        </xdr:nvGrpSpPr>
        <xdr:grpSpPr>
          <a:xfrm>
            <a:off x="7595738" y="176069"/>
            <a:ext cx="2827649" cy="900000"/>
            <a:chOff x="7595738" y="176069"/>
            <a:chExt cx="2827649" cy="900000"/>
          </a:xfrm>
        </xdr:grpSpPr>
        <xdr:sp macro="" textlink="">
          <xdr:nvSpPr>
            <xdr:cNvPr id="10" name="Retângulo: Cantos Arredondados 9">
              <a:extLst>
                <a:ext uri="{FF2B5EF4-FFF2-40B4-BE49-F238E27FC236}">
                  <a16:creationId xmlns:a16="http://schemas.microsoft.com/office/drawing/2014/main" id="{0F49041F-273A-411A-AE3D-F186430F88BC}"/>
                </a:ext>
                <a:ext uri="{C183D7F6-B498-43B3-948B-1728B52AA6E4}">
                  <adec:decorative xmlns:adec="http://schemas.microsoft.com/office/drawing/2017/decorative" val="1"/>
                </a:ext>
              </a:extLst>
            </xdr:cNvPr>
            <xdr:cNvSpPr/>
          </xdr:nvSpPr>
          <xdr:spPr>
            <a:xfrm>
              <a:off x="7595738" y="176069"/>
              <a:ext cx="2457525" cy="900000"/>
            </a:xfrm>
            <a:prstGeom prst="round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sp macro="" textlink="Apoio!S9">
          <xdr:nvSpPr>
            <xdr:cNvPr id="68" name="Retângulo 67">
              <a:extLst>
                <a:ext uri="{FF2B5EF4-FFF2-40B4-BE49-F238E27FC236}">
                  <a16:creationId xmlns:a16="http://schemas.microsoft.com/office/drawing/2014/main" id="{02E69EA3-677F-4CE6-A2DC-D7AD23B0C84C}"/>
                </a:ext>
              </a:extLst>
            </xdr:cNvPr>
            <xdr:cNvSpPr/>
          </xdr:nvSpPr>
          <xdr:spPr>
            <a:xfrm>
              <a:off x="8392971" y="660709"/>
              <a:ext cx="1642938" cy="369834"/>
            </a:xfrm>
            <a:prstGeom prst="rect">
              <a:avLst/>
            </a:prstGeom>
            <a:noFill/>
          </xdr:spPr>
          <xdr:txBody>
            <a:bodyPr wrap="none" lIns="91440" tIns="45720" rIns="91440" bIns="45720">
              <a:noAutofit/>
            </a:bodyPr>
            <a:lstStyle/>
            <a:p>
              <a:pPr marL="0" indent="0" algn="l"/>
              <a:fld id="{1A81E9F1-172C-4B0C-873A-0132D9D31DDE}" type="TxLink">
                <a:rPr lang="en-US" sz="1600" b="0" i="0" u="none" strike="noStrike" cap="none" spc="0">
                  <a:ln w="0"/>
                  <a:solidFill>
                    <a:srgbClr val="000000"/>
                  </a:solidFill>
                  <a:effectLst>
                    <a:outerShdw blurRad="38100" dist="19050" dir="2700000" algn="tl" rotWithShape="0">
                      <a:schemeClr val="dk1">
                        <a:alpha val="40000"/>
                      </a:schemeClr>
                    </a:outerShdw>
                  </a:effectLst>
                  <a:latin typeface="Cambria"/>
                  <a:ea typeface="Cambria"/>
                  <a:cs typeface="+mn-cs"/>
                </a:rPr>
                <a:pPr marL="0" indent="0" algn="l"/>
                <a:t>-R$ 2.381.549,00 </a:t>
              </a:fld>
              <a:endParaRPr lang="pt-BR" sz="1600" b="0" i="0" u="none" strike="noStrike" cap="none" spc="0">
                <a:ln w="0"/>
                <a:solidFill>
                  <a:srgbClr val="000000"/>
                </a:solidFill>
                <a:effectLst>
                  <a:outerShdw blurRad="38100" dist="19050" dir="2700000" algn="tl" rotWithShape="0">
                    <a:schemeClr val="dk1">
                      <a:alpha val="40000"/>
                    </a:schemeClr>
                  </a:outerShdw>
                </a:effectLst>
                <a:latin typeface="Cambria"/>
                <a:ea typeface="Cambria"/>
                <a:cs typeface="+mn-cs"/>
              </a:endParaRPr>
            </a:p>
          </xdr:txBody>
        </xdr:sp>
        <xdr:pic>
          <xdr:nvPicPr>
            <xdr:cNvPr id="83" name="Imagem 82">
              <a:extLst>
                <a:ext uri="{FF2B5EF4-FFF2-40B4-BE49-F238E27FC236}">
                  <a16:creationId xmlns:a16="http://schemas.microsoft.com/office/drawing/2014/main" id="{3CFFF359-09BF-42E9-80D1-5F67AD79F13B}"/>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716221" y="285751"/>
              <a:ext cx="650381" cy="648000"/>
            </a:xfrm>
            <a:prstGeom prst="rect">
              <a:avLst/>
            </a:prstGeom>
          </xdr:spPr>
        </xdr:pic>
        <xdr:sp macro="" textlink="">
          <xdr:nvSpPr>
            <xdr:cNvPr id="35" name="Retângulo 34">
              <a:extLst>
                <a:ext uri="{FF2B5EF4-FFF2-40B4-BE49-F238E27FC236}">
                  <a16:creationId xmlns:a16="http://schemas.microsoft.com/office/drawing/2014/main" id="{3F4F5223-C6B3-4D11-B1EF-3A8B00A8FF2F}"/>
                </a:ext>
              </a:extLst>
            </xdr:cNvPr>
            <xdr:cNvSpPr/>
          </xdr:nvSpPr>
          <xdr:spPr>
            <a:xfrm>
              <a:off x="8421016" y="312539"/>
              <a:ext cx="2002371" cy="292092"/>
            </a:xfrm>
            <a:prstGeom prst="rect">
              <a:avLst/>
            </a:prstGeom>
            <a:noFill/>
          </xdr:spPr>
          <xdr:txBody>
            <a:bodyPr wrap="square" lIns="91440" tIns="45720" rIns="91440" bIns="45720">
              <a:noAutofit/>
            </a:bodyPr>
            <a:lstStyle/>
            <a:p>
              <a:pPr marL="0" indent="0" algn="l"/>
              <a:r>
                <a:rPr lang="en-US" sz="1400" b="0" i="0" u="none" strike="noStrike" cap="none" spc="0">
                  <a:ln w="0"/>
                  <a:solidFill>
                    <a:schemeClr val="tx1"/>
                  </a:solidFill>
                  <a:effectLst>
                    <a:outerShdw blurRad="38100" dist="19050" dir="2700000" algn="tl" rotWithShape="0">
                      <a:schemeClr val="dk1">
                        <a:alpha val="40000"/>
                      </a:schemeClr>
                    </a:outerShdw>
                  </a:effectLst>
                  <a:latin typeface="Cambria"/>
                  <a:ea typeface="Cambria"/>
                  <a:cs typeface="+mn-cs"/>
                </a:rPr>
                <a:t>DEDUÇÕES</a:t>
              </a:r>
              <a:r>
                <a:rPr lang="en-US" sz="1400" b="0" i="0" u="none" strike="noStrike" cap="none" spc="0" baseline="0">
                  <a:ln w="0"/>
                  <a:solidFill>
                    <a:schemeClr val="tx1"/>
                  </a:solidFill>
                  <a:effectLst>
                    <a:outerShdw blurRad="38100" dist="19050" dir="2700000" algn="tl" rotWithShape="0">
                      <a:schemeClr val="dk1">
                        <a:alpha val="40000"/>
                      </a:schemeClr>
                    </a:outerShdw>
                  </a:effectLst>
                  <a:latin typeface="Cambria"/>
                  <a:ea typeface="Cambria"/>
                  <a:cs typeface="+mn-cs"/>
                </a:rPr>
                <a:t> </a:t>
              </a:r>
              <a:r>
                <a:rPr lang="en-US" sz="1400" b="0" i="0" u="none" strike="noStrike" cap="none" spc="0">
                  <a:ln w="0"/>
                  <a:solidFill>
                    <a:schemeClr val="tx1"/>
                  </a:solidFill>
                  <a:effectLst>
                    <a:outerShdw blurRad="38100" dist="19050" dir="2700000" algn="tl" rotWithShape="0">
                      <a:schemeClr val="dk1">
                        <a:alpha val="40000"/>
                      </a:schemeClr>
                    </a:outerShdw>
                  </a:effectLst>
                  <a:latin typeface="Cambria"/>
                  <a:ea typeface="Cambria"/>
                  <a:cs typeface="+mn-cs"/>
                </a:rPr>
                <a:t>E DESP.</a:t>
              </a:r>
            </a:p>
            <a:p>
              <a:pPr marL="0" indent="0" algn="l"/>
              <a:endParaRPr lang="en-US" sz="1400" b="0" i="0" u="none" strike="noStrike" cap="none" spc="0">
                <a:ln w="0"/>
                <a:solidFill>
                  <a:schemeClr val="tx1"/>
                </a:solidFill>
                <a:effectLst>
                  <a:outerShdw blurRad="38100" dist="19050" dir="2700000" algn="tl" rotWithShape="0">
                    <a:schemeClr val="dk1">
                      <a:alpha val="40000"/>
                    </a:schemeClr>
                  </a:outerShdw>
                </a:effectLst>
                <a:latin typeface="Cambria"/>
                <a:ea typeface="Cambria"/>
                <a:cs typeface="+mn-cs"/>
              </a:endParaRPr>
            </a:p>
          </xdr:txBody>
        </xdr:sp>
      </xdr:grpSp>
      <xdr:cxnSp macro="">
        <xdr:nvCxnSpPr>
          <xdr:cNvPr id="69" name="Conector reto 68">
            <a:extLst>
              <a:ext uri="{FF2B5EF4-FFF2-40B4-BE49-F238E27FC236}">
                <a16:creationId xmlns:a16="http://schemas.microsoft.com/office/drawing/2014/main" id="{78CDEBFB-33EF-4D55-9D10-32C2541E9712}"/>
              </a:ext>
            </a:extLst>
          </xdr:cNvPr>
          <xdr:cNvCxnSpPr/>
        </xdr:nvCxnSpPr>
        <xdr:spPr>
          <a:xfrm>
            <a:off x="8467894" y="218932"/>
            <a:ext cx="0" cy="755292"/>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137429</xdr:colOff>
      <xdr:row>0</xdr:row>
      <xdr:rowOff>176069</xdr:rowOff>
    </xdr:from>
    <xdr:to>
      <xdr:col>12</xdr:col>
      <xdr:colOff>166687</xdr:colOff>
      <xdr:row>5</xdr:row>
      <xdr:rowOff>123569</xdr:rowOff>
    </xdr:to>
    <xdr:grpSp>
      <xdr:nvGrpSpPr>
        <xdr:cNvPr id="23" name="03 CUSTOS">
          <a:extLst>
            <a:ext uri="{FF2B5EF4-FFF2-40B4-BE49-F238E27FC236}">
              <a16:creationId xmlns:a16="http://schemas.microsoft.com/office/drawing/2014/main" id="{2487BB79-C8FD-47A2-8A85-BC23587C80E4}"/>
            </a:ext>
          </a:extLst>
        </xdr:cNvPr>
        <xdr:cNvGrpSpPr/>
      </xdr:nvGrpSpPr>
      <xdr:grpSpPr>
        <a:xfrm>
          <a:off x="5014229" y="176069"/>
          <a:ext cx="2467658" cy="900000"/>
          <a:chOff x="5014229" y="176069"/>
          <a:chExt cx="2467658" cy="900000"/>
        </a:xfrm>
      </xdr:grpSpPr>
      <xdr:grpSp>
        <xdr:nvGrpSpPr>
          <xdr:cNvPr id="19" name="Agrupar 18">
            <a:extLst>
              <a:ext uri="{FF2B5EF4-FFF2-40B4-BE49-F238E27FC236}">
                <a16:creationId xmlns:a16="http://schemas.microsoft.com/office/drawing/2014/main" id="{B1B80E6D-1811-4F36-83ED-65A740A56E64}"/>
              </a:ext>
            </a:extLst>
          </xdr:cNvPr>
          <xdr:cNvGrpSpPr/>
        </xdr:nvGrpSpPr>
        <xdr:grpSpPr>
          <a:xfrm>
            <a:off x="5014229" y="176069"/>
            <a:ext cx="2467658" cy="900000"/>
            <a:chOff x="5014229" y="176069"/>
            <a:chExt cx="2467658" cy="900000"/>
          </a:xfrm>
        </xdr:grpSpPr>
        <xdr:sp macro="" textlink="">
          <xdr:nvSpPr>
            <xdr:cNvPr id="8" name="Retângulo: Cantos Arredondados 7">
              <a:extLst>
                <a:ext uri="{FF2B5EF4-FFF2-40B4-BE49-F238E27FC236}">
                  <a16:creationId xmlns:a16="http://schemas.microsoft.com/office/drawing/2014/main" id="{E1A294F4-E567-4E0D-A80E-C71EA4F9E661}"/>
                </a:ext>
                <a:ext uri="{C183D7F6-B498-43B3-948B-1728B52AA6E4}">
                  <adec:decorative xmlns:adec="http://schemas.microsoft.com/office/drawing/2017/decorative" val="1"/>
                </a:ext>
              </a:extLst>
            </xdr:cNvPr>
            <xdr:cNvSpPr/>
          </xdr:nvSpPr>
          <xdr:spPr>
            <a:xfrm>
              <a:off x="5014229" y="176069"/>
              <a:ext cx="2457525" cy="900000"/>
            </a:xfrm>
            <a:prstGeom prst="round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Apoio!S6">
          <xdr:nvSpPr>
            <xdr:cNvPr id="62" name="Retângulo 61">
              <a:extLst>
                <a:ext uri="{FF2B5EF4-FFF2-40B4-BE49-F238E27FC236}">
                  <a16:creationId xmlns:a16="http://schemas.microsoft.com/office/drawing/2014/main" id="{6259D2EB-02D1-402D-92EC-8FAE8720132C}"/>
                </a:ext>
              </a:extLst>
            </xdr:cNvPr>
            <xdr:cNvSpPr/>
          </xdr:nvSpPr>
          <xdr:spPr>
            <a:xfrm>
              <a:off x="5792442" y="646905"/>
              <a:ext cx="1689445" cy="392907"/>
            </a:xfrm>
            <a:prstGeom prst="rect">
              <a:avLst/>
            </a:prstGeom>
            <a:noFill/>
          </xdr:spPr>
          <xdr:txBody>
            <a:bodyPr wrap="none" lIns="91440" tIns="45720" rIns="91440" bIns="45720">
              <a:noAutofit/>
            </a:bodyPr>
            <a:lstStyle/>
            <a:p>
              <a:pPr marL="0" indent="0" algn="l"/>
              <a:fld id="{20783524-46A9-4143-909F-21AE069133B9}" type="TxLink">
                <a:rPr lang="en-US" sz="1600" b="0" i="0" u="none" strike="noStrike" cap="none" spc="0">
                  <a:ln w="0"/>
                  <a:solidFill>
                    <a:srgbClr val="000000"/>
                  </a:solidFill>
                  <a:effectLst>
                    <a:outerShdw blurRad="38100" dist="19050" dir="2700000" algn="tl" rotWithShape="0">
                      <a:schemeClr val="dk1">
                        <a:alpha val="40000"/>
                      </a:schemeClr>
                    </a:outerShdw>
                  </a:effectLst>
                  <a:latin typeface="Cambria"/>
                  <a:ea typeface="Cambria"/>
                  <a:cs typeface="+mn-cs"/>
                </a:rPr>
                <a:pPr marL="0" indent="0" algn="l"/>
                <a:t> R$ 2.712.404,00 </a:t>
              </a:fld>
              <a:endParaRPr lang="pt-BR" sz="1600" b="0" i="0" u="none" strike="noStrike" cap="none" spc="0">
                <a:ln w="0"/>
                <a:solidFill>
                  <a:srgbClr val="000000"/>
                </a:solidFill>
                <a:effectLst>
                  <a:outerShdw blurRad="38100" dist="19050" dir="2700000" algn="tl" rotWithShape="0">
                    <a:schemeClr val="dk1">
                      <a:alpha val="40000"/>
                    </a:schemeClr>
                  </a:outerShdw>
                </a:effectLst>
                <a:latin typeface="Cambria"/>
                <a:ea typeface="Cambria"/>
                <a:cs typeface="+mn-cs"/>
              </a:endParaRPr>
            </a:p>
          </xdr:txBody>
        </xdr:sp>
        <xdr:pic>
          <xdr:nvPicPr>
            <xdr:cNvPr id="67" name="Imagem 66">
              <a:extLst>
                <a:ext uri="{FF2B5EF4-FFF2-40B4-BE49-F238E27FC236}">
                  <a16:creationId xmlns:a16="http://schemas.microsoft.com/office/drawing/2014/main" id="{693875AB-7BA7-4BBA-AFB6-9D6B201ABF29}"/>
                </a:ext>
              </a:extLst>
            </xdr:cNvPr>
            <xdr:cNvPicPr>
              <a:picLocks/>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154741" y="304824"/>
              <a:ext cx="650381" cy="648000"/>
            </a:xfrm>
            <a:prstGeom prst="rect">
              <a:avLst/>
            </a:prstGeom>
          </xdr:spPr>
        </xdr:pic>
        <xdr:sp macro="" textlink="">
          <xdr:nvSpPr>
            <xdr:cNvPr id="2" name="Retângulo 1">
              <a:extLst>
                <a:ext uri="{FF2B5EF4-FFF2-40B4-BE49-F238E27FC236}">
                  <a16:creationId xmlns:a16="http://schemas.microsoft.com/office/drawing/2014/main" id="{19A12220-C814-43FA-8F7C-C9409517FB5B}"/>
                </a:ext>
              </a:extLst>
            </xdr:cNvPr>
            <xdr:cNvSpPr/>
          </xdr:nvSpPr>
          <xdr:spPr>
            <a:xfrm>
              <a:off x="5782591" y="271127"/>
              <a:ext cx="1525465" cy="276560"/>
            </a:xfrm>
            <a:prstGeom prst="rect">
              <a:avLst/>
            </a:prstGeom>
            <a:noFill/>
          </xdr:spPr>
          <xdr:txBody>
            <a:bodyPr wrap="square" lIns="91440" tIns="45720" rIns="91440" bIns="45720">
              <a:noAutofit/>
            </a:bodyPr>
            <a:lstStyle/>
            <a:p>
              <a:pPr marL="0" indent="0" algn="l"/>
              <a:r>
                <a:rPr lang="en-US" sz="1800" b="0" i="0" u="none" strike="noStrike" cap="none" spc="0">
                  <a:ln w="0"/>
                  <a:solidFill>
                    <a:schemeClr val="tx1"/>
                  </a:solidFill>
                  <a:effectLst>
                    <a:outerShdw blurRad="38100" dist="19050" dir="2700000" algn="tl" rotWithShape="0">
                      <a:schemeClr val="dk1">
                        <a:alpha val="40000"/>
                      </a:schemeClr>
                    </a:outerShdw>
                  </a:effectLst>
                  <a:latin typeface="Cambria"/>
                  <a:ea typeface="Cambria"/>
                  <a:cs typeface="+mn-cs"/>
                </a:rPr>
                <a:t> CUSTOS</a:t>
              </a:r>
            </a:p>
          </xdr:txBody>
        </xdr:sp>
      </xdr:grpSp>
      <xdr:cxnSp macro="">
        <xdr:nvCxnSpPr>
          <xdr:cNvPr id="65" name="Conector reto 64">
            <a:extLst>
              <a:ext uri="{FF2B5EF4-FFF2-40B4-BE49-F238E27FC236}">
                <a16:creationId xmlns:a16="http://schemas.microsoft.com/office/drawing/2014/main" id="{54EB0A45-EE70-4B5B-A316-A37ED23358C5}"/>
              </a:ext>
            </a:extLst>
          </xdr:cNvPr>
          <xdr:cNvCxnSpPr/>
        </xdr:nvCxnSpPr>
        <xdr:spPr>
          <a:xfrm>
            <a:off x="5854281" y="234208"/>
            <a:ext cx="0" cy="755292"/>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599438</xdr:colOff>
      <xdr:row>0</xdr:row>
      <xdr:rowOff>176069</xdr:rowOff>
    </xdr:from>
    <xdr:to>
      <xdr:col>8</xdr:col>
      <xdr:colOff>195262</xdr:colOff>
      <xdr:row>5</xdr:row>
      <xdr:rowOff>123569</xdr:rowOff>
    </xdr:to>
    <xdr:grpSp>
      <xdr:nvGrpSpPr>
        <xdr:cNvPr id="24" name="02 FATURAMENTO">
          <a:extLst>
            <a:ext uri="{FF2B5EF4-FFF2-40B4-BE49-F238E27FC236}">
              <a16:creationId xmlns:a16="http://schemas.microsoft.com/office/drawing/2014/main" id="{A44B46E4-83D8-4D9B-978D-B6CC94B02C5B}"/>
            </a:ext>
          </a:extLst>
        </xdr:cNvPr>
        <xdr:cNvGrpSpPr/>
      </xdr:nvGrpSpPr>
      <xdr:grpSpPr>
        <a:xfrm>
          <a:off x="2428238" y="176069"/>
          <a:ext cx="2643824" cy="900000"/>
          <a:chOff x="2428238" y="176069"/>
          <a:chExt cx="2643824" cy="900000"/>
        </a:xfrm>
      </xdr:grpSpPr>
      <xdr:grpSp>
        <xdr:nvGrpSpPr>
          <xdr:cNvPr id="17" name="Agrupar 16">
            <a:extLst>
              <a:ext uri="{FF2B5EF4-FFF2-40B4-BE49-F238E27FC236}">
                <a16:creationId xmlns:a16="http://schemas.microsoft.com/office/drawing/2014/main" id="{5C8F22FE-646C-401C-8D0B-4BE8017CFF64}"/>
              </a:ext>
            </a:extLst>
          </xdr:cNvPr>
          <xdr:cNvGrpSpPr/>
        </xdr:nvGrpSpPr>
        <xdr:grpSpPr>
          <a:xfrm>
            <a:off x="2428238" y="176069"/>
            <a:ext cx="2643824" cy="900000"/>
            <a:chOff x="2428238" y="176069"/>
            <a:chExt cx="2643824" cy="900000"/>
          </a:xfrm>
        </xdr:grpSpPr>
        <xdr:sp macro="" textlink="">
          <xdr:nvSpPr>
            <xdr:cNvPr id="7" name="Retângulo: Cantos Arredondados 6">
              <a:extLst>
                <a:ext uri="{FF2B5EF4-FFF2-40B4-BE49-F238E27FC236}">
                  <a16:creationId xmlns:a16="http://schemas.microsoft.com/office/drawing/2014/main" id="{76659287-EEE4-42A5-AAD0-0DD820F1F44B}"/>
                </a:ext>
                <a:ext uri="{C183D7F6-B498-43B3-948B-1728B52AA6E4}">
                  <adec:decorative xmlns:adec="http://schemas.microsoft.com/office/drawing/2017/decorative" val="1"/>
                </a:ext>
              </a:extLst>
            </xdr:cNvPr>
            <xdr:cNvSpPr/>
          </xdr:nvSpPr>
          <xdr:spPr>
            <a:xfrm>
              <a:off x="2428238" y="176069"/>
              <a:ext cx="2462007" cy="900000"/>
            </a:xfrm>
            <a:prstGeom prst="roundRect">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sp macro="" textlink="Apoio!S4">
          <xdr:nvSpPr>
            <xdr:cNvPr id="57" name="Retângulo 56">
              <a:extLst>
                <a:ext uri="{FF2B5EF4-FFF2-40B4-BE49-F238E27FC236}">
                  <a16:creationId xmlns:a16="http://schemas.microsoft.com/office/drawing/2014/main" id="{E8CDFA5B-0AFD-4462-8175-651F96C3F744}"/>
                </a:ext>
              </a:extLst>
            </xdr:cNvPr>
            <xdr:cNvSpPr/>
          </xdr:nvSpPr>
          <xdr:spPr>
            <a:xfrm>
              <a:off x="3119437" y="658812"/>
              <a:ext cx="1769269" cy="369094"/>
            </a:xfrm>
            <a:prstGeom prst="rect">
              <a:avLst/>
            </a:prstGeom>
            <a:noFill/>
          </xdr:spPr>
          <xdr:txBody>
            <a:bodyPr wrap="none" lIns="91440" tIns="45720" rIns="91440" bIns="45720">
              <a:noAutofit/>
            </a:bodyPr>
            <a:lstStyle/>
            <a:p>
              <a:pPr marL="0" indent="0" algn="l"/>
              <a:fld id="{7D5D8974-29AC-460B-BC96-FFA0F798FD0E}" type="TxLink">
                <a:rPr lang="en-US" sz="1600" b="0" i="0" u="none" strike="noStrike" cap="none" spc="0">
                  <a:ln w="0"/>
                  <a:solidFill>
                    <a:srgbClr val="000000"/>
                  </a:solidFill>
                  <a:effectLst>
                    <a:outerShdw blurRad="38100" dist="19050" dir="2700000" algn="tl" rotWithShape="0">
                      <a:schemeClr val="dk1">
                        <a:alpha val="40000"/>
                      </a:schemeClr>
                    </a:outerShdw>
                  </a:effectLst>
                  <a:latin typeface="Cambria"/>
                  <a:ea typeface="Cambria"/>
                  <a:cs typeface="+mn-cs"/>
                </a:rPr>
                <a:pPr marL="0" indent="0" algn="l"/>
                <a:t> R$ 14.136.581,00 </a:t>
              </a:fld>
              <a:endParaRPr lang="pt-BR" sz="1600" b="0" i="0" u="none" strike="noStrike" cap="none" spc="0">
                <a:ln w="0"/>
                <a:solidFill>
                  <a:srgbClr val="000000"/>
                </a:solidFill>
                <a:effectLst>
                  <a:outerShdw blurRad="38100" dist="19050" dir="2700000" algn="tl" rotWithShape="0">
                    <a:schemeClr val="dk1">
                      <a:alpha val="40000"/>
                    </a:schemeClr>
                  </a:outerShdw>
                </a:effectLst>
                <a:latin typeface="Cambria"/>
                <a:ea typeface="Cambria"/>
                <a:cs typeface="+mn-cs"/>
              </a:endParaRPr>
            </a:p>
          </xdr:txBody>
        </xdr:sp>
        <xdr:pic>
          <xdr:nvPicPr>
            <xdr:cNvPr id="81" name="Imagem 80">
              <a:extLst>
                <a:ext uri="{FF2B5EF4-FFF2-40B4-BE49-F238E27FC236}">
                  <a16:creationId xmlns:a16="http://schemas.microsoft.com/office/drawing/2014/main" id="{A1093CE3-A05B-4F1C-8862-AAF5384C9CA7}"/>
                </a:ext>
              </a:extLst>
            </xdr:cNvPr>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486022" y="309561"/>
              <a:ext cx="650381" cy="648000"/>
            </a:xfrm>
            <a:prstGeom prst="rect">
              <a:avLst/>
            </a:prstGeom>
          </xdr:spPr>
        </xdr:pic>
        <xdr:sp macro="" textlink="">
          <xdr:nvSpPr>
            <xdr:cNvPr id="39" name="Retângulo 38">
              <a:extLst>
                <a:ext uri="{FF2B5EF4-FFF2-40B4-BE49-F238E27FC236}">
                  <a16:creationId xmlns:a16="http://schemas.microsoft.com/office/drawing/2014/main" id="{85082095-698C-4C22-8E4C-A2701C245662}"/>
                </a:ext>
              </a:extLst>
            </xdr:cNvPr>
            <xdr:cNvSpPr/>
          </xdr:nvSpPr>
          <xdr:spPr>
            <a:xfrm>
              <a:off x="3163217" y="250031"/>
              <a:ext cx="1908845" cy="297656"/>
            </a:xfrm>
            <a:prstGeom prst="rect">
              <a:avLst/>
            </a:prstGeom>
            <a:noFill/>
          </xdr:spPr>
          <xdr:txBody>
            <a:bodyPr wrap="square" lIns="91440" tIns="45720" rIns="91440" bIns="45720">
              <a:noAutofit/>
            </a:bodyPr>
            <a:lstStyle/>
            <a:p>
              <a:pPr marL="0" indent="0" algn="l"/>
              <a:r>
                <a:rPr lang="en-US" sz="1800" b="0" i="0" u="none" strike="noStrike" cap="none" spc="0">
                  <a:ln w="0"/>
                  <a:solidFill>
                    <a:schemeClr val="tx1"/>
                  </a:solidFill>
                  <a:effectLst>
                    <a:outerShdw blurRad="38100" dist="19050" dir="2700000" algn="tl" rotWithShape="0">
                      <a:schemeClr val="dk1">
                        <a:alpha val="40000"/>
                      </a:schemeClr>
                    </a:outerShdw>
                  </a:effectLst>
                  <a:latin typeface="Cambria"/>
                  <a:ea typeface="Cambria"/>
                  <a:cs typeface="+mn-cs"/>
                </a:rPr>
                <a:t>FATURAMENTO</a:t>
              </a:r>
            </a:p>
          </xdr:txBody>
        </xdr:sp>
      </xdr:grpSp>
      <xdr:cxnSp macro="">
        <xdr:nvCxnSpPr>
          <xdr:cNvPr id="61" name="Conector reto 60">
            <a:extLst>
              <a:ext uri="{FF2B5EF4-FFF2-40B4-BE49-F238E27FC236}">
                <a16:creationId xmlns:a16="http://schemas.microsoft.com/office/drawing/2014/main" id="{3F9B2E07-0064-4A39-8B99-8573330D403A}"/>
              </a:ext>
            </a:extLst>
          </xdr:cNvPr>
          <xdr:cNvCxnSpPr/>
        </xdr:nvCxnSpPr>
        <xdr:spPr>
          <a:xfrm>
            <a:off x="3168739" y="230746"/>
            <a:ext cx="0" cy="755292"/>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153628</xdr:colOff>
      <xdr:row>0</xdr:row>
      <xdr:rowOff>166452</xdr:rowOff>
    </xdr:from>
    <xdr:to>
      <xdr:col>3</xdr:col>
      <xdr:colOff>482447</xdr:colOff>
      <xdr:row>32</xdr:row>
      <xdr:rowOff>190452</xdr:rowOff>
    </xdr:to>
    <xdr:sp macro="" textlink="">
      <xdr:nvSpPr>
        <xdr:cNvPr id="4" name="Retângulo: Cantos Arredondados 3">
          <a:extLst>
            <a:ext uri="{FF2B5EF4-FFF2-40B4-BE49-F238E27FC236}">
              <a16:creationId xmlns:a16="http://schemas.microsoft.com/office/drawing/2014/main" id="{9BA14DDF-8AAC-4F4B-B4AC-965C69FA738C}"/>
            </a:ext>
            <a:ext uri="{C183D7F6-B498-43B3-948B-1728B52AA6E4}">
              <adec:decorative xmlns:adec="http://schemas.microsoft.com/office/drawing/2017/decorative" val="1"/>
            </a:ext>
          </a:extLst>
        </xdr:cNvPr>
        <xdr:cNvSpPr/>
      </xdr:nvSpPr>
      <xdr:spPr>
        <a:xfrm>
          <a:off x="153628" y="166452"/>
          <a:ext cx="2157619" cy="6120000"/>
        </a:xfrm>
        <a:prstGeom prst="roundRect">
          <a:avLst>
            <a:gd name="adj" fmla="val 7218"/>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clientData/>
  </xdr:twoCellAnchor>
  <xdr:twoCellAnchor>
    <xdr:from>
      <xdr:col>0</xdr:col>
      <xdr:colOff>491988</xdr:colOff>
      <xdr:row>2</xdr:row>
      <xdr:rowOff>30816</xdr:rowOff>
    </xdr:from>
    <xdr:to>
      <xdr:col>3</xdr:col>
      <xdr:colOff>144088</xdr:colOff>
      <xdr:row>9</xdr:row>
      <xdr:rowOff>50142</xdr:rowOff>
    </xdr:to>
    <xdr:grpSp>
      <xdr:nvGrpSpPr>
        <xdr:cNvPr id="44" name="Agrupar 43">
          <a:extLst>
            <a:ext uri="{FF2B5EF4-FFF2-40B4-BE49-F238E27FC236}">
              <a16:creationId xmlns:a16="http://schemas.microsoft.com/office/drawing/2014/main" id="{FA071B68-5A60-4FBA-A9BA-E3FD80B9D21B}"/>
            </a:ext>
            <a:ext uri="{C183D7F6-B498-43B3-948B-1728B52AA6E4}">
              <adec:decorative xmlns:adec="http://schemas.microsoft.com/office/drawing/2017/decorative" val="1"/>
            </a:ext>
          </a:extLst>
        </xdr:cNvPr>
        <xdr:cNvGrpSpPr/>
      </xdr:nvGrpSpPr>
      <xdr:grpSpPr>
        <a:xfrm>
          <a:off x="491988" y="411816"/>
          <a:ext cx="1480900" cy="1352826"/>
          <a:chOff x="570430" y="523876"/>
          <a:chExt cx="1467453" cy="1352826"/>
        </a:xfrm>
      </xdr:grpSpPr>
      <xdr:pic>
        <xdr:nvPicPr>
          <xdr:cNvPr id="5" name="Imagem 4">
            <a:extLst>
              <a:ext uri="{FF2B5EF4-FFF2-40B4-BE49-F238E27FC236}">
                <a16:creationId xmlns:a16="http://schemas.microsoft.com/office/drawing/2014/main" id="{BD5607FB-65BD-463A-8AA7-B42886C3CDA3}"/>
              </a:ext>
            </a:extLst>
          </xdr:cNvPr>
          <xdr:cNvPicPr>
            <a:picLocks noChangeAspect="1"/>
          </xdr:cNvPicPr>
        </xdr:nvPicPr>
        <xdr:blipFill rotWithShape="1">
          <a:blip xmlns:r="http://schemas.openxmlformats.org/officeDocument/2006/relationships" r:embed="rId10" cstate="print">
            <a:extLst>
              <a:ext uri="{28A0092B-C50C-407E-A947-70E740481C1C}">
                <a14:useLocalDpi xmlns:a14="http://schemas.microsoft.com/office/drawing/2010/main" val="0"/>
              </a:ext>
            </a:extLst>
          </a:blip>
          <a:srcRect b="30953"/>
          <a:stretch/>
        </xdr:blipFill>
        <xdr:spPr>
          <a:xfrm>
            <a:off x="596489" y="523876"/>
            <a:ext cx="1415334" cy="828674"/>
          </a:xfrm>
          <a:prstGeom prst="rect">
            <a:avLst/>
          </a:prstGeom>
          <a:ln>
            <a:noFill/>
          </a:ln>
          <a:effectLst>
            <a:outerShdw blurRad="292100" dist="139700" dir="2700000" algn="tl" rotWithShape="0">
              <a:srgbClr val="333333">
                <a:alpha val="65000"/>
              </a:srgbClr>
            </a:outerShdw>
          </a:effectLst>
        </xdr:spPr>
      </xdr:pic>
      <xdr:sp macro="" textlink="">
        <xdr:nvSpPr>
          <xdr:cNvPr id="6" name="Retângulo 5">
            <a:extLst>
              <a:ext uri="{FF2B5EF4-FFF2-40B4-BE49-F238E27FC236}">
                <a16:creationId xmlns:a16="http://schemas.microsoft.com/office/drawing/2014/main" id="{A2DDDB5C-B968-4F85-B95F-7707EC58D6E0}"/>
              </a:ext>
            </a:extLst>
          </xdr:cNvPr>
          <xdr:cNvSpPr/>
        </xdr:nvSpPr>
        <xdr:spPr>
          <a:xfrm>
            <a:off x="570430" y="1421898"/>
            <a:ext cx="1467453" cy="454804"/>
          </a:xfrm>
          <a:prstGeom prst="rect">
            <a:avLst/>
          </a:prstGeom>
          <a:noFill/>
        </xdr:spPr>
        <xdr:txBody>
          <a:bodyPr wrap="none" lIns="91440" tIns="45720" rIns="91440" bIns="45720">
            <a:spAutoFit/>
          </a:bodyPr>
          <a:lstStyle/>
          <a:p>
            <a:pPr algn="ctr"/>
            <a:r>
              <a:rPr lang="pt-BR" sz="2400" b="0" cap="none" spc="0">
                <a:ln w="0"/>
                <a:solidFill>
                  <a:sysClr val="windowText" lastClr="000000"/>
                </a:solidFill>
                <a:effectLst>
                  <a:outerShdw blurRad="38100" dist="19050" dir="2700000" algn="tl" rotWithShape="0">
                    <a:schemeClr val="dk1">
                      <a:alpha val="40000"/>
                    </a:schemeClr>
                  </a:outerShdw>
                </a:effectLst>
                <a:latin typeface="Freestyle Script" panose="030804020302050B0404" pitchFamily="66" charset="0"/>
              </a:rPr>
              <a:t>Dashboard</a:t>
            </a:r>
            <a:r>
              <a:rPr lang="pt-BR" sz="2400" b="0" cap="none" spc="0" baseline="0">
                <a:ln w="0"/>
                <a:solidFill>
                  <a:sysClr val="windowText" lastClr="000000"/>
                </a:solidFill>
                <a:effectLst>
                  <a:outerShdw blurRad="38100" dist="19050" dir="2700000" algn="tl" rotWithShape="0">
                    <a:schemeClr val="dk1">
                      <a:alpha val="40000"/>
                    </a:schemeClr>
                  </a:outerShdw>
                </a:effectLst>
                <a:latin typeface="Freestyle Script" panose="030804020302050B0404" pitchFamily="66" charset="0"/>
              </a:rPr>
              <a:t> DRE</a:t>
            </a:r>
            <a:endParaRPr lang="pt-BR" sz="2400" b="0" cap="none" spc="0">
              <a:ln w="0"/>
              <a:solidFill>
                <a:sysClr val="windowText" lastClr="000000"/>
              </a:solidFill>
              <a:effectLst>
                <a:outerShdw blurRad="38100" dist="19050" dir="2700000" algn="tl" rotWithShape="0">
                  <a:schemeClr val="dk1">
                    <a:alpha val="40000"/>
                  </a:schemeClr>
                </a:outerShdw>
              </a:effectLst>
              <a:latin typeface="Freestyle Script" panose="030804020302050B0404" pitchFamily="66" charset="0"/>
            </a:endParaRPr>
          </a:p>
        </xdr:txBody>
      </xdr:sp>
    </xdr:grpSp>
    <xdr:clientData/>
  </xdr:twoCellAnchor>
  <xdr:twoCellAnchor editAs="absolute">
    <xdr:from>
      <xdr:col>0</xdr:col>
      <xdr:colOff>413556</xdr:colOff>
      <xdr:row>30</xdr:row>
      <xdr:rowOff>12699</xdr:rowOff>
    </xdr:from>
    <xdr:to>
      <xdr:col>3</xdr:col>
      <xdr:colOff>254269</xdr:colOff>
      <xdr:row>31</xdr:row>
      <xdr:rowOff>127000</xdr:rowOff>
    </xdr:to>
    <xdr:sp macro="" textlink="">
      <xdr:nvSpPr>
        <xdr:cNvPr id="49" name="Retângulo: Cantos Arredondados 48">
          <a:hlinkClick xmlns:r="http://schemas.openxmlformats.org/officeDocument/2006/relationships" r:id="rId11"/>
          <a:extLst>
            <a:ext uri="{FF2B5EF4-FFF2-40B4-BE49-F238E27FC236}">
              <a16:creationId xmlns:a16="http://schemas.microsoft.com/office/drawing/2014/main" id="{57046E18-BAE0-418A-9891-EDE5ABE784E9}"/>
            </a:ext>
          </a:extLst>
        </xdr:cNvPr>
        <xdr:cNvSpPr/>
      </xdr:nvSpPr>
      <xdr:spPr>
        <a:xfrm>
          <a:off x="413556" y="5727699"/>
          <a:ext cx="1669513" cy="304801"/>
        </a:xfrm>
        <a:prstGeom prst="roundRect">
          <a:avLst/>
        </a:prstGeom>
        <a:gradFill flip="none" rotWithShape="1">
          <a:gsLst>
            <a:gs pos="99242">
              <a:srgbClr val="013147"/>
            </a:gs>
            <a:gs pos="0">
              <a:srgbClr val="139A9D"/>
            </a:gs>
          </a:gsLst>
          <a:lin ang="0" scaled="1"/>
          <a:tileRect/>
        </a:gradFill>
        <a:ln>
          <a:noFill/>
        </a:ln>
        <a:scene3d>
          <a:camera prst="orthographicFront"/>
          <a:lightRig rig="threePt" dir="t"/>
        </a:scene3d>
        <a:sp3d>
          <a:bevelT w="133350" h="114300"/>
          <a:bevelB w="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800" b="1" i="0">
              <a:solidFill>
                <a:schemeClr val="lt1"/>
              </a:solidFill>
              <a:latin typeface="Cambria" panose="02040503050406030204" pitchFamily="18" charset="0"/>
              <a:ea typeface="Cambria" panose="02040503050406030204" pitchFamily="18" charset="0"/>
              <a:cs typeface="+mn-cs"/>
            </a:rPr>
            <a:t>DATABASE</a:t>
          </a:r>
        </a:p>
      </xdr:txBody>
    </xdr:sp>
    <xdr:clientData/>
  </xdr:twoCellAnchor>
  <xdr:twoCellAnchor editAs="absolute">
    <xdr:from>
      <xdr:col>0</xdr:col>
      <xdr:colOff>413556</xdr:colOff>
      <xdr:row>25</xdr:row>
      <xdr:rowOff>135659</xdr:rowOff>
    </xdr:from>
    <xdr:to>
      <xdr:col>3</xdr:col>
      <xdr:colOff>254269</xdr:colOff>
      <xdr:row>27</xdr:row>
      <xdr:rowOff>59460</xdr:rowOff>
    </xdr:to>
    <xdr:sp macro="" textlink="">
      <xdr:nvSpPr>
        <xdr:cNvPr id="56" name="Retângulo: Cantos Arredondados 55">
          <a:hlinkClick xmlns:r="http://schemas.openxmlformats.org/officeDocument/2006/relationships" r:id="rId12"/>
          <a:extLst>
            <a:ext uri="{FF2B5EF4-FFF2-40B4-BE49-F238E27FC236}">
              <a16:creationId xmlns:a16="http://schemas.microsoft.com/office/drawing/2014/main" id="{1A0233DA-9CC7-4FFC-9D90-744E04AA876C}"/>
            </a:ext>
          </a:extLst>
        </xdr:cNvPr>
        <xdr:cNvSpPr/>
      </xdr:nvSpPr>
      <xdr:spPr>
        <a:xfrm>
          <a:off x="413556" y="4898159"/>
          <a:ext cx="1669513" cy="304801"/>
        </a:xfrm>
        <a:prstGeom prst="roundRect">
          <a:avLst/>
        </a:prstGeom>
        <a:gradFill flip="none" rotWithShape="1">
          <a:gsLst>
            <a:gs pos="99242">
              <a:srgbClr val="2E0000"/>
            </a:gs>
            <a:gs pos="0">
              <a:srgbClr val="9B0D0D"/>
            </a:gs>
          </a:gsLst>
          <a:lin ang="0" scaled="1"/>
          <a:tileRect/>
        </a:gradFill>
        <a:ln>
          <a:noFill/>
        </a:ln>
        <a:scene3d>
          <a:camera prst="orthographicFront"/>
          <a:lightRig rig="threePt" dir="t"/>
        </a:scene3d>
        <a:sp3d>
          <a:bevelT w="133350" h="114300"/>
          <a:bevelB w="1905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800" b="1" i="0">
              <a:solidFill>
                <a:schemeClr val="lt1"/>
              </a:solidFill>
              <a:latin typeface="Cambria" panose="02040503050406030204" pitchFamily="18" charset="0"/>
              <a:ea typeface="Cambria" panose="02040503050406030204" pitchFamily="18" charset="0"/>
              <a:cs typeface="+mn-cs"/>
            </a:rPr>
            <a:t>DASHBOARD</a:t>
          </a:r>
        </a:p>
      </xdr:txBody>
    </xdr:sp>
    <xdr:clientData/>
  </xdr:twoCellAnchor>
  <xdr:twoCellAnchor>
    <xdr:from>
      <xdr:col>0</xdr:col>
      <xdr:colOff>253434</xdr:colOff>
      <xdr:row>13</xdr:row>
      <xdr:rowOff>68094</xdr:rowOff>
    </xdr:from>
    <xdr:to>
      <xdr:col>3</xdr:col>
      <xdr:colOff>404634</xdr:colOff>
      <xdr:row>19</xdr:row>
      <xdr:rowOff>165828</xdr:rowOff>
    </xdr:to>
    <mc:AlternateContent xmlns:mc="http://schemas.openxmlformats.org/markup-compatibility/2006" xmlns:a14="http://schemas.microsoft.com/office/drawing/2010/main">
      <mc:Choice Requires="a14">
        <xdr:graphicFrame macro="">
          <xdr:nvGraphicFramePr>
            <xdr:cNvPr id="53" name="MÊS 2">
              <a:extLst>
                <a:ext uri="{FF2B5EF4-FFF2-40B4-BE49-F238E27FC236}">
                  <a16:creationId xmlns:a16="http://schemas.microsoft.com/office/drawing/2014/main" id="{D51AB032-A643-4A61-86D0-911549623736}"/>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MÊS 2"/>
            </a:graphicData>
          </a:graphic>
        </xdr:graphicFrame>
      </mc:Choice>
      <mc:Fallback xmlns="">
        <xdr:sp macro="" textlink="">
          <xdr:nvSpPr>
            <xdr:cNvPr id="0" name=""/>
            <xdr:cNvSpPr>
              <a:spLocks noTextEdit="1"/>
            </xdr:cNvSpPr>
          </xdr:nvSpPr>
          <xdr:spPr>
            <a:xfrm>
              <a:off x="253434" y="2544594"/>
              <a:ext cx="1980000" cy="1240734"/>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xdr:from>
      <xdr:col>0</xdr:col>
      <xdr:colOff>253434</xdr:colOff>
      <xdr:row>10</xdr:row>
      <xdr:rowOff>79137</xdr:rowOff>
    </xdr:from>
    <xdr:to>
      <xdr:col>3</xdr:col>
      <xdr:colOff>404634</xdr:colOff>
      <xdr:row>13</xdr:row>
      <xdr:rowOff>75355</xdr:rowOff>
    </xdr:to>
    <mc:AlternateContent xmlns:mc="http://schemas.openxmlformats.org/markup-compatibility/2006" xmlns:a14="http://schemas.microsoft.com/office/drawing/2010/main">
      <mc:Choice Requires="a14">
        <xdr:graphicFrame macro="">
          <xdr:nvGraphicFramePr>
            <xdr:cNvPr id="64" name="ANO 2">
              <a:extLst>
                <a:ext uri="{FF2B5EF4-FFF2-40B4-BE49-F238E27FC236}">
                  <a16:creationId xmlns:a16="http://schemas.microsoft.com/office/drawing/2014/main" id="{0C2D29C3-8CD8-4ABC-8E7B-6219BB4E0CE6}"/>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NO 2"/>
            </a:graphicData>
          </a:graphic>
        </xdr:graphicFrame>
      </mc:Choice>
      <mc:Fallback xmlns="">
        <xdr:sp macro="" textlink="">
          <xdr:nvSpPr>
            <xdr:cNvPr id="0" name=""/>
            <xdr:cNvSpPr>
              <a:spLocks noTextEdit="1"/>
            </xdr:cNvSpPr>
          </xdr:nvSpPr>
          <xdr:spPr>
            <a:xfrm>
              <a:off x="253434" y="1984137"/>
              <a:ext cx="1980000" cy="567718"/>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0</xdr:col>
      <xdr:colOff>400050</xdr:colOff>
      <xdr:row>27</xdr:row>
      <xdr:rowOff>152401</xdr:rowOff>
    </xdr:from>
    <xdr:to>
      <xdr:col>3</xdr:col>
      <xdr:colOff>247650</xdr:colOff>
      <xdr:row>29</xdr:row>
      <xdr:rowOff>104775</xdr:rowOff>
    </xdr:to>
    <xdr:sp macro="" textlink="">
      <xdr:nvSpPr>
        <xdr:cNvPr id="63" name="Retângulo: Cantos Arredondados 62">
          <a:hlinkClick xmlns:r="http://schemas.openxmlformats.org/officeDocument/2006/relationships" r:id="rId13"/>
          <a:extLst>
            <a:ext uri="{FF2B5EF4-FFF2-40B4-BE49-F238E27FC236}">
              <a16:creationId xmlns:a16="http://schemas.microsoft.com/office/drawing/2014/main" id="{EC43CA47-91E4-4830-A343-906F063E4072}"/>
            </a:ext>
          </a:extLst>
        </xdr:cNvPr>
        <xdr:cNvSpPr/>
      </xdr:nvSpPr>
      <xdr:spPr>
        <a:xfrm>
          <a:off x="400050" y="5295901"/>
          <a:ext cx="1676400" cy="333374"/>
        </a:xfrm>
        <a:prstGeom prst="roundRect">
          <a:avLst/>
        </a:prstGeom>
        <a:gradFill flip="none" rotWithShape="1">
          <a:gsLst>
            <a:gs pos="0">
              <a:srgbClr val="1D7F93"/>
            </a:gs>
            <a:gs pos="100000">
              <a:srgbClr val="013147"/>
            </a:gs>
          </a:gsLst>
          <a:lin ang="0" scaled="1"/>
          <a:tileRect/>
        </a:gradFill>
        <a:ln>
          <a:noFill/>
        </a:ln>
        <a:scene3d>
          <a:camera prst="orthographicFront"/>
          <a:lightRig rig="threePt" dir="t"/>
        </a:scene3d>
        <a:sp3d>
          <a:bevelT w="133350" h="120650"/>
          <a:bevelB w="5715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i="0">
              <a:solidFill>
                <a:schemeClr val="lt1"/>
              </a:solidFill>
              <a:latin typeface="Cambria" panose="02040503050406030204" pitchFamily="18" charset="0"/>
              <a:ea typeface="Cambria" panose="02040503050406030204" pitchFamily="18" charset="0"/>
              <a:cs typeface="+mn-cs"/>
            </a:rPr>
            <a:t>DRE</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4</xdr:colOff>
      <xdr:row>0</xdr:row>
      <xdr:rowOff>0</xdr:rowOff>
    </xdr:from>
    <xdr:to>
      <xdr:col>5</xdr:col>
      <xdr:colOff>400050</xdr:colOff>
      <xdr:row>13</xdr:row>
      <xdr:rowOff>27489</xdr:rowOff>
    </xdr:to>
    <xdr:grpSp>
      <xdr:nvGrpSpPr>
        <xdr:cNvPr id="6" name="Agrupar 5">
          <a:extLst>
            <a:ext uri="{FF2B5EF4-FFF2-40B4-BE49-F238E27FC236}">
              <a16:creationId xmlns:a16="http://schemas.microsoft.com/office/drawing/2014/main" id="{7AC31FF5-7969-4CEB-9681-79ADFC232620}"/>
            </a:ext>
            <a:ext uri="{C183D7F6-B498-43B3-948B-1728B52AA6E4}">
              <adec:decorative xmlns:adec="http://schemas.microsoft.com/office/drawing/2017/decorative" val="1"/>
            </a:ext>
          </a:extLst>
        </xdr:cNvPr>
        <xdr:cNvGrpSpPr/>
      </xdr:nvGrpSpPr>
      <xdr:grpSpPr>
        <a:xfrm>
          <a:off x="4" y="0"/>
          <a:ext cx="9337671" cy="2503989"/>
          <a:chOff x="4" y="0"/>
          <a:chExt cx="9524996" cy="2503989"/>
        </a:xfrm>
      </xdr:grpSpPr>
      <xdr:pic>
        <xdr:nvPicPr>
          <xdr:cNvPr id="13" name="Imagem 12">
            <a:extLst>
              <a:ext uri="{FF2B5EF4-FFF2-40B4-BE49-F238E27FC236}">
                <a16:creationId xmlns:a16="http://schemas.microsoft.com/office/drawing/2014/main" id="{33ACA53A-A0BF-45C2-BD7C-D8A41EE3EDC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4" y="2"/>
            <a:ext cx="4800596" cy="2503987"/>
          </a:xfrm>
          <a:prstGeom prst="rect">
            <a:avLst/>
          </a:prstGeom>
          <a:noFill/>
          <a:ln>
            <a:noFill/>
          </a:ln>
          <a:effectLst/>
        </xdr:spPr>
      </xdr:pic>
      <xdr:pic>
        <xdr:nvPicPr>
          <xdr:cNvPr id="30" name="Imagem 29">
            <a:extLst>
              <a:ext uri="{FF2B5EF4-FFF2-40B4-BE49-F238E27FC236}">
                <a16:creationId xmlns:a16="http://schemas.microsoft.com/office/drawing/2014/main" id="{48D001B3-D458-4F88-8A36-C71F9E804B1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4724404" y="0"/>
            <a:ext cx="4800596" cy="2503987"/>
          </a:xfrm>
          <a:prstGeom prst="rect">
            <a:avLst/>
          </a:prstGeom>
          <a:noFill/>
          <a:ln>
            <a:noFill/>
          </a:ln>
          <a:effectLst/>
        </xdr:spPr>
      </xdr:pic>
    </xdr:grpSp>
    <xdr:clientData/>
  </xdr:twoCellAnchor>
  <xdr:twoCellAnchor editAs="absolute">
    <xdr:from>
      <xdr:col>0</xdr:col>
      <xdr:colOff>0</xdr:colOff>
      <xdr:row>0</xdr:row>
      <xdr:rowOff>0</xdr:rowOff>
    </xdr:from>
    <xdr:to>
      <xdr:col>18</xdr:col>
      <xdr:colOff>211679</xdr:colOff>
      <xdr:row>13</xdr:row>
      <xdr:rowOff>19050</xdr:rowOff>
    </xdr:to>
    <xdr:sp macro="" textlink="">
      <xdr:nvSpPr>
        <xdr:cNvPr id="4" name="Retângulo 3">
          <a:extLst>
            <a:ext uri="{FF2B5EF4-FFF2-40B4-BE49-F238E27FC236}">
              <a16:creationId xmlns:a16="http://schemas.microsoft.com/office/drawing/2014/main" id="{3433B0DC-D24E-4678-BCB7-61D77272DAB1}"/>
            </a:ext>
            <a:ext uri="{C183D7F6-B498-43B3-948B-1728B52AA6E4}">
              <adec:decorative xmlns:adec="http://schemas.microsoft.com/office/drawing/2017/decorative" val="1"/>
            </a:ext>
          </a:extLst>
        </xdr:cNvPr>
        <xdr:cNvSpPr/>
      </xdr:nvSpPr>
      <xdr:spPr>
        <a:xfrm>
          <a:off x="0" y="0"/>
          <a:ext cx="28289250" cy="2495550"/>
        </a:xfrm>
        <a:prstGeom prst="rect">
          <a:avLst/>
        </a:prstGeom>
        <a:gradFill flip="none" rotWithShape="1">
          <a:gsLst>
            <a:gs pos="100000">
              <a:schemeClr val="bg1">
                <a:lumMod val="95000"/>
              </a:schemeClr>
            </a:gs>
            <a:gs pos="77000">
              <a:srgbClr val="0D73B9"/>
            </a:gs>
            <a:gs pos="6000">
              <a:srgbClr val="139A9D">
                <a:alpha val="0"/>
              </a:srgbClr>
            </a:gs>
            <a:gs pos="35000">
              <a:srgbClr val="139A9D"/>
            </a:gs>
          </a:gsLst>
          <a:lin ang="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923371</xdr:colOff>
      <xdr:row>11</xdr:row>
      <xdr:rowOff>179427</xdr:rowOff>
    </xdr:from>
    <xdr:to>
      <xdr:col>9</xdr:col>
      <xdr:colOff>118816</xdr:colOff>
      <xdr:row>17</xdr:row>
      <xdr:rowOff>49378</xdr:rowOff>
    </xdr:to>
    <xdr:sp macro="" textlink="">
      <xdr:nvSpPr>
        <xdr:cNvPr id="11" name="Retângulo 10">
          <a:extLst>
            <a:ext uri="{FF2B5EF4-FFF2-40B4-BE49-F238E27FC236}">
              <a16:creationId xmlns:a16="http://schemas.microsoft.com/office/drawing/2014/main" id="{3A55138A-3E95-4617-829D-655C841C810E}"/>
            </a:ext>
          </a:extLst>
        </xdr:cNvPr>
        <xdr:cNvSpPr/>
      </xdr:nvSpPr>
      <xdr:spPr>
        <a:xfrm>
          <a:off x="9875091" y="2274927"/>
          <a:ext cx="5919503" cy="1012951"/>
        </a:xfrm>
        <a:prstGeom prst="rect">
          <a:avLst/>
        </a:prstGeom>
        <a:noFill/>
      </xdr:spPr>
      <xdr:txBody>
        <a:bodyPr wrap="none" lIns="91440" tIns="45720" rIns="91440" bIns="45720">
          <a:noAutofit/>
        </a:bodyPr>
        <a:lstStyle/>
        <a:p>
          <a:pPr algn="ctr"/>
          <a:r>
            <a:rPr lang="pt-BR" sz="6600" b="1" cap="none" spc="0">
              <a:ln w="0"/>
              <a:solidFill>
                <a:schemeClr val="tx1"/>
              </a:solidFill>
              <a:effectLst>
                <a:outerShdw blurRad="38100" dist="19050" dir="2700000" algn="tl" rotWithShape="0">
                  <a:schemeClr val="dk1">
                    <a:alpha val="40000"/>
                  </a:schemeClr>
                </a:outerShdw>
              </a:effectLst>
            </a:rPr>
            <a:t>DRE DETALHADA</a:t>
          </a:r>
        </a:p>
      </xdr:txBody>
    </xdr:sp>
    <xdr:clientData/>
  </xdr:twoCellAnchor>
  <xdr:twoCellAnchor editAs="absolute">
    <xdr:from>
      <xdr:col>3</xdr:col>
      <xdr:colOff>1043886</xdr:colOff>
      <xdr:row>2</xdr:row>
      <xdr:rowOff>32144</xdr:rowOff>
    </xdr:from>
    <xdr:to>
      <xdr:col>5</xdr:col>
      <xdr:colOff>342142</xdr:colOff>
      <xdr:row>11</xdr:row>
      <xdr:rowOff>173768</xdr:rowOff>
    </xdr:to>
    <xdr:grpSp>
      <xdr:nvGrpSpPr>
        <xdr:cNvPr id="34" name="Agrupar 33">
          <a:extLst>
            <a:ext uri="{FF2B5EF4-FFF2-40B4-BE49-F238E27FC236}">
              <a16:creationId xmlns:a16="http://schemas.microsoft.com/office/drawing/2014/main" id="{08CBEE61-0513-436C-A706-D3C583F13ADF}"/>
            </a:ext>
            <a:ext uri="{C183D7F6-B498-43B3-948B-1728B52AA6E4}">
              <adec:decorative xmlns:adec="http://schemas.microsoft.com/office/drawing/2017/decorative" val="1"/>
            </a:ext>
          </a:extLst>
        </xdr:cNvPr>
        <xdr:cNvGrpSpPr/>
      </xdr:nvGrpSpPr>
      <xdr:grpSpPr>
        <a:xfrm>
          <a:off x="6584261" y="413144"/>
          <a:ext cx="2695506" cy="1856124"/>
          <a:chOff x="4125188" y="146444"/>
          <a:chExt cx="1869031" cy="1857334"/>
        </a:xfrm>
      </xdr:grpSpPr>
      <xdr:sp macro="" textlink="">
        <xdr:nvSpPr>
          <xdr:cNvPr id="15" name="Retângulo 14">
            <a:extLst>
              <a:ext uri="{FF2B5EF4-FFF2-40B4-BE49-F238E27FC236}">
                <a16:creationId xmlns:a16="http://schemas.microsoft.com/office/drawing/2014/main" id="{FB44E96D-D389-4646-8D05-29CE36E3EEB2}"/>
              </a:ext>
            </a:extLst>
          </xdr:cNvPr>
          <xdr:cNvSpPr/>
        </xdr:nvSpPr>
        <xdr:spPr>
          <a:xfrm>
            <a:off x="4125188" y="146444"/>
            <a:ext cx="1869031" cy="363208"/>
          </a:xfrm>
          <a:prstGeom prst="rect">
            <a:avLst/>
          </a:prstGeom>
          <a:noFill/>
        </xdr:spPr>
        <xdr:txBody>
          <a:bodyPr wrap="none" lIns="91440" tIns="45720" rIns="91440" bIns="45720">
            <a:spAutoFit/>
          </a:bodyPr>
          <a:lstStyle/>
          <a:p>
            <a:pPr marL="0" indent="0" algn="ctr"/>
            <a:r>
              <a:rPr lang="pt-BR" sz="1800" b="1" cap="none" spc="0">
                <a:ln w="0"/>
                <a:solidFill>
                  <a:schemeClr val="bg1"/>
                </a:solidFill>
                <a:effectLst>
                  <a:outerShdw blurRad="38100" dist="19050" dir="2700000" algn="tl" rotWithShape="0">
                    <a:schemeClr val="dk1">
                      <a:alpha val="40000"/>
                    </a:schemeClr>
                  </a:outerShdw>
                </a:effectLst>
                <a:latin typeface="Cambria" panose="02040503050406030204" pitchFamily="18" charset="0"/>
                <a:ea typeface="Cambria" panose="02040503050406030204" pitchFamily="18" charset="0"/>
                <a:cs typeface="+mn-cs"/>
              </a:rPr>
              <a:t>FATURAMENTO ANUAL </a:t>
            </a:r>
          </a:p>
        </xdr:txBody>
      </xdr:sp>
      <xdr:sp macro="" textlink="">
        <xdr:nvSpPr>
          <xdr:cNvPr id="16" name="Retângulo 15">
            <a:extLst>
              <a:ext uri="{FF2B5EF4-FFF2-40B4-BE49-F238E27FC236}">
                <a16:creationId xmlns:a16="http://schemas.microsoft.com/office/drawing/2014/main" id="{448790D8-DDA9-4794-B174-6E40DBD59F06}"/>
              </a:ext>
            </a:extLst>
          </xdr:cNvPr>
          <xdr:cNvSpPr/>
        </xdr:nvSpPr>
        <xdr:spPr>
          <a:xfrm>
            <a:off x="4467306" y="943287"/>
            <a:ext cx="1213271" cy="363208"/>
          </a:xfrm>
          <a:prstGeom prst="rect">
            <a:avLst/>
          </a:prstGeom>
          <a:noFill/>
        </xdr:spPr>
        <xdr:txBody>
          <a:bodyPr wrap="none" lIns="91440" tIns="45720" rIns="91440" bIns="45720">
            <a:spAutoFit/>
          </a:bodyPr>
          <a:lstStyle/>
          <a:p>
            <a:pPr marL="0" indent="0" algn="ctr"/>
            <a:r>
              <a:rPr lang="pt-BR" sz="1800" b="1" cap="none" spc="0">
                <a:ln w="0"/>
                <a:solidFill>
                  <a:schemeClr val="bg1"/>
                </a:solidFill>
                <a:effectLst>
                  <a:outerShdw blurRad="38100" dist="19050" dir="2700000" algn="tl" rotWithShape="0">
                    <a:schemeClr val="dk1">
                      <a:alpha val="40000"/>
                    </a:schemeClr>
                  </a:outerShdw>
                </a:effectLst>
                <a:latin typeface="Cambria" panose="02040503050406030204" pitchFamily="18" charset="0"/>
                <a:ea typeface="Cambria" panose="02040503050406030204" pitchFamily="18" charset="0"/>
                <a:cs typeface="+mn-cs"/>
              </a:rPr>
              <a:t>LUCRO ANUAL </a:t>
            </a:r>
          </a:p>
        </xdr:txBody>
      </xdr:sp>
      <xdr:sp macro="" textlink="Apoio!M6">
        <xdr:nvSpPr>
          <xdr:cNvPr id="17" name="Retângulo 16">
            <a:extLst>
              <a:ext uri="{FF2B5EF4-FFF2-40B4-BE49-F238E27FC236}">
                <a16:creationId xmlns:a16="http://schemas.microsoft.com/office/drawing/2014/main" id="{3AF2F5D5-8CE2-4BDD-BAB2-7463452C7487}"/>
              </a:ext>
            </a:extLst>
          </xdr:cNvPr>
          <xdr:cNvSpPr/>
        </xdr:nvSpPr>
        <xdr:spPr>
          <a:xfrm>
            <a:off x="4236608" y="435271"/>
            <a:ext cx="1636799" cy="393312"/>
          </a:xfrm>
          <a:prstGeom prst="rect">
            <a:avLst/>
          </a:prstGeom>
          <a:noFill/>
        </xdr:spPr>
        <xdr:txBody>
          <a:bodyPr wrap="none" lIns="91440" tIns="45720" rIns="91440" bIns="45720">
            <a:spAutoFit/>
          </a:bodyPr>
          <a:lstStyle/>
          <a:p>
            <a:pPr marL="0" indent="0" algn="ctr"/>
            <a:fld id="{AD809054-9933-4CDD-959A-4FC0BEEFC3AA}" type="TxLink">
              <a:rPr lang="en-US" sz="2000" b="1" i="0" u="none" strike="noStrike" cap="none" spc="0">
                <a:ln w="0"/>
                <a:solidFill>
                  <a:schemeClr val="bg1"/>
                </a:solidFill>
                <a:effectLst>
                  <a:outerShdw blurRad="38100" dist="19050" dir="2700000" algn="tl" rotWithShape="0">
                    <a:schemeClr val="dk1">
                      <a:alpha val="40000"/>
                    </a:schemeClr>
                  </a:outerShdw>
                </a:effectLst>
                <a:latin typeface="Cambria"/>
                <a:ea typeface="Cambria"/>
                <a:cs typeface="+mn-cs"/>
              </a:rPr>
              <a:pPr marL="0" indent="0" algn="ctr"/>
              <a:t> R$ 14.163.044,00 </a:t>
            </a:fld>
            <a:endParaRPr lang="pt-BR" sz="2000" b="1" i="0" u="none" strike="noStrike" cap="none" spc="0">
              <a:ln w="0"/>
              <a:solidFill>
                <a:schemeClr val="bg1"/>
              </a:solidFill>
              <a:effectLst>
                <a:outerShdw blurRad="38100" dist="19050" dir="2700000" algn="tl" rotWithShape="0">
                  <a:schemeClr val="dk1">
                    <a:alpha val="40000"/>
                  </a:schemeClr>
                </a:outerShdw>
              </a:effectLst>
              <a:latin typeface="Cambria"/>
              <a:ea typeface="Cambria"/>
              <a:cs typeface="+mn-cs"/>
            </a:endParaRPr>
          </a:p>
        </xdr:txBody>
      </xdr:sp>
      <xdr:sp macro="" textlink="Apoio!G20">
        <xdr:nvSpPr>
          <xdr:cNvPr id="18" name="Retângulo 17">
            <a:extLst>
              <a:ext uri="{FF2B5EF4-FFF2-40B4-BE49-F238E27FC236}">
                <a16:creationId xmlns:a16="http://schemas.microsoft.com/office/drawing/2014/main" id="{7C011804-96F3-4743-9605-81C1EDDF53BC}"/>
              </a:ext>
            </a:extLst>
          </xdr:cNvPr>
          <xdr:cNvSpPr/>
        </xdr:nvSpPr>
        <xdr:spPr>
          <a:xfrm>
            <a:off x="4276039" y="1249426"/>
            <a:ext cx="1527383" cy="754352"/>
          </a:xfrm>
          <a:prstGeom prst="rect">
            <a:avLst/>
          </a:prstGeom>
          <a:noFill/>
        </xdr:spPr>
        <xdr:txBody>
          <a:bodyPr wrap="none" lIns="91440" tIns="45720" rIns="91440" bIns="45720">
            <a:spAutoFit/>
          </a:bodyPr>
          <a:lstStyle/>
          <a:p>
            <a:pPr marL="0" indent="0" algn="ctr"/>
            <a:fld id="{810DB825-1C27-4102-A119-2F7EDD2EF86F}" type="TxLink">
              <a:rPr lang="en-US" sz="4400" b="1" i="0" u="none" strike="noStrike" cap="none" spc="0">
                <a:ln w="0"/>
                <a:solidFill>
                  <a:schemeClr val="bg1">
                    <a:lumMod val="95000"/>
                  </a:schemeClr>
                </a:solidFill>
                <a:effectLst>
                  <a:outerShdw blurRad="38100" dist="19050" dir="2700000" algn="tl" rotWithShape="0">
                    <a:schemeClr val="dk1">
                      <a:alpha val="40000"/>
                    </a:schemeClr>
                  </a:outerShdw>
                </a:effectLst>
                <a:latin typeface="Cambria" panose="02040503050406030204" pitchFamily="18" charset="0"/>
                <a:ea typeface="Cambria" panose="02040503050406030204" pitchFamily="18" charset="0"/>
                <a:cs typeface="Calibri"/>
              </a:rPr>
              <a:pPr marL="0" indent="0" algn="ctr"/>
              <a:t>48,91%</a:t>
            </a:fld>
            <a:endParaRPr lang="pt-BR" sz="11500" b="1" cap="none" spc="0">
              <a:ln w="0"/>
              <a:solidFill>
                <a:schemeClr val="bg1">
                  <a:lumMod val="95000"/>
                </a:schemeClr>
              </a:solidFill>
              <a:effectLst>
                <a:outerShdw blurRad="38100" dist="19050" dir="2700000" algn="tl" rotWithShape="0">
                  <a:schemeClr val="dk1">
                    <a:alpha val="40000"/>
                  </a:schemeClr>
                </a:outerShdw>
              </a:effectLst>
              <a:latin typeface="Cambria" panose="02040503050406030204" pitchFamily="18" charset="0"/>
              <a:ea typeface="Cambria" panose="02040503050406030204" pitchFamily="18" charset="0"/>
              <a:cs typeface="+mn-cs"/>
            </a:endParaRPr>
          </a:p>
        </xdr:txBody>
      </xdr:sp>
    </xdr:grpSp>
    <xdr:clientData/>
  </xdr:twoCellAnchor>
  <xdr:twoCellAnchor editAs="absolute">
    <xdr:from>
      <xdr:col>5</xdr:col>
      <xdr:colOff>1370971</xdr:colOff>
      <xdr:row>0</xdr:row>
      <xdr:rowOff>92466</xdr:rowOff>
    </xdr:from>
    <xdr:to>
      <xdr:col>6</xdr:col>
      <xdr:colOff>1386814</xdr:colOff>
      <xdr:row>2</xdr:row>
      <xdr:rowOff>14306</xdr:rowOff>
    </xdr:to>
    <xdr:sp macro="" textlink="">
      <xdr:nvSpPr>
        <xdr:cNvPr id="23" name="Retângulo 22">
          <a:extLst>
            <a:ext uri="{FF2B5EF4-FFF2-40B4-BE49-F238E27FC236}">
              <a16:creationId xmlns:a16="http://schemas.microsoft.com/office/drawing/2014/main" id="{C588EB29-0CF9-481B-8F72-2730AB26B7E0}"/>
            </a:ext>
          </a:extLst>
        </xdr:cNvPr>
        <xdr:cNvSpPr/>
      </xdr:nvSpPr>
      <xdr:spPr>
        <a:xfrm>
          <a:off x="10314492" y="92466"/>
          <a:ext cx="1704525" cy="302840"/>
        </a:xfrm>
        <a:prstGeom prst="rect">
          <a:avLst/>
        </a:prstGeom>
        <a:noFill/>
      </xdr:spPr>
      <xdr:txBody>
        <a:bodyPr wrap="none" lIns="91440" tIns="45720" rIns="91440" bIns="45720">
          <a:spAutoFit/>
        </a:bodyPr>
        <a:lstStyle/>
        <a:p>
          <a:pPr marL="0" indent="0" algn="ctr"/>
          <a:r>
            <a:rPr lang="pt-BR" sz="1400" b="1" cap="none" spc="0">
              <a:ln w="0"/>
              <a:solidFill>
                <a:schemeClr val="bg1"/>
              </a:solidFill>
              <a:effectLst>
                <a:outerShdw blurRad="38100" dist="19050" dir="2700000" algn="tl" rotWithShape="0">
                  <a:schemeClr val="dk1">
                    <a:alpha val="40000"/>
                  </a:schemeClr>
                </a:outerShdw>
              </a:effectLst>
              <a:latin typeface="Cambria" panose="02040503050406030204" pitchFamily="18" charset="0"/>
              <a:ea typeface="Cambria" panose="02040503050406030204" pitchFamily="18" charset="0"/>
              <a:cs typeface="+mn-cs"/>
            </a:rPr>
            <a:t>ENTRADA X SAIDA</a:t>
          </a:r>
        </a:p>
      </xdr:txBody>
    </xdr:sp>
    <xdr:clientData/>
  </xdr:twoCellAnchor>
  <xdr:twoCellAnchor editAs="absolute">
    <xdr:from>
      <xdr:col>3</xdr:col>
      <xdr:colOff>943359</xdr:colOff>
      <xdr:row>0</xdr:row>
      <xdr:rowOff>161245</xdr:rowOff>
    </xdr:from>
    <xdr:to>
      <xdr:col>3</xdr:col>
      <xdr:colOff>944593</xdr:colOff>
      <xdr:row>12</xdr:row>
      <xdr:rowOff>35245</xdr:rowOff>
    </xdr:to>
    <xdr:cxnSp macro="">
      <xdr:nvCxnSpPr>
        <xdr:cNvPr id="25" name="Conector reto 24">
          <a:extLst>
            <a:ext uri="{FF2B5EF4-FFF2-40B4-BE49-F238E27FC236}">
              <a16:creationId xmlns:a16="http://schemas.microsoft.com/office/drawing/2014/main" id="{91C20789-16A0-46EE-B682-3E28792D246C}"/>
            </a:ext>
            <a:ext uri="{C183D7F6-B498-43B3-948B-1728B52AA6E4}">
              <adec:decorative xmlns:adec="http://schemas.microsoft.com/office/drawing/2017/decorative" val="1"/>
            </a:ext>
          </a:extLst>
        </xdr:cNvPr>
        <xdr:cNvCxnSpPr/>
      </xdr:nvCxnSpPr>
      <xdr:spPr>
        <a:xfrm flipH="1">
          <a:off x="6496050" y="161245"/>
          <a:ext cx="1234" cy="2160000"/>
        </a:xfrm>
        <a:prstGeom prst="line">
          <a:avLst/>
        </a:prstGeom>
        <a:ln w="19050">
          <a:solidFill>
            <a:schemeClr val="bg1"/>
          </a:solidFill>
        </a:ln>
      </xdr:spPr>
      <xdr:style>
        <a:lnRef idx="3">
          <a:schemeClr val="accent1"/>
        </a:lnRef>
        <a:fillRef idx="0">
          <a:schemeClr val="accent1"/>
        </a:fillRef>
        <a:effectRef idx="2">
          <a:schemeClr val="accent1"/>
        </a:effectRef>
        <a:fontRef idx="minor">
          <a:schemeClr val="tx1"/>
        </a:fontRef>
      </xdr:style>
    </xdr:cxnSp>
    <xdr:clientData/>
  </xdr:twoCellAnchor>
  <xdr:twoCellAnchor editAs="absolute">
    <xdr:from>
      <xdr:col>5</xdr:col>
      <xdr:colOff>455000</xdr:colOff>
      <xdr:row>0</xdr:row>
      <xdr:rowOff>161245</xdr:rowOff>
    </xdr:from>
    <xdr:to>
      <xdr:col>5</xdr:col>
      <xdr:colOff>458980</xdr:colOff>
      <xdr:row>12</xdr:row>
      <xdr:rowOff>35245</xdr:rowOff>
    </xdr:to>
    <xdr:cxnSp macro="">
      <xdr:nvCxnSpPr>
        <xdr:cNvPr id="27" name="Conector reto 26">
          <a:extLst>
            <a:ext uri="{FF2B5EF4-FFF2-40B4-BE49-F238E27FC236}">
              <a16:creationId xmlns:a16="http://schemas.microsoft.com/office/drawing/2014/main" id="{8EAB11DD-8E5C-40BA-833D-177E4C38421E}"/>
            </a:ext>
            <a:ext uri="{C183D7F6-B498-43B3-948B-1728B52AA6E4}">
              <adec:decorative xmlns:adec="http://schemas.microsoft.com/office/drawing/2017/decorative" val="1"/>
            </a:ext>
          </a:extLst>
        </xdr:cNvPr>
        <xdr:cNvCxnSpPr/>
      </xdr:nvCxnSpPr>
      <xdr:spPr>
        <a:xfrm>
          <a:off x="9406720" y="161245"/>
          <a:ext cx="3980" cy="2160000"/>
        </a:xfrm>
        <a:prstGeom prst="line">
          <a:avLst/>
        </a:prstGeom>
        <a:ln w="19050">
          <a:solidFill>
            <a:schemeClr val="bg1"/>
          </a:solidFill>
        </a:ln>
      </xdr:spPr>
      <xdr:style>
        <a:lnRef idx="3">
          <a:schemeClr val="accent1"/>
        </a:lnRef>
        <a:fillRef idx="0">
          <a:schemeClr val="accent1"/>
        </a:fillRef>
        <a:effectRef idx="2">
          <a:schemeClr val="accent1"/>
        </a:effectRef>
        <a:fontRef idx="minor">
          <a:schemeClr val="tx1"/>
        </a:fontRef>
      </xdr:style>
    </xdr:cxnSp>
    <xdr:clientData/>
  </xdr:twoCellAnchor>
  <xdr:twoCellAnchor editAs="absolute">
    <xdr:from>
      <xdr:col>7</xdr:col>
      <xdr:colOff>392651</xdr:colOff>
      <xdr:row>0</xdr:row>
      <xdr:rowOff>161245</xdr:rowOff>
    </xdr:from>
    <xdr:to>
      <xdr:col>7</xdr:col>
      <xdr:colOff>404516</xdr:colOff>
      <xdr:row>12</xdr:row>
      <xdr:rowOff>35245</xdr:rowOff>
    </xdr:to>
    <xdr:cxnSp macro="">
      <xdr:nvCxnSpPr>
        <xdr:cNvPr id="36" name="Conector reto 35">
          <a:extLst>
            <a:ext uri="{FF2B5EF4-FFF2-40B4-BE49-F238E27FC236}">
              <a16:creationId xmlns:a16="http://schemas.microsoft.com/office/drawing/2014/main" id="{75E262A4-77AD-497B-AE92-EC11618499F6}"/>
            </a:ext>
            <a:ext uri="{C183D7F6-B498-43B3-948B-1728B52AA6E4}">
              <adec:decorative xmlns:adec="http://schemas.microsoft.com/office/drawing/2017/decorative" val="1"/>
            </a:ext>
          </a:extLst>
        </xdr:cNvPr>
        <xdr:cNvCxnSpPr/>
      </xdr:nvCxnSpPr>
      <xdr:spPr>
        <a:xfrm>
          <a:off x="12694485" y="161245"/>
          <a:ext cx="11865" cy="2160000"/>
        </a:xfrm>
        <a:prstGeom prst="line">
          <a:avLst/>
        </a:prstGeom>
        <a:ln w="19050">
          <a:solidFill>
            <a:schemeClr val="bg1"/>
          </a:solidFill>
        </a:ln>
      </xdr:spPr>
      <xdr:style>
        <a:lnRef idx="3">
          <a:schemeClr val="accent1"/>
        </a:lnRef>
        <a:fillRef idx="0">
          <a:schemeClr val="accent1"/>
        </a:fillRef>
        <a:effectRef idx="2">
          <a:schemeClr val="accent1"/>
        </a:effectRef>
        <a:fontRef idx="minor">
          <a:schemeClr val="tx1"/>
        </a:fontRef>
      </xdr:style>
    </xdr:cxnSp>
    <xdr:clientData/>
  </xdr:twoCellAnchor>
  <xdr:twoCellAnchor editAs="absolute">
    <xdr:from>
      <xdr:col>1</xdr:col>
      <xdr:colOff>223309</xdr:colOff>
      <xdr:row>13</xdr:row>
      <xdr:rowOff>161396</xdr:rowOff>
    </xdr:from>
    <xdr:to>
      <xdr:col>1</xdr:col>
      <xdr:colOff>1267278</xdr:colOff>
      <xdr:row>16</xdr:row>
      <xdr:rowOff>37042</xdr:rowOff>
    </xdr:to>
    <xdr:sp macro="" textlink="" fLocksText="0">
      <xdr:nvSpPr>
        <xdr:cNvPr id="40" name="Retângulo: Cantos Arredondados 39">
          <a:extLst>
            <a:ext uri="{FF2B5EF4-FFF2-40B4-BE49-F238E27FC236}">
              <a16:creationId xmlns:a16="http://schemas.microsoft.com/office/drawing/2014/main" id="{53B55B1B-5CF6-4CC3-9724-50C9149E1104}"/>
            </a:ext>
            <a:ext uri="{C183D7F6-B498-43B3-948B-1728B52AA6E4}">
              <adec:decorative xmlns:adec="http://schemas.microsoft.com/office/drawing/2017/decorative" val="1"/>
            </a:ext>
          </a:extLst>
        </xdr:cNvPr>
        <xdr:cNvSpPr>
          <a:spLocks noChangeAspect="1"/>
        </xdr:cNvSpPr>
      </xdr:nvSpPr>
      <xdr:spPr>
        <a:xfrm>
          <a:off x="337609" y="2637896"/>
          <a:ext cx="1043969" cy="447146"/>
        </a:xfrm>
        <a:prstGeom prst="roundRect">
          <a:avLst>
            <a:gd name="adj" fmla="val 50000"/>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1</xdr:col>
      <xdr:colOff>854151</xdr:colOff>
      <xdr:row>14</xdr:row>
      <xdr:rowOff>14441</xdr:rowOff>
    </xdr:from>
    <xdr:to>
      <xdr:col>1</xdr:col>
      <xdr:colOff>1214151</xdr:colOff>
      <xdr:row>16</xdr:row>
      <xdr:rowOff>4024</xdr:rowOff>
    </xdr:to>
    <xdr:sp macro="[0]!Reduzir" textlink="">
      <xdr:nvSpPr>
        <xdr:cNvPr id="42" name="cinza" hidden="1">
          <a:extLst>
            <a:ext uri="{FF2B5EF4-FFF2-40B4-BE49-F238E27FC236}">
              <a16:creationId xmlns:a16="http://schemas.microsoft.com/office/drawing/2014/main" id="{955DEF8F-FE60-42EF-B149-B6962EC224C7}"/>
            </a:ext>
            <a:ext uri="{C183D7F6-B498-43B3-948B-1728B52AA6E4}">
              <adec:decorative xmlns:adec="http://schemas.microsoft.com/office/drawing/2017/decorative" val="1"/>
            </a:ext>
          </a:extLst>
        </xdr:cNvPr>
        <xdr:cNvSpPr/>
      </xdr:nvSpPr>
      <xdr:spPr>
        <a:xfrm>
          <a:off x="968451" y="2681441"/>
          <a:ext cx="360000" cy="370583"/>
        </a:xfrm>
        <a:prstGeom prst="ellipse">
          <a:avLst/>
        </a:prstGeom>
        <a:solidFill>
          <a:srgbClr val="808080"/>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bg1"/>
            </a:solidFill>
          </a:endParaRPr>
        </a:p>
      </xdr:txBody>
    </xdr:sp>
    <xdr:clientData fLocksWithSheet="0"/>
  </xdr:twoCellAnchor>
  <xdr:twoCellAnchor editAs="absolute">
    <xdr:from>
      <xdr:col>1</xdr:col>
      <xdr:colOff>313491</xdr:colOff>
      <xdr:row>14</xdr:row>
      <xdr:rowOff>18144</xdr:rowOff>
    </xdr:from>
    <xdr:to>
      <xdr:col>1</xdr:col>
      <xdr:colOff>673491</xdr:colOff>
      <xdr:row>16</xdr:row>
      <xdr:rowOff>7727</xdr:rowOff>
    </xdr:to>
    <xdr:sp macro="[0]!Expandir" textlink="">
      <xdr:nvSpPr>
        <xdr:cNvPr id="41" name="preto">
          <a:extLst>
            <a:ext uri="{FF2B5EF4-FFF2-40B4-BE49-F238E27FC236}">
              <a16:creationId xmlns:a16="http://schemas.microsoft.com/office/drawing/2014/main" id="{91BFA9E0-75A1-4F4C-A587-550EB609AD37}"/>
            </a:ext>
            <a:ext uri="{C183D7F6-B498-43B3-948B-1728B52AA6E4}">
              <adec:decorative xmlns:adec="http://schemas.microsoft.com/office/drawing/2017/decorative" val="1"/>
            </a:ext>
          </a:extLst>
        </xdr:cNvPr>
        <xdr:cNvSpPr/>
      </xdr:nvSpPr>
      <xdr:spPr>
        <a:xfrm>
          <a:off x="427791" y="2685144"/>
          <a:ext cx="360000" cy="370583"/>
        </a:xfrm>
        <a:prstGeom prst="ellipse">
          <a:avLst/>
        </a:prstGeom>
        <a:solidFill>
          <a:schemeClr val="tx1">
            <a:lumMod val="85000"/>
            <a:lumOff val="15000"/>
          </a:schemeClr>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fLocksWithSheet="0"/>
  </xdr:twoCellAnchor>
  <xdr:twoCellAnchor editAs="absolute">
    <xdr:from>
      <xdr:col>1</xdr:col>
      <xdr:colOff>3680617</xdr:colOff>
      <xdr:row>0</xdr:row>
      <xdr:rowOff>79993</xdr:rowOff>
    </xdr:from>
    <xdr:to>
      <xdr:col>3</xdr:col>
      <xdr:colOff>638559</xdr:colOff>
      <xdr:row>2</xdr:row>
      <xdr:rowOff>19050</xdr:rowOff>
    </xdr:to>
    <xdr:sp macro="" textlink="">
      <xdr:nvSpPr>
        <xdr:cNvPr id="43" name="Retângulo 42">
          <a:extLst>
            <a:ext uri="{FF2B5EF4-FFF2-40B4-BE49-F238E27FC236}">
              <a16:creationId xmlns:a16="http://schemas.microsoft.com/office/drawing/2014/main" id="{98FE90B0-E52F-4716-A5FB-E29B1E33C42F}"/>
            </a:ext>
          </a:extLst>
        </xdr:cNvPr>
        <xdr:cNvSpPr/>
      </xdr:nvSpPr>
      <xdr:spPr>
        <a:xfrm>
          <a:off x="3802070" y="79993"/>
          <a:ext cx="2389180" cy="320057"/>
        </a:xfrm>
        <a:prstGeom prst="rect">
          <a:avLst/>
        </a:prstGeom>
        <a:solidFill>
          <a:srgbClr val="FF0000"/>
        </a:solidFill>
        <a:scene3d>
          <a:camera prst="orthographicFront"/>
          <a:lightRig rig="threePt" dir="t"/>
        </a:scene3d>
        <a:sp3d>
          <a:bevelT/>
        </a:sp3d>
      </xdr:spPr>
      <xdr:txBody>
        <a:bodyPr wrap="none" lIns="91440" tIns="45720" rIns="91440" bIns="45720">
          <a:noAutofit/>
        </a:bodyPr>
        <a:lstStyle/>
        <a:p>
          <a:pPr marL="0" indent="0" algn="ctr"/>
          <a:r>
            <a:rPr lang="pt-BR" sz="1800" b="1" cap="none" spc="0">
              <a:ln w="0"/>
              <a:solidFill>
                <a:sysClr val="windowText" lastClr="000000"/>
              </a:solidFill>
              <a:effectLst>
                <a:outerShdw blurRad="38100" dist="19050" dir="2700000" algn="tl" rotWithShape="0">
                  <a:schemeClr val="dk1">
                    <a:alpha val="40000"/>
                  </a:schemeClr>
                </a:outerShdw>
              </a:effectLst>
              <a:latin typeface="Cambria" panose="02040503050406030204" pitchFamily="18" charset="0"/>
              <a:ea typeface="Cambria" panose="02040503050406030204" pitchFamily="18" charset="0"/>
              <a:cs typeface="+mn-cs"/>
            </a:rPr>
            <a:t>SELECIONE</a:t>
          </a:r>
          <a:r>
            <a:rPr lang="pt-BR" sz="1800" b="1" cap="none" spc="0" baseline="0">
              <a:ln w="0"/>
              <a:solidFill>
                <a:sysClr val="windowText" lastClr="000000"/>
              </a:solidFill>
              <a:effectLst>
                <a:outerShdw blurRad="38100" dist="19050" dir="2700000" algn="tl" rotWithShape="0">
                  <a:schemeClr val="dk1">
                    <a:alpha val="40000"/>
                  </a:schemeClr>
                </a:outerShdw>
              </a:effectLst>
              <a:latin typeface="Cambria" panose="02040503050406030204" pitchFamily="18" charset="0"/>
              <a:ea typeface="Cambria" panose="02040503050406030204" pitchFamily="18" charset="0"/>
              <a:cs typeface="+mn-cs"/>
            </a:rPr>
            <a:t> O ANO</a:t>
          </a:r>
          <a:endParaRPr lang="pt-BR" sz="1800" b="1" cap="none" spc="0">
            <a:ln w="0"/>
            <a:solidFill>
              <a:sysClr val="windowText" lastClr="000000"/>
            </a:solidFill>
            <a:effectLst>
              <a:outerShdw blurRad="38100" dist="19050" dir="2700000" algn="tl" rotWithShape="0">
                <a:schemeClr val="dk1">
                  <a:alpha val="40000"/>
                </a:schemeClr>
              </a:outerShdw>
            </a:effectLst>
            <a:latin typeface="Cambria" panose="02040503050406030204" pitchFamily="18" charset="0"/>
            <a:ea typeface="Cambria" panose="02040503050406030204" pitchFamily="18" charset="0"/>
            <a:cs typeface="+mn-cs"/>
          </a:endParaRPr>
        </a:p>
      </xdr:txBody>
    </xdr:sp>
    <xdr:clientData/>
  </xdr:twoCellAnchor>
  <xdr:twoCellAnchor editAs="absolute">
    <xdr:from>
      <xdr:col>14</xdr:col>
      <xdr:colOff>846955</xdr:colOff>
      <xdr:row>2</xdr:row>
      <xdr:rowOff>19050</xdr:rowOff>
    </xdr:from>
    <xdr:to>
      <xdr:col>16</xdr:col>
      <xdr:colOff>588525</xdr:colOff>
      <xdr:row>11</xdr:row>
      <xdr:rowOff>20577</xdr:rowOff>
    </xdr:to>
    <xdr:pic>
      <xdr:nvPicPr>
        <xdr:cNvPr id="5" name="Imagem 4">
          <a:extLst>
            <a:ext uri="{FF2B5EF4-FFF2-40B4-BE49-F238E27FC236}">
              <a16:creationId xmlns:a16="http://schemas.microsoft.com/office/drawing/2014/main" id="{ED547740-77EC-491B-B4CB-DB3C7E923574}"/>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4705859" y="400050"/>
          <a:ext cx="2288583" cy="1716027"/>
        </a:xfrm>
        <a:prstGeom prst="rect">
          <a:avLst/>
        </a:prstGeom>
        <a:ln>
          <a:noFill/>
        </a:ln>
        <a:effectLst>
          <a:outerShdw blurRad="292100" dist="139700" dir="2700000" algn="tl" rotWithShape="0">
            <a:srgbClr val="333333">
              <a:alpha val="65000"/>
            </a:srgbClr>
          </a:outerShdw>
        </a:effectLst>
      </xdr:spPr>
    </xdr:pic>
    <xdr:clientData/>
  </xdr:twoCellAnchor>
  <xdr:twoCellAnchor editAs="absolute">
    <xdr:from>
      <xdr:col>5</xdr:col>
      <xdr:colOff>646758</xdr:colOff>
      <xdr:row>1</xdr:row>
      <xdr:rowOff>97972</xdr:rowOff>
    </xdr:from>
    <xdr:to>
      <xdr:col>7</xdr:col>
      <xdr:colOff>172322</xdr:colOff>
      <xdr:row>12</xdr:row>
      <xdr:rowOff>76200</xdr:rowOff>
    </xdr:to>
    <xdr:graphicFrame macro="">
      <xdr:nvGraphicFramePr>
        <xdr:cNvPr id="29" name="Gráfico 28">
          <a:extLst>
            <a:ext uri="{FF2B5EF4-FFF2-40B4-BE49-F238E27FC236}">
              <a16:creationId xmlns:a16="http://schemas.microsoft.com/office/drawing/2014/main" id="{C7072AF0-B0A5-41EA-A255-6E6581100D6D}"/>
            </a:ext>
            <a:ext uri="{C183D7F6-B498-43B3-948B-1728B52AA6E4}">
              <adec:decorative xmlns:adec="http://schemas.microsoft.com/office/drawing/2017/decorative" val="1"/>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xdr:col>
      <xdr:colOff>3669497</xdr:colOff>
      <xdr:row>5</xdr:row>
      <xdr:rowOff>171450</xdr:rowOff>
    </xdr:from>
    <xdr:to>
      <xdr:col>3</xdr:col>
      <xdr:colOff>657609</xdr:colOff>
      <xdr:row>12</xdr:row>
      <xdr:rowOff>95250</xdr:rowOff>
    </xdr:to>
    <mc:AlternateContent xmlns:mc="http://schemas.openxmlformats.org/markup-compatibility/2006" xmlns:a14="http://schemas.microsoft.com/office/drawing/2010/main">
      <mc:Choice Requires="a14">
        <xdr:graphicFrame macro="">
          <xdr:nvGraphicFramePr>
            <xdr:cNvPr id="46" name="MÊS 1">
              <a:extLst>
                <a:ext uri="{FF2B5EF4-FFF2-40B4-BE49-F238E27FC236}">
                  <a16:creationId xmlns:a16="http://schemas.microsoft.com/office/drawing/2014/main" id="{400D788A-1DB5-488B-9698-BCAFB70EEC63}"/>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ÊS 1"/>
            </a:graphicData>
          </a:graphic>
        </xdr:graphicFrame>
      </mc:Choice>
      <mc:Fallback xmlns="">
        <xdr:sp macro="" textlink="">
          <xdr:nvSpPr>
            <xdr:cNvPr id="0" name=""/>
            <xdr:cNvSpPr>
              <a:spLocks noTextEdit="1"/>
            </xdr:cNvSpPr>
          </xdr:nvSpPr>
          <xdr:spPr>
            <a:xfrm>
              <a:off x="3790950" y="1123950"/>
              <a:ext cx="2419350" cy="12573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absolute">
    <xdr:from>
      <xdr:col>1</xdr:col>
      <xdr:colOff>3679022</xdr:colOff>
      <xdr:row>2</xdr:row>
      <xdr:rowOff>85725</xdr:rowOff>
    </xdr:from>
    <xdr:to>
      <xdr:col>3</xdr:col>
      <xdr:colOff>657609</xdr:colOff>
      <xdr:row>5</xdr:row>
      <xdr:rowOff>90225</xdr:rowOff>
    </xdr:to>
    <mc:AlternateContent xmlns:mc="http://schemas.openxmlformats.org/markup-compatibility/2006" xmlns:a14="http://schemas.microsoft.com/office/drawing/2010/main">
      <mc:Choice Requires="a14">
        <xdr:graphicFrame macro="">
          <xdr:nvGraphicFramePr>
            <xdr:cNvPr id="47" name="ANO 1">
              <a:extLst>
                <a:ext uri="{FF2B5EF4-FFF2-40B4-BE49-F238E27FC236}">
                  <a16:creationId xmlns:a16="http://schemas.microsoft.com/office/drawing/2014/main" id="{9AC1245C-5D50-4525-8063-CC0E169936BF}"/>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ANO 1"/>
            </a:graphicData>
          </a:graphic>
        </xdr:graphicFrame>
      </mc:Choice>
      <mc:Fallback xmlns="">
        <xdr:sp macro="" textlink="">
          <xdr:nvSpPr>
            <xdr:cNvPr id="0" name=""/>
            <xdr:cNvSpPr>
              <a:spLocks noTextEdit="1"/>
            </xdr:cNvSpPr>
          </xdr:nvSpPr>
          <xdr:spPr>
            <a:xfrm>
              <a:off x="3800475" y="466725"/>
              <a:ext cx="2409825" cy="5760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absolute">
    <xdr:from>
      <xdr:col>1</xdr:col>
      <xdr:colOff>209550</xdr:colOff>
      <xdr:row>1</xdr:row>
      <xdr:rowOff>0</xdr:rowOff>
    </xdr:from>
    <xdr:to>
      <xdr:col>1</xdr:col>
      <xdr:colOff>3448050</xdr:colOff>
      <xdr:row>3</xdr:row>
      <xdr:rowOff>171450</xdr:rowOff>
    </xdr:to>
    <xdr:sp macro="" textlink="">
      <xdr:nvSpPr>
        <xdr:cNvPr id="2" name="Retângulo: Cantos Arredondados 1">
          <a:hlinkClick xmlns:r="http://schemas.openxmlformats.org/officeDocument/2006/relationships" r:id="rId5"/>
          <a:extLst>
            <a:ext uri="{FF2B5EF4-FFF2-40B4-BE49-F238E27FC236}">
              <a16:creationId xmlns:a16="http://schemas.microsoft.com/office/drawing/2014/main" id="{104008A1-342D-48D9-AD27-3AF26E43E127}"/>
            </a:ext>
          </a:extLst>
        </xdr:cNvPr>
        <xdr:cNvSpPr/>
      </xdr:nvSpPr>
      <xdr:spPr>
        <a:xfrm>
          <a:off x="323850" y="190500"/>
          <a:ext cx="3238500" cy="552450"/>
        </a:xfrm>
        <a:prstGeom prst="roundRect">
          <a:avLst/>
        </a:prstGeom>
        <a:gradFill flip="none" rotWithShape="1">
          <a:gsLst>
            <a:gs pos="99242">
              <a:srgbClr val="013147"/>
            </a:gs>
            <a:gs pos="0">
              <a:srgbClr val="139A9D"/>
            </a:gs>
          </a:gsLst>
          <a:lin ang="0" scaled="1"/>
          <a:tileRect/>
        </a:gradFill>
        <a:ln>
          <a:noFill/>
        </a:ln>
        <a:scene3d>
          <a:camera prst="orthographicFront"/>
          <a:lightRig rig="threePt" dir="t"/>
        </a:scene3d>
        <a:sp3d>
          <a:bevelT w="133350" h="114300"/>
          <a:bevelB w="1905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3600" b="1" i="0">
              <a:solidFill>
                <a:schemeClr val="lt1"/>
              </a:solidFill>
              <a:latin typeface="Cambria" panose="02040503050406030204" pitchFamily="18" charset="0"/>
              <a:ea typeface="Cambria" panose="02040503050406030204" pitchFamily="18" charset="0"/>
              <a:cs typeface="+mn-cs"/>
            </a:rPr>
            <a:t>DASHBOARD</a:t>
          </a:r>
        </a:p>
      </xdr:txBody>
    </xdr:sp>
    <xdr:clientData/>
  </xdr:twoCellAnchor>
  <xdr:twoCellAnchor editAs="absolute">
    <xdr:from>
      <xdr:col>1</xdr:col>
      <xdr:colOff>209550</xdr:colOff>
      <xdr:row>9</xdr:row>
      <xdr:rowOff>76200</xdr:rowOff>
    </xdr:from>
    <xdr:to>
      <xdr:col>1</xdr:col>
      <xdr:colOff>3448050</xdr:colOff>
      <xdr:row>12</xdr:row>
      <xdr:rowOff>57150</xdr:rowOff>
    </xdr:to>
    <xdr:sp macro="" textlink="">
      <xdr:nvSpPr>
        <xdr:cNvPr id="26" name="Retângulo: Cantos Arredondados 25">
          <a:hlinkClick xmlns:r="http://schemas.openxmlformats.org/officeDocument/2006/relationships" r:id="rId6"/>
          <a:extLst>
            <a:ext uri="{FF2B5EF4-FFF2-40B4-BE49-F238E27FC236}">
              <a16:creationId xmlns:a16="http://schemas.microsoft.com/office/drawing/2014/main" id="{57272037-ECCB-4FB2-BEB7-EB2E4E5D96DA}"/>
            </a:ext>
          </a:extLst>
        </xdr:cNvPr>
        <xdr:cNvSpPr/>
      </xdr:nvSpPr>
      <xdr:spPr>
        <a:xfrm>
          <a:off x="323850" y="1790700"/>
          <a:ext cx="3238500" cy="552450"/>
        </a:xfrm>
        <a:prstGeom prst="roundRect">
          <a:avLst/>
        </a:prstGeom>
        <a:gradFill flip="none" rotWithShape="1">
          <a:gsLst>
            <a:gs pos="99242">
              <a:srgbClr val="013147"/>
            </a:gs>
            <a:gs pos="0">
              <a:srgbClr val="139A9D"/>
            </a:gs>
          </a:gsLst>
          <a:lin ang="0" scaled="1"/>
          <a:tileRect/>
        </a:gradFill>
        <a:ln>
          <a:noFill/>
        </a:ln>
        <a:scene3d>
          <a:camera prst="orthographicFront"/>
          <a:lightRig rig="threePt" dir="t"/>
        </a:scene3d>
        <a:sp3d>
          <a:bevelT w="133350" h="114300"/>
          <a:bevelB w="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3600" b="1" i="0">
              <a:solidFill>
                <a:schemeClr val="lt1"/>
              </a:solidFill>
              <a:latin typeface="Cambria" panose="02040503050406030204" pitchFamily="18" charset="0"/>
              <a:ea typeface="Cambria" panose="02040503050406030204" pitchFamily="18" charset="0"/>
              <a:cs typeface="+mn-cs"/>
            </a:rPr>
            <a:t>DATABASE</a:t>
          </a:r>
        </a:p>
      </xdr:txBody>
    </xdr:sp>
    <xdr:clientData/>
  </xdr:twoCellAnchor>
  <xdr:twoCellAnchor editAs="absolute">
    <xdr:from>
      <xdr:col>1</xdr:col>
      <xdr:colOff>209550</xdr:colOff>
      <xdr:row>5</xdr:row>
      <xdr:rowOff>38100</xdr:rowOff>
    </xdr:from>
    <xdr:to>
      <xdr:col>1</xdr:col>
      <xdr:colOff>3448050</xdr:colOff>
      <xdr:row>8</xdr:row>
      <xdr:rowOff>19050</xdr:rowOff>
    </xdr:to>
    <xdr:sp macro="" textlink="">
      <xdr:nvSpPr>
        <xdr:cNvPr id="28" name="Retângulo: Cantos Arredondados 27">
          <a:hlinkClick xmlns:r="http://schemas.openxmlformats.org/officeDocument/2006/relationships" r:id="rId7"/>
          <a:extLst>
            <a:ext uri="{FF2B5EF4-FFF2-40B4-BE49-F238E27FC236}">
              <a16:creationId xmlns:a16="http://schemas.microsoft.com/office/drawing/2014/main" id="{AD1622E0-F363-4B75-9469-BEF49D99E136}"/>
            </a:ext>
          </a:extLst>
        </xdr:cNvPr>
        <xdr:cNvSpPr/>
      </xdr:nvSpPr>
      <xdr:spPr>
        <a:xfrm>
          <a:off x="323850" y="990600"/>
          <a:ext cx="3238500" cy="552450"/>
        </a:xfrm>
        <a:prstGeom prst="roundRect">
          <a:avLst/>
        </a:prstGeom>
        <a:gradFill flip="none" rotWithShape="1">
          <a:gsLst>
            <a:gs pos="99242">
              <a:srgbClr val="FF0000"/>
            </a:gs>
            <a:gs pos="0">
              <a:srgbClr val="1C1C1C"/>
            </a:gs>
          </a:gsLst>
          <a:lin ang="0" scaled="1"/>
          <a:tileRect/>
        </a:gradFill>
        <a:ln>
          <a:noFill/>
        </a:ln>
        <a:scene3d>
          <a:camera prst="orthographicFront"/>
          <a:lightRig rig="threePt" dir="t"/>
        </a:scene3d>
        <a:sp3d>
          <a:bevelT w="133350" h="120650"/>
          <a:bevelB w="5715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3600" b="1" i="0">
              <a:solidFill>
                <a:schemeClr val="lt1"/>
              </a:solidFill>
              <a:latin typeface="Cambria" panose="02040503050406030204" pitchFamily="18" charset="0"/>
              <a:ea typeface="Cambria" panose="02040503050406030204" pitchFamily="18" charset="0"/>
              <a:cs typeface="+mn-cs"/>
            </a:rPr>
            <a:t>DRE</a:t>
          </a:r>
        </a:p>
      </xdr:txBody>
    </xdr:sp>
    <xdr:clientData/>
  </xdr:twoCellAnchor>
  <xdr:twoCellAnchor editAs="absolute">
    <xdr:from>
      <xdr:col>7</xdr:col>
      <xdr:colOff>539749</xdr:colOff>
      <xdr:row>0</xdr:row>
      <xdr:rowOff>95250</xdr:rowOff>
    </xdr:from>
    <xdr:to>
      <xdr:col>10</xdr:col>
      <xdr:colOff>1000125</xdr:colOff>
      <xdr:row>12</xdr:row>
      <xdr:rowOff>85961</xdr:rowOff>
    </xdr:to>
    <xdr:pic>
      <xdr:nvPicPr>
        <xdr:cNvPr id="39" name="Imagem 38">
          <a:extLst>
            <a:ext uri="{FF2B5EF4-FFF2-40B4-BE49-F238E27FC236}">
              <a16:creationId xmlns:a16="http://schemas.microsoft.com/office/drawing/2014/main" id="{DA45367B-5E8D-4BBA-BDC4-84D36CE8DAAB}"/>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2842874" y="95250"/>
          <a:ext cx="5540376" cy="2276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1345406</xdr:colOff>
      <xdr:row>0</xdr:row>
      <xdr:rowOff>0</xdr:rowOff>
    </xdr:from>
    <xdr:to>
      <xdr:col>2</xdr:col>
      <xdr:colOff>599805</xdr:colOff>
      <xdr:row>0</xdr:row>
      <xdr:rowOff>333375</xdr:rowOff>
    </xdr:to>
    <xdr:sp macro="" textlink="">
      <xdr:nvSpPr>
        <xdr:cNvPr id="2" name="Retângulo: Cantos Arredondados 1">
          <a:hlinkClick xmlns:r="http://schemas.openxmlformats.org/officeDocument/2006/relationships" r:id="rId1"/>
          <a:extLst>
            <a:ext uri="{FF2B5EF4-FFF2-40B4-BE49-F238E27FC236}">
              <a16:creationId xmlns:a16="http://schemas.microsoft.com/office/drawing/2014/main" id="{40E8A76E-4513-43A3-A451-062BFB1B049F}"/>
            </a:ext>
          </a:extLst>
        </xdr:cNvPr>
        <xdr:cNvSpPr/>
      </xdr:nvSpPr>
      <xdr:spPr>
        <a:xfrm>
          <a:off x="2119312" y="0"/>
          <a:ext cx="1861868" cy="333375"/>
        </a:xfrm>
        <a:prstGeom prst="roundRect">
          <a:avLst/>
        </a:prstGeom>
        <a:gradFill flip="none" rotWithShape="1">
          <a:gsLst>
            <a:gs pos="99242">
              <a:srgbClr val="013147"/>
            </a:gs>
            <a:gs pos="0">
              <a:srgbClr val="139A9D"/>
            </a:gs>
          </a:gsLst>
          <a:lin ang="0" scaled="1"/>
          <a:tileRect/>
        </a:gradFill>
        <a:ln>
          <a:noFill/>
        </a:ln>
        <a:scene3d>
          <a:camera prst="orthographicFront"/>
          <a:lightRig rig="threePt" dir="t"/>
        </a:scene3d>
        <a:sp3d>
          <a:bevelT w="133350" h="114300"/>
          <a:bevelB w="1905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i="0">
              <a:solidFill>
                <a:schemeClr val="lt1"/>
              </a:solidFill>
              <a:latin typeface="Cambria" panose="02040503050406030204" pitchFamily="18" charset="0"/>
              <a:ea typeface="Cambria" panose="02040503050406030204" pitchFamily="18" charset="0"/>
              <a:cs typeface="+mn-cs"/>
            </a:rPr>
            <a:t>DASHBOARD</a:t>
          </a:r>
        </a:p>
      </xdr:txBody>
    </xdr:sp>
    <xdr:clientData fPrintsWithSheet="0"/>
  </xdr:twoCellAnchor>
  <xdr:twoCellAnchor editAs="oneCell">
    <xdr:from>
      <xdr:col>3</xdr:col>
      <xdr:colOff>2005012</xdr:colOff>
      <xdr:row>0</xdr:row>
      <xdr:rowOff>0</xdr:rowOff>
    </xdr:from>
    <xdr:to>
      <xdr:col>4</xdr:col>
      <xdr:colOff>1309686</xdr:colOff>
      <xdr:row>0</xdr:row>
      <xdr:rowOff>333375</xdr:rowOff>
    </xdr:to>
    <xdr:sp macro="" textlink="">
      <xdr:nvSpPr>
        <xdr:cNvPr id="3" name="Retângulo: Cantos Arredondados 2">
          <a:hlinkClick xmlns:r="http://schemas.openxmlformats.org/officeDocument/2006/relationships" r:id="rId2"/>
          <a:extLst>
            <a:ext uri="{FF2B5EF4-FFF2-40B4-BE49-F238E27FC236}">
              <a16:creationId xmlns:a16="http://schemas.microsoft.com/office/drawing/2014/main" id="{6C8D6C55-4AB1-4A7A-930D-3540D06E7213}"/>
            </a:ext>
          </a:extLst>
        </xdr:cNvPr>
        <xdr:cNvSpPr/>
      </xdr:nvSpPr>
      <xdr:spPr>
        <a:xfrm>
          <a:off x="6005512" y="0"/>
          <a:ext cx="1804987" cy="333375"/>
        </a:xfrm>
        <a:prstGeom prst="roundRect">
          <a:avLst/>
        </a:prstGeom>
        <a:gradFill flip="none" rotWithShape="1">
          <a:gsLst>
            <a:gs pos="99242">
              <a:srgbClr val="C00000"/>
            </a:gs>
            <a:gs pos="0">
              <a:srgbClr val="1C1C1C"/>
            </a:gs>
          </a:gsLst>
          <a:lin ang="0" scaled="1"/>
          <a:tileRect/>
        </a:gradFill>
        <a:ln>
          <a:noFill/>
        </a:ln>
        <a:scene3d>
          <a:camera prst="orthographicFront"/>
          <a:lightRig rig="threePt" dir="t"/>
        </a:scene3d>
        <a:sp3d>
          <a:bevelT w="133350" h="114300"/>
          <a:bevelB w="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i="0">
              <a:solidFill>
                <a:schemeClr val="lt1"/>
              </a:solidFill>
              <a:latin typeface="Cambria" panose="02040503050406030204" pitchFamily="18" charset="0"/>
              <a:ea typeface="Cambria" panose="02040503050406030204" pitchFamily="18" charset="0"/>
              <a:cs typeface="+mn-cs"/>
            </a:rPr>
            <a:t>DATABASE</a:t>
          </a:r>
        </a:p>
      </xdr:txBody>
    </xdr:sp>
    <xdr:clientData fPrintsWithSheet="0"/>
  </xdr:twoCellAnchor>
  <xdr:twoCellAnchor editAs="oneCell">
    <xdr:from>
      <xdr:col>3</xdr:col>
      <xdr:colOff>92340</xdr:colOff>
      <xdr:row>0</xdr:row>
      <xdr:rowOff>0</xdr:rowOff>
    </xdr:from>
    <xdr:to>
      <xdr:col>3</xdr:col>
      <xdr:colOff>1893352</xdr:colOff>
      <xdr:row>0</xdr:row>
      <xdr:rowOff>333375</xdr:rowOff>
    </xdr:to>
    <xdr:sp macro="" textlink="">
      <xdr:nvSpPr>
        <xdr:cNvPr id="4" name="Retângulo: Cantos Arredondados 3">
          <a:hlinkClick xmlns:r="http://schemas.openxmlformats.org/officeDocument/2006/relationships" r:id="rId3"/>
          <a:extLst>
            <a:ext uri="{FF2B5EF4-FFF2-40B4-BE49-F238E27FC236}">
              <a16:creationId xmlns:a16="http://schemas.microsoft.com/office/drawing/2014/main" id="{6F7185DA-E604-472C-B0AF-7F1EDD60127B}"/>
            </a:ext>
          </a:extLst>
        </xdr:cNvPr>
        <xdr:cNvSpPr/>
      </xdr:nvSpPr>
      <xdr:spPr>
        <a:xfrm>
          <a:off x="4092840" y="0"/>
          <a:ext cx="1801012" cy="333375"/>
        </a:xfrm>
        <a:prstGeom prst="roundRect">
          <a:avLst/>
        </a:prstGeom>
        <a:gradFill flip="none" rotWithShape="1">
          <a:gsLst>
            <a:gs pos="0">
              <a:srgbClr val="1D7F93"/>
            </a:gs>
            <a:gs pos="100000">
              <a:srgbClr val="013147"/>
            </a:gs>
          </a:gsLst>
          <a:lin ang="0" scaled="1"/>
          <a:tileRect/>
        </a:gradFill>
        <a:ln>
          <a:noFill/>
        </a:ln>
        <a:scene3d>
          <a:camera prst="orthographicFront"/>
          <a:lightRig rig="threePt" dir="t"/>
        </a:scene3d>
        <a:sp3d>
          <a:bevelT w="133350" h="120650"/>
          <a:bevelB w="5715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i="0">
              <a:solidFill>
                <a:schemeClr val="lt1"/>
              </a:solidFill>
              <a:latin typeface="Cambria" panose="02040503050406030204" pitchFamily="18" charset="0"/>
              <a:ea typeface="Cambria" panose="02040503050406030204" pitchFamily="18" charset="0"/>
              <a:cs typeface="+mn-cs"/>
            </a:rPr>
            <a:t>DRE</a:t>
          </a:r>
        </a:p>
      </xdr:txBody>
    </xdr:sp>
    <xdr:clientData fPrint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eus Hags" refreshedDate="44638.71284537037" createdVersion="7" refreshedVersion="7" minRefreshableVersion="3" recordCount="5015" xr:uid="{8AAC8E82-2C9D-427C-BAE6-B21E27298391}">
  <cacheSource type="worksheet">
    <worksheetSource name="Tabela_DB"/>
  </cacheSource>
  <cacheFields count="10">
    <cacheField name="DATA" numFmtId="14">
      <sharedItems containsSemiMixedTypes="0" containsNonDate="0" containsDate="1" containsString="0" minDate="2021-01-01T00:00:00" maxDate="2022-01-04T00:00:00" count="368">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1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7-12T00:00:00"/>
        <d v="2021-07-13T00:00:00"/>
        <d v="2021-07-14T00:00:00"/>
        <d v="2021-07-15T00:00:00"/>
        <d v="2021-07-16T00:00:00"/>
        <d v="2021-07-17T00:00:00"/>
        <d v="2021-07-18T00:00:00"/>
        <d v="2021-07-19T00:00:00"/>
        <d v="2021-07-20T00:00:00"/>
        <d v="2021-07-21T00:00:00"/>
        <d v="2021-07-22T00:00:00"/>
        <d v="2021-07-23T00:00:00"/>
        <d v="2021-07-24T00:00:00"/>
        <d v="2021-07-25T00:00:00"/>
        <d v="2021-07-26T00:00:00"/>
        <d v="2021-07-27T00:00:00"/>
        <d v="2021-07-28T00:00:00"/>
        <d v="2021-07-29T00:00:00"/>
        <d v="2021-07-30T00:00:00"/>
        <d v="2021-07-31T00:00:00"/>
        <d v="2021-08-01T00:00:00"/>
        <d v="2021-08-02T00:00:00"/>
        <d v="2021-08-03T00:00:00"/>
        <d v="2021-08-04T00:00:00"/>
        <d v="2021-08-05T00:00:00"/>
        <d v="2021-08-06T00:00:00"/>
        <d v="2021-08-07T00:00:00"/>
        <d v="2021-08-08T00:00:00"/>
        <d v="2021-08-09T00:00:00"/>
        <d v="2021-08-10T00:00:00"/>
        <d v="2021-08-11T00:00:00"/>
        <d v="2021-08-12T00:00:00"/>
        <d v="2021-08-13T00:00:00"/>
        <d v="2021-08-14T00:00:00"/>
        <d v="2021-08-15T00:00:00"/>
        <d v="2021-08-16T00:00:00"/>
        <d v="2021-08-17T00:00:00"/>
        <d v="2021-08-18T00:00:00"/>
        <d v="2021-08-19T00:00:00"/>
        <d v="2021-08-20T00:00:00"/>
        <d v="2021-08-21T00:00:00"/>
        <d v="2021-08-22T00:00:00"/>
        <d v="2021-08-23T00:00:00"/>
        <d v="2021-08-24T00:00:00"/>
        <d v="2021-08-25T00:00:00"/>
        <d v="2021-08-26T00:00:00"/>
        <d v="2021-08-27T00:00:00"/>
        <d v="2021-08-28T00:00:00"/>
        <d v="2021-08-29T00:00:00"/>
        <d v="2021-08-30T00:00:00"/>
        <d v="2021-08-31T00:00:00"/>
        <d v="2021-09-01T00:00:00"/>
        <d v="2021-09-02T00:00:00"/>
        <d v="2021-09-03T00:00:00"/>
        <d v="2021-09-04T00:00:00"/>
        <d v="2021-09-05T00:00:00"/>
        <d v="2021-09-06T00:00:00"/>
        <d v="2021-09-07T00:00:00"/>
        <d v="2021-09-08T00:00:00"/>
        <d v="2021-09-09T00:00:00"/>
        <d v="2021-09-10T00:00:00"/>
        <d v="2021-09-11T00:00:00"/>
        <d v="2021-09-12T00:00:00"/>
        <d v="2021-09-13T00:00:00"/>
        <d v="2021-09-14T00:00:00"/>
        <d v="2021-09-15T00:00:00"/>
        <d v="2021-09-16T00:00:00"/>
        <d v="2021-09-17T00:00:00"/>
        <d v="2021-09-18T00:00:00"/>
        <d v="2021-09-19T00:00:00"/>
        <d v="2021-09-20T00:00:00"/>
        <d v="2021-09-21T00:00:00"/>
        <d v="2021-09-22T00:00:00"/>
        <d v="2021-09-23T00:00:00"/>
        <d v="2021-09-24T00:00:00"/>
        <d v="2021-09-25T00:00:00"/>
        <d v="2021-09-26T00:00:00"/>
        <d v="2021-09-27T00:00:00"/>
        <d v="2021-09-28T00:00:00"/>
        <d v="2021-09-29T00:00:00"/>
        <d v="2021-09-30T00:00:00"/>
        <d v="2021-10-01T00:00:00"/>
        <d v="2021-10-02T00:00:00"/>
        <d v="2021-10-03T00:00:00"/>
        <d v="2021-10-04T00:00:00"/>
        <d v="2021-10-05T00:00:00"/>
        <d v="2021-10-06T00:00:00"/>
        <d v="2021-10-07T00:00:00"/>
        <d v="2021-10-08T00:00:00"/>
        <d v="2021-10-09T00:00:00"/>
        <d v="2021-10-10T00:00:00"/>
        <d v="2021-10-11T00:00:00"/>
        <d v="2021-10-12T00:00:00"/>
        <d v="2021-10-13T00:00:00"/>
        <d v="2021-10-14T00:00:00"/>
        <d v="2021-10-15T00:00:00"/>
        <d v="2021-10-16T00:00:00"/>
        <d v="2021-10-17T00:00:00"/>
        <d v="2021-10-18T00:00:00"/>
        <d v="2021-10-19T00:00:00"/>
        <d v="2021-10-20T00:00:00"/>
        <d v="2021-10-21T00:00:00"/>
        <d v="2021-10-22T00:00:00"/>
        <d v="2021-10-23T00:00:00"/>
        <d v="2021-10-24T00:00:00"/>
        <d v="2021-10-25T00:00:00"/>
        <d v="2021-10-26T00:00:00"/>
        <d v="2021-10-27T00:00:00"/>
        <d v="2021-10-28T00:00:00"/>
        <d v="2021-10-29T00:00:00"/>
        <d v="2021-10-30T00:00:00"/>
        <d v="2021-10-31T00:00:00"/>
        <d v="2021-11-01T00:00:00"/>
        <d v="2021-11-02T00:00:00"/>
        <d v="2021-11-03T00:00:00"/>
        <d v="2021-11-04T00:00:00"/>
        <d v="2021-11-05T00:00:00"/>
        <d v="2021-11-06T00:00:00"/>
        <d v="2021-11-07T00:00:00"/>
        <d v="2021-11-08T00:00:00"/>
        <d v="2021-11-09T00:00:00"/>
        <d v="2021-11-10T00:00:00"/>
        <d v="2021-11-11T00:00:00"/>
        <d v="2021-11-12T00:00:00"/>
        <d v="2021-11-13T00:00:00"/>
        <d v="2021-11-14T00:00:00"/>
        <d v="2021-11-15T00:00:00"/>
        <d v="2021-11-16T00:00:00"/>
        <d v="2021-11-17T00:00:00"/>
        <d v="2021-11-18T00:00:00"/>
        <d v="2021-11-19T00:00:00"/>
        <d v="2021-11-20T00:00:00"/>
        <d v="2021-11-21T00:00:00"/>
        <d v="2021-11-22T00:00:00"/>
        <d v="2021-11-23T00:00:00"/>
        <d v="2021-11-24T00:00:00"/>
        <d v="2021-11-25T00:00:00"/>
        <d v="2021-11-26T00:00:00"/>
        <d v="2021-11-27T00:00:00"/>
        <d v="2021-11-28T00:00:00"/>
        <d v="2021-11-29T00:00:00"/>
        <d v="2021-11-30T00:00:00"/>
        <d v="2021-12-01T00:00:00"/>
        <d v="2021-12-02T00:00:00"/>
        <d v="2021-12-03T00:00:00"/>
        <d v="2021-12-04T00:00:00"/>
        <d v="2021-12-05T00:00:00"/>
        <d v="2021-12-06T00:00:00"/>
        <d v="2021-12-07T00:00:00"/>
        <d v="2021-12-08T00:00:00"/>
        <d v="2021-12-09T00:00:00"/>
        <d v="2021-12-10T00:00:00"/>
        <d v="2021-12-11T00:00:00"/>
        <d v="2021-12-12T00:00:00"/>
        <d v="2021-12-13T00:00:00"/>
        <d v="2021-12-14T00:00:00"/>
        <d v="2021-12-15T00:00:00"/>
        <d v="2021-12-16T00:00:00"/>
        <d v="2021-12-17T00:00:00"/>
        <d v="2021-12-18T00:00:00"/>
        <d v="2021-12-19T00:00:00"/>
        <d v="2021-12-20T00:00:00"/>
        <d v="2021-12-21T00:00:00"/>
        <d v="2021-12-22T00:00:00"/>
        <d v="2021-12-23T00:00:00"/>
        <d v="2021-12-24T00:00:00"/>
        <d v="2021-12-25T00:00:00"/>
        <d v="2021-12-26T00:00:00"/>
        <d v="2021-12-27T00:00:00"/>
        <d v="2021-12-28T00:00:00"/>
        <d v="2021-12-29T00:00:00"/>
        <d v="2021-12-30T00:00:00"/>
        <d v="2021-12-31T00:00:00"/>
        <d v="2022-01-01T00:00:00"/>
        <d v="2022-01-02T00:00:00"/>
        <d v="2022-01-03T00:00:00"/>
      </sharedItems>
      <fieldGroup par="9" base="0">
        <rangePr groupBy="months" startDate="2021-01-01T00:00:00" endDate="2022-01-04T00:00:00"/>
        <groupItems count="14">
          <s v="&lt;01/01/2021"/>
          <s v="jan"/>
          <s v="fev"/>
          <s v="mar"/>
          <s v="abr"/>
          <s v="mai"/>
          <s v="jun"/>
          <s v="jul"/>
          <s v="ago"/>
          <s v="set"/>
          <s v="out"/>
          <s v="nov"/>
          <s v="dez"/>
          <s v="&gt;04/01/2022"/>
        </groupItems>
      </fieldGroup>
    </cacheField>
    <cacheField name="DESCRIÇÃO" numFmtId="0">
      <sharedItems count="64">
        <s v="Custo"/>
        <s v="COFINS "/>
        <s v="PGTO em Cartão"/>
        <s v="Processamento de sistemas"/>
        <s v="ÍCMS"/>
        <s v="PGTO em Dinheiro"/>
        <s v="Devolução de Vendas"/>
        <s v="Quebra de Caixa"/>
        <s v="Seguro de veículos"/>
        <s v="Seguro de Vida"/>
        <s v="Multa e Infração de trânsito"/>
        <s v="Férias"/>
        <s v="INSS de Terceiros PF"/>
        <s v="Impostos e taxas diversas"/>
        <s v="Contribuições e Associações de Classe"/>
        <s v="IPVA"/>
        <s v="Depreciação de móveis e utensílios"/>
        <s v="Assistência Médica a Funcionários"/>
        <s v="Provisões de Férias e Encargos"/>
        <s v="Material de Consumo e Limpeza"/>
        <s v="Tarifas, Comissões de ADM e Cartões"/>
        <s v="PIS"/>
        <s v="Despesas com Internet"/>
        <s v="MULTA FGTS"/>
        <s v="Manutenção de veículos"/>
        <s v="Depreciação de Máquinas E Equipamentos"/>
        <s v="Manutenção e Reparo"/>
        <s v="Salários e Ordenados"/>
        <s v="Despesa Financeira"/>
        <s v="IPTU"/>
        <s v="Participação nos resultados"/>
        <s v="Água e Esgoto"/>
        <s v="Depreciação de Veículos e Acessórios"/>
        <s v="Prestador PJ - Demais Casos"/>
        <s v="Consultoria e Assessoria Especializada"/>
        <s v="Combustíveis e Lubrificantes"/>
        <s v="ICMS Diferencial de Alíquota"/>
        <s v="Assessoria Jurídica"/>
        <s v="Vale Transporte"/>
        <s v="INSS Empresa"/>
        <s v="Depreciação de Equip. Informática"/>
        <s v="Limpeza e Conservação"/>
        <s v="Despesas com Refeição"/>
        <s v="Provisão de 13° Salário e Encargos "/>
        <s v="Provisão do IRPJ e CSSL"/>
        <s v="Aviso Prévio"/>
        <s v="Aluguéis e Condomínios"/>
        <s v="Material de Expediente e Escritório"/>
        <s v="Funrural"/>
        <s v="Hora Extra"/>
        <s v="Manutenção de Equipamento"/>
        <s v="Indenizações Trabalhistas"/>
        <s v="Assessoria Contábil"/>
        <s v="Pró-labore"/>
        <s v="Perdas, Furtos e Avarias de Mercado"/>
        <s v="Abono Salarial"/>
        <s v="Receita Financeira"/>
        <s v="FGTS"/>
        <s v="Energia Elétrica"/>
        <s v="13° Salário"/>
        <s v="Licenciamento e outras taxas"/>
        <s v="Publicidade e Propaganda"/>
        <s v="Despesas com Telefone"/>
        <s v="Gratificações"/>
      </sharedItems>
    </cacheField>
    <cacheField name="VALOR" numFmtId="0">
      <sharedItems containsSemiMixedTypes="0" containsString="0" containsNumber="1" containsInteger="1" minValue="-4997" maxValue="243400"/>
    </cacheField>
    <cacheField name="CATEGORIA" numFmtId="0">
      <sharedItems count="21">
        <s v="3. Custos do Produto/Mercadoria/Serviço"/>
        <s v="2. Deduções da Receita"/>
        <s v="1. Receita Operacional Bruta"/>
        <s v="4. Despesas Operacionais"/>
        <s v="5. Resultado Financeiro"/>
        <s v="6. Resultado após o Resultado Financeiro"/>
        <s v="1. Receita Bruta de Venda" u="1"/>
        <s v="1. Receitas Bruta de Vendas" u="1"/>
        <s v="1. Despesas/Receitas Financeiras" u="1"/>
        <s v="5. Despesas Operacionais" u="1"/>
        <s v="1. Receita Bruta de Vendas" u="1"/>
        <s v="6.Resultado Financeiro" u="1"/>
        <s v="4. Custos do Produto/Mercadoria/Serviço" u="1"/>
        <s v="3. Despesas Operacionais" u="1"/>
        <s v="3. Deduções da Receita" u="1"/>
        <s v="2. Despesas Financeiras" u="1"/>
        <s v="4.Resultado Financeiro" u="1"/>
        <s v="2. Custos do Produto/Mercadoria/Serviço" u="1"/>
        <s v="7.Resultado após o Resultado Financeiro" u="1"/>
        <s v="1. Receitas Financeiras" u="1"/>
        <s v="5.Resultado após o Resultado Financeiro" u="1"/>
      </sharedItems>
    </cacheField>
    <cacheField name="DETALHE" numFmtId="0">
      <sharedItems count="17">
        <s v="Despesas c/ Produto"/>
        <s v="Imposto"/>
        <s v="Receita Bruta"/>
        <s v="Serviços Contratados"/>
        <s v="Deduções"/>
        <s v="Despesa com Pessoal"/>
        <s v="Despesa com Veículos"/>
        <s v="Despesa Tributária"/>
        <s v="Despesa Gerais"/>
        <s v="Despesa de Depreciação"/>
        <s v="Despesa com Vendas"/>
        <s v="Despesa com Ocupação"/>
        <s v="Despesa Financeira"/>
        <s v="Participação nos resultados"/>
        <s v="EBTIDA"/>
        <s v="Receita Financeira"/>
        <s v="Despesas" u="1"/>
      </sharedItems>
    </cacheField>
    <cacheField name="TIPO" numFmtId="0">
      <sharedItems count="2">
        <s v="Saída"/>
        <s v="Entrada"/>
      </sharedItems>
    </cacheField>
    <cacheField name="MÊS" numFmtId="0">
      <sharedItems count="12">
        <s v="JAN"/>
        <s v="FEV"/>
        <s v="MAR"/>
        <s v="ABR"/>
        <s v="MAI"/>
        <s v="JUN"/>
        <s v="JUL"/>
        <s v="AGO"/>
        <s v="SET"/>
        <s v="OUT"/>
        <s v="NOV"/>
        <s v="DEZ"/>
      </sharedItems>
    </cacheField>
    <cacheField name="ANO" numFmtId="0">
      <sharedItems count="2">
        <s v="2021"/>
        <s v="2022"/>
      </sharedItems>
    </cacheField>
    <cacheField name="Trimestres" numFmtId="0" databaseField="0">
      <fieldGroup base="0">
        <rangePr groupBy="quarters" startDate="2021-01-01T00:00:00" endDate="2022-01-04T00:00:00"/>
        <groupItems count="6">
          <s v="&lt;01/01/2021"/>
          <s v="Trim1"/>
          <s v="Trim2"/>
          <s v="Trim3"/>
          <s v="Trim4"/>
          <s v="&gt;04/01/2022"/>
        </groupItems>
      </fieldGroup>
    </cacheField>
    <cacheField name="Anos" numFmtId="0" databaseField="0">
      <fieldGroup base="0">
        <rangePr groupBy="years" startDate="2021-01-01T00:00:00" endDate="2022-01-04T00:00:00"/>
        <groupItems count="4">
          <s v="&lt;01/01/2021"/>
          <s v="2021"/>
          <s v="2022"/>
          <s v="&gt;04/01/2022"/>
        </groupItems>
      </fieldGroup>
    </cacheField>
  </cacheFields>
  <extLst>
    <ext xmlns:x14="http://schemas.microsoft.com/office/spreadsheetml/2009/9/main" uri="{725AE2AE-9491-48be-B2B4-4EB974FC3084}">
      <x14:pivotCacheDefinition pivotCacheId="2648073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15">
  <r>
    <x v="0"/>
    <x v="0"/>
    <n v="-3655"/>
    <x v="0"/>
    <x v="0"/>
    <x v="0"/>
    <x v="0"/>
    <x v="0"/>
  </r>
  <r>
    <x v="0"/>
    <x v="0"/>
    <n v="-3550"/>
    <x v="0"/>
    <x v="0"/>
    <x v="0"/>
    <x v="0"/>
    <x v="0"/>
  </r>
  <r>
    <x v="0"/>
    <x v="1"/>
    <n v="-2222"/>
    <x v="1"/>
    <x v="1"/>
    <x v="0"/>
    <x v="0"/>
    <x v="0"/>
  </r>
  <r>
    <x v="0"/>
    <x v="2"/>
    <n v="14588"/>
    <x v="2"/>
    <x v="2"/>
    <x v="1"/>
    <x v="0"/>
    <x v="0"/>
  </r>
  <r>
    <x v="0"/>
    <x v="2"/>
    <n v="12437"/>
    <x v="2"/>
    <x v="2"/>
    <x v="1"/>
    <x v="0"/>
    <x v="0"/>
  </r>
  <r>
    <x v="0"/>
    <x v="3"/>
    <n v="-1422"/>
    <x v="3"/>
    <x v="3"/>
    <x v="0"/>
    <x v="0"/>
    <x v="0"/>
  </r>
  <r>
    <x v="0"/>
    <x v="4"/>
    <n v="-1704"/>
    <x v="1"/>
    <x v="1"/>
    <x v="0"/>
    <x v="0"/>
    <x v="0"/>
  </r>
  <r>
    <x v="0"/>
    <x v="5"/>
    <n v="13328"/>
    <x v="2"/>
    <x v="2"/>
    <x v="1"/>
    <x v="0"/>
    <x v="0"/>
  </r>
  <r>
    <x v="0"/>
    <x v="6"/>
    <n v="-1438"/>
    <x v="1"/>
    <x v="4"/>
    <x v="0"/>
    <x v="0"/>
    <x v="0"/>
  </r>
  <r>
    <x v="0"/>
    <x v="5"/>
    <n v="14877"/>
    <x v="2"/>
    <x v="2"/>
    <x v="1"/>
    <x v="0"/>
    <x v="0"/>
  </r>
  <r>
    <x v="0"/>
    <x v="7"/>
    <n v="-2075"/>
    <x v="3"/>
    <x v="5"/>
    <x v="0"/>
    <x v="0"/>
    <x v="0"/>
  </r>
  <r>
    <x v="0"/>
    <x v="8"/>
    <n v="-1948"/>
    <x v="3"/>
    <x v="6"/>
    <x v="0"/>
    <x v="0"/>
    <x v="0"/>
  </r>
  <r>
    <x v="1"/>
    <x v="2"/>
    <n v="10656"/>
    <x v="2"/>
    <x v="2"/>
    <x v="1"/>
    <x v="0"/>
    <x v="0"/>
  </r>
  <r>
    <x v="1"/>
    <x v="9"/>
    <n v="-2293"/>
    <x v="3"/>
    <x v="5"/>
    <x v="0"/>
    <x v="0"/>
    <x v="0"/>
  </r>
  <r>
    <x v="1"/>
    <x v="10"/>
    <n v="-1475"/>
    <x v="3"/>
    <x v="6"/>
    <x v="0"/>
    <x v="0"/>
    <x v="0"/>
  </r>
  <r>
    <x v="1"/>
    <x v="2"/>
    <n v="12015"/>
    <x v="2"/>
    <x v="2"/>
    <x v="1"/>
    <x v="0"/>
    <x v="0"/>
  </r>
  <r>
    <x v="1"/>
    <x v="11"/>
    <n v="-1597"/>
    <x v="3"/>
    <x v="5"/>
    <x v="0"/>
    <x v="0"/>
    <x v="0"/>
  </r>
  <r>
    <x v="1"/>
    <x v="5"/>
    <n v="11904"/>
    <x v="2"/>
    <x v="2"/>
    <x v="1"/>
    <x v="0"/>
    <x v="0"/>
  </r>
  <r>
    <x v="1"/>
    <x v="6"/>
    <n v="-2425"/>
    <x v="1"/>
    <x v="4"/>
    <x v="0"/>
    <x v="0"/>
    <x v="0"/>
  </r>
  <r>
    <x v="1"/>
    <x v="5"/>
    <n v="10326"/>
    <x v="2"/>
    <x v="2"/>
    <x v="1"/>
    <x v="0"/>
    <x v="0"/>
  </r>
  <r>
    <x v="1"/>
    <x v="5"/>
    <n v="12250"/>
    <x v="2"/>
    <x v="2"/>
    <x v="1"/>
    <x v="0"/>
    <x v="0"/>
  </r>
  <r>
    <x v="1"/>
    <x v="12"/>
    <n v="-1187"/>
    <x v="3"/>
    <x v="3"/>
    <x v="0"/>
    <x v="0"/>
    <x v="0"/>
  </r>
  <r>
    <x v="1"/>
    <x v="1"/>
    <n v="-1801"/>
    <x v="1"/>
    <x v="1"/>
    <x v="0"/>
    <x v="0"/>
    <x v="0"/>
  </r>
  <r>
    <x v="1"/>
    <x v="5"/>
    <n v="11497"/>
    <x v="2"/>
    <x v="2"/>
    <x v="1"/>
    <x v="0"/>
    <x v="0"/>
  </r>
  <r>
    <x v="1"/>
    <x v="13"/>
    <n v="-2381"/>
    <x v="3"/>
    <x v="7"/>
    <x v="0"/>
    <x v="0"/>
    <x v="0"/>
  </r>
  <r>
    <x v="1"/>
    <x v="14"/>
    <n v="-2155"/>
    <x v="3"/>
    <x v="8"/>
    <x v="0"/>
    <x v="0"/>
    <x v="0"/>
  </r>
  <r>
    <x v="1"/>
    <x v="5"/>
    <n v="13982"/>
    <x v="2"/>
    <x v="2"/>
    <x v="1"/>
    <x v="0"/>
    <x v="0"/>
  </r>
  <r>
    <x v="1"/>
    <x v="6"/>
    <n v="-2112"/>
    <x v="1"/>
    <x v="4"/>
    <x v="0"/>
    <x v="0"/>
    <x v="0"/>
  </r>
  <r>
    <x v="1"/>
    <x v="2"/>
    <n v="12499"/>
    <x v="2"/>
    <x v="2"/>
    <x v="1"/>
    <x v="0"/>
    <x v="0"/>
  </r>
  <r>
    <x v="1"/>
    <x v="15"/>
    <n v="-1715"/>
    <x v="3"/>
    <x v="6"/>
    <x v="0"/>
    <x v="0"/>
    <x v="0"/>
  </r>
  <r>
    <x v="1"/>
    <x v="6"/>
    <n v="-1341"/>
    <x v="1"/>
    <x v="4"/>
    <x v="0"/>
    <x v="0"/>
    <x v="0"/>
  </r>
  <r>
    <x v="1"/>
    <x v="7"/>
    <n v="-1194"/>
    <x v="3"/>
    <x v="5"/>
    <x v="0"/>
    <x v="0"/>
    <x v="0"/>
  </r>
  <r>
    <x v="2"/>
    <x v="16"/>
    <n v="-2236"/>
    <x v="3"/>
    <x v="9"/>
    <x v="0"/>
    <x v="0"/>
    <x v="0"/>
  </r>
  <r>
    <x v="2"/>
    <x v="17"/>
    <n v="-1476"/>
    <x v="3"/>
    <x v="5"/>
    <x v="0"/>
    <x v="0"/>
    <x v="0"/>
  </r>
  <r>
    <x v="2"/>
    <x v="18"/>
    <n v="-1833"/>
    <x v="3"/>
    <x v="5"/>
    <x v="0"/>
    <x v="0"/>
    <x v="0"/>
  </r>
  <r>
    <x v="2"/>
    <x v="4"/>
    <n v="-1013"/>
    <x v="1"/>
    <x v="1"/>
    <x v="0"/>
    <x v="0"/>
    <x v="0"/>
  </r>
  <r>
    <x v="2"/>
    <x v="19"/>
    <n v="-1968"/>
    <x v="3"/>
    <x v="8"/>
    <x v="0"/>
    <x v="0"/>
    <x v="0"/>
  </r>
  <r>
    <x v="2"/>
    <x v="5"/>
    <n v="14154"/>
    <x v="2"/>
    <x v="2"/>
    <x v="1"/>
    <x v="0"/>
    <x v="0"/>
  </r>
  <r>
    <x v="2"/>
    <x v="5"/>
    <n v="12583"/>
    <x v="2"/>
    <x v="2"/>
    <x v="1"/>
    <x v="0"/>
    <x v="0"/>
  </r>
  <r>
    <x v="2"/>
    <x v="0"/>
    <n v="-3429"/>
    <x v="0"/>
    <x v="0"/>
    <x v="0"/>
    <x v="0"/>
    <x v="0"/>
  </r>
  <r>
    <x v="2"/>
    <x v="4"/>
    <n v="-1026"/>
    <x v="1"/>
    <x v="1"/>
    <x v="0"/>
    <x v="0"/>
    <x v="0"/>
  </r>
  <r>
    <x v="2"/>
    <x v="20"/>
    <n v="-2031"/>
    <x v="3"/>
    <x v="10"/>
    <x v="0"/>
    <x v="0"/>
    <x v="0"/>
  </r>
  <r>
    <x v="2"/>
    <x v="4"/>
    <n v="-1771"/>
    <x v="1"/>
    <x v="1"/>
    <x v="0"/>
    <x v="0"/>
    <x v="0"/>
  </r>
  <r>
    <x v="2"/>
    <x v="12"/>
    <n v="-1075"/>
    <x v="3"/>
    <x v="3"/>
    <x v="0"/>
    <x v="0"/>
    <x v="0"/>
  </r>
  <r>
    <x v="2"/>
    <x v="18"/>
    <n v="-1543"/>
    <x v="3"/>
    <x v="5"/>
    <x v="0"/>
    <x v="0"/>
    <x v="0"/>
  </r>
  <r>
    <x v="2"/>
    <x v="1"/>
    <n v="-1546"/>
    <x v="1"/>
    <x v="1"/>
    <x v="0"/>
    <x v="0"/>
    <x v="0"/>
  </r>
  <r>
    <x v="2"/>
    <x v="2"/>
    <n v="12653"/>
    <x v="2"/>
    <x v="2"/>
    <x v="1"/>
    <x v="0"/>
    <x v="0"/>
  </r>
  <r>
    <x v="2"/>
    <x v="2"/>
    <n v="12646"/>
    <x v="2"/>
    <x v="2"/>
    <x v="1"/>
    <x v="0"/>
    <x v="0"/>
  </r>
  <r>
    <x v="3"/>
    <x v="19"/>
    <n v="-1146"/>
    <x v="3"/>
    <x v="8"/>
    <x v="0"/>
    <x v="0"/>
    <x v="0"/>
  </r>
  <r>
    <x v="3"/>
    <x v="5"/>
    <n v="13533"/>
    <x v="2"/>
    <x v="2"/>
    <x v="1"/>
    <x v="0"/>
    <x v="0"/>
  </r>
  <r>
    <x v="3"/>
    <x v="21"/>
    <n v="-2287"/>
    <x v="1"/>
    <x v="1"/>
    <x v="0"/>
    <x v="0"/>
    <x v="0"/>
  </r>
  <r>
    <x v="3"/>
    <x v="22"/>
    <n v="-1773"/>
    <x v="3"/>
    <x v="11"/>
    <x v="0"/>
    <x v="0"/>
    <x v="0"/>
  </r>
  <r>
    <x v="3"/>
    <x v="2"/>
    <n v="14627"/>
    <x v="2"/>
    <x v="2"/>
    <x v="1"/>
    <x v="0"/>
    <x v="0"/>
  </r>
  <r>
    <x v="3"/>
    <x v="5"/>
    <n v="14822"/>
    <x v="2"/>
    <x v="2"/>
    <x v="1"/>
    <x v="0"/>
    <x v="0"/>
  </r>
  <r>
    <x v="3"/>
    <x v="23"/>
    <n v="-2396"/>
    <x v="3"/>
    <x v="5"/>
    <x v="0"/>
    <x v="0"/>
    <x v="0"/>
  </r>
  <r>
    <x v="3"/>
    <x v="21"/>
    <n v="-1033"/>
    <x v="1"/>
    <x v="1"/>
    <x v="0"/>
    <x v="0"/>
    <x v="0"/>
  </r>
  <r>
    <x v="3"/>
    <x v="24"/>
    <n v="-2479"/>
    <x v="3"/>
    <x v="6"/>
    <x v="0"/>
    <x v="0"/>
    <x v="0"/>
  </r>
  <r>
    <x v="3"/>
    <x v="2"/>
    <n v="11743"/>
    <x v="2"/>
    <x v="2"/>
    <x v="1"/>
    <x v="0"/>
    <x v="0"/>
  </r>
  <r>
    <x v="3"/>
    <x v="25"/>
    <n v="-1358"/>
    <x v="3"/>
    <x v="9"/>
    <x v="0"/>
    <x v="0"/>
    <x v="0"/>
  </r>
  <r>
    <x v="3"/>
    <x v="6"/>
    <n v="-2479"/>
    <x v="1"/>
    <x v="4"/>
    <x v="0"/>
    <x v="0"/>
    <x v="0"/>
  </r>
  <r>
    <x v="3"/>
    <x v="4"/>
    <n v="-1551"/>
    <x v="1"/>
    <x v="1"/>
    <x v="0"/>
    <x v="0"/>
    <x v="0"/>
  </r>
  <r>
    <x v="3"/>
    <x v="5"/>
    <n v="13252"/>
    <x v="2"/>
    <x v="2"/>
    <x v="1"/>
    <x v="0"/>
    <x v="0"/>
  </r>
  <r>
    <x v="3"/>
    <x v="5"/>
    <n v="13743"/>
    <x v="2"/>
    <x v="2"/>
    <x v="1"/>
    <x v="0"/>
    <x v="0"/>
  </r>
  <r>
    <x v="3"/>
    <x v="2"/>
    <n v="10237"/>
    <x v="2"/>
    <x v="2"/>
    <x v="1"/>
    <x v="0"/>
    <x v="0"/>
  </r>
  <r>
    <x v="4"/>
    <x v="26"/>
    <n v="-1888"/>
    <x v="3"/>
    <x v="11"/>
    <x v="0"/>
    <x v="0"/>
    <x v="0"/>
  </r>
  <r>
    <x v="4"/>
    <x v="1"/>
    <n v="-1170"/>
    <x v="1"/>
    <x v="1"/>
    <x v="0"/>
    <x v="0"/>
    <x v="0"/>
  </r>
  <r>
    <x v="4"/>
    <x v="2"/>
    <n v="11701"/>
    <x v="2"/>
    <x v="2"/>
    <x v="1"/>
    <x v="0"/>
    <x v="0"/>
  </r>
  <r>
    <x v="4"/>
    <x v="1"/>
    <n v="-2342"/>
    <x v="1"/>
    <x v="1"/>
    <x v="0"/>
    <x v="0"/>
    <x v="0"/>
  </r>
  <r>
    <x v="4"/>
    <x v="6"/>
    <n v="-2295"/>
    <x v="1"/>
    <x v="4"/>
    <x v="0"/>
    <x v="0"/>
    <x v="0"/>
  </r>
  <r>
    <x v="4"/>
    <x v="1"/>
    <n v="-1169"/>
    <x v="1"/>
    <x v="1"/>
    <x v="0"/>
    <x v="0"/>
    <x v="0"/>
  </r>
  <r>
    <x v="4"/>
    <x v="2"/>
    <n v="10165"/>
    <x v="2"/>
    <x v="2"/>
    <x v="1"/>
    <x v="0"/>
    <x v="0"/>
  </r>
  <r>
    <x v="4"/>
    <x v="2"/>
    <n v="14160"/>
    <x v="2"/>
    <x v="2"/>
    <x v="1"/>
    <x v="0"/>
    <x v="0"/>
  </r>
  <r>
    <x v="4"/>
    <x v="5"/>
    <n v="11827"/>
    <x v="2"/>
    <x v="2"/>
    <x v="1"/>
    <x v="0"/>
    <x v="0"/>
  </r>
  <r>
    <x v="4"/>
    <x v="5"/>
    <n v="10573"/>
    <x v="2"/>
    <x v="2"/>
    <x v="1"/>
    <x v="0"/>
    <x v="0"/>
  </r>
  <r>
    <x v="4"/>
    <x v="13"/>
    <n v="-1657"/>
    <x v="3"/>
    <x v="7"/>
    <x v="0"/>
    <x v="0"/>
    <x v="0"/>
  </r>
  <r>
    <x v="4"/>
    <x v="27"/>
    <n v="-1958"/>
    <x v="3"/>
    <x v="5"/>
    <x v="0"/>
    <x v="0"/>
    <x v="0"/>
  </r>
  <r>
    <x v="4"/>
    <x v="2"/>
    <n v="12379"/>
    <x v="2"/>
    <x v="2"/>
    <x v="1"/>
    <x v="0"/>
    <x v="0"/>
  </r>
  <r>
    <x v="4"/>
    <x v="6"/>
    <n v="-1981"/>
    <x v="1"/>
    <x v="4"/>
    <x v="0"/>
    <x v="0"/>
    <x v="0"/>
  </r>
  <r>
    <x v="4"/>
    <x v="28"/>
    <n v="-1345"/>
    <x v="4"/>
    <x v="12"/>
    <x v="0"/>
    <x v="0"/>
    <x v="0"/>
  </r>
  <r>
    <x v="4"/>
    <x v="4"/>
    <n v="-1207"/>
    <x v="1"/>
    <x v="1"/>
    <x v="0"/>
    <x v="0"/>
    <x v="0"/>
  </r>
  <r>
    <x v="4"/>
    <x v="4"/>
    <n v="-1032"/>
    <x v="1"/>
    <x v="1"/>
    <x v="0"/>
    <x v="0"/>
    <x v="0"/>
  </r>
  <r>
    <x v="4"/>
    <x v="16"/>
    <n v="-1211"/>
    <x v="3"/>
    <x v="9"/>
    <x v="0"/>
    <x v="0"/>
    <x v="0"/>
  </r>
  <r>
    <x v="5"/>
    <x v="0"/>
    <n v="-3965"/>
    <x v="0"/>
    <x v="0"/>
    <x v="0"/>
    <x v="0"/>
    <x v="0"/>
  </r>
  <r>
    <x v="5"/>
    <x v="2"/>
    <n v="12876"/>
    <x v="2"/>
    <x v="2"/>
    <x v="1"/>
    <x v="0"/>
    <x v="0"/>
  </r>
  <r>
    <x v="5"/>
    <x v="29"/>
    <n v="-2397"/>
    <x v="3"/>
    <x v="7"/>
    <x v="0"/>
    <x v="0"/>
    <x v="0"/>
  </r>
  <r>
    <x v="5"/>
    <x v="6"/>
    <n v="-2303"/>
    <x v="1"/>
    <x v="4"/>
    <x v="0"/>
    <x v="0"/>
    <x v="0"/>
  </r>
  <r>
    <x v="5"/>
    <x v="4"/>
    <n v="-2273"/>
    <x v="1"/>
    <x v="1"/>
    <x v="0"/>
    <x v="0"/>
    <x v="0"/>
  </r>
  <r>
    <x v="5"/>
    <x v="0"/>
    <n v="-3124"/>
    <x v="0"/>
    <x v="0"/>
    <x v="0"/>
    <x v="0"/>
    <x v="0"/>
  </r>
  <r>
    <x v="5"/>
    <x v="4"/>
    <n v="-1668"/>
    <x v="1"/>
    <x v="1"/>
    <x v="0"/>
    <x v="0"/>
    <x v="0"/>
  </r>
  <r>
    <x v="5"/>
    <x v="5"/>
    <n v="12088"/>
    <x v="2"/>
    <x v="2"/>
    <x v="1"/>
    <x v="0"/>
    <x v="0"/>
  </r>
  <r>
    <x v="5"/>
    <x v="30"/>
    <n v="-2057"/>
    <x v="4"/>
    <x v="13"/>
    <x v="0"/>
    <x v="0"/>
    <x v="0"/>
  </r>
  <r>
    <x v="5"/>
    <x v="10"/>
    <n v="-1802"/>
    <x v="3"/>
    <x v="6"/>
    <x v="0"/>
    <x v="0"/>
    <x v="0"/>
  </r>
  <r>
    <x v="5"/>
    <x v="2"/>
    <n v="12475"/>
    <x v="2"/>
    <x v="2"/>
    <x v="1"/>
    <x v="0"/>
    <x v="0"/>
  </r>
  <r>
    <x v="5"/>
    <x v="31"/>
    <n v="-1949"/>
    <x v="3"/>
    <x v="11"/>
    <x v="0"/>
    <x v="0"/>
    <x v="0"/>
  </r>
  <r>
    <x v="5"/>
    <x v="1"/>
    <n v="-2335"/>
    <x v="1"/>
    <x v="1"/>
    <x v="0"/>
    <x v="0"/>
    <x v="0"/>
  </r>
  <r>
    <x v="5"/>
    <x v="0"/>
    <n v="-3558"/>
    <x v="0"/>
    <x v="0"/>
    <x v="0"/>
    <x v="0"/>
    <x v="0"/>
  </r>
  <r>
    <x v="5"/>
    <x v="2"/>
    <n v="13919"/>
    <x v="2"/>
    <x v="2"/>
    <x v="1"/>
    <x v="0"/>
    <x v="0"/>
  </r>
  <r>
    <x v="5"/>
    <x v="5"/>
    <n v="14922"/>
    <x v="2"/>
    <x v="2"/>
    <x v="1"/>
    <x v="0"/>
    <x v="0"/>
  </r>
  <r>
    <x v="6"/>
    <x v="32"/>
    <n v="-1986"/>
    <x v="3"/>
    <x v="9"/>
    <x v="0"/>
    <x v="0"/>
    <x v="0"/>
  </r>
  <r>
    <x v="6"/>
    <x v="33"/>
    <n v="-2057"/>
    <x v="3"/>
    <x v="3"/>
    <x v="0"/>
    <x v="0"/>
    <x v="0"/>
  </r>
  <r>
    <x v="6"/>
    <x v="5"/>
    <n v="12920"/>
    <x v="2"/>
    <x v="2"/>
    <x v="1"/>
    <x v="0"/>
    <x v="0"/>
  </r>
  <r>
    <x v="6"/>
    <x v="0"/>
    <n v="-3785"/>
    <x v="0"/>
    <x v="0"/>
    <x v="0"/>
    <x v="0"/>
    <x v="0"/>
  </r>
  <r>
    <x v="6"/>
    <x v="4"/>
    <n v="-1070"/>
    <x v="1"/>
    <x v="1"/>
    <x v="0"/>
    <x v="0"/>
    <x v="0"/>
  </r>
  <r>
    <x v="6"/>
    <x v="21"/>
    <n v="-1320"/>
    <x v="1"/>
    <x v="1"/>
    <x v="0"/>
    <x v="0"/>
    <x v="0"/>
  </r>
  <r>
    <x v="6"/>
    <x v="2"/>
    <n v="14089"/>
    <x v="2"/>
    <x v="2"/>
    <x v="1"/>
    <x v="0"/>
    <x v="0"/>
  </r>
  <r>
    <x v="6"/>
    <x v="34"/>
    <n v="-1028"/>
    <x v="3"/>
    <x v="3"/>
    <x v="0"/>
    <x v="0"/>
    <x v="0"/>
  </r>
  <r>
    <x v="6"/>
    <x v="1"/>
    <n v="-1125"/>
    <x v="1"/>
    <x v="1"/>
    <x v="0"/>
    <x v="0"/>
    <x v="0"/>
  </r>
  <r>
    <x v="6"/>
    <x v="28"/>
    <n v="-1161"/>
    <x v="4"/>
    <x v="12"/>
    <x v="0"/>
    <x v="0"/>
    <x v="0"/>
  </r>
  <r>
    <x v="6"/>
    <x v="4"/>
    <n v="-2385"/>
    <x v="1"/>
    <x v="1"/>
    <x v="0"/>
    <x v="0"/>
    <x v="0"/>
  </r>
  <r>
    <x v="6"/>
    <x v="30"/>
    <n v="-1068"/>
    <x v="4"/>
    <x v="13"/>
    <x v="0"/>
    <x v="0"/>
    <x v="0"/>
  </r>
  <r>
    <x v="6"/>
    <x v="5"/>
    <n v="12582"/>
    <x v="2"/>
    <x v="2"/>
    <x v="1"/>
    <x v="0"/>
    <x v="0"/>
  </r>
  <r>
    <x v="6"/>
    <x v="1"/>
    <n v="-2030"/>
    <x v="1"/>
    <x v="1"/>
    <x v="0"/>
    <x v="0"/>
    <x v="0"/>
  </r>
  <r>
    <x v="6"/>
    <x v="1"/>
    <n v="-1467"/>
    <x v="1"/>
    <x v="1"/>
    <x v="0"/>
    <x v="0"/>
    <x v="0"/>
  </r>
  <r>
    <x v="6"/>
    <x v="35"/>
    <n v="-1497"/>
    <x v="3"/>
    <x v="10"/>
    <x v="0"/>
    <x v="0"/>
    <x v="0"/>
  </r>
  <r>
    <x v="7"/>
    <x v="20"/>
    <n v="-1592"/>
    <x v="3"/>
    <x v="10"/>
    <x v="0"/>
    <x v="0"/>
    <x v="0"/>
  </r>
  <r>
    <x v="7"/>
    <x v="36"/>
    <n v="-1458"/>
    <x v="3"/>
    <x v="7"/>
    <x v="0"/>
    <x v="0"/>
    <x v="0"/>
  </r>
  <r>
    <x v="7"/>
    <x v="37"/>
    <n v="-2316"/>
    <x v="3"/>
    <x v="3"/>
    <x v="0"/>
    <x v="0"/>
    <x v="0"/>
  </r>
  <r>
    <x v="7"/>
    <x v="35"/>
    <n v="-2007"/>
    <x v="3"/>
    <x v="10"/>
    <x v="0"/>
    <x v="0"/>
    <x v="0"/>
  </r>
  <r>
    <x v="7"/>
    <x v="6"/>
    <n v="-1607"/>
    <x v="1"/>
    <x v="4"/>
    <x v="0"/>
    <x v="0"/>
    <x v="0"/>
  </r>
  <r>
    <x v="7"/>
    <x v="38"/>
    <n v="-1084"/>
    <x v="3"/>
    <x v="5"/>
    <x v="0"/>
    <x v="0"/>
    <x v="0"/>
  </r>
  <r>
    <x v="7"/>
    <x v="23"/>
    <n v="-1444"/>
    <x v="3"/>
    <x v="5"/>
    <x v="0"/>
    <x v="0"/>
    <x v="0"/>
  </r>
  <r>
    <x v="7"/>
    <x v="1"/>
    <n v="-1207"/>
    <x v="1"/>
    <x v="1"/>
    <x v="0"/>
    <x v="0"/>
    <x v="0"/>
  </r>
  <r>
    <x v="7"/>
    <x v="5"/>
    <n v="11510"/>
    <x v="2"/>
    <x v="2"/>
    <x v="1"/>
    <x v="0"/>
    <x v="0"/>
  </r>
  <r>
    <x v="7"/>
    <x v="2"/>
    <n v="14032"/>
    <x v="2"/>
    <x v="2"/>
    <x v="1"/>
    <x v="0"/>
    <x v="0"/>
  </r>
  <r>
    <x v="7"/>
    <x v="21"/>
    <n v="-2058"/>
    <x v="1"/>
    <x v="1"/>
    <x v="0"/>
    <x v="0"/>
    <x v="0"/>
  </r>
  <r>
    <x v="7"/>
    <x v="14"/>
    <n v="-1394"/>
    <x v="3"/>
    <x v="8"/>
    <x v="0"/>
    <x v="0"/>
    <x v="0"/>
  </r>
  <r>
    <x v="7"/>
    <x v="1"/>
    <n v="-2048"/>
    <x v="1"/>
    <x v="1"/>
    <x v="0"/>
    <x v="0"/>
    <x v="0"/>
  </r>
  <r>
    <x v="7"/>
    <x v="0"/>
    <n v="-3944"/>
    <x v="0"/>
    <x v="0"/>
    <x v="0"/>
    <x v="0"/>
    <x v="0"/>
  </r>
  <r>
    <x v="7"/>
    <x v="1"/>
    <n v="-1672"/>
    <x v="1"/>
    <x v="1"/>
    <x v="0"/>
    <x v="0"/>
    <x v="0"/>
  </r>
  <r>
    <x v="7"/>
    <x v="6"/>
    <n v="-2317"/>
    <x v="1"/>
    <x v="4"/>
    <x v="0"/>
    <x v="0"/>
    <x v="0"/>
  </r>
  <r>
    <x v="7"/>
    <x v="21"/>
    <n v="-1974"/>
    <x v="1"/>
    <x v="1"/>
    <x v="0"/>
    <x v="0"/>
    <x v="0"/>
  </r>
  <r>
    <x v="7"/>
    <x v="5"/>
    <n v="12345"/>
    <x v="2"/>
    <x v="2"/>
    <x v="1"/>
    <x v="0"/>
    <x v="0"/>
  </r>
  <r>
    <x v="8"/>
    <x v="5"/>
    <n v="12978"/>
    <x v="2"/>
    <x v="2"/>
    <x v="1"/>
    <x v="0"/>
    <x v="0"/>
  </r>
  <r>
    <x v="8"/>
    <x v="2"/>
    <n v="14839"/>
    <x v="2"/>
    <x v="2"/>
    <x v="1"/>
    <x v="0"/>
    <x v="0"/>
  </r>
  <r>
    <x v="8"/>
    <x v="1"/>
    <n v="-1460"/>
    <x v="1"/>
    <x v="1"/>
    <x v="0"/>
    <x v="0"/>
    <x v="0"/>
  </r>
  <r>
    <x v="8"/>
    <x v="2"/>
    <n v="13680"/>
    <x v="2"/>
    <x v="2"/>
    <x v="1"/>
    <x v="0"/>
    <x v="0"/>
  </r>
  <r>
    <x v="8"/>
    <x v="4"/>
    <n v="-1258"/>
    <x v="1"/>
    <x v="1"/>
    <x v="0"/>
    <x v="0"/>
    <x v="0"/>
  </r>
  <r>
    <x v="8"/>
    <x v="2"/>
    <n v="12328"/>
    <x v="2"/>
    <x v="2"/>
    <x v="1"/>
    <x v="0"/>
    <x v="0"/>
  </r>
  <r>
    <x v="8"/>
    <x v="1"/>
    <n v="-1265"/>
    <x v="1"/>
    <x v="1"/>
    <x v="0"/>
    <x v="0"/>
    <x v="0"/>
  </r>
  <r>
    <x v="8"/>
    <x v="1"/>
    <n v="-2216"/>
    <x v="1"/>
    <x v="1"/>
    <x v="0"/>
    <x v="0"/>
    <x v="0"/>
  </r>
  <r>
    <x v="9"/>
    <x v="5"/>
    <n v="10579"/>
    <x v="2"/>
    <x v="2"/>
    <x v="1"/>
    <x v="0"/>
    <x v="0"/>
  </r>
  <r>
    <x v="9"/>
    <x v="11"/>
    <n v="-1356"/>
    <x v="3"/>
    <x v="5"/>
    <x v="0"/>
    <x v="0"/>
    <x v="0"/>
  </r>
  <r>
    <x v="9"/>
    <x v="2"/>
    <n v="12717"/>
    <x v="2"/>
    <x v="2"/>
    <x v="1"/>
    <x v="0"/>
    <x v="0"/>
  </r>
  <r>
    <x v="9"/>
    <x v="5"/>
    <n v="13930"/>
    <x v="2"/>
    <x v="2"/>
    <x v="1"/>
    <x v="0"/>
    <x v="0"/>
  </r>
  <r>
    <x v="9"/>
    <x v="2"/>
    <n v="13934"/>
    <x v="2"/>
    <x v="2"/>
    <x v="1"/>
    <x v="0"/>
    <x v="0"/>
  </r>
  <r>
    <x v="9"/>
    <x v="2"/>
    <n v="11953"/>
    <x v="2"/>
    <x v="2"/>
    <x v="1"/>
    <x v="0"/>
    <x v="0"/>
  </r>
  <r>
    <x v="9"/>
    <x v="0"/>
    <n v="-4217"/>
    <x v="0"/>
    <x v="0"/>
    <x v="0"/>
    <x v="0"/>
    <x v="0"/>
  </r>
  <r>
    <x v="9"/>
    <x v="21"/>
    <n v="-1705"/>
    <x v="1"/>
    <x v="1"/>
    <x v="0"/>
    <x v="0"/>
    <x v="0"/>
  </r>
  <r>
    <x v="9"/>
    <x v="18"/>
    <n v="-1752"/>
    <x v="3"/>
    <x v="5"/>
    <x v="0"/>
    <x v="0"/>
    <x v="0"/>
  </r>
  <r>
    <x v="9"/>
    <x v="0"/>
    <n v="-4025"/>
    <x v="0"/>
    <x v="0"/>
    <x v="0"/>
    <x v="0"/>
    <x v="0"/>
  </r>
  <r>
    <x v="9"/>
    <x v="22"/>
    <n v="-1281"/>
    <x v="3"/>
    <x v="11"/>
    <x v="0"/>
    <x v="0"/>
    <x v="0"/>
  </r>
  <r>
    <x v="9"/>
    <x v="22"/>
    <n v="-1321"/>
    <x v="3"/>
    <x v="11"/>
    <x v="0"/>
    <x v="0"/>
    <x v="0"/>
  </r>
  <r>
    <x v="9"/>
    <x v="1"/>
    <n v="-1617"/>
    <x v="1"/>
    <x v="1"/>
    <x v="0"/>
    <x v="0"/>
    <x v="0"/>
  </r>
  <r>
    <x v="9"/>
    <x v="8"/>
    <n v="-2171"/>
    <x v="3"/>
    <x v="6"/>
    <x v="0"/>
    <x v="0"/>
    <x v="0"/>
  </r>
  <r>
    <x v="9"/>
    <x v="5"/>
    <n v="14631"/>
    <x v="2"/>
    <x v="2"/>
    <x v="1"/>
    <x v="0"/>
    <x v="0"/>
  </r>
  <r>
    <x v="9"/>
    <x v="32"/>
    <n v="-1580"/>
    <x v="3"/>
    <x v="9"/>
    <x v="0"/>
    <x v="0"/>
    <x v="0"/>
  </r>
  <r>
    <x v="10"/>
    <x v="2"/>
    <n v="13661"/>
    <x v="2"/>
    <x v="2"/>
    <x v="1"/>
    <x v="0"/>
    <x v="0"/>
  </r>
  <r>
    <x v="10"/>
    <x v="39"/>
    <n v="-1331"/>
    <x v="3"/>
    <x v="5"/>
    <x v="0"/>
    <x v="0"/>
    <x v="0"/>
  </r>
  <r>
    <x v="10"/>
    <x v="26"/>
    <n v="-1384"/>
    <x v="3"/>
    <x v="11"/>
    <x v="0"/>
    <x v="0"/>
    <x v="0"/>
  </r>
  <r>
    <x v="10"/>
    <x v="0"/>
    <n v="-4418"/>
    <x v="0"/>
    <x v="0"/>
    <x v="0"/>
    <x v="0"/>
    <x v="0"/>
  </r>
  <r>
    <x v="10"/>
    <x v="4"/>
    <n v="-1450"/>
    <x v="1"/>
    <x v="1"/>
    <x v="0"/>
    <x v="0"/>
    <x v="0"/>
  </r>
  <r>
    <x v="10"/>
    <x v="5"/>
    <n v="13503"/>
    <x v="2"/>
    <x v="2"/>
    <x v="1"/>
    <x v="0"/>
    <x v="0"/>
  </r>
  <r>
    <x v="10"/>
    <x v="5"/>
    <n v="13160"/>
    <x v="2"/>
    <x v="2"/>
    <x v="1"/>
    <x v="0"/>
    <x v="0"/>
  </r>
  <r>
    <x v="10"/>
    <x v="4"/>
    <n v="-2289"/>
    <x v="1"/>
    <x v="1"/>
    <x v="0"/>
    <x v="0"/>
    <x v="0"/>
  </r>
  <r>
    <x v="10"/>
    <x v="31"/>
    <n v="-1663"/>
    <x v="3"/>
    <x v="11"/>
    <x v="0"/>
    <x v="0"/>
    <x v="0"/>
  </r>
  <r>
    <x v="10"/>
    <x v="0"/>
    <n v="-3741"/>
    <x v="0"/>
    <x v="0"/>
    <x v="0"/>
    <x v="0"/>
    <x v="0"/>
  </r>
  <r>
    <x v="10"/>
    <x v="4"/>
    <n v="-1363"/>
    <x v="1"/>
    <x v="1"/>
    <x v="0"/>
    <x v="0"/>
    <x v="0"/>
  </r>
  <r>
    <x v="10"/>
    <x v="21"/>
    <n v="-1308"/>
    <x v="1"/>
    <x v="1"/>
    <x v="0"/>
    <x v="0"/>
    <x v="0"/>
  </r>
  <r>
    <x v="10"/>
    <x v="1"/>
    <n v="-1008"/>
    <x v="1"/>
    <x v="1"/>
    <x v="0"/>
    <x v="0"/>
    <x v="0"/>
  </r>
  <r>
    <x v="10"/>
    <x v="1"/>
    <n v="-1250"/>
    <x v="1"/>
    <x v="1"/>
    <x v="0"/>
    <x v="0"/>
    <x v="0"/>
  </r>
  <r>
    <x v="10"/>
    <x v="30"/>
    <n v="-1617"/>
    <x v="4"/>
    <x v="13"/>
    <x v="0"/>
    <x v="0"/>
    <x v="0"/>
  </r>
  <r>
    <x v="10"/>
    <x v="1"/>
    <n v="-2384"/>
    <x v="1"/>
    <x v="1"/>
    <x v="0"/>
    <x v="0"/>
    <x v="0"/>
  </r>
  <r>
    <x v="10"/>
    <x v="32"/>
    <n v="-2016"/>
    <x v="3"/>
    <x v="9"/>
    <x v="0"/>
    <x v="0"/>
    <x v="0"/>
  </r>
  <r>
    <x v="10"/>
    <x v="27"/>
    <n v="-2166"/>
    <x v="3"/>
    <x v="5"/>
    <x v="0"/>
    <x v="0"/>
    <x v="0"/>
  </r>
  <r>
    <x v="10"/>
    <x v="2"/>
    <n v="13045"/>
    <x v="2"/>
    <x v="2"/>
    <x v="1"/>
    <x v="0"/>
    <x v="0"/>
  </r>
  <r>
    <x v="10"/>
    <x v="2"/>
    <n v="10662"/>
    <x v="2"/>
    <x v="2"/>
    <x v="1"/>
    <x v="0"/>
    <x v="0"/>
  </r>
  <r>
    <x v="10"/>
    <x v="1"/>
    <n v="-1990"/>
    <x v="1"/>
    <x v="1"/>
    <x v="0"/>
    <x v="0"/>
    <x v="0"/>
  </r>
  <r>
    <x v="10"/>
    <x v="34"/>
    <n v="-1125"/>
    <x v="3"/>
    <x v="3"/>
    <x v="0"/>
    <x v="0"/>
    <x v="0"/>
  </r>
  <r>
    <x v="10"/>
    <x v="5"/>
    <n v="11993"/>
    <x v="2"/>
    <x v="2"/>
    <x v="1"/>
    <x v="0"/>
    <x v="0"/>
  </r>
  <r>
    <x v="10"/>
    <x v="21"/>
    <n v="-1591"/>
    <x v="1"/>
    <x v="1"/>
    <x v="0"/>
    <x v="0"/>
    <x v="0"/>
  </r>
  <r>
    <x v="10"/>
    <x v="2"/>
    <n v="11527"/>
    <x v="2"/>
    <x v="2"/>
    <x v="1"/>
    <x v="0"/>
    <x v="0"/>
  </r>
  <r>
    <x v="10"/>
    <x v="35"/>
    <n v="-2053"/>
    <x v="3"/>
    <x v="10"/>
    <x v="0"/>
    <x v="0"/>
    <x v="0"/>
  </r>
  <r>
    <x v="10"/>
    <x v="5"/>
    <n v="10135"/>
    <x v="2"/>
    <x v="2"/>
    <x v="1"/>
    <x v="0"/>
    <x v="0"/>
  </r>
  <r>
    <x v="10"/>
    <x v="2"/>
    <n v="11567"/>
    <x v="2"/>
    <x v="2"/>
    <x v="1"/>
    <x v="0"/>
    <x v="0"/>
  </r>
  <r>
    <x v="10"/>
    <x v="1"/>
    <n v="-2288"/>
    <x v="1"/>
    <x v="1"/>
    <x v="0"/>
    <x v="0"/>
    <x v="0"/>
  </r>
  <r>
    <x v="10"/>
    <x v="5"/>
    <n v="11491"/>
    <x v="2"/>
    <x v="2"/>
    <x v="1"/>
    <x v="0"/>
    <x v="0"/>
  </r>
  <r>
    <x v="10"/>
    <x v="6"/>
    <n v="-1223"/>
    <x v="1"/>
    <x v="4"/>
    <x v="0"/>
    <x v="0"/>
    <x v="0"/>
  </r>
  <r>
    <x v="10"/>
    <x v="1"/>
    <n v="-1182"/>
    <x v="1"/>
    <x v="1"/>
    <x v="0"/>
    <x v="0"/>
    <x v="0"/>
  </r>
  <r>
    <x v="11"/>
    <x v="0"/>
    <n v="-3081"/>
    <x v="0"/>
    <x v="0"/>
    <x v="0"/>
    <x v="0"/>
    <x v="0"/>
  </r>
  <r>
    <x v="11"/>
    <x v="12"/>
    <n v="-1684"/>
    <x v="3"/>
    <x v="3"/>
    <x v="0"/>
    <x v="0"/>
    <x v="0"/>
  </r>
  <r>
    <x v="11"/>
    <x v="21"/>
    <n v="-2417"/>
    <x v="1"/>
    <x v="1"/>
    <x v="0"/>
    <x v="0"/>
    <x v="0"/>
  </r>
  <r>
    <x v="11"/>
    <x v="34"/>
    <n v="-1578"/>
    <x v="3"/>
    <x v="3"/>
    <x v="0"/>
    <x v="0"/>
    <x v="0"/>
  </r>
  <r>
    <x v="11"/>
    <x v="6"/>
    <n v="-1915"/>
    <x v="1"/>
    <x v="4"/>
    <x v="0"/>
    <x v="0"/>
    <x v="0"/>
  </r>
  <r>
    <x v="11"/>
    <x v="6"/>
    <n v="-1009"/>
    <x v="1"/>
    <x v="4"/>
    <x v="0"/>
    <x v="0"/>
    <x v="0"/>
  </r>
  <r>
    <x v="11"/>
    <x v="25"/>
    <n v="-1985"/>
    <x v="3"/>
    <x v="9"/>
    <x v="0"/>
    <x v="0"/>
    <x v="0"/>
  </r>
  <r>
    <x v="11"/>
    <x v="2"/>
    <n v="10823"/>
    <x v="2"/>
    <x v="2"/>
    <x v="1"/>
    <x v="0"/>
    <x v="0"/>
  </r>
  <r>
    <x v="11"/>
    <x v="0"/>
    <n v="-2987"/>
    <x v="0"/>
    <x v="0"/>
    <x v="0"/>
    <x v="0"/>
    <x v="0"/>
  </r>
  <r>
    <x v="11"/>
    <x v="2"/>
    <n v="13161"/>
    <x v="2"/>
    <x v="2"/>
    <x v="1"/>
    <x v="0"/>
    <x v="0"/>
  </r>
  <r>
    <x v="11"/>
    <x v="21"/>
    <n v="-1446"/>
    <x v="1"/>
    <x v="1"/>
    <x v="0"/>
    <x v="0"/>
    <x v="0"/>
  </r>
  <r>
    <x v="11"/>
    <x v="5"/>
    <n v="10919"/>
    <x v="2"/>
    <x v="2"/>
    <x v="1"/>
    <x v="0"/>
    <x v="0"/>
  </r>
  <r>
    <x v="11"/>
    <x v="6"/>
    <n v="-1430"/>
    <x v="1"/>
    <x v="4"/>
    <x v="0"/>
    <x v="0"/>
    <x v="0"/>
  </r>
  <r>
    <x v="11"/>
    <x v="40"/>
    <n v="-1351"/>
    <x v="3"/>
    <x v="9"/>
    <x v="0"/>
    <x v="0"/>
    <x v="0"/>
  </r>
  <r>
    <x v="11"/>
    <x v="40"/>
    <n v="-1034"/>
    <x v="3"/>
    <x v="9"/>
    <x v="0"/>
    <x v="0"/>
    <x v="0"/>
  </r>
  <r>
    <x v="11"/>
    <x v="4"/>
    <n v="-2419"/>
    <x v="1"/>
    <x v="1"/>
    <x v="0"/>
    <x v="0"/>
    <x v="0"/>
  </r>
  <r>
    <x v="12"/>
    <x v="6"/>
    <n v="-1784"/>
    <x v="1"/>
    <x v="4"/>
    <x v="0"/>
    <x v="0"/>
    <x v="0"/>
  </r>
  <r>
    <x v="12"/>
    <x v="11"/>
    <n v="-1817"/>
    <x v="3"/>
    <x v="5"/>
    <x v="0"/>
    <x v="0"/>
    <x v="0"/>
  </r>
  <r>
    <x v="12"/>
    <x v="6"/>
    <n v="-1887"/>
    <x v="1"/>
    <x v="4"/>
    <x v="0"/>
    <x v="0"/>
    <x v="0"/>
  </r>
  <r>
    <x v="12"/>
    <x v="41"/>
    <n v="-1110"/>
    <x v="3"/>
    <x v="3"/>
    <x v="0"/>
    <x v="0"/>
    <x v="0"/>
  </r>
  <r>
    <x v="12"/>
    <x v="2"/>
    <n v="10916"/>
    <x v="2"/>
    <x v="2"/>
    <x v="1"/>
    <x v="0"/>
    <x v="0"/>
  </r>
  <r>
    <x v="12"/>
    <x v="6"/>
    <n v="-1408"/>
    <x v="1"/>
    <x v="4"/>
    <x v="0"/>
    <x v="0"/>
    <x v="0"/>
  </r>
  <r>
    <x v="12"/>
    <x v="1"/>
    <n v="-2205"/>
    <x v="1"/>
    <x v="1"/>
    <x v="0"/>
    <x v="0"/>
    <x v="0"/>
  </r>
  <r>
    <x v="12"/>
    <x v="5"/>
    <n v="13973"/>
    <x v="2"/>
    <x v="2"/>
    <x v="1"/>
    <x v="0"/>
    <x v="0"/>
  </r>
  <r>
    <x v="12"/>
    <x v="0"/>
    <n v="-4054"/>
    <x v="0"/>
    <x v="0"/>
    <x v="0"/>
    <x v="0"/>
    <x v="0"/>
  </r>
  <r>
    <x v="12"/>
    <x v="14"/>
    <n v="-2243"/>
    <x v="3"/>
    <x v="8"/>
    <x v="0"/>
    <x v="0"/>
    <x v="0"/>
  </r>
  <r>
    <x v="12"/>
    <x v="20"/>
    <n v="-1945"/>
    <x v="3"/>
    <x v="10"/>
    <x v="0"/>
    <x v="0"/>
    <x v="0"/>
  </r>
  <r>
    <x v="12"/>
    <x v="8"/>
    <n v="-1316"/>
    <x v="3"/>
    <x v="6"/>
    <x v="0"/>
    <x v="0"/>
    <x v="0"/>
  </r>
  <r>
    <x v="12"/>
    <x v="5"/>
    <n v="11603"/>
    <x v="2"/>
    <x v="2"/>
    <x v="1"/>
    <x v="0"/>
    <x v="0"/>
  </r>
  <r>
    <x v="12"/>
    <x v="2"/>
    <n v="10583"/>
    <x v="2"/>
    <x v="2"/>
    <x v="1"/>
    <x v="0"/>
    <x v="0"/>
  </r>
  <r>
    <x v="12"/>
    <x v="42"/>
    <n v="-1857"/>
    <x v="3"/>
    <x v="5"/>
    <x v="0"/>
    <x v="0"/>
    <x v="0"/>
  </r>
  <r>
    <x v="12"/>
    <x v="43"/>
    <n v="-1699"/>
    <x v="3"/>
    <x v="5"/>
    <x v="0"/>
    <x v="0"/>
    <x v="0"/>
  </r>
  <r>
    <x v="13"/>
    <x v="4"/>
    <n v="-1885"/>
    <x v="1"/>
    <x v="1"/>
    <x v="0"/>
    <x v="0"/>
    <x v="0"/>
  </r>
  <r>
    <x v="13"/>
    <x v="5"/>
    <n v="12787"/>
    <x v="2"/>
    <x v="2"/>
    <x v="1"/>
    <x v="0"/>
    <x v="0"/>
  </r>
  <r>
    <x v="13"/>
    <x v="4"/>
    <n v="-1721"/>
    <x v="1"/>
    <x v="1"/>
    <x v="0"/>
    <x v="0"/>
    <x v="0"/>
  </r>
  <r>
    <x v="13"/>
    <x v="6"/>
    <n v="-1136"/>
    <x v="1"/>
    <x v="4"/>
    <x v="0"/>
    <x v="0"/>
    <x v="0"/>
  </r>
  <r>
    <x v="13"/>
    <x v="0"/>
    <n v="-4121"/>
    <x v="0"/>
    <x v="0"/>
    <x v="0"/>
    <x v="0"/>
    <x v="0"/>
  </r>
  <r>
    <x v="13"/>
    <x v="11"/>
    <n v="-1124"/>
    <x v="3"/>
    <x v="5"/>
    <x v="0"/>
    <x v="0"/>
    <x v="0"/>
  </r>
  <r>
    <x v="13"/>
    <x v="5"/>
    <n v="12455"/>
    <x v="2"/>
    <x v="2"/>
    <x v="1"/>
    <x v="0"/>
    <x v="0"/>
  </r>
  <r>
    <x v="13"/>
    <x v="44"/>
    <n v="-2126"/>
    <x v="5"/>
    <x v="14"/>
    <x v="0"/>
    <x v="0"/>
    <x v="0"/>
  </r>
  <r>
    <x v="13"/>
    <x v="0"/>
    <n v="-2544"/>
    <x v="0"/>
    <x v="0"/>
    <x v="0"/>
    <x v="0"/>
    <x v="0"/>
  </r>
  <r>
    <x v="13"/>
    <x v="4"/>
    <n v="-1768"/>
    <x v="1"/>
    <x v="1"/>
    <x v="0"/>
    <x v="0"/>
    <x v="0"/>
  </r>
  <r>
    <x v="13"/>
    <x v="42"/>
    <n v="-1544"/>
    <x v="3"/>
    <x v="5"/>
    <x v="0"/>
    <x v="0"/>
    <x v="0"/>
  </r>
  <r>
    <x v="13"/>
    <x v="5"/>
    <n v="12581"/>
    <x v="2"/>
    <x v="2"/>
    <x v="1"/>
    <x v="0"/>
    <x v="0"/>
  </r>
  <r>
    <x v="13"/>
    <x v="21"/>
    <n v="-1936"/>
    <x v="1"/>
    <x v="1"/>
    <x v="0"/>
    <x v="0"/>
    <x v="0"/>
  </r>
  <r>
    <x v="13"/>
    <x v="5"/>
    <n v="13640"/>
    <x v="2"/>
    <x v="2"/>
    <x v="1"/>
    <x v="0"/>
    <x v="0"/>
  </r>
  <r>
    <x v="13"/>
    <x v="45"/>
    <n v="-1075"/>
    <x v="3"/>
    <x v="5"/>
    <x v="0"/>
    <x v="0"/>
    <x v="0"/>
  </r>
  <r>
    <x v="13"/>
    <x v="6"/>
    <n v="-1428"/>
    <x v="1"/>
    <x v="4"/>
    <x v="0"/>
    <x v="0"/>
    <x v="0"/>
  </r>
  <r>
    <x v="13"/>
    <x v="2"/>
    <n v="12463"/>
    <x v="2"/>
    <x v="2"/>
    <x v="1"/>
    <x v="0"/>
    <x v="0"/>
  </r>
  <r>
    <x v="13"/>
    <x v="0"/>
    <n v="-4817"/>
    <x v="0"/>
    <x v="0"/>
    <x v="0"/>
    <x v="0"/>
    <x v="0"/>
  </r>
  <r>
    <x v="13"/>
    <x v="0"/>
    <n v="-3523"/>
    <x v="0"/>
    <x v="0"/>
    <x v="0"/>
    <x v="0"/>
    <x v="0"/>
  </r>
  <r>
    <x v="13"/>
    <x v="2"/>
    <n v="14720"/>
    <x v="2"/>
    <x v="2"/>
    <x v="1"/>
    <x v="0"/>
    <x v="0"/>
  </r>
  <r>
    <x v="14"/>
    <x v="46"/>
    <n v="-2175"/>
    <x v="3"/>
    <x v="11"/>
    <x v="0"/>
    <x v="0"/>
    <x v="0"/>
  </r>
  <r>
    <x v="14"/>
    <x v="2"/>
    <n v="11848"/>
    <x v="2"/>
    <x v="2"/>
    <x v="1"/>
    <x v="0"/>
    <x v="0"/>
  </r>
  <r>
    <x v="14"/>
    <x v="6"/>
    <n v="-1031"/>
    <x v="1"/>
    <x v="4"/>
    <x v="0"/>
    <x v="0"/>
    <x v="0"/>
  </r>
  <r>
    <x v="14"/>
    <x v="4"/>
    <n v="-1296"/>
    <x v="1"/>
    <x v="1"/>
    <x v="0"/>
    <x v="0"/>
    <x v="0"/>
  </r>
  <r>
    <x v="14"/>
    <x v="4"/>
    <n v="-2319"/>
    <x v="1"/>
    <x v="1"/>
    <x v="0"/>
    <x v="0"/>
    <x v="0"/>
  </r>
  <r>
    <x v="14"/>
    <x v="47"/>
    <n v="-1537"/>
    <x v="3"/>
    <x v="8"/>
    <x v="0"/>
    <x v="0"/>
    <x v="0"/>
  </r>
  <r>
    <x v="14"/>
    <x v="4"/>
    <n v="-1389"/>
    <x v="1"/>
    <x v="1"/>
    <x v="0"/>
    <x v="0"/>
    <x v="0"/>
  </r>
  <r>
    <x v="14"/>
    <x v="40"/>
    <n v="-1099"/>
    <x v="3"/>
    <x v="9"/>
    <x v="0"/>
    <x v="0"/>
    <x v="0"/>
  </r>
  <r>
    <x v="14"/>
    <x v="6"/>
    <n v="-1117"/>
    <x v="1"/>
    <x v="4"/>
    <x v="0"/>
    <x v="0"/>
    <x v="0"/>
  </r>
  <r>
    <x v="14"/>
    <x v="5"/>
    <n v="10351"/>
    <x v="2"/>
    <x v="2"/>
    <x v="1"/>
    <x v="0"/>
    <x v="0"/>
  </r>
  <r>
    <x v="14"/>
    <x v="47"/>
    <n v="-1483"/>
    <x v="3"/>
    <x v="8"/>
    <x v="0"/>
    <x v="0"/>
    <x v="0"/>
  </r>
  <r>
    <x v="14"/>
    <x v="36"/>
    <n v="-1530"/>
    <x v="3"/>
    <x v="7"/>
    <x v="0"/>
    <x v="0"/>
    <x v="0"/>
  </r>
  <r>
    <x v="14"/>
    <x v="0"/>
    <n v="-3302"/>
    <x v="0"/>
    <x v="0"/>
    <x v="0"/>
    <x v="0"/>
    <x v="0"/>
  </r>
  <r>
    <x v="14"/>
    <x v="20"/>
    <n v="-2131"/>
    <x v="3"/>
    <x v="10"/>
    <x v="0"/>
    <x v="0"/>
    <x v="0"/>
  </r>
  <r>
    <x v="14"/>
    <x v="4"/>
    <n v="-2366"/>
    <x v="1"/>
    <x v="1"/>
    <x v="0"/>
    <x v="0"/>
    <x v="0"/>
  </r>
  <r>
    <x v="14"/>
    <x v="2"/>
    <n v="14029"/>
    <x v="2"/>
    <x v="2"/>
    <x v="1"/>
    <x v="0"/>
    <x v="0"/>
  </r>
  <r>
    <x v="14"/>
    <x v="6"/>
    <n v="-1007"/>
    <x v="1"/>
    <x v="4"/>
    <x v="0"/>
    <x v="0"/>
    <x v="0"/>
  </r>
  <r>
    <x v="14"/>
    <x v="21"/>
    <n v="-1322"/>
    <x v="1"/>
    <x v="1"/>
    <x v="0"/>
    <x v="0"/>
    <x v="0"/>
  </r>
  <r>
    <x v="15"/>
    <x v="3"/>
    <n v="-2041"/>
    <x v="3"/>
    <x v="3"/>
    <x v="0"/>
    <x v="0"/>
    <x v="0"/>
  </r>
  <r>
    <x v="15"/>
    <x v="2"/>
    <n v="12788"/>
    <x v="2"/>
    <x v="2"/>
    <x v="1"/>
    <x v="0"/>
    <x v="0"/>
  </r>
  <r>
    <x v="15"/>
    <x v="29"/>
    <n v="-1451"/>
    <x v="3"/>
    <x v="7"/>
    <x v="0"/>
    <x v="0"/>
    <x v="0"/>
  </r>
  <r>
    <x v="15"/>
    <x v="4"/>
    <n v="-1833"/>
    <x v="1"/>
    <x v="1"/>
    <x v="0"/>
    <x v="0"/>
    <x v="0"/>
  </r>
  <r>
    <x v="15"/>
    <x v="0"/>
    <n v="-3238"/>
    <x v="0"/>
    <x v="0"/>
    <x v="0"/>
    <x v="0"/>
    <x v="0"/>
  </r>
  <r>
    <x v="15"/>
    <x v="8"/>
    <n v="-1047"/>
    <x v="3"/>
    <x v="6"/>
    <x v="0"/>
    <x v="0"/>
    <x v="0"/>
  </r>
  <r>
    <x v="15"/>
    <x v="13"/>
    <n v="-1011"/>
    <x v="3"/>
    <x v="7"/>
    <x v="0"/>
    <x v="0"/>
    <x v="0"/>
  </r>
  <r>
    <x v="15"/>
    <x v="0"/>
    <n v="-4286"/>
    <x v="0"/>
    <x v="0"/>
    <x v="0"/>
    <x v="0"/>
    <x v="0"/>
  </r>
  <r>
    <x v="16"/>
    <x v="6"/>
    <n v="-1152"/>
    <x v="1"/>
    <x v="4"/>
    <x v="0"/>
    <x v="0"/>
    <x v="0"/>
  </r>
  <r>
    <x v="16"/>
    <x v="8"/>
    <n v="-1053"/>
    <x v="3"/>
    <x v="6"/>
    <x v="0"/>
    <x v="0"/>
    <x v="0"/>
  </r>
  <r>
    <x v="16"/>
    <x v="21"/>
    <n v="-1951"/>
    <x v="1"/>
    <x v="1"/>
    <x v="0"/>
    <x v="0"/>
    <x v="0"/>
  </r>
  <r>
    <x v="16"/>
    <x v="21"/>
    <n v="-1919"/>
    <x v="1"/>
    <x v="1"/>
    <x v="0"/>
    <x v="0"/>
    <x v="0"/>
  </r>
  <r>
    <x v="16"/>
    <x v="4"/>
    <n v="-2088"/>
    <x v="1"/>
    <x v="1"/>
    <x v="0"/>
    <x v="0"/>
    <x v="0"/>
  </r>
  <r>
    <x v="16"/>
    <x v="2"/>
    <n v="13369"/>
    <x v="2"/>
    <x v="2"/>
    <x v="1"/>
    <x v="0"/>
    <x v="0"/>
  </r>
  <r>
    <x v="16"/>
    <x v="2"/>
    <n v="11506"/>
    <x v="2"/>
    <x v="2"/>
    <x v="1"/>
    <x v="0"/>
    <x v="0"/>
  </r>
  <r>
    <x v="16"/>
    <x v="2"/>
    <n v="11366"/>
    <x v="2"/>
    <x v="2"/>
    <x v="1"/>
    <x v="0"/>
    <x v="0"/>
  </r>
  <r>
    <x v="16"/>
    <x v="21"/>
    <n v="-2153"/>
    <x v="1"/>
    <x v="1"/>
    <x v="0"/>
    <x v="0"/>
    <x v="0"/>
  </r>
  <r>
    <x v="16"/>
    <x v="6"/>
    <n v="-1327"/>
    <x v="1"/>
    <x v="4"/>
    <x v="0"/>
    <x v="0"/>
    <x v="0"/>
  </r>
  <r>
    <x v="16"/>
    <x v="0"/>
    <n v="-4127"/>
    <x v="0"/>
    <x v="0"/>
    <x v="0"/>
    <x v="0"/>
    <x v="0"/>
  </r>
  <r>
    <x v="16"/>
    <x v="0"/>
    <n v="-4912"/>
    <x v="0"/>
    <x v="0"/>
    <x v="0"/>
    <x v="0"/>
    <x v="0"/>
  </r>
  <r>
    <x v="16"/>
    <x v="5"/>
    <n v="10386"/>
    <x v="2"/>
    <x v="2"/>
    <x v="1"/>
    <x v="0"/>
    <x v="0"/>
  </r>
  <r>
    <x v="16"/>
    <x v="5"/>
    <n v="11711"/>
    <x v="2"/>
    <x v="2"/>
    <x v="1"/>
    <x v="0"/>
    <x v="0"/>
  </r>
  <r>
    <x v="16"/>
    <x v="6"/>
    <n v="-1764"/>
    <x v="1"/>
    <x v="4"/>
    <x v="0"/>
    <x v="0"/>
    <x v="0"/>
  </r>
  <r>
    <x v="16"/>
    <x v="21"/>
    <n v="-1331"/>
    <x v="1"/>
    <x v="1"/>
    <x v="0"/>
    <x v="0"/>
    <x v="0"/>
  </r>
  <r>
    <x v="16"/>
    <x v="0"/>
    <n v="-4558"/>
    <x v="0"/>
    <x v="0"/>
    <x v="0"/>
    <x v="0"/>
    <x v="0"/>
  </r>
  <r>
    <x v="16"/>
    <x v="5"/>
    <n v="10692"/>
    <x v="2"/>
    <x v="2"/>
    <x v="1"/>
    <x v="0"/>
    <x v="0"/>
  </r>
  <r>
    <x v="16"/>
    <x v="2"/>
    <n v="10832"/>
    <x v="2"/>
    <x v="2"/>
    <x v="1"/>
    <x v="0"/>
    <x v="0"/>
  </r>
  <r>
    <x v="16"/>
    <x v="4"/>
    <n v="-1350"/>
    <x v="1"/>
    <x v="1"/>
    <x v="0"/>
    <x v="0"/>
    <x v="0"/>
  </r>
  <r>
    <x v="17"/>
    <x v="13"/>
    <n v="-1818"/>
    <x v="3"/>
    <x v="7"/>
    <x v="0"/>
    <x v="0"/>
    <x v="0"/>
  </r>
  <r>
    <x v="17"/>
    <x v="21"/>
    <n v="-1118"/>
    <x v="1"/>
    <x v="1"/>
    <x v="0"/>
    <x v="0"/>
    <x v="0"/>
  </r>
  <r>
    <x v="17"/>
    <x v="6"/>
    <n v="-1064"/>
    <x v="1"/>
    <x v="4"/>
    <x v="0"/>
    <x v="0"/>
    <x v="0"/>
  </r>
  <r>
    <x v="17"/>
    <x v="4"/>
    <n v="-2318"/>
    <x v="1"/>
    <x v="1"/>
    <x v="0"/>
    <x v="0"/>
    <x v="0"/>
  </r>
  <r>
    <x v="17"/>
    <x v="2"/>
    <n v="13453"/>
    <x v="2"/>
    <x v="2"/>
    <x v="1"/>
    <x v="0"/>
    <x v="0"/>
  </r>
  <r>
    <x v="17"/>
    <x v="1"/>
    <n v="-1581"/>
    <x v="1"/>
    <x v="1"/>
    <x v="0"/>
    <x v="0"/>
    <x v="0"/>
  </r>
  <r>
    <x v="17"/>
    <x v="21"/>
    <n v="-2222"/>
    <x v="1"/>
    <x v="1"/>
    <x v="0"/>
    <x v="0"/>
    <x v="0"/>
  </r>
  <r>
    <x v="17"/>
    <x v="8"/>
    <n v="-1241"/>
    <x v="3"/>
    <x v="6"/>
    <x v="0"/>
    <x v="0"/>
    <x v="0"/>
  </r>
  <r>
    <x v="17"/>
    <x v="2"/>
    <n v="11615"/>
    <x v="2"/>
    <x v="2"/>
    <x v="1"/>
    <x v="0"/>
    <x v="0"/>
  </r>
  <r>
    <x v="17"/>
    <x v="43"/>
    <n v="-1714"/>
    <x v="3"/>
    <x v="5"/>
    <x v="0"/>
    <x v="0"/>
    <x v="0"/>
  </r>
  <r>
    <x v="17"/>
    <x v="4"/>
    <n v="-1322"/>
    <x v="1"/>
    <x v="1"/>
    <x v="0"/>
    <x v="0"/>
    <x v="0"/>
  </r>
  <r>
    <x v="17"/>
    <x v="2"/>
    <n v="13155"/>
    <x v="2"/>
    <x v="2"/>
    <x v="1"/>
    <x v="0"/>
    <x v="0"/>
  </r>
  <r>
    <x v="17"/>
    <x v="23"/>
    <n v="-2168"/>
    <x v="3"/>
    <x v="5"/>
    <x v="0"/>
    <x v="0"/>
    <x v="0"/>
  </r>
  <r>
    <x v="17"/>
    <x v="6"/>
    <n v="-2021"/>
    <x v="1"/>
    <x v="4"/>
    <x v="0"/>
    <x v="0"/>
    <x v="0"/>
  </r>
  <r>
    <x v="17"/>
    <x v="21"/>
    <n v="-1327"/>
    <x v="1"/>
    <x v="1"/>
    <x v="0"/>
    <x v="0"/>
    <x v="0"/>
  </r>
  <r>
    <x v="17"/>
    <x v="5"/>
    <n v="10625"/>
    <x v="2"/>
    <x v="2"/>
    <x v="1"/>
    <x v="0"/>
    <x v="0"/>
  </r>
  <r>
    <x v="17"/>
    <x v="0"/>
    <n v="-4522"/>
    <x v="0"/>
    <x v="0"/>
    <x v="0"/>
    <x v="0"/>
    <x v="0"/>
  </r>
  <r>
    <x v="17"/>
    <x v="5"/>
    <n v="12345"/>
    <x v="2"/>
    <x v="2"/>
    <x v="1"/>
    <x v="0"/>
    <x v="0"/>
  </r>
  <r>
    <x v="18"/>
    <x v="0"/>
    <n v="-4186"/>
    <x v="0"/>
    <x v="0"/>
    <x v="0"/>
    <x v="0"/>
    <x v="0"/>
  </r>
  <r>
    <x v="18"/>
    <x v="2"/>
    <n v="11149"/>
    <x v="2"/>
    <x v="2"/>
    <x v="1"/>
    <x v="0"/>
    <x v="0"/>
  </r>
  <r>
    <x v="18"/>
    <x v="2"/>
    <n v="13090"/>
    <x v="2"/>
    <x v="2"/>
    <x v="1"/>
    <x v="0"/>
    <x v="0"/>
  </r>
  <r>
    <x v="18"/>
    <x v="34"/>
    <n v="-1863"/>
    <x v="3"/>
    <x v="3"/>
    <x v="0"/>
    <x v="0"/>
    <x v="0"/>
  </r>
  <r>
    <x v="18"/>
    <x v="11"/>
    <n v="-1785"/>
    <x v="3"/>
    <x v="5"/>
    <x v="0"/>
    <x v="0"/>
    <x v="0"/>
  </r>
  <r>
    <x v="18"/>
    <x v="2"/>
    <n v="12202"/>
    <x v="2"/>
    <x v="2"/>
    <x v="1"/>
    <x v="0"/>
    <x v="0"/>
  </r>
  <r>
    <x v="18"/>
    <x v="1"/>
    <n v="-1538"/>
    <x v="1"/>
    <x v="1"/>
    <x v="0"/>
    <x v="0"/>
    <x v="0"/>
  </r>
  <r>
    <x v="18"/>
    <x v="44"/>
    <n v="-1607"/>
    <x v="5"/>
    <x v="14"/>
    <x v="0"/>
    <x v="0"/>
    <x v="0"/>
  </r>
  <r>
    <x v="18"/>
    <x v="48"/>
    <n v="-1360"/>
    <x v="3"/>
    <x v="7"/>
    <x v="0"/>
    <x v="0"/>
    <x v="0"/>
  </r>
  <r>
    <x v="18"/>
    <x v="49"/>
    <n v="-1201"/>
    <x v="3"/>
    <x v="5"/>
    <x v="0"/>
    <x v="0"/>
    <x v="0"/>
  </r>
  <r>
    <x v="18"/>
    <x v="4"/>
    <n v="-2310"/>
    <x v="1"/>
    <x v="1"/>
    <x v="0"/>
    <x v="0"/>
    <x v="0"/>
  </r>
  <r>
    <x v="18"/>
    <x v="50"/>
    <n v="-1094"/>
    <x v="3"/>
    <x v="3"/>
    <x v="0"/>
    <x v="0"/>
    <x v="0"/>
  </r>
  <r>
    <x v="19"/>
    <x v="2"/>
    <n v="11061"/>
    <x v="2"/>
    <x v="2"/>
    <x v="1"/>
    <x v="0"/>
    <x v="0"/>
  </r>
  <r>
    <x v="19"/>
    <x v="4"/>
    <n v="-1372"/>
    <x v="1"/>
    <x v="1"/>
    <x v="0"/>
    <x v="0"/>
    <x v="0"/>
  </r>
  <r>
    <x v="19"/>
    <x v="1"/>
    <n v="-2370"/>
    <x v="1"/>
    <x v="1"/>
    <x v="0"/>
    <x v="0"/>
    <x v="0"/>
  </r>
  <r>
    <x v="19"/>
    <x v="5"/>
    <n v="10717"/>
    <x v="2"/>
    <x v="2"/>
    <x v="1"/>
    <x v="0"/>
    <x v="0"/>
  </r>
  <r>
    <x v="19"/>
    <x v="33"/>
    <n v="-1410"/>
    <x v="3"/>
    <x v="3"/>
    <x v="0"/>
    <x v="0"/>
    <x v="0"/>
  </r>
  <r>
    <x v="19"/>
    <x v="5"/>
    <n v="10208"/>
    <x v="2"/>
    <x v="2"/>
    <x v="1"/>
    <x v="0"/>
    <x v="0"/>
  </r>
  <r>
    <x v="19"/>
    <x v="14"/>
    <n v="-2386"/>
    <x v="3"/>
    <x v="8"/>
    <x v="0"/>
    <x v="0"/>
    <x v="0"/>
  </r>
  <r>
    <x v="19"/>
    <x v="6"/>
    <n v="-2261"/>
    <x v="1"/>
    <x v="4"/>
    <x v="0"/>
    <x v="0"/>
    <x v="0"/>
  </r>
  <r>
    <x v="19"/>
    <x v="22"/>
    <n v="-2160"/>
    <x v="3"/>
    <x v="11"/>
    <x v="0"/>
    <x v="0"/>
    <x v="0"/>
  </r>
  <r>
    <x v="19"/>
    <x v="6"/>
    <n v="-2458"/>
    <x v="1"/>
    <x v="4"/>
    <x v="0"/>
    <x v="0"/>
    <x v="0"/>
  </r>
  <r>
    <x v="19"/>
    <x v="10"/>
    <n v="-2334"/>
    <x v="3"/>
    <x v="6"/>
    <x v="0"/>
    <x v="0"/>
    <x v="0"/>
  </r>
  <r>
    <x v="19"/>
    <x v="4"/>
    <n v="-1626"/>
    <x v="1"/>
    <x v="1"/>
    <x v="0"/>
    <x v="0"/>
    <x v="0"/>
  </r>
  <r>
    <x v="19"/>
    <x v="1"/>
    <n v="-2045"/>
    <x v="1"/>
    <x v="1"/>
    <x v="0"/>
    <x v="0"/>
    <x v="0"/>
  </r>
  <r>
    <x v="19"/>
    <x v="39"/>
    <n v="-2486"/>
    <x v="3"/>
    <x v="5"/>
    <x v="0"/>
    <x v="0"/>
    <x v="0"/>
  </r>
  <r>
    <x v="19"/>
    <x v="1"/>
    <n v="-1791"/>
    <x v="1"/>
    <x v="1"/>
    <x v="0"/>
    <x v="0"/>
    <x v="0"/>
  </r>
  <r>
    <x v="19"/>
    <x v="2"/>
    <n v="14459"/>
    <x v="2"/>
    <x v="2"/>
    <x v="1"/>
    <x v="0"/>
    <x v="0"/>
  </r>
  <r>
    <x v="19"/>
    <x v="4"/>
    <n v="-1736"/>
    <x v="1"/>
    <x v="1"/>
    <x v="0"/>
    <x v="0"/>
    <x v="0"/>
  </r>
  <r>
    <x v="19"/>
    <x v="5"/>
    <n v="10623"/>
    <x v="2"/>
    <x v="2"/>
    <x v="1"/>
    <x v="0"/>
    <x v="0"/>
  </r>
  <r>
    <x v="19"/>
    <x v="10"/>
    <n v="-1431"/>
    <x v="3"/>
    <x v="6"/>
    <x v="0"/>
    <x v="0"/>
    <x v="0"/>
  </r>
  <r>
    <x v="19"/>
    <x v="21"/>
    <n v="-1677"/>
    <x v="1"/>
    <x v="1"/>
    <x v="0"/>
    <x v="0"/>
    <x v="0"/>
  </r>
  <r>
    <x v="19"/>
    <x v="2"/>
    <n v="12929"/>
    <x v="2"/>
    <x v="2"/>
    <x v="1"/>
    <x v="0"/>
    <x v="0"/>
  </r>
  <r>
    <x v="19"/>
    <x v="6"/>
    <n v="-1909"/>
    <x v="1"/>
    <x v="4"/>
    <x v="0"/>
    <x v="0"/>
    <x v="0"/>
  </r>
  <r>
    <x v="20"/>
    <x v="0"/>
    <n v="-4514"/>
    <x v="0"/>
    <x v="0"/>
    <x v="0"/>
    <x v="0"/>
    <x v="0"/>
  </r>
  <r>
    <x v="20"/>
    <x v="4"/>
    <n v="-1236"/>
    <x v="1"/>
    <x v="1"/>
    <x v="0"/>
    <x v="0"/>
    <x v="0"/>
  </r>
  <r>
    <x v="20"/>
    <x v="5"/>
    <n v="12248"/>
    <x v="2"/>
    <x v="2"/>
    <x v="1"/>
    <x v="0"/>
    <x v="0"/>
  </r>
  <r>
    <x v="20"/>
    <x v="21"/>
    <n v="-2298"/>
    <x v="1"/>
    <x v="1"/>
    <x v="0"/>
    <x v="0"/>
    <x v="0"/>
  </r>
  <r>
    <x v="20"/>
    <x v="2"/>
    <n v="13081"/>
    <x v="2"/>
    <x v="2"/>
    <x v="1"/>
    <x v="0"/>
    <x v="0"/>
  </r>
  <r>
    <x v="20"/>
    <x v="5"/>
    <n v="10692"/>
    <x v="2"/>
    <x v="2"/>
    <x v="1"/>
    <x v="0"/>
    <x v="0"/>
  </r>
  <r>
    <x v="20"/>
    <x v="21"/>
    <n v="-1985"/>
    <x v="1"/>
    <x v="1"/>
    <x v="0"/>
    <x v="0"/>
    <x v="0"/>
  </r>
  <r>
    <x v="20"/>
    <x v="21"/>
    <n v="-2295"/>
    <x v="1"/>
    <x v="1"/>
    <x v="0"/>
    <x v="0"/>
    <x v="0"/>
  </r>
  <r>
    <x v="20"/>
    <x v="13"/>
    <n v="-2050"/>
    <x v="3"/>
    <x v="7"/>
    <x v="0"/>
    <x v="0"/>
    <x v="0"/>
  </r>
  <r>
    <x v="20"/>
    <x v="24"/>
    <n v="-1978"/>
    <x v="3"/>
    <x v="6"/>
    <x v="0"/>
    <x v="0"/>
    <x v="0"/>
  </r>
  <r>
    <x v="20"/>
    <x v="0"/>
    <n v="-3249"/>
    <x v="0"/>
    <x v="0"/>
    <x v="0"/>
    <x v="0"/>
    <x v="0"/>
  </r>
  <r>
    <x v="20"/>
    <x v="5"/>
    <n v="12062"/>
    <x v="2"/>
    <x v="2"/>
    <x v="1"/>
    <x v="0"/>
    <x v="0"/>
  </r>
  <r>
    <x v="20"/>
    <x v="38"/>
    <n v="-2134"/>
    <x v="3"/>
    <x v="5"/>
    <x v="0"/>
    <x v="0"/>
    <x v="0"/>
  </r>
  <r>
    <x v="20"/>
    <x v="6"/>
    <n v="-1488"/>
    <x v="1"/>
    <x v="4"/>
    <x v="0"/>
    <x v="0"/>
    <x v="0"/>
  </r>
  <r>
    <x v="20"/>
    <x v="5"/>
    <n v="14319"/>
    <x v="2"/>
    <x v="2"/>
    <x v="1"/>
    <x v="0"/>
    <x v="0"/>
  </r>
  <r>
    <x v="20"/>
    <x v="5"/>
    <n v="12832"/>
    <x v="2"/>
    <x v="2"/>
    <x v="1"/>
    <x v="0"/>
    <x v="0"/>
  </r>
  <r>
    <x v="21"/>
    <x v="1"/>
    <n v="-2239"/>
    <x v="1"/>
    <x v="1"/>
    <x v="0"/>
    <x v="0"/>
    <x v="0"/>
  </r>
  <r>
    <x v="21"/>
    <x v="5"/>
    <n v="11582"/>
    <x v="2"/>
    <x v="2"/>
    <x v="1"/>
    <x v="0"/>
    <x v="0"/>
  </r>
  <r>
    <x v="21"/>
    <x v="2"/>
    <n v="10320"/>
    <x v="2"/>
    <x v="2"/>
    <x v="1"/>
    <x v="0"/>
    <x v="0"/>
  </r>
  <r>
    <x v="21"/>
    <x v="46"/>
    <n v="-1567"/>
    <x v="3"/>
    <x v="11"/>
    <x v="0"/>
    <x v="0"/>
    <x v="0"/>
  </r>
  <r>
    <x v="21"/>
    <x v="2"/>
    <n v="11687"/>
    <x v="2"/>
    <x v="2"/>
    <x v="1"/>
    <x v="0"/>
    <x v="0"/>
  </r>
  <r>
    <x v="21"/>
    <x v="25"/>
    <n v="-1940"/>
    <x v="3"/>
    <x v="9"/>
    <x v="0"/>
    <x v="0"/>
    <x v="0"/>
  </r>
  <r>
    <x v="21"/>
    <x v="4"/>
    <n v="-1531"/>
    <x v="1"/>
    <x v="1"/>
    <x v="0"/>
    <x v="0"/>
    <x v="0"/>
  </r>
  <r>
    <x v="21"/>
    <x v="43"/>
    <n v="-1712"/>
    <x v="3"/>
    <x v="5"/>
    <x v="0"/>
    <x v="0"/>
    <x v="0"/>
  </r>
  <r>
    <x v="21"/>
    <x v="0"/>
    <n v="-3535"/>
    <x v="0"/>
    <x v="0"/>
    <x v="0"/>
    <x v="0"/>
    <x v="0"/>
  </r>
  <r>
    <x v="21"/>
    <x v="6"/>
    <n v="-2205"/>
    <x v="1"/>
    <x v="4"/>
    <x v="0"/>
    <x v="0"/>
    <x v="0"/>
  </r>
  <r>
    <x v="21"/>
    <x v="6"/>
    <n v="-2119"/>
    <x v="1"/>
    <x v="4"/>
    <x v="0"/>
    <x v="0"/>
    <x v="0"/>
  </r>
  <r>
    <x v="21"/>
    <x v="51"/>
    <n v="-1885"/>
    <x v="3"/>
    <x v="5"/>
    <x v="0"/>
    <x v="0"/>
    <x v="0"/>
  </r>
  <r>
    <x v="22"/>
    <x v="2"/>
    <n v="10047"/>
    <x v="2"/>
    <x v="2"/>
    <x v="1"/>
    <x v="0"/>
    <x v="0"/>
  </r>
  <r>
    <x v="22"/>
    <x v="36"/>
    <n v="-1960"/>
    <x v="3"/>
    <x v="7"/>
    <x v="0"/>
    <x v="0"/>
    <x v="0"/>
  </r>
  <r>
    <x v="22"/>
    <x v="4"/>
    <n v="-1418"/>
    <x v="1"/>
    <x v="1"/>
    <x v="0"/>
    <x v="0"/>
    <x v="0"/>
  </r>
  <r>
    <x v="22"/>
    <x v="0"/>
    <n v="-3107"/>
    <x v="0"/>
    <x v="0"/>
    <x v="0"/>
    <x v="0"/>
    <x v="0"/>
  </r>
  <r>
    <x v="22"/>
    <x v="0"/>
    <n v="-3342"/>
    <x v="0"/>
    <x v="0"/>
    <x v="0"/>
    <x v="0"/>
    <x v="0"/>
  </r>
  <r>
    <x v="22"/>
    <x v="6"/>
    <n v="-1527"/>
    <x v="1"/>
    <x v="4"/>
    <x v="0"/>
    <x v="0"/>
    <x v="0"/>
  </r>
  <r>
    <x v="22"/>
    <x v="49"/>
    <n v="-2179"/>
    <x v="3"/>
    <x v="5"/>
    <x v="0"/>
    <x v="0"/>
    <x v="0"/>
  </r>
  <r>
    <x v="22"/>
    <x v="6"/>
    <n v="-1918"/>
    <x v="1"/>
    <x v="4"/>
    <x v="0"/>
    <x v="0"/>
    <x v="0"/>
  </r>
  <r>
    <x v="22"/>
    <x v="5"/>
    <n v="13145"/>
    <x v="2"/>
    <x v="2"/>
    <x v="1"/>
    <x v="0"/>
    <x v="0"/>
  </r>
  <r>
    <x v="22"/>
    <x v="4"/>
    <n v="-1307"/>
    <x v="1"/>
    <x v="1"/>
    <x v="0"/>
    <x v="0"/>
    <x v="0"/>
  </r>
  <r>
    <x v="22"/>
    <x v="2"/>
    <n v="14409"/>
    <x v="2"/>
    <x v="2"/>
    <x v="1"/>
    <x v="0"/>
    <x v="0"/>
  </r>
  <r>
    <x v="22"/>
    <x v="2"/>
    <n v="12120"/>
    <x v="2"/>
    <x v="2"/>
    <x v="1"/>
    <x v="0"/>
    <x v="0"/>
  </r>
  <r>
    <x v="22"/>
    <x v="6"/>
    <n v="-2251"/>
    <x v="1"/>
    <x v="4"/>
    <x v="0"/>
    <x v="0"/>
    <x v="0"/>
  </r>
  <r>
    <x v="22"/>
    <x v="1"/>
    <n v="-1338"/>
    <x v="1"/>
    <x v="1"/>
    <x v="0"/>
    <x v="0"/>
    <x v="0"/>
  </r>
  <r>
    <x v="23"/>
    <x v="4"/>
    <n v="-1361"/>
    <x v="1"/>
    <x v="1"/>
    <x v="0"/>
    <x v="0"/>
    <x v="0"/>
  </r>
  <r>
    <x v="23"/>
    <x v="1"/>
    <n v="-2262"/>
    <x v="1"/>
    <x v="1"/>
    <x v="0"/>
    <x v="0"/>
    <x v="0"/>
  </r>
  <r>
    <x v="23"/>
    <x v="4"/>
    <n v="-2409"/>
    <x v="1"/>
    <x v="1"/>
    <x v="0"/>
    <x v="0"/>
    <x v="0"/>
  </r>
  <r>
    <x v="23"/>
    <x v="29"/>
    <n v="-2123"/>
    <x v="3"/>
    <x v="7"/>
    <x v="0"/>
    <x v="0"/>
    <x v="0"/>
  </r>
  <r>
    <x v="23"/>
    <x v="5"/>
    <n v="11939"/>
    <x v="2"/>
    <x v="2"/>
    <x v="1"/>
    <x v="0"/>
    <x v="0"/>
  </r>
  <r>
    <x v="23"/>
    <x v="7"/>
    <n v="-1700"/>
    <x v="3"/>
    <x v="5"/>
    <x v="0"/>
    <x v="0"/>
    <x v="0"/>
  </r>
  <r>
    <x v="23"/>
    <x v="52"/>
    <n v="-1796"/>
    <x v="3"/>
    <x v="3"/>
    <x v="0"/>
    <x v="0"/>
    <x v="0"/>
  </r>
  <r>
    <x v="23"/>
    <x v="5"/>
    <n v="12387"/>
    <x v="2"/>
    <x v="2"/>
    <x v="1"/>
    <x v="0"/>
    <x v="0"/>
  </r>
  <r>
    <x v="23"/>
    <x v="14"/>
    <n v="-2286"/>
    <x v="3"/>
    <x v="8"/>
    <x v="0"/>
    <x v="0"/>
    <x v="0"/>
  </r>
  <r>
    <x v="23"/>
    <x v="2"/>
    <n v="11281"/>
    <x v="2"/>
    <x v="2"/>
    <x v="1"/>
    <x v="0"/>
    <x v="0"/>
  </r>
  <r>
    <x v="23"/>
    <x v="36"/>
    <n v="-1523"/>
    <x v="3"/>
    <x v="7"/>
    <x v="0"/>
    <x v="0"/>
    <x v="0"/>
  </r>
  <r>
    <x v="23"/>
    <x v="53"/>
    <n v="-2198"/>
    <x v="3"/>
    <x v="5"/>
    <x v="0"/>
    <x v="0"/>
    <x v="0"/>
  </r>
  <r>
    <x v="23"/>
    <x v="1"/>
    <n v="-1297"/>
    <x v="1"/>
    <x v="1"/>
    <x v="0"/>
    <x v="0"/>
    <x v="0"/>
  </r>
  <r>
    <x v="23"/>
    <x v="2"/>
    <n v="10405"/>
    <x v="2"/>
    <x v="2"/>
    <x v="1"/>
    <x v="0"/>
    <x v="0"/>
  </r>
  <r>
    <x v="23"/>
    <x v="0"/>
    <n v="-3489"/>
    <x v="0"/>
    <x v="0"/>
    <x v="0"/>
    <x v="0"/>
    <x v="0"/>
  </r>
  <r>
    <x v="23"/>
    <x v="2"/>
    <n v="14421"/>
    <x v="2"/>
    <x v="2"/>
    <x v="1"/>
    <x v="0"/>
    <x v="0"/>
  </r>
  <r>
    <x v="23"/>
    <x v="2"/>
    <n v="13158"/>
    <x v="2"/>
    <x v="2"/>
    <x v="1"/>
    <x v="0"/>
    <x v="0"/>
  </r>
  <r>
    <x v="23"/>
    <x v="7"/>
    <n v="-2292"/>
    <x v="3"/>
    <x v="5"/>
    <x v="0"/>
    <x v="0"/>
    <x v="0"/>
  </r>
  <r>
    <x v="23"/>
    <x v="0"/>
    <n v="-3156"/>
    <x v="0"/>
    <x v="0"/>
    <x v="0"/>
    <x v="0"/>
    <x v="0"/>
  </r>
  <r>
    <x v="23"/>
    <x v="0"/>
    <n v="-2879"/>
    <x v="0"/>
    <x v="0"/>
    <x v="0"/>
    <x v="0"/>
    <x v="0"/>
  </r>
  <r>
    <x v="23"/>
    <x v="0"/>
    <n v="-4107"/>
    <x v="0"/>
    <x v="0"/>
    <x v="0"/>
    <x v="0"/>
    <x v="0"/>
  </r>
  <r>
    <x v="23"/>
    <x v="6"/>
    <n v="-1431"/>
    <x v="1"/>
    <x v="4"/>
    <x v="0"/>
    <x v="0"/>
    <x v="0"/>
  </r>
  <r>
    <x v="23"/>
    <x v="19"/>
    <n v="-1122"/>
    <x v="3"/>
    <x v="8"/>
    <x v="0"/>
    <x v="0"/>
    <x v="0"/>
  </r>
  <r>
    <x v="23"/>
    <x v="21"/>
    <n v="-1691"/>
    <x v="1"/>
    <x v="1"/>
    <x v="0"/>
    <x v="0"/>
    <x v="0"/>
  </r>
  <r>
    <x v="23"/>
    <x v="51"/>
    <n v="-2024"/>
    <x v="3"/>
    <x v="5"/>
    <x v="0"/>
    <x v="0"/>
    <x v="0"/>
  </r>
  <r>
    <x v="23"/>
    <x v="53"/>
    <n v="-1209"/>
    <x v="3"/>
    <x v="5"/>
    <x v="0"/>
    <x v="0"/>
    <x v="0"/>
  </r>
  <r>
    <x v="23"/>
    <x v="21"/>
    <n v="-1409"/>
    <x v="1"/>
    <x v="1"/>
    <x v="0"/>
    <x v="0"/>
    <x v="0"/>
  </r>
  <r>
    <x v="23"/>
    <x v="5"/>
    <n v="11429"/>
    <x v="2"/>
    <x v="2"/>
    <x v="1"/>
    <x v="0"/>
    <x v="0"/>
  </r>
  <r>
    <x v="24"/>
    <x v="4"/>
    <n v="-2106"/>
    <x v="1"/>
    <x v="1"/>
    <x v="0"/>
    <x v="0"/>
    <x v="0"/>
  </r>
  <r>
    <x v="24"/>
    <x v="21"/>
    <n v="-1909"/>
    <x v="1"/>
    <x v="1"/>
    <x v="0"/>
    <x v="0"/>
    <x v="0"/>
  </r>
  <r>
    <x v="24"/>
    <x v="5"/>
    <n v="11705"/>
    <x v="2"/>
    <x v="2"/>
    <x v="1"/>
    <x v="0"/>
    <x v="0"/>
  </r>
  <r>
    <x v="24"/>
    <x v="13"/>
    <n v="-1292"/>
    <x v="3"/>
    <x v="7"/>
    <x v="0"/>
    <x v="0"/>
    <x v="0"/>
  </r>
  <r>
    <x v="24"/>
    <x v="0"/>
    <n v="-2922"/>
    <x v="0"/>
    <x v="0"/>
    <x v="0"/>
    <x v="0"/>
    <x v="0"/>
  </r>
  <r>
    <x v="24"/>
    <x v="2"/>
    <n v="11010"/>
    <x v="2"/>
    <x v="2"/>
    <x v="1"/>
    <x v="0"/>
    <x v="0"/>
  </r>
  <r>
    <x v="24"/>
    <x v="21"/>
    <n v="-1109"/>
    <x v="1"/>
    <x v="1"/>
    <x v="0"/>
    <x v="0"/>
    <x v="0"/>
  </r>
  <r>
    <x v="24"/>
    <x v="2"/>
    <n v="13570"/>
    <x v="2"/>
    <x v="2"/>
    <x v="1"/>
    <x v="0"/>
    <x v="0"/>
  </r>
  <r>
    <x v="24"/>
    <x v="6"/>
    <n v="-1022"/>
    <x v="1"/>
    <x v="4"/>
    <x v="0"/>
    <x v="0"/>
    <x v="0"/>
  </r>
  <r>
    <x v="24"/>
    <x v="0"/>
    <n v="-2863"/>
    <x v="0"/>
    <x v="0"/>
    <x v="0"/>
    <x v="0"/>
    <x v="0"/>
  </r>
  <r>
    <x v="24"/>
    <x v="4"/>
    <n v="-2373"/>
    <x v="1"/>
    <x v="1"/>
    <x v="0"/>
    <x v="0"/>
    <x v="0"/>
  </r>
  <r>
    <x v="24"/>
    <x v="43"/>
    <n v="-1467"/>
    <x v="3"/>
    <x v="5"/>
    <x v="0"/>
    <x v="0"/>
    <x v="0"/>
  </r>
  <r>
    <x v="24"/>
    <x v="2"/>
    <n v="12383"/>
    <x v="2"/>
    <x v="2"/>
    <x v="1"/>
    <x v="0"/>
    <x v="0"/>
  </r>
  <r>
    <x v="24"/>
    <x v="0"/>
    <n v="-4155"/>
    <x v="0"/>
    <x v="0"/>
    <x v="0"/>
    <x v="0"/>
    <x v="0"/>
  </r>
  <r>
    <x v="24"/>
    <x v="5"/>
    <n v="14922"/>
    <x v="2"/>
    <x v="2"/>
    <x v="1"/>
    <x v="0"/>
    <x v="0"/>
  </r>
  <r>
    <x v="24"/>
    <x v="23"/>
    <n v="-2447"/>
    <x v="3"/>
    <x v="5"/>
    <x v="0"/>
    <x v="0"/>
    <x v="0"/>
  </r>
  <r>
    <x v="24"/>
    <x v="0"/>
    <n v="-2636"/>
    <x v="0"/>
    <x v="0"/>
    <x v="0"/>
    <x v="0"/>
    <x v="0"/>
  </r>
  <r>
    <x v="24"/>
    <x v="1"/>
    <n v="-2230"/>
    <x v="1"/>
    <x v="1"/>
    <x v="0"/>
    <x v="0"/>
    <x v="0"/>
  </r>
  <r>
    <x v="24"/>
    <x v="41"/>
    <n v="-1371"/>
    <x v="3"/>
    <x v="3"/>
    <x v="0"/>
    <x v="0"/>
    <x v="0"/>
  </r>
  <r>
    <x v="24"/>
    <x v="21"/>
    <n v="-1763"/>
    <x v="1"/>
    <x v="1"/>
    <x v="0"/>
    <x v="0"/>
    <x v="0"/>
  </r>
  <r>
    <x v="25"/>
    <x v="33"/>
    <n v="-2239"/>
    <x v="3"/>
    <x v="3"/>
    <x v="0"/>
    <x v="0"/>
    <x v="0"/>
  </r>
  <r>
    <x v="25"/>
    <x v="1"/>
    <n v="-2447"/>
    <x v="1"/>
    <x v="1"/>
    <x v="0"/>
    <x v="0"/>
    <x v="0"/>
  </r>
  <r>
    <x v="25"/>
    <x v="6"/>
    <n v="-1799"/>
    <x v="1"/>
    <x v="4"/>
    <x v="0"/>
    <x v="0"/>
    <x v="0"/>
  </r>
  <r>
    <x v="25"/>
    <x v="35"/>
    <n v="-1488"/>
    <x v="3"/>
    <x v="10"/>
    <x v="0"/>
    <x v="0"/>
    <x v="0"/>
  </r>
  <r>
    <x v="25"/>
    <x v="0"/>
    <n v="-4528"/>
    <x v="0"/>
    <x v="0"/>
    <x v="0"/>
    <x v="0"/>
    <x v="0"/>
  </r>
  <r>
    <x v="25"/>
    <x v="4"/>
    <n v="-1740"/>
    <x v="1"/>
    <x v="1"/>
    <x v="0"/>
    <x v="0"/>
    <x v="0"/>
  </r>
  <r>
    <x v="25"/>
    <x v="40"/>
    <n v="-1826"/>
    <x v="3"/>
    <x v="9"/>
    <x v="0"/>
    <x v="0"/>
    <x v="0"/>
  </r>
  <r>
    <x v="25"/>
    <x v="21"/>
    <n v="-2451"/>
    <x v="1"/>
    <x v="1"/>
    <x v="0"/>
    <x v="0"/>
    <x v="0"/>
  </r>
  <r>
    <x v="25"/>
    <x v="21"/>
    <n v="-2229"/>
    <x v="1"/>
    <x v="1"/>
    <x v="0"/>
    <x v="0"/>
    <x v="0"/>
  </r>
  <r>
    <x v="25"/>
    <x v="21"/>
    <n v="-2480"/>
    <x v="1"/>
    <x v="1"/>
    <x v="0"/>
    <x v="0"/>
    <x v="0"/>
  </r>
  <r>
    <x v="25"/>
    <x v="6"/>
    <n v="-1947"/>
    <x v="1"/>
    <x v="4"/>
    <x v="0"/>
    <x v="0"/>
    <x v="0"/>
  </r>
  <r>
    <x v="25"/>
    <x v="54"/>
    <n v="-2264"/>
    <x v="3"/>
    <x v="8"/>
    <x v="0"/>
    <x v="0"/>
    <x v="0"/>
  </r>
  <r>
    <x v="25"/>
    <x v="2"/>
    <n v="12340"/>
    <x v="2"/>
    <x v="2"/>
    <x v="1"/>
    <x v="0"/>
    <x v="0"/>
  </r>
  <r>
    <x v="25"/>
    <x v="5"/>
    <n v="13520"/>
    <x v="2"/>
    <x v="2"/>
    <x v="1"/>
    <x v="0"/>
    <x v="0"/>
  </r>
  <r>
    <x v="25"/>
    <x v="1"/>
    <n v="-1737"/>
    <x v="1"/>
    <x v="1"/>
    <x v="0"/>
    <x v="0"/>
    <x v="0"/>
  </r>
  <r>
    <x v="25"/>
    <x v="5"/>
    <n v="10821"/>
    <x v="2"/>
    <x v="2"/>
    <x v="1"/>
    <x v="0"/>
    <x v="0"/>
  </r>
  <r>
    <x v="26"/>
    <x v="5"/>
    <n v="13094"/>
    <x v="2"/>
    <x v="2"/>
    <x v="1"/>
    <x v="0"/>
    <x v="0"/>
  </r>
  <r>
    <x v="26"/>
    <x v="4"/>
    <n v="-1945"/>
    <x v="1"/>
    <x v="1"/>
    <x v="0"/>
    <x v="0"/>
    <x v="0"/>
  </r>
  <r>
    <x v="26"/>
    <x v="55"/>
    <n v="-1481"/>
    <x v="3"/>
    <x v="5"/>
    <x v="0"/>
    <x v="0"/>
    <x v="0"/>
  </r>
  <r>
    <x v="26"/>
    <x v="56"/>
    <n v="1086"/>
    <x v="4"/>
    <x v="15"/>
    <x v="0"/>
    <x v="0"/>
    <x v="0"/>
  </r>
  <r>
    <x v="26"/>
    <x v="53"/>
    <n v="-1372"/>
    <x v="3"/>
    <x v="5"/>
    <x v="0"/>
    <x v="0"/>
    <x v="0"/>
  </r>
  <r>
    <x v="26"/>
    <x v="6"/>
    <n v="-2215"/>
    <x v="1"/>
    <x v="4"/>
    <x v="0"/>
    <x v="0"/>
    <x v="0"/>
  </r>
  <r>
    <x v="26"/>
    <x v="21"/>
    <n v="-1687"/>
    <x v="1"/>
    <x v="1"/>
    <x v="0"/>
    <x v="0"/>
    <x v="0"/>
  </r>
  <r>
    <x v="26"/>
    <x v="52"/>
    <n v="-1165"/>
    <x v="3"/>
    <x v="3"/>
    <x v="0"/>
    <x v="0"/>
    <x v="0"/>
  </r>
  <r>
    <x v="26"/>
    <x v="5"/>
    <n v="12801"/>
    <x v="2"/>
    <x v="2"/>
    <x v="1"/>
    <x v="0"/>
    <x v="0"/>
  </r>
  <r>
    <x v="26"/>
    <x v="2"/>
    <n v="13740"/>
    <x v="2"/>
    <x v="2"/>
    <x v="1"/>
    <x v="0"/>
    <x v="0"/>
  </r>
  <r>
    <x v="26"/>
    <x v="10"/>
    <n v="-1705"/>
    <x v="3"/>
    <x v="6"/>
    <x v="0"/>
    <x v="0"/>
    <x v="0"/>
  </r>
  <r>
    <x v="26"/>
    <x v="0"/>
    <n v="-4706"/>
    <x v="0"/>
    <x v="0"/>
    <x v="0"/>
    <x v="0"/>
    <x v="0"/>
  </r>
  <r>
    <x v="26"/>
    <x v="21"/>
    <n v="-2129"/>
    <x v="1"/>
    <x v="1"/>
    <x v="0"/>
    <x v="0"/>
    <x v="0"/>
  </r>
  <r>
    <x v="26"/>
    <x v="54"/>
    <n v="-1874"/>
    <x v="3"/>
    <x v="8"/>
    <x v="0"/>
    <x v="0"/>
    <x v="0"/>
  </r>
  <r>
    <x v="26"/>
    <x v="1"/>
    <n v="-1828"/>
    <x v="1"/>
    <x v="1"/>
    <x v="0"/>
    <x v="0"/>
    <x v="0"/>
  </r>
  <r>
    <x v="26"/>
    <x v="5"/>
    <n v="10181"/>
    <x v="2"/>
    <x v="2"/>
    <x v="1"/>
    <x v="0"/>
    <x v="0"/>
  </r>
  <r>
    <x v="26"/>
    <x v="3"/>
    <n v="-1335"/>
    <x v="3"/>
    <x v="3"/>
    <x v="0"/>
    <x v="0"/>
    <x v="0"/>
  </r>
  <r>
    <x v="26"/>
    <x v="57"/>
    <n v="-1856"/>
    <x v="3"/>
    <x v="5"/>
    <x v="0"/>
    <x v="0"/>
    <x v="0"/>
  </r>
  <r>
    <x v="26"/>
    <x v="45"/>
    <n v="-1617"/>
    <x v="3"/>
    <x v="5"/>
    <x v="0"/>
    <x v="0"/>
    <x v="0"/>
  </r>
  <r>
    <x v="26"/>
    <x v="36"/>
    <n v="-1819"/>
    <x v="3"/>
    <x v="7"/>
    <x v="0"/>
    <x v="0"/>
    <x v="0"/>
  </r>
  <r>
    <x v="27"/>
    <x v="18"/>
    <n v="-1683"/>
    <x v="3"/>
    <x v="5"/>
    <x v="0"/>
    <x v="0"/>
    <x v="0"/>
  </r>
  <r>
    <x v="27"/>
    <x v="57"/>
    <n v="-1171"/>
    <x v="3"/>
    <x v="5"/>
    <x v="0"/>
    <x v="0"/>
    <x v="0"/>
  </r>
  <r>
    <x v="27"/>
    <x v="0"/>
    <n v="-3499"/>
    <x v="0"/>
    <x v="0"/>
    <x v="0"/>
    <x v="0"/>
    <x v="0"/>
  </r>
  <r>
    <x v="27"/>
    <x v="0"/>
    <n v="-2715"/>
    <x v="0"/>
    <x v="0"/>
    <x v="0"/>
    <x v="0"/>
    <x v="0"/>
  </r>
  <r>
    <x v="27"/>
    <x v="10"/>
    <n v="-1936"/>
    <x v="3"/>
    <x v="6"/>
    <x v="0"/>
    <x v="0"/>
    <x v="0"/>
  </r>
  <r>
    <x v="27"/>
    <x v="1"/>
    <n v="-2070"/>
    <x v="1"/>
    <x v="1"/>
    <x v="0"/>
    <x v="0"/>
    <x v="0"/>
  </r>
  <r>
    <x v="27"/>
    <x v="2"/>
    <n v="10842"/>
    <x v="2"/>
    <x v="2"/>
    <x v="1"/>
    <x v="0"/>
    <x v="0"/>
  </r>
  <r>
    <x v="27"/>
    <x v="57"/>
    <n v="-2320"/>
    <x v="3"/>
    <x v="5"/>
    <x v="0"/>
    <x v="0"/>
    <x v="0"/>
  </r>
  <r>
    <x v="27"/>
    <x v="4"/>
    <n v="-1926"/>
    <x v="1"/>
    <x v="1"/>
    <x v="0"/>
    <x v="0"/>
    <x v="0"/>
  </r>
  <r>
    <x v="27"/>
    <x v="0"/>
    <n v="-3597"/>
    <x v="0"/>
    <x v="0"/>
    <x v="0"/>
    <x v="0"/>
    <x v="0"/>
  </r>
  <r>
    <x v="27"/>
    <x v="5"/>
    <n v="14629"/>
    <x v="2"/>
    <x v="2"/>
    <x v="1"/>
    <x v="0"/>
    <x v="0"/>
  </r>
  <r>
    <x v="27"/>
    <x v="57"/>
    <n v="-2446"/>
    <x v="3"/>
    <x v="5"/>
    <x v="0"/>
    <x v="0"/>
    <x v="0"/>
  </r>
  <r>
    <x v="27"/>
    <x v="6"/>
    <n v="-1004"/>
    <x v="1"/>
    <x v="4"/>
    <x v="0"/>
    <x v="0"/>
    <x v="0"/>
  </r>
  <r>
    <x v="27"/>
    <x v="23"/>
    <n v="-2083"/>
    <x v="3"/>
    <x v="5"/>
    <x v="0"/>
    <x v="0"/>
    <x v="0"/>
  </r>
  <r>
    <x v="27"/>
    <x v="1"/>
    <n v="-1552"/>
    <x v="1"/>
    <x v="1"/>
    <x v="0"/>
    <x v="0"/>
    <x v="0"/>
  </r>
  <r>
    <x v="27"/>
    <x v="21"/>
    <n v="-1544"/>
    <x v="1"/>
    <x v="1"/>
    <x v="0"/>
    <x v="0"/>
    <x v="0"/>
  </r>
  <r>
    <x v="27"/>
    <x v="2"/>
    <n v="11955"/>
    <x v="2"/>
    <x v="2"/>
    <x v="1"/>
    <x v="0"/>
    <x v="0"/>
  </r>
  <r>
    <x v="27"/>
    <x v="0"/>
    <n v="-3236"/>
    <x v="0"/>
    <x v="0"/>
    <x v="0"/>
    <x v="0"/>
    <x v="0"/>
  </r>
  <r>
    <x v="27"/>
    <x v="0"/>
    <n v="-4979"/>
    <x v="0"/>
    <x v="0"/>
    <x v="0"/>
    <x v="0"/>
    <x v="0"/>
  </r>
  <r>
    <x v="27"/>
    <x v="6"/>
    <n v="-1985"/>
    <x v="1"/>
    <x v="4"/>
    <x v="0"/>
    <x v="0"/>
    <x v="0"/>
  </r>
  <r>
    <x v="27"/>
    <x v="6"/>
    <n v="-2282"/>
    <x v="1"/>
    <x v="4"/>
    <x v="0"/>
    <x v="0"/>
    <x v="0"/>
  </r>
  <r>
    <x v="27"/>
    <x v="5"/>
    <n v="12903"/>
    <x v="2"/>
    <x v="2"/>
    <x v="1"/>
    <x v="0"/>
    <x v="0"/>
  </r>
  <r>
    <x v="27"/>
    <x v="21"/>
    <n v="-1839"/>
    <x v="1"/>
    <x v="1"/>
    <x v="0"/>
    <x v="0"/>
    <x v="0"/>
  </r>
  <r>
    <x v="27"/>
    <x v="21"/>
    <n v="-1323"/>
    <x v="1"/>
    <x v="1"/>
    <x v="0"/>
    <x v="0"/>
    <x v="0"/>
  </r>
  <r>
    <x v="27"/>
    <x v="5"/>
    <n v="13797"/>
    <x v="2"/>
    <x v="2"/>
    <x v="1"/>
    <x v="0"/>
    <x v="0"/>
  </r>
  <r>
    <x v="27"/>
    <x v="53"/>
    <n v="-1576"/>
    <x v="3"/>
    <x v="5"/>
    <x v="0"/>
    <x v="0"/>
    <x v="0"/>
  </r>
  <r>
    <x v="27"/>
    <x v="0"/>
    <n v="-3801"/>
    <x v="0"/>
    <x v="0"/>
    <x v="0"/>
    <x v="0"/>
    <x v="0"/>
  </r>
  <r>
    <x v="27"/>
    <x v="6"/>
    <n v="-1626"/>
    <x v="1"/>
    <x v="4"/>
    <x v="0"/>
    <x v="0"/>
    <x v="0"/>
  </r>
  <r>
    <x v="28"/>
    <x v="21"/>
    <n v="-1771"/>
    <x v="1"/>
    <x v="1"/>
    <x v="0"/>
    <x v="0"/>
    <x v="0"/>
  </r>
  <r>
    <x v="28"/>
    <x v="4"/>
    <n v="-2050"/>
    <x v="1"/>
    <x v="1"/>
    <x v="0"/>
    <x v="0"/>
    <x v="0"/>
  </r>
  <r>
    <x v="28"/>
    <x v="4"/>
    <n v="-1756"/>
    <x v="1"/>
    <x v="1"/>
    <x v="0"/>
    <x v="0"/>
    <x v="0"/>
  </r>
  <r>
    <x v="28"/>
    <x v="2"/>
    <n v="13890"/>
    <x v="2"/>
    <x v="2"/>
    <x v="1"/>
    <x v="0"/>
    <x v="0"/>
  </r>
  <r>
    <x v="28"/>
    <x v="25"/>
    <n v="-1277"/>
    <x v="3"/>
    <x v="9"/>
    <x v="0"/>
    <x v="0"/>
    <x v="0"/>
  </r>
  <r>
    <x v="28"/>
    <x v="31"/>
    <n v="-1767"/>
    <x v="3"/>
    <x v="11"/>
    <x v="0"/>
    <x v="0"/>
    <x v="0"/>
  </r>
  <r>
    <x v="28"/>
    <x v="5"/>
    <n v="12406"/>
    <x v="2"/>
    <x v="2"/>
    <x v="1"/>
    <x v="0"/>
    <x v="0"/>
  </r>
  <r>
    <x v="28"/>
    <x v="49"/>
    <n v="-2061"/>
    <x v="3"/>
    <x v="5"/>
    <x v="0"/>
    <x v="0"/>
    <x v="0"/>
  </r>
  <r>
    <x v="28"/>
    <x v="14"/>
    <n v="-1253"/>
    <x v="3"/>
    <x v="8"/>
    <x v="0"/>
    <x v="0"/>
    <x v="0"/>
  </r>
  <r>
    <x v="28"/>
    <x v="1"/>
    <n v="-1167"/>
    <x v="1"/>
    <x v="1"/>
    <x v="0"/>
    <x v="0"/>
    <x v="0"/>
  </r>
  <r>
    <x v="29"/>
    <x v="6"/>
    <n v="-1071"/>
    <x v="1"/>
    <x v="4"/>
    <x v="0"/>
    <x v="0"/>
    <x v="0"/>
  </r>
  <r>
    <x v="29"/>
    <x v="58"/>
    <n v="-2192"/>
    <x v="3"/>
    <x v="11"/>
    <x v="0"/>
    <x v="0"/>
    <x v="0"/>
  </r>
  <r>
    <x v="29"/>
    <x v="5"/>
    <n v="11515"/>
    <x v="2"/>
    <x v="2"/>
    <x v="1"/>
    <x v="0"/>
    <x v="0"/>
  </r>
  <r>
    <x v="29"/>
    <x v="59"/>
    <n v="-1471"/>
    <x v="3"/>
    <x v="5"/>
    <x v="0"/>
    <x v="0"/>
    <x v="0"/>
  </r>
  <r>
    <x v="29"/>
    <x v="29"/>
    <n v="-1665"/>
    <x v="3"/>
    <x v="7"/>
    <x v="0"/>
    <x v="0"/>
    <x v="0"/>
  </r>
  <r>
    <x v="29"/>
    <x v="44"/>
    <n v="-1029"/>
    <x v="5"/>
    <x v="14"/>
    <x v="0"/>
    <x v="0"/>
    <x v="0"/>
  </r>
  <r>
    <x v="29"/>
    <x v="2"/>
    <n v="12818"/>
    <x v="2"/>
    <x v="2"/>
    <x v="1"/>
    <x v="0"/>
    <x v="0"/>
  </r>
  <r>
    <x v="29"/>
    <x v="2"/>
    <n v="14507"/>
    <x v="2"/>
    <x v="2"/>
    <x v="1"/>
    <x v="0"/>
    <x v="0"/>
  </r>
  <r>
    <x v="29"/>
    <x v="4"/>
    <n v="-1220"/>
    <x v="1"/>
    <x v="1"/>
    <x v="0"/>
    <x v="0"/>
    <x v="0"/>
  </r>
  <r>
    <x v="29"/>
    <x v="5"/>
    <n v="14337"/>
    <x v="2"/>
    <x v="2"/>
    <x v="1"/>
    <x v="0"/>
    <x v="0"/>
  </r>
  <r>
    <x v="29"/>
    <x v="55"/>
    <n v="-1358"/>
    <x v="3"/>
    <x v="5"/>
    <x v="0"/>
    <x v="0"/>
    <x v="0"/>
  </r>
  <r>
    <x v="29"/>
    <x v="2"/>
    <n v="10827"/>
    <x v="2"/>
    <x v="2"/>
    <x v="1"/>
    <x v="0"/>
    <x v="0"/>
  </r>
  <r>
    <x v="29"/>
    <x v="24"/>
    <n v="-1503"/>
    <x v="3"/>
    <x v="6"/>
    <x v="0"/>
    <x v="0"/>
    <x v="0"/>
  </r>
  <r>
    <x v="29"/>
    <x v="1"/>
    <n v="-1592"/>
    <x v="1"/>
    <x v="1"/>
    <x v="0"/>
    <x v="0"/>
    <x v="0"/>
  </r>
  <r>
    <x v="29"/>
    <x v="1"/>
    <n v="-1620"/>
    <x v="1"/>
    <x v="1"/>
    <x v="0"/>
    <x v="0"/>
    <x v="0"/>
  </r>
  <r>
    <x v="29"/>
    <x v="1"/>
    <n v="-1788"/>
    <x v="1"/>
    <x v="1"/>
    <x v="0"/>
    <x v="0"/>
    <x v="0"/>
  </r>
  <r>
    <x v="29"/>
    <x v="5"/>
    <n v="13210"/>
    <x v="2"/>
    <x v="2"/>
    <x v="1"/>
    <x v="0"/>
    <x v="0"/>
  </r>
  <r>
    <x v="29"/>
    <x v="0"/>
    <n v="-4194"/>
    <x v="0"/>
    <x v="0"/>
    <x v="0"/>
    <x v="0"/>
    <x v="0"/>
  </r>
  <r>
    <x v="29"/>
    <x v="0"/>
    <n v="-2852"/>
    <x v="0"/>
    <x v="0"/>
    <x v="0"/>
    <x v="0"/>
    <x v="0"/>
  </r>
  <r>
    <x v="29"/>
    <x v="2"/>
    <n v="10242"/>
    <x v="2"/>
    <x v="2"/>
    <x v="1"/>
    <x v="0"/>
    <x v="0"/>
  </r>
  <r>
    <x v="29"/>
    <x v="5"/>
    <n v="10751"/>
    <x v="2"/>
    <x v="2"/>
    <x v="1"/>
    <x v="0"/>
    <x v="0"/>
  </r>
  <r>
    <x v="29"/>
    <x v="45"/>
    <n v="-1641"/>
    <x v="3"/>
    <x v="5"/>
    <x v="0"/>
    <x v="0"/>
    <x v="0"/>
  </r>
  <r>
    <x v="29"/>
    <x v="5"/>
    <n v="12648"/>
    <x v="2"/>
    <x v="2"/>
    <x v="1"/>
    <x v="0"/>
    <x v="0"/>
  </r>
  <r>
    <x v="29"/>
    <x v="5"/>
    <n v="14095"/>
    <x v="2"/>
    <x v="2"/>
    <x v="1"/>
    <x v="0"/>
    <x v="0"/>
  </r>
  <r>
    <x v="29"/>
    <x v="0"/>
    <n v="-3165"/>
    <x v="0"/>
    <x v="0"/>
    <x v="0"/>
    <x v="0"/>
    <x v="0"/>
  </r>
  <r>
    <x v="29"/>
    <x v="41"/>
    <n v="-1050"/>
    <x v="3"/>
    <x v="3"/>
    <x v="0"/>
    <x v="0"/>
    <x v="0"/>
  </r>
  <r>
    <x v="30"/>
    <x v="33"/>
    <n v="-1108"/>
    <x v="3"/>
    <x v="3"/>
    <x v="0"/>
    <x v="0"/>
    <x v="0"/>
  </r>
  <r>
    <x v="30"/>
    <x v="5"/>
    <n v="13064"/>
    <x v="2"/>
    <x v="2"/>
    <x v="1"/>
    <x v="0"/>
    <x v="0"/>
  </r>
  <r>
    <x v="30"/>
    <x v="35"/>
    <n v="-2014"/>
    <x v="3"/>
    <x v="10"/>
    <x v="0"/>
    <x v="0"/>
    <x v="0"/>
  </r>
  <r>
    <x v="30"/>
    <x v="2"/>
    <n v="13133"/>
    <x v="2"/>
    <x v="2"/>
    <x v="1"/>
    <x v="0"/>
    <x v="0"/>
  </r>
  <r>
    <x v="30"/>
    <x v="4"/>
    <n v="-1809"/>
    <x v="1"/>
    <x v="1"/>
    <x v="0"/>
    <x v="0"/>
    <x v="0"/>
  </r>
  <r>
    <x v="30"/>
    <x v="0"/>
    <n v="-2878"/>
    <x v="0"/>
    <x v="0"/>
    <x v="0"/>
    <x v="0"/>
    <x v="0"/>
  </r>
  <r>
    <x v="30"/>
    <x v="60"/>
    <n v="-1255"/>
    <x v="3"/>
    <x v="6"/>
    <x v="0"/>
    <x v="0"/>
    <x v="0"/>
  </r>
  <r>
    <x v="30"/>
    <x v="35"/>
    <n v="-1584"/>
    <x v="3"/>
    <x v="10"/>
    <x v="0"/>
    <x v="0"/>
    <x v="0"/>
  </r>
  <r>
    <x v="30"/>
    <x v="2"/>
    <n v="11646"/>
    <x v="2"/>
    <x v="2"/>
    <x v="1"/>
    <x v="0"/>
    <x v="0"/>
  </r>
  <r>
    <x v="30"/>
    <x v="5"/>
    <n v="11709"/>
    <x v="2"/>
    <x v="2"/>
    <x v="1"/>
    <x v="0"/>
    <x v="0"/>
  </r>
  <r>
    <x v="30"/>
    <x v="3"/>
    <n v="-1050"/>
    <x v="3"/>
    <x v="3"/>
    <x v="0"/>
    <x v="0"/>
    <x v="0"/>
  </r>
  <r>
    <x v="30"/>
    <x v="21"/>
    <n v="-1221"/>
    <x v="1"/>
    <x v="1"/>
    <x v="0"/>
    <x v="0"/>
    <x v="0"/>
  </r>
  <r>
    <x v="30"/>
    <x v="4"/>
    <n v="-2406"/>
    <x v="1"/>
    <x v="1"/>
    <x v="0"/>
    <x v="0"/>
    <x v="0"/>
  </r>
  <r>
    <x v="30"/>
    <x v="21"/>
    <n v="-1697"/>
    <x v="1"/>
    <x v="1"/>
    <x v="0"/>
    <x v="0"/>
    <x v="0"/>
  </r>
  <r>
    <x v="30"/>
    <x v="0"/>
    <n v="-3007"/>
    <x v="0"/>
    <x v="0"/>
    <x v="0"/>
    <x v="0"/>
    <x v="0"/>
  </r>
  <r>
    <x v="30"/>
    <x v="0"/>
    <n v="-3624"/>
    <x v="0"/>
    <x v="0"/>
    <x v="0"/>
    <x v="0"/>
    <x v="0"/>
  </r>
  <r>
    <x v="30"/>
    <x v="5"/>
    <n v="14544"/>
    <x v="2"/>
    <x v="2"/>
    <x v="1"/>
    <x v="0"/>
    <x v="0"/>
  </r>
  <r>
    <x v="30"/>
    <x v="2"/>
    <n v="10186"/>
    <x v="2"/>
    <x v="2"/>
    <x v="1"/>
    <x v="0"/>
    <x v="0"/>
  </r>
  <r>
    <x v="30"/>
    <x v="0"/>
    <n v="-4673"/>
    <x v="0"/>
    <x v="0"/>
    <x v="0"/>
    <x v="0"/>
    <x v="0"/>
  </r>
  <r>
    <x v="30"/>
    <x v="1"/>
    <n v="-1463"/>
    <x v="1"/>
    <x v="1"/>
    <x v="0"/>
    <x v="0"/>
    <x v="0"/>
  </r>
  <r>
    <x v="30"/>
    <x v="43"/>
    <n v="-1060"/>
    <x v="3"/>
    <x v="5"/>
    <x v="0"/>
    <x v="0"/>
    <x v="0"/>
  </r>
  <r>
    <x v="30"/>
    <x v="5"/>
    <n v="10411"/>
    <x v="2"/>
    <x v="2"/>
    <x v="1"/>
    <x v="0"/>
    <x v="0"/>
  </r>
  <r>
    <x v="30"/>
    <x v="6"/>
    <n v="-1868"/>
    <x v="1"/>
    <x v="4"/>
    <x v="0"/>
    <x v="0"/>
    <x v="0"/>
  </r>
  <r>
    <x v="30"/>
    <x v="57"/>
    <n v="-1867"/>
    <x v="3"/>
    <x v="5"/>
    <x v="0"/>
    <x v="0"/>
    <x v="0"/>
  </r>
  <r>
    <x v="30"/>
    <x v="6"/>
    <n v="-2332"/>
    <x v="1"/>
    <x v="4"/>
    <x v="0"/>
    <x v="0"/>
    <x v="0"/>
  </r>
  <r>
    <x v="30"/>
    <x v="6"/>
    <n v="-1837"/>
    <x v="1"/>
    <x v="4"/>
    <x v="0"/>
    <x v="0"/>
    <x v="0"/>
  </r>
  <r>
    <x v="30"/>
    <x v="4"/>
    <n v="-1347"/>
    <x v="1"/>
    <x v="1"/>
    <x v="0"/>
    <x v="0"/>
    <x v="0"/>
  </r>
  <r>
    <x v="30"/>
    <x v="45"/>
    <n v="-1480"/>
    <x v="3"/>
    <x v="5"/>
    <x v="0"/>
    <x v="0"/>
    <x v="0"/>
  </r>
  <r>
    <x v="31"/>
    <x v="6"/>
    <n v="-2133"/>
    <x v="1"/>
    <x v="4"/>
    <x v="0"/>
    <x v="1"/>
    <x v="0"/>
  </r>
  <r>
    <x v="31"/>
    <x v="55"/>
    <n v="-1315"/>
    <x v="3"/>
    <x v="5"/>
    <x v="0"/>
    <x v="1"/>
    <x v="0"/>
  </r>
  <r>
    <x v="31"/>
    <x v="2"/>
    <n v="12021"/>
    <x v="2"/>
    <x v="2"/>
    <x v="1"/>
    <x v="1"/>
    <x v="0"/>
  </r>
  <r>
    <x v="31"/>
    <x v="21"/>
    <n v="-2338"/>
    <x v="1"/>
    <x v="1"/>
    <x v="0"/>
    <x v="1"/>
    <x v="0"/>
  </r>
  <r>
    <x v="31"/>
    <x v="6"/>
    <n v="-1457"/>
    <x v="1"/>
    <x v="4"/>
    <x v="0"/>
    <x v="1"/>
    <x v="0"/>
  </r>
  <r>
    <x v="31"/>
    <x v="0"/>
    <n v="-4324"/>
    <x v="0"/>
    <x v="0"/>
    <x v="0"/>
    <x v="1"/>
    <x v="0"/>
  </r>
  <r>
    <x v="31"/>
    <x v="4"/>
    <n v="-2453"/>
    <x v="1"/>
    <x v="1"/>
    <x v="0"/>
    <x v="1"/>
    <x v="0"/>
  </r>
  <r>
    <x v="31"/>
    <x v="59"/>
    <n v="-1803"/>
    <x v="3"/>
    <x v="5"/>
    <x v="0"/>
    <x v="1"/>
    <x v="0"/>
  </r>
  <r>
    <x v="31"/>
    <x v="55"/>
    <n v="-1796"/>
    <x v="3"/>
    <x v="5"/>
    <x v="0"/>
    <x v="1"/>
    <x v="0"/>
  </r>
  <r>
    <x v="31"/>
    <x v="0"/>
    <n v="-2878"/>
    <x v="0"/>
    <x v="0"/>
    <x v="0"/>
    <x v="1"/>
    <x v="0"/>
  </r>
  <r>
    <x v="31"/>
    <x v="21"/>
    <n v="-1786"/>
    <x v="1"/>
    <x v="1"/>
    <x v="0"/>
    <x v="1"/>
    <x v="0"/>
  </r>
  <r>
    <x v="31"/>
    <x v="6"/>
    <n v="-2449"/>
    <x v="1"/>
    <x v="4"/>
    <x v="0"/>
    <x v="1"/>
    <x v="0"/>
  </r>
  <r>
    <x v="31"/>
    <x v="0"/>
    <n v="-2589"/>
    <x v="0"/>
    <x v="0"/>
    <x v="0"/>
    <x v="1"/>
    <x v="0"/>
  </r>
  <r>
    <x v="31"/>
    <x v="2"/>
    <n v="14291"/>
    <x v="2"/>
    <x v="2"/>
    <x v="1"/>
    <x v="1"/>
    <x v="0"/>
  </r>
  <r>
    <x v="31"/>
    <x v="24"/>
    <n v="-2444"/>
    <x v="3"/>
    <x v="6"/>
    <x v="0"/>
    <x v="1"/>
    <x v="0"/>
  </r>
  <r>
    <x v="31"/>
    <x v="57"/>
    <n v="-1887"/>
    <x v="3"/>
    <x v="5"/>
    <x v="0"/>
    <x v="1"/>
    <x v="0"/>
  </r>
  <r>
    <x v="31"/>
    <x v="8"/>
    <n v="-1946"/>
    <x v="3"/>
    <x v="6"/>
    <x v="0"/>
    <x v="1"/>
    <x v="0"/>
  </r>
  <r>
    <x v="31"/>
    <x v="4"/>
    <n v="-1941"/>
    <x v="1"/>
    <x v="1"/>
    <x v="0"/>
    <x v="1"/>
    <x v="0"/>
  </r>
  <r>
    <x v="31"/>
    <x v="5"/>
    <n v="10557"/>
    <x v="2"/>
    <x v="2"/>
    <x v="1"/>
    <x v="1"/>
    <x v="0"/>
  </r>
  <r>
    <x v="31"/>
    <x v="2"/>
    <n v="13411"/>
    <x v="2"/>
    <x v="2"/>
    <x v="1"/>
    <x v="1"/>
    <x v="0"/>
  </r>
  <r>
    <x v="31"/>
    <x v="5"/>
    <n v="12638"/>
    <x v="2"/>
    <x v="2"/>
    <x v="1"/>
    <x v="1"/>
    <x v="0"/>
  </r>
  <r>
    <x v="31"/>
    <x v="30"/>
    <n v="-1182"/>
    <x v="4"/>
    <x v="13"/>
    <x v="0"/>
    <x v="1"/>
    <x v="0"/>
  </r>
  <r>
    <x v="31"/>
    <x v="4"/>
    <n v="-2151"/>
    <x v="1"/>
    <x v="1"/>
    <x v="0"/>
    <x v="1"/>
    <x v="0"/>
  </r>
  <r>
    <x v="31"/>
    <x v="0"/>
    <n v="-3494"/>
    <x v="0"/>
    <x v="0"/>
    <x v="0"/>
    <x v="1"/>
    <x v="0"/>
  </r>
  <r>
    <x v="32"/>
    <x v="1"/>
    <n v="-1613"/>
    <x v="1"/>
    <x v="1"/>
    <x v="0"/>
    <x v="1"/>
    <x v="0"/>
  </r>
  <r>
    <x v="32"/>
    <x v="6"/>
    <n v="-2047"/>
    <x v="1"/>
    <x v="4"/>
    <x v="0"/>
    <x v="1"/>
    <x v="0"/>
  </r>
  <r>
    <x v="32"/>
    <x v="21"/>
    <n v="-1921"/>
    <x v="1"/>
    <x v="1"/>
    <x v="0"/>
    <x v="1"/>
    <x v="0"/>
  </r>
  <r>
    <x v="32"/>
    <x v="25"/>
    <n v="-2065"/>
    <x v="3"/>
    <x v="9"/>
    <x v="0"/>
    <x v="1"/>
    <x v="0"/>
  </r>
  <r>
    <x v="32"/>
    <x v="5"/>
    <n v="11986"/>
    <x v="2"/>
    <x v="2"/>
    <x v="1"/>
    <x v="1"/>
    <x v="0"/>
  </r>
  <r>
    <x v="32"/>
    <x v="21"/>
    <n v="-1435"/>
    <x v="1"/>
    <x v="1"/>
    <x v="0"/>
    <x v="1"/>
    <x v="0"/>
  </r>
  <r>
    <x v="32"/>
    <x v="17"/>
    <n v="-1498"/>
    <x v="3"/>
    <x v="5"/>
    <x v="0"/>
    <x v="1"/>
    <x v="0"/>
  </r>
  <r>
    <x v="32"/>
    <x v="61"/>
    <n v="-1498"/>
    <x v="3"/>
    <x v="10"/>
    <x v="0"/>
    <x v="1"/>
    <x v="0"/>
  </r>
  <r>
    <x v="32"/>
    <x v="35"/>
    <n v="-1357"/>
    <x v="3"/>
    <x v="10"/>
    <x v="0"/>
    <x v="1"/>
    <x v="0"/>
  </r>
  <r>
    <x v="32"/>
    <x v="6"/>
    <n v="-1195"/>
    <x v="1"/>
    <x v="4"/>
    <x v="0"/>
    <x v="1"/>
    <x v="0"/>
  </r>
  <r>
    <x v="32"/>
    <x v="1"/>
    <n v="-1282"/>
    <x v="1"/>
    <x v="1"/>
    <x v="0"/>
    <x v="1"/>
    <x v="0"/>
  </r>
  <r>
    <x v="32"/>
    <x v="6"/>
    <n v="-2489"/>
    <x v="1"/>
    <x v="4"/>
    <x v="0"/>
    <x v="1"/>
    <x v="0"/>
  </r>
  <r>
    <x v="32"/>
    <x v="47"/>
    <n v="-1865"/>
    <x v="3"/>
    <x v="8"/>
    <x v="0"/>
    <x v="1"/>
    <x v="0"/>
  </r>
  <r>
    <x v="32"/>
    <x v="1"/>
    <n v="-2397"/>
    <x v="1"/>
    <x v="1"/>
    <x v="0"/>
    <x v="1"/>
    <x v="0"/>
  </r>
  <r>
    <x v="32"/>
    <x v="0"/>
    <n v="-3899"/>
    <x v="0"/>
    <x v="0"/>
    <x v="0"/>
    <x v="1"/>
    <x v="0"/>
  </r>
  <r>
    <x v="32"/>
    <x v="2"/>
    <n v="10030"/>
    <x v="2"/>
    <x v="2"/>
    <x v="1"/>
    <x v="1"/>
    <x v="0"/>
  </r>
  <r>
    <x v="33"/>
    <x v="0"/>
    <n v="-4156"/>
    <x v="0"/>
    <x v="0"/>
    <x v="0"/>
    <x v="1"/>
    <x v="0"/>
  </r>
  <r>
    <x v="33"/>
    <x v="50"/>
    <n v="-1961"/>
    <x v="3"/>
    <x v="3"/>
    <x v="0"/>
    <x v="1"/>
    <x v="0"/>
  </r>
  <r>
    <x v="33"/>
    <x v="1"/>
    <n v="-1738"/>
    <x v="1"/>
    <x v="1"/>
    <x v="0"/>
    <x v="1"/>
    <x v="0"/>
  </r>
  <r>
    <x v="33"/>
    <x v="0"/>
    <n v="-4566"/>
    <x v="0"/>
    <x v="0"/>
    <x v="0"/>
    <x v="1"/>
    <x v="0"/>
  </r>
  <r>
    <x v="33"/>
    <x v="0"/>
    <n v="-2631"/>
    <x v="0"/>
    <x v="0"/>
    <x v="0"/>
    <x v="1"/>
    <x v="0"/>
  </r>
  <r>
    <x v="33"/>
    <x v="7"/>
    <n v="-2129"/>
    <x v="3"/>
    <x v="5"/>
    <x v="0"/>
    <x v="1"/>
    <x v="0"/>
  </r>
  <r>
    <x v="33"/>
    <x v="49"/>
    <n v="-2083"/>
    <x v="3"/>
    <x v="5"/>
    <x v="0"/>
    <x v="1"/>
    <x v="0"/>
  </r>
  <r>
    <x v="33"/>
    <x v="2"/>
    <n v="12361"/>
    <x v="2"/>
    <x v="2"/>
    <x v="1"/>
    <x v="1"/>
    <x v="0"/>
  </r>
  <r>
    <x v="33"/>
    <x v="2"/>
    <n v="12705"/>
    <x v="2"/>
    <x v="2"/>
    <x v="1"/>
    <x v="1"/>
    <x v="0"/>
  </r>
  <r>
    <x v="33"/>
    <x v="2"/>
    <n v="10741"/>
    <x v="2"/>
    <x v="2"/>
    <x v="1"/>
    <x v="1"/>
    <x v="0"/>
  </r>
  <r>
    <x v="33"/>
    <x v="5"/>
    <n v="13384"/>
    <x v="2"/>
    <x v="2"/>
    <x v="1"/>
    <x v="1"/>
    <x v="0"/>
  </r>
  <r>
    <x v="33"/>
    <x v="32"/>
    <n v="-2083"/>
    <x v="3"/>
    <x v="9"/>
    <x v="0"/>
    <x v="1"/>
    <x v="0"/>
  </r>
  <r>
    <x v="34"/>
    <x v="2"/>
    <n v="13136"/>
    <x v="2"/>
    <x v="2"/>
    <x v="1"/>
    <x v="1"/>
    <x v="0"/>
  </r>
  <r>
    <x v="34"/>
    <x v="53"/>
    <n v="-1429"/>
    <x v="3"/>
    <x v="5"/>
    <x v="0"/>
    <x v="1"/>
    <x v="0"/>
  </r>
  <r>
    <x v="34"/>
    <x v="4"/>
    <n v="-1562"/>
    <x v="1"/>
    <x v="1"/>
    <x v="0"/>
    <x v="1"/>
    <x v="0"/>
  </r>
  <r>
    <x v="34"/>
    <x v="56"/>
    <n v="2035"/>
    <x v="4"/>
    <x v="15"/>
    <x v="0"/>
    <x v="1"/>
    <x v="0"/>
  </r>
  <r>
    <x v="34"/>
    <x v="6"/>
    <n v="-1110"/>
    <x v="1"/>
    <x v="4"/>
    <x v="0"/>
    <x v="1"/>
    <x v="0"/>
  </r>
  <r>
    <x v="34"/>
    <x v="1"/>
    <n v="-1062"/>
    <x v="1"/>
    <x v="1"/>
    <x v="0"/>
    <x v="1"/>
    <x v="0"/>
  </r>
  <r>
    <x v="34"/>
    <x v="21"/>
    <n v="-1918"/>
    <x v="1"/>
    <x v="1"/>
    <x v="0"/>
    <x v="1"/>
    <x v="0"/>
  </r>
  <r>
    <x v="34"/>
    <x v="5"/>
    <n v="11845"/>
    <x v="2"/>
    <x v="2"/>
    <x v="1"/>
    <x v="1"/>
    <x v="0"/>
  </r>
  <r>
    <x v="34"/>
    <x v="0"/>
    <n v="-3335"/>
    <x v="0"/>
    <x v="0"/>
    <x v="0"/>
    <x v="1"/>
    <x v="0"/>
  </r>
  <r>
    <x v="34"/>
    <x v="39"/>
    <n v="-1305"/>
    <x v="3"/>
    <x v="5"/>
    <x v="0"/>
    <x v="1"/>
    <x v="0"/>
  </r>
  <r>
    <x v="34"/>
    <x v="5"/>
    <n v="12896"/>
    <x v="2"/>
    <x v="2"/>
    <x v="1"/>
    <x v="1"/>
    <x v="0"/>
  </r>
  <r>
    <x v="34"/>
    <x v="52"/>
    <n v="-1204"/>
    <x v="3"/>
    <x v="3"/>
    <x v="0"/>
    <x v="1"/>
    <x v="0"/>
  </r>
  <r>
    <x v="34"/>
    <x v="2"/>
    <n v="10026"/>
    <x v="2"/>
    <x v="2"/>
    <x v="1"/>
    <x v="1"/>
    <x v="0"/>
  </r>
  <r>
    <x v="34"/>
    <x v="49"/>
    <n v="-1824"/>
    <x v="3"/>
    <x v="5"/>
    <x v="0"/>
    <x v="1"/>
    <x v="0"/>
  </r>
  <r>
    <x v="34"/>
    <x v="4"/>
    <n v="-1907"/>
    <x v="1"/>
    <x v="1"/>
    <x v="0"/>
    <x v="1"/>
    <x v="0"/>
  </r>
  <r>
    <x v="34"/>
    <x v="21"/>
    <n v="-1887"/>
    <x v="1"/>
    <x v="1"/>
    <x v="0"/>
    <x v="1"/>
    <x v="0"/>
  </r>
  <r>
    <x v="34"/>
    <x v="5"/>
    <n v="12908"/>
    <x v="2"/>
    <x v="2"/>
    <x v="1"/>
    <x v="1"/>
    <x v="0"/>
  </r>
  <r>
    <x v="34"/>
    <x v="2"/>
    <n v="12342"/>
    <x v="2"/>
    <x v="2"/>
    <x v="1"/>
    <x v="1"/>
    <x v="0"/>
  </r>
  <r>
    <x v="34"/>
    <x v="4"/>
    <n v="-2065"/>
    <x v="1"/>
    <x v="1"/>
    <x v="0"/>
    <x v="1"/>
    <x v="0"/>
  </r>
  <r>
    <x v="34"/>
    <x v="4"/>
    <n v="-1399"/>
    <x v="1"/>
    <x v="1"/>
    <x v="0"/>
    <x v="1"/>
    <x v="0"/>
  </r>
  <r>
    <x v="35"/>
    <x v="4"/>
    <n v="-1822"/>
    <x v="1"/>
    <x v="1"/>
    <x v="0"/>
    <x v="1"/>
    <x v="0"/>
  </r>
  <r>
    <x v="35"/>
    <x v="1"/>
    <n v="-1215"/>
    <x v="1"/>
    <x v="1"/>
    <x v="0"/>
    <x v="1"/>
    <x v="0"/>
  </r>
  <r>
    <x v="35"/>
    <x v="11"/>
    <n v="-2236"/>
    <x v="3"/>
    <x v="5"/>
    <x v="0"/>
    <x v="1"/>
    <x v="0"/>
  </r>
  <r>
    <x v="35"/>
    <x v="21"/>
    <n v="-1973"/>
    <x v="1"/>
    <x v="1"/>
    <x v="0"/>
    <x v="1"/>
    <x v="0"/>
  </r>
  <r>
    <x v="35"/>
    <x v="4"/>
    <n v="-1621"/>
    <x v="1"/>
    <x v="1"/>
    <x v="0"/>
    <x v="1"/>
    <x v="0"/>
  </r>
  <r>
    <x v="35"/>
    <x v="5"/>
    <n v="13790"/>
    <x v="2"/>
    <x v="2"/>
    <x v="1"/>
    <x v="1"/>
    <x v="0"/>
  </r>
  <r>
    <x v="35"/>
    <x v="1"/>
    <n v="-1015"/>
    <x v="1"/>
    <x v="1"/>
    <x v="0"/>
    <x v="1"/>
    <x v="0"/>
  </r>
  <r>
    <x v="35"/>
    <x v="1"/>
    <n v="-1076"/>
    <x v="1"/>
    <x v="1"/>
    <x v="0"/>
    <x v="1"/>
    <x v="0"/>
  </r>
  <r>
    <x v="35"/>
    <x v="2"/>
    <n v="11506"/>
    <x v="2"/>
    <x v="2"/>
    <x v="1"/>
    <x v="1"/>
    <x v="0"/>
  </r>
  <r>
    <x v="35"/>
    <x v="0"/>
    <n v="-2897"/>
    <x v="0"/>
    <x v="0"/>
    <x v="0"/>
    <x v="1"/>
    <x v="0"/>
  </r>
  <r>
    <x v="35"/>
    <x v="5"/>
    <n v="13859"/>
    <x v="2"/>
    <x v="2"/>
    <x v="1"/>
    <x v="1"/>
    <x v="0"/>
  </r>
  <r>
    <x v="35"/>
    <x v="62"/>
    <n v="-2137"/>
    <x v="3"/>
    <x v="11"/>
    <x v="0"/>
    <x v="1"/>
    <x v="0"/>
  </r>
  <r>
    <x v="35"/>
    <x v="21"/>
    <n v="-1629"/>
    <x v="1"/>
    <x v="1"/>
    <x v="0"/>
    <x v="1"/>
    <x v="0"/>
  </r>
  <r>
    <x v="35"/>
    <x v="6"/>
    <n v="-2312"/>
    <x v="1"/>
    <x v="4"/>
    <x v="0"/>
    <x v="1"/>
    <x v="0"/>
  </r>
  <r>
    <x v="35"/>
    <x v="1"/>
    <n v="-1907"/>
    <x v="1"/>
    <x v="1"/>
    <x v="0"/>
    <x v="1"/>
    <x v="0"/>
  </r>
  <r>
    <x v="35"/>
    <x v="23"/>
    <n v="-1792"/>
    <x v="3"/>
    <x v="5"/>
    <x v="0"/>
    <x v="1"/>
    <x v="0"/>
  </r>
  <r>
    <x v="36"/>
    <x v="4"/>
    <n v="-1611"/>
    <x v="1"/>
    <x v="1"/>
    <x v="0"/>
    <x v="1"/>
    <x v="0"/>
  </r>
  <r>
    <x v="36"/>
    <x v="4"/>
    <n v="-1919"/>
    <x v="1"/>
    <x v="1"/>
    <x v="0"/>
    <x v="1"/>
    <x v="0"/>
  </r>
  <r>
    <x v="36"/>
    <x v="2"/>
    <n v="12768"/>
    <x v="2"/>
    <x v="2"/>
    <x v="1"/>
    <x v="1"/>
    <x v="0"/>
  </r>
  <r>
    <x v="36"/>
    <x v="47"/>
    <n v="-1252"/>
    <x v="3"/>
    <x v="8"/>
    <x v="0"/>
    <x v="1"/>
    <x v="0"/>
  </r>
  <r>
    <x v="36"/>
    <x v="5"/>
    <n v="14407"/>
    <x v="2"/>
    <x v="2"/>
    <x v="1"/>
    <x v="1"/>
    <x v="0"/>
  </r>
  <r>
    <x v="36"/>
    <x v="2"/>
    <n v="14355"/>
    <x v="2"/>
    <x v="2"/>
    <x v="1"/>
    <x v="1"/>
    <x v="0"/>
  </r>
  <r>
    <x v="36"/>
    <x v="4"/>
    <n v="-1577"/>
    <x v="1"/>
    <x v="1"/>
    <x v="0"/>
    <x v="1"/>
    <x v="0"/>
  </r>
  <r>
    <x v="36"/>
    <x v="5"/>
    <n v="10342"/>
    <x v="2"/>
    <x v="2"/>
    <x v="1"/>
    <x v="1"/>
    <x v="0"/>
  </r>
  <r>
    <x v="36"/>
    <x v="6"/>
    <n v="-1616"/>
    <x v="1"/>
    <x v="4"/>
    <x v="0"/>
    <x v="1"/>
    <x v="0"/>
  </r>
  <r>
    <x v="36"/>
    <x v="6"/>
    <n v="-1215"/>
    <x v="1"/>
    <x v="4"/>
    <x v="0"/>
    <x v="1"/>
    <x v="0"/>
  </r>
  <r>
    <x v="36"/>
    <x v="14"/>
    <n v="-1978"/>
    <x v="3"/>
    <x v="8"/>
    <x v="0"/>
    <x v="1"/>
    <x v="0"/>
  </r>
  <r>
    <x v="36"/>
    <x v="5"/>
    <n v="11984"/>
    <x v="2"/>
    <x v="2"/>
    <x v="1"/>
    <x v="1"/>
    <x v="0"/>
  </r>
  <r>
    <x v="36"/>
    <x v="24"/>
    <n v="-2058"/>
    <x v="3"/>
    <x v="6"/>
    <x v="0"/>
    <x v="1"/>
    <x v="0"/>
  </r>
  <r>
    <x v="36"/>
    <x v="5"/>
    <n v="12097"/>
    <x v="2"/>
    <x v="2"/>
    <x v="1"/>
    <x v="1"/>
    <x v="0"/>
  </r>
  <r>
    <x v="36"/>
    <x v="1"/>
    <n v="-1239"/>
    <x v="1"/>
    <x v="1"/>
    <x v="0"/>
    <x v="1"/>
    <x v="0"/>
  </r>
  <r>
    <x v="36"/>
    <x v="62"/>
    <n v="-2353"/>
    <x v="3"/>
    <x v="11"/>
    <x v="0"/>
    <x v="1"/>
    <x v="0"/>
  </r>
  <r>
    <x v="36"/>
    <x v="21"/>
    <n v="-2330"/>
    <x v="1"/>
    <x v="1"/>
    <x v="0"/>
    <x v="1"/>
    <x v="0"/>
  </r>
  <r>
    <x v="36"/>
    <x v="0"/>
    <n v="-4661"/>
    <x v="0"/>
    <x v="0"/>
    <x v="0"/>
    <x v="1"/>
    <x v="0"/>
  </r>
  <r>
    <x v="37"/>
    <x v="0"/>
    <n v="-2771"/>
    <x v="0"/>
    <x v="0"/>
    <x v="0"/>
    <x v="1"/>
    <x v="0"/>
  </r>
  <r>
    <x v="37"/>
    <x v="23"/>
    <n v="-1026"/>
    <x v="3"/>
    <x v="5"/>
    <x v="0"/>
    <x v="1"/>
    <x v="0"/>
  </r>
  <r>
    <x v="37"/>
    <x v="4"/>
    <n v="-2361"/>
    <x v="1"/>
    <x v="1"/>
    <x v="0"/>
    <x v="1"/>
    <x v="0"/>
  </r>
  <r>
    <x v="37"/>
    <x v="53"/>
    <n v="-1052"/>
    <x v="3"/>
    <x v="5"/>
    <x v="0"/>
    <x v="1"/>
    <x v="0"/>
  </r>
  <r>
    <x v="37"/>
    <x v="1"/>
    <n v="-1991"/>
    <x v="1"/>
    <x v="1"/>
    <x v="0"/>
    <x v="1"/>
    <x v="0"/>
  </r>
  <r>
    <x v="37"/>
    <x v="50"/>
    <n v="-1250"/>
    <x v="3"/>
    <x v="3"/>
    <x v="0"/>
    <x v="1"/>
    <x v="0"/>
  </r>
  <r>
    <x v="37"/>
    <x v="42"/>
    <n v="-2470"/>
    <x v="3"/>
    <x v="5"/>
    <x v="0"/>
    <x v="1"/>
    <x v="0"/>
  </r>
  <r>
    <x v="37"/>
    <x v="33"/>
    <n v="-2080"/>
    <x v="3"/>
    <x v="3"/>
    <x v="0"/>
    <x v="1"/>
    <x v="0"/>
  </r>
  <r>
    <x v="38"/>
    <x v="2"/>
    <n v="10175"/>
    <x v="2"/>
    <x v="2"/>
    <x v="1"/>
    <x v="1"/>
    <x v="0"/>
  </r>
  <r>
    <x v="38"/>
    <x v="37"/>
    <n v="-1618"/>
    <x v="3"/>
    <x v="3"/>
    <x v="0"/>
    <x v="1"/>
    <x v="0"/>
  </r>
  <r>
    <x v="38"/>
    <x v="52"/>
    <n v="-2125"/>
    <x v="3"/>
    <x v="3"/>
    <x v="0"/>
    <x v="1"/>
    <x v="0"/>
  </r>
  <r>
    <x v="38"/>
    <x v="0"/>
    <n v="-2933"/>
    <x v="0"/>
    <x v="0"/>
    <x v="0"/>
    <x v="1"/>
    <x v="0"/>
  </r>
  <r>
    <x v="38"/>
    <x v="0"/>
    <n v="-3181"/>
    <x v="0"/>
    <x v="0"/>
    <x v="0"/>
    <x v="1"/>
    <x v="0"/>
  </r>
  <r>
    <x v="38"/>
    <x v="2"/>
    <n v="13990"/>
    <x v="2"/>
    <x v="2"/>
    <x v="1"/>
    <x v="1"/>
    <x v="0"/>
  </r>
  <r>
    <x v="38"/>
    <x v="27"/>
    <n v="-1214"/>
    <x v="3"/>
    <x v="5"/>
    <x v="0"/>
    <x v="1"/>
    <x v="0"/>
  </r>
  <r>
    <x v="38"/>
    <x v="2"/>
    <n v="13594"/>
    <x v="2"/>
    <x v="2"/>
    <x v="1"/>
    <x v="1"/>
    <x v="0"/>
  </r>
  <r>
    <x v="38"/>
    <x v="12"/>
    <n v="-1126"/>
    <x v="3"/>
    <x v="3"/>
    <x v="0"/>
    <x v="1"/>
    <x v="0"/>
  </r>
  <r>
    <x v="38"/>
    <x v="1"/>
    <n v="-2382"/>
    <x v="1"/>
    <x v="1"/>
    <x v="0"/>
    <x v="1"/>
    <x v="0"/>
  </r>
  <r>
    <x v="38"/>
    <x v="2"/>
    <n v="12502"/>
    <x v="2"/>
    <x v="2"/>
    <x v="1"/>
    <x v="1"/>
    <x v="0"/>
  </r>
  <r>
    <x v="38"/>
    <x v="2"/>
    <n v="13395"/>
    <x v="2"/>
    <x v="2"/>
    <x v="1"/>
    <x v="1"/>
    <x v="0"/>
  </r>
  <r>
    <x v="38"/>
    <x v="48"/>
    <n v="-1334"/>
    <x v="3"/>
    <x v="7"/>
    <x v="0"/>
    <x v="1"/>
    <x v="0"/>
  </r>
  <r>
    <x v="38"/>
    <x v="25"/>
    <n v="-2027"/>
    <x v="3"/>
    <x v="9"/>
    <x v="0"/>
    <x v="1"/>
    <x v="0"/>
  </r>
  <r>
    <x v="38"/>
    <x v="30"/>
    <n v="-1230"/>
    <x v="4"/>
    <x v="13"/>
    <x v="0"/>
    <x v="1"/>
    <x v="0"/>
  </r>
  <r>
    <x v="38"/>
    <x v="1"/>
    <n v="-2082"/>
    <x v="1"/>
    <x v="1"/>
    <x v="0"/>
    <x v="1"/>
    <x v="0"/>
  </r>
  <r>
    <x v="38"/>
    <x v="4"/>
    <n v="-1921"/>
    <x v="1"/>
    <x v="1"/>
    <x v="0"/>
    <x v="1"/>
    <x v="0"/>
  </r>
  <r>
    <x v="38"/>
    <x v="2"/>
    <n v="13660"/>
    <x v="2"/>
    <x v="2"/>
    <x v="1"/>
    <x v="1"/>
    <x v="0"/>
  </r>
  <r>
    <x v="39"/>
    <x v="0"/>
    <n v="-3540"/>
    <x v="0"/>
    <x v="0"/>
    <x v="0"/>
    <x v="1"/>
    <x v="0"/>
  </r>
  <r>
    <x v="39"/>
    <x v="5"/>
    <n v="12780"/>
    <x v="2"/>
    <x v="2"/>
    <x v="1"/>
    <x v="1"/>
    <x v="0"/>
  </r>
  <r>
    <x v="39"/>
    <x v="4"/>
    <n v="-1694"/>
    <x v="1"/>
    <x v="1"/>
    <x v="0"/>
    <x v="1"/>
    <x v="0"/>
  </r>
  <r>
    <x v="39"/>
    <x v="5"/>
    <n v="11698"/>
    <x v="2"/>
    <x v="2"/>
    <x v="1"/>
    <x v="1"/>
    <x v="0"/>
  </r>
  <r>
    <x v="39"/>
    <x v="42"/>
    <n v="-1128"/>
    <x v="3"/>
    <x v="5"/>
    <x v="0"/>
    <x v="1"/>
    <x v="0"/>
  </r>
  <r>
    <x v="39"/>
    <x v="1"/>
    <n v="-1783"/>
    <x v="1"/>
    <x v="1"/>
    <x v="0"/>
    <x v="1"/>
    <x v="0"/>
  </r>
  <r>
    <x v="39"/>
    <x v="2"/>
    <n v="10223"/>
    <x v="2"/>
    <x v="2"/>
    <x v="1"/>
    <x v="1"/>
    <x v="0"/>
  </r>
  <r>
    <x v="39"/>
    <x v="51"/>
    <n v="-1950"/>
    <x v="3"/>
    <x v="5"/>
    <x v="0"/>
    <x v="1"/>
    <x v="0"/>
  </r>
  <r>
    <x v="39"/>
    <x v="5"/>
    <n v="13102"/>
    <x v="2"/>
    <x v="2"/>
    <x v="1"/>
    <x v="1"/>
    <x v="0"/>
  </r>
  <r>
    <x v="39"/>
    <x v="6"/>
    <n v="-1011"/>
    <x v="1"/>
    <x v="4"/>
    <x v="0"/>
    <x v="1"/>
    <x v="0"/>
  </r>
  <r>
    <x v="39"/>
    <x v="27"/>
    <n v="-1621"/>
    <x v="3"/>
    <x v="5"/>
    <x v="0"/>
    <x v="1"/>
    <x v="0"/>
  </r>
  <r>
    <x v="39"/>
    <x v="17"/>
    <n v="-1974"/>
    <x v="3"/>
    <x v="5"/>
    <x v="0"/>
    <x v="1"/>
    <x v="0"/>
  </r>
  <r>
    <x v="39"/>
    <x v="52"/>
    <n v="-1638"/>
    <x v="3"/>
    <x v="3"/>
    <x v="0"/>
    <x v="1"/>
    <x v="0"/>
  </r>
  <r>
    <x v="39"/>
    <x v="15"/>
    <n v="-1553"/>
    <x v="3"/>
    <x v="6"/>
    <x v="0"/>
    <x v="1"/>
    <x v="0"/>
  </r>
  <r>
    <x v="39"/>
    <x v="17"/>
    <n v="-1211"/>
    <x v="3"/>
    <x v="5"/>
    <x v="0"/>
    <x v="1"/>
    <x v="0"/>
  </r>
  <r>
    <x v="39"/>
    <x v="4"/>
    <n v="-1326"/>
    <x v="1"/>
    <x v="1"/>
    <x v="0"/>
    <x v="1"/>
    <x v="0"/>
  </r>
  <r>
    <x v="39"/>
    <x v="21"/>
    <n v="-1113"/>
    <x v="1"/>
    <x v="1"/>
    <x v="0"/>
    <x v="1"/>
    <x v="0"/>
  </r>
  <r>
    <x v="39"/>
    <x v="21"/>
    <n v="-2163"/>
    <x v="1"/>
    <x v="1"/>
    <x v="0"/>
    <x v="1"/>
    <x v="0"/>
  </r>
  <r>
    <x v="39"/>
    <x v="5"/>
    <n v="10344"/>
    <x v="2"/>
    <x v="2"/>
    <x v="1"/>
    <x v="1"/>
    <x v="0"/>
  </r>
  <r>
    <x v="39"/>
    <x v="6"/>
    <n v="-2241"/>
    <x v="1"/>
    <x v="4"/>
    <x v="0"/>
    <x v="1"/>
    <x v="0"/>
  </r>
  <r>
    <x v="39"/>
    <x v="7"/>
    <n v="-2140"/>
    <x v="3"/>
    <x v="5"/>
    <x v="0"/>
    <x v="1"/>
    <x v="0"/>
  </r>
  <r>
    <x v="39"/>
    <x v="21"/>
    <n v="-1393"/>
    <x v="1"/>
    <x v="1"/>
    <x v="0"/>
    <x v="1"/>
    <x v="0"/>
  </r>
  <r>
    <x v="40"/>
    <x v="0"/>
    <n v="-3442"/>
    <x v="0"/>
    <x v="0"/>
    <x v="0"/>
    <x v="1"/>
    <x v="0"/>
  </r>
  <r>
    <x v="40"/>
    <x v="42"/>
    <n v="-1883"/>
    <x v="3"/>
    <x v="5"/>
    <x v="0"/>
    <x v="1"/>
    <x v="0"/>
  </r>
  <r>
    <x v="40"/>
    <x v="51"/>
    <n v="-1590"/>
    <x v="3"/>
    <x v="5"/>
    <x v="0"/>
    <x v="1"/>
    <x v="0"/>
  </r>
  <r>
    <x v="40"/>
    <x v="21"/>
    <n v="-1168"/>
    <x v="1"/>
    <x v="1"/>
    <x v="0"/>
    <x v="1"/>
    <x v="0"/>
  </r>
  <r>
    <x v="40"/>
    <x v="6"/>
    <n v="-2488"/>
    <x v="1"/>
    <x v="4"/>
    <x v="0"/>
    <x v="1"/>
    <x v="0"/>
  </r>
  <r>
    <x v="40"/>
    <x v="0"/>
    <n v="-3467"/>
    <x v="0"/>
    <x v="0"/>
    <x v="0"/>
    <x v="1"/>
    <x v="0"/>
  </r>
  <r>
    <x v="40"/>
    <x v="6"/>
    <n v="-2430"/>
    <x v="1"/>
    <x v="4"/>
    <x v="0"/>
    <x v="1"/>
    <x v="0"/>
  </r>
  <r>
    <x v="40"/>
    <x v="1"/>
    <n v="-1701"/>
    <x v="1"/>
    <x v="1"/>
    <x v="0"/>
    <x v="1"/>
    <x v="0"/>
  </r>
  <r>
    <x v="40"/>
    <x v="6"/>
    <n v="-1196"/>
    <x v="1"/>
    <x v="4"/>
    <x v="0"/>
    <x v="1"/>
    <x v="0"/>
  </r>
  <r>
    <x v="40"/>
    <x v="17"/>
    <n v="-2476"/>
    <x v="3"/>
    <x v="5"/>
    <x v="0"/>
    <x v="1"/>
    <x v="0"/>
  </r>
  <r>
    <x v="40"/>
    <x v="1"/>
    <n v="-2000"/>
    <x v="1"/>
    <x v="1"/>
    <x v="0"/>
    <x v="1"/>
    <x v="0"/>
  </r>
  <r>
    <x v="40"/>
    <x v="6"/>
    <n v="-1740"/>
    <x v="1"/>
    <x v="4"/>
    <x v="0"/>
    <x v="1"/>
    <x v="0"/>
  </r>
  <r>
    <x v="41"/>
    <x v="5"/>
    <n v="10033"/>
    <x v="2"/>
    <x v="2"/>
    <x v="1"/>
    <x v="1"/>
    <x v="0"/>
  </r>
  <r>
    <x v="41"/>
    <x v="2"/>
    <n v="10169"/>
    <x v="2"/>
    <x v="2"/>
    <x v="1"/>
    <x v="1"/>
    <x v="0"/>
  </r>
  <r>
    <x v="41"/>
    <x v="5"/>
    <n v="13946"/>
    <x v="2"/>
    <x v="2"/>
    <x v="1"/>
    <x v="1"/>
    <x v="0"/>
  </r>
  <r>
    <x v="41"/>
    <x v="21"/>
    <n v="-2224"/>
    <x v="1"/>
    <x v="1"/>
    <x v="0"/>
    <x v="1"/>
    <x v="0"/>
  </r>
  <r>
    <x v="42"/>
    <x v="2"/>
    <n v="13034"/>
    <x v="2"/>
    <x v="2"/>
    <x v="1"/>
    <x v="1"/>
    <x v="0"/>
  </r>
  <r>
    <x v="42"/>
    <x v="4"/>
    <n v="-1761"/>
    <x v="1"/>
    <x v="1"/>
    <x v="0"/>
    <x v="1"/>
    <x v="0"/>
  </r>
  <r>
    <x v="42"/>
    <x v="1"/>
    <n v="-2455"/>
    <x v="1"/>
    <x v="1"/>
    <x v="0"/>
    <x v="1"/>
    <x v="0"/>
  </r>
  <r>
    <x v="42"/>
    <x v="19"/>
    <n v="-2078"/>
    <x v="3"/>
    <x v="8"/>
    <x v="0"/>
    <x v="1"/>
    <x v="0"/>
  </r>
  <r>
    <x v="42"/>
    <x v="48"/>
    <n v="-1236"/>
    <x v="3"/>
    <x v="7"/>
    <x v="0"/>
    <x v="1"/>
    <x v="0"/>
  </r>
  <r>
    <x v="42"/>
    <x v="21"/>
    <n v="-2494"/>
    <x v="1"/>
    <x v="1"/>
    <x v="0"/>
    <x v="1"/>
    <x v="0"/>
  </r>
  <r>
    <x v="42"/>
    <x v="2"/>
    <n v="10724"/>
    <x v="2"/>
    <x v="2"/>
    <x v="1"/>
    <x v="1"/>
    <x v="0"/>
  </r>
  <r>
    <x v="42"/>
    <x v="21"/>
    <n v="-2307"/>
    <x v="1"/>
    <x v="1"/>
    <x v="0"/>
    <x v="1"/>
    <x v="0"/>
  </r>
  <r>
    <x v="42"/>
    <x v="0"/>
    <n v="-3101"/>
    <x v="0"/>
    <x v="0"/>
    <x v="0"/>
    <x v="1"/>
    <x v="0"/>
  </r>
  <r>
    <x v="42"/>
    <x v="1"/>
    <n v="-2248"/>
    <x v="1"/>
    <x v="1"/>
    <x v="0"/>
    <x v="1"/>
    <x v="0"/>
  </r>
  <r>
    <x v="42"/>
    <x v="30"/>
    <n v="-1149"/>
    <x v="4"/>
    <x v="13"/>
    <x v="0"/>
    <x v="1"/>
    <x v="0"/>
  </r>
  <r>
    <x v="42"/>
    <x v="2"/>
    <n v="12723"/>
    <x v="2"/>
    <x v="2"/>
    <x v="1"/>
    <x v="1"/>
    <x v="0"/>
  </r>
  <r>
    <x v="43"/>
    <x v="14"/>
    <n v="-1513"/>
    <x v="3"/>
    <x v="8"/>
    <x v="0"/>
    <x v="1"/>
    <x v="0"/>
  </r>
  <r>
    <x v="43"/>
    <x v="4"/>
    <n v="-1836"/>
    <x v="1"/>
    <x v="1"/>
    <x v="0"/>
    <x v="1"/>
    <x v="0"/>
  </r>
  <r>
    <x v="43"/>
    <x v="35"/>
    <n v="-1646"/>
    <x v="3"/>
    <x v="10"/>
    <x v="0"/>
    <x v="1"/>
    <x v="0"/>
  </r>
  <r>
    <x v="43"/>
    <x v="2"/>
    <n v="11891"/>
    <x v="2"/>
    <x v="2"/>
    <x v="1"/>
    <x v="1"/>
    <x v="0"/>
  </r>
  <r>
    <x v="43"/>
    <x v="5"/>
    <n v="12489"/>
    <x v="2"/>
    <x v="2"/>
    <x v="1"/>
    <x v="1"/>
    <x v="0"/>
  </r>
  <r>
    <x v="43"/>
    <x v="4"/>
    <n v="-1608"/>
    <x v="1"/>
    <x v="1"/>
    <x v="0"/>
    <x v="1"/>
    <x v="0"/>
  </r>
  <r>
    <x v="43"/>
    <x v="0"/>
    <n v="-4159"/>
    <x v="0"/>
    <x v="0"/>
    <x v="0"/>
    <x v="1"/>
    <x v="0"/>
  </r>
  <r>
    <x v="43"/>
    <x v="14"/>
    <n v="-2384"/>
    <x v="3"/>
    <x v="8"/>
    <x v="0"/>
    <x v="1"/>
    <x v="0"/>
  </r>
  <r>
    <x v="43"/>
    <x v="0"/>
    <n v="-3290"/>
    <x v="0"/>
    <x v="0"/>
    <x v="0"/>
    <x v="1"/>
    <x v="0"/>
  </r>
  <r>
    <x v="43"/>
    <x v="21"/>
    <n v="-1369"/>
    <x v="1"/>
    <x v="1"/>
    <x v="0"/>
    <x v="1"/>
    <x v="0"/>
  </r>
  <r>
    <x v="43"/>
    <x v="21"/>
    <n v="-2123"/>
    <x v="1"/>
    <x v="1"/>
    <x v="0"/>
    <x v="1"/>
    <x v="0"/>
  </r>
  <r>
    <x v="43"/>
    <x v="27"/>
    <n v="-1837"/>
    <x v="3"/>
    <x v="5"/>
    <x v="0"/>
    <x v="1"/>
    <x v="0"/>
  </r>
  <r>
    <x v="43"/>
    <x v="4"/>
    <n v="-1395"/>
    <x v="1"/>
    <x v="1"/>
    <x v="0"/>
    <x v="1"/>
    <x v="0"/>
  </r>
  <r>
    <x v="43"/>
    <x v="6"/>
    <n v="-1517"/>
    <x v="1"/>
    <x v="4"/>
    <x v="0"/>
    <x v="1"/>
    <x v="0"/>
  </r>
  <r>
    <x v="43"/>
    <x v="47"/>
    <n v="-1804"/>
    <x v="3"/>
    <x v="8"/>
    <x v="0"/>
    <x v="1"/>
    <x v="0"/>
  </r>
  <r>
    <x v="43"/>
    <x v="0"/>
    <n v="-4247"/>
    <x v="0"/>
    <x v="0"/>
    <x v="0"/>
    <x v="1"/>
    <x v="0"/>
  </r>
  <r>
    <x v="44"/>
    <x v="0"/>
    <n v="-2781"/>
    <x v="0"/>
    <x v="0"/>
    <x v="0"/>
    <x v="1"/>
    <x v="0"/>
  </r>
  <r>
    <x v="44"/>
    <x v="6"/>
    <n v="-2156"/>
    <x v="1"/>
    <x v="4"/>
    <x v="0"/>
    <x v="1"/>
    <x v="0"/>
  </r>
  <r>
    <x v="44"/>
    <x v="5"/>
    <n v="14345"/>
    <x v="2"/>
    <x v="2"/>
    <x v="1"/>
    <x v="1"/>
    <x v="0"/>
  </r>
  <r>
    <x v="44"/>
    <x v="29"/>
    <n v="-1759"/>
    <x v="3"/>
    <x v="7"/>
    <x v="0"/>
    <x v="1"/>
    <x v="0"/>
  </r>
  <r>
    <x v="44"/>
    <x v="21"/>
    <n v="-1586"/>
    <x v="1"/>
    <x v="1"/>
    <x v="0"/>
    <x v="1"/>
    <x v="0"/>
  </r>
  <r>
    <x v="44"/>
    <x v="1"/>
    <n v="-2244"/>
    <x v="1"/>
    <x v="1"/>
    <x v="0"/>
    <x v="1"/>
    <x v="0"/>
  </r>
  <r>
    <x v="44"/>
    <x v="5"/>
    <n v="13335"/>
    <x v="2"/>
    <x v="2"/>
    <x v="1"/>
    <x v="1"/>
    <x v="0"/>
  </r>
  <r>
    <x v="44"/>
    <x v="4"/>
    <n v="-2386"/>
    <x v="1"/>
    <x v="1"/>
    <x v="0"/>
    <x v="1"/>
    <x v="0"/>
  </r>
  <r>
    <x v="44"/>
    <x v="2"/>
    <n v="11820"/>
    <x v="2"/>
    <x v="2"/>
    <x v="1"/>
    <x v="1"/>
    <x v="0"/>
  </r>
  <r>
    <x v="44"/>
    <x v="6"/>
    <n v="-1392"/>
    <x v="1"/>
    <x v="4"/>
    <x v="0"/>
    <x v="1"/>
    <x v="0"/>
  </r>
  <r>
    <x v="44"/>
    <x v="21"/>
    <n v="-2064"/>
    <x v="1"/>
    <x v="1"/>
    <x v="0"/>
    <x v="1"/>
    <x v="0"/>
  </r>
  <r>
    <x v="44"/>
    <x v="1"/>
    <n v="-1016"/>
    <x v="1"/>
    <x v="1"/>
    <x v="0"/>
    <x v="1"/>
    <x v="0"/>
  </r>
  <r>
    <x v="45"/>
    <x v="0"/>
    <n v="-4315"/>
    <x v="0"/>
    <x v="0"/>
    <x v="0"/>
    <x v="1"/>
    <x v="0"/>
  </r>
  <r>
    <x v="45"/>
    <x v="4"/>
    <n v="-1635"/>
    <x v="1"/>
    <x v="1"/>
    <x v="0"/>
    <x v="1"/>
    <x v="0"/>
  </r>
  <r>
    <x v="45"/>
    <x v="5"/>
    <n v="11716"/>
    <x v="2"/>
    <x v="2"/>
    <x v="1"/>
    <x v="1"/>
    <x v="0"/>
  </r>
  <r>
    <x v="45"/>
    <x v="4"/>
    <n v="-1689"/>
    <x v="1"/>
    <x v="1"/>
    <x v="0"/>
    <x v="1"/>
    <x v="0"/>
  </r>
  <r>
    <x v="45"/>
    <x v="21"/>
    <n v="-1918"/>
    <x v="1"/>
    <x v="1"/>
    <x v="0"/>
    <x v="1"/>
    <x v="0"/>
  </r>
  <r>
    <x v="45"/>
    <x v="5"/>
    <n v="12329"/>
    <x v="2"/>
    <x v="2"/>
    <x v="1"/>
    <x v="1"/>
    <x v="0"/>
  </r>
  <r>
    <x v="45"/>
    <x v="35"/>
    <n v="-1792"/>
    <x v="3"/>
    <x v="10"/>
    <x v="0"/>
    <x v="1"/>
    <x v="0"/>
  </r>
  <r>
    <x v="45"/>
    <x v="15"/>
    <n v="-2157"/>
    <x v="3"/>
    <x v="6"/>
    <x v="0"/>
    <x v="1"/>
    <x v="0"/>
  </r>
  <r>
    <x v="45"/>
    <x v="21"/>
    <n v="-1308"/>
    <x v="1"/>
    <x v="1"/>
    <x v="0"/>
    <x v="1"/>
    <x v="0"/>
  </r>
  <r>
    <x v="45"/>
    <x v="60"/>
    <n v="-2026"/>
    <x v="3"/>
    <x v="6"/>
    <x v="0"/>
    <x v="1"/>
    <x v="0"/>
  </r>
  <r>
    <x v="45"/>
    <x v="21"/>
    <n v="-2142"/>
    <x v="1"/>
    <x v="1"/>
    <x v="0"/>
    <x v="1"/>
    <x v="0"/>
  </r>
  <r>
    <x v="45"/>
    <x v="6"/>
    <n v="-2182"/>
    <x v="1"/>
    <x v="4"/>
    <x v="0"/>
    <x v="1"/>
    <x v="0"/>
  </r>
  <r>
    <x v="46"/>
    <x v="22"/>
    <n v="-1138"/>
    <x v="3"/>
    <x v="11"/>
    <x v="0"/>
    <x v="1"/>
    <x v="0"/>
  </r>
  <r>
    <x v="46"/>
    <x v="2"/>
    <n v="12444"/>
    <x v="2"/>
    <x v="2"/>
    <x v="1"/>
    <x v="1"/>
    <x v="0"/>
  </r>
  <r>
    <x v="46"/>
    <x v="6"/>
    <n v="-1615"/>
    <x v="1"/>
    <x v="4"/>
    <x v="0"/>
    <x v="1"/>
    <x v="0"/>
  </r>
  <r>
    <x v="46"/>
    <x v="2"/>
    <n v="13580"/>
    <x v="2"/>
    <x v="2"/>
    <x v="1"/>
    <x v="1"/>
    <x v="0"/>
  </r>
  <r>
    <x v="46"/>
    <x v="4"/>
    <n v="-2417"/>
    <x v="1"/>
    <x v="1"/>
    <x v="0"/>
    <x v="1"/>
    <x v="0"/>
  </r>
  <r>
    <x v="46"/>
    <x v="27"/>
    <n v="-1296"/>
    <x v="3"/>
    <x v="5"/>
    <x v="0"/>
    <x v="1"/>
    <x v="0"/>
  </r>
  <r>
    <x v="46"/>
    <x v="0"/>
    <n v="-4049"/>
    <x v="0"/>
    <x v="0"/>
    <x v="0"/>
    <x v="1"/>
    <x v="0"/>
  </r>
  <r>
    <x v="46"/>
    <x v="21"/>
    <n v="-2058"/>
    <x v="1"/>
    <x v="1"/>
    <x v="0"/>
    <x v="1"/>
    <x v="0"/>
  </r>
  <r>
    <x v="46"/>
    <x v="33"/>
    <n v="-1582"/>
    <x v="3"/>
    <x v="3"/>
    <x v="0"/>
    <x v="1"/>
    <x v="0"/>
  </r>
  <r>
    <x v="46"/>
    <x v="0"/>
    <n v="-3379"/>
    <x v="0"/>
    <x v="0"/>
    <x v="0"/>
    <x v="1"/>
    <x v="0"/>
  </r>
  <r>
    <x v="47"/>
    <x v="44"/>
    <n v="-2186"/>
    <x v="5"/>
    <x v="14"/>
    <x v="0"/>
    <x v="1"/>
    <x v="0"/>
  </r>
  <r>
    <x v="47"/>
    <x v="21"/>
    <n v="-1890"/>
    <x v="1"/>
    <x v="1"/>
    <x v="0"/>
    <x v="1"/>
    <x v="0"/>
  </r>
  <r>
    <x v="47"/>
    <x v="0"/>
    <n v="-2568"/>
    <x v="0"/>
    <x v="0"/>
    <x v="0"/>
    <x v="1"/>
    <x v="0"/>
  </r>
  <r>
    <x v="47"/>
    <x v="35"/>
    <n v="-2424"/>
    <x v="3"/>
    <x v="10"/>
    <x v="0"/>
    <x v="1"/>
    <x v="0"/>
  </r>
  <r>
    <x v="47"/>
    <x v="2"/>
    <n v="12943"/>
    <x v="2"/>
    <x v="2"/>
    <x v="1"/>
    <x v="1"/>
    <x v="0"/>
  </r>
  <r>
    <x v="47"/>
    <x v="1"/>
    <n v="-1675"/>
    <x v="1"/>
    <x v="1"/>
    <x v="0"/>
    <x v="1"/>
    <x v="0"/>
  </r>
  <r>
    <x v="47"/>
    <x v="7"/>
    <n v="-1187"/>
    <x v="3"/>
    <x v="5"/>
    <x v="0"/>
    <x v="1"/>
    <x v="0"/>
  </r>
  <r>
    <x v="47"/>
    <x v="6"/>
    <n v="-1891"/>
    <x v="1"/>
    <x v="4"/>
    <x v="0"/>
    <x v="1"/>
    <x v="0"/>
  </r>
  <r>
    <x v="47"/>
    <x v="1"/>
    <n v="-2142"/>
    <x v="1"/>
    <x v="1"/>
    <x v="0"/>
    <x v="1"/>
    <x v="0"/>
  </r>
  <r>
    <x v="47"/>
    <x v="11"/>
    <n v="-2245"/>
    <x v="3"/>
    <x v="5"/>
    <x v="0"/>
    <x v="1"/>
    <x v="0"/>
  </r>
  <r>
    <x v="47"/>
    <x v="18"/>
    <n v="-1413"/>
    <x v="3"/>
    <x v="5"/>
    <x v="0"/>
    <x v="1"/>
    <x v="0"/>
  </r>
  <r>
    <x v="47"/>
    <x v="62"/>
    <n v="-1912"/>
    <x v="3"/>
    <x v="11"/>
    <x v="0"/>
    <x v="1"/>
    <x v="0"/>
  </r>
  <r>
    <x v="47"/>
    <x v="1"/>
    <n v="-1907"/>
    <x v="1"/>
    <x v="1"/>
    <x v="0"/>
    <x v="1"/>
    <x v="0"/>
  </r>
  <r>
    <x v="47"/>
    <x v="55"/>
    <n v="-1038"/>
    <x v="3"/>
    <x v="5"/>
    <x v="0"/>
    <x v="1"/>
    <x v="0"/>
  </r>
  <r>
    <x v="47"/>
    <x v="0"/>
    <n v="-4312"/>
    <x v="0"/>
    <x v="0"/>
    <x v="0"/>
    <x v="1"/>
    <x v="0"/>
  </r>
  <r>
    <x v="47"/>
    <x v="0"/>
    <n v="-3018"/>
    <x v="0"/>
    <x v="0"/>
    <x v="0"/>
    <x v="1"/>
    <x v="0"/>
  </r>
  <r>
    <x v="47"/>
    <x v="49"/>
    <n v="-1422"/>
    <x v="3"/>
    <x v="5"/>
    <x v="0"/>
    <x v="1"/>
    <x v="0"/>
  </r>
  <r>
    <x v="47"/>
    <x v="4"/>
    <n v="-1793"/>
    <x v="1"/>
    <x v="1"/>
    <x v="0"/>
    <x v="1"/>
    <x v="0"/>
  </r>
  <r>
    <x v="48"/>
    <x v="35"/>
    <n v="-1850"/>
    <x v="3"/>
    <x v="10"/>
    <x v="0"/>
    <x v="1"/>
    <x v="0"/>
  </r>
  <r>
    <x v="48"/>
    <x v="3"/>
    <n v="-1480"/>
    <x v="3"/>
    <x v="3"/>
    <x v="0"/>
    <x v="1"/>
    <x v="0"/>
  </r>
  <r>
    <x v="48"/>
    <x v="6"/>
    <n v="-1080"/>
    <x v="1"/>
    <x v="4"/>
    <x v="0"/>
    <x v="1"/>
    <x v="0"/>
  </r>
  <r>
    <x v="48"/>
    <x v="6"/>
    <n v="-1205"/>
    <x v="1"/>
    <x v="4"/>
    <x v="0"/>
    <x v="1"/>
    <x v="0"/>
  </r>
  <r>
    <x v="48"/>
    <x v="0"/>
    <n v="-3705"/>
    <x v="0"/>
    <x v="0"/>
    <x v="0"/>
    <x v="1"/>
    <x v="0"/>
  </r>
  <r>
    <x v="48"/>
    <x v="21"/>
    <n v="-1355"/>
    <x v="1"/>
    <x v="1"/>
    <x v="0"/>
    <x v="1"/>
    <x v="0"/>
  </r>
  <r>
    <x v="48"/>
    <x v="40"/>
    <n v="-2034"/>
    <x v="3"/>
    <x v="9"/>
    <x v="0"/>
    <x v="1"/>
    <x v="0"/>
  </r>
  <r>
    <x v="48"/>
    <x v="5"/>
    <n v="14208"/>
    <x v="2"/>
    <x v="2"/>
    <x v="1"/>
    <x v="1"/>
    <x v="0"/>
  </r>
  <r>
    <x v="48"/>
    <x v="56"/>
    <n v="1429"/>
    <x v="4"/>
    <x v="15"/>
    <x v="0"/>
    <x v="1"/>
    <x v="0"/>
  </r>
  <r>
    <x v="48"/>
    <x v="0"/>
    <n v="-2724"/>
    <x v="0"/>
    <x v="0"/>
    <x v="0"/>
    <x v="1"/>
    <x v="0"/>
  </r>
  <r>
    <x v="49"/>
    <x v="41"/>
    <n v="-2234"/>
    <x v="3"/>
    <x v="3"/>
    <x v="0"/>
    <x v="1"/>
    <x v="0"/>
  </r>
  <r>
    <x v="49"/>
    <x v="13"/>
    <n v="-1005"/>
    <x v="3"/>
    <x v="7"/>
    <x v="0"/>
    <x v="1"/>
    <x v="0"/>
  </r>
  <r>
    <x v="49"/>
    <x v="4"/>
    <n v="-2268"/>
    <x v="1"/>
    <x v="1"/>
    <x v="0"/>
    <x v="1"/>
    <x v="0"/>
  </r>
  <r>
    <x v="49"/>
    <x v="22"/>
    <n v="-1455"/>
    <x v="3"/>
    <x v="11"/>
    <x v="0"/>
    <x v="1"/>
    <x v="0"/>
  </r>
  <r>
    <x v="49"/>
    <x v="5"/>
    <n v="13185"/>
    <x v="2"/>
    <x v="2"/>
    <x v="1"/>
    <x v="1"/>
    <x v="0"/>
  </r>
  <r>
    <x v="49"/>
    <x v="55"/>
    <n v="-1613"/>
    <x v="3"/>
    <x v="5"/>
    <x v="0"/>
    <x v="1"/>
    <x v="0"/>
  </r>
  <r>
    <x v="49"/>
    <x v="2"/>
    <n v="14090"/>
    <x v="2"/>
    <x v="2"/>
    <x v="1"/>
    <x v="1"/>
    <x v="0"/>
  </r>
  <r>
    <x v="49"/>
    <x v="5"/>
    <n v="14864"/>
    <x v="2"/>
    <x v="2"/>
    <x v="1"/>
    <x v="1"/>
    <x v="0"/>
  </r>
  <r>
    <x v="49"/>
    <x v="6"/>
    <n v="-2288"/>
    <x v="1"/>
    <x v="4"/>
    <x v="0"/>
    <x v="1"/>
    <x v="0"/>
  </r>
  <r>
    <x v="49"/>
    <x v="38"/>
    <n v="-1542"/>
    <x v="3"/>
    <x v="5"/>
    <x v="0"/>
    <x v="1"/>
    <x v="0"/>
  </r>
  <r>
    <x v="50"/>
    <x v="2"/>
    <n v="13609"/>
    <x v="2"/>
    <x v="2"/>
    <x v="1"/>
    <x v="1"/>
    <x v="0"/>
  </r>
  <r>
    <x v="50"/>
    <x v="1"/>
    <n v="-2493"/>
    <x v="1"/>
    <x v="1"/>
    <x v="0"/>
    <x v="1"/>
    <x v="0"/>
  </r>
  <r>
    <x v="50"/>
    <x v="41"/>
    <n v="-1942"/>
    <x v="3"/>
    <x v="3"/>
    <x v="0"/>
    <x v="1"/>
    <x v="0"/>
  </r>
  <r>
    <x v="50"/>
    <x v="1"/>
    <n v="-2164"/>
    <x v="1"/>
    <x v="1"/>
    <x v="0"/>
    <x v="1"/>
    <x v="0"/>
  </r>
  <r>
    <x v="50"/>
    <x v="6"/>
    <n v="-2067"/>
    <x v="1"/>
    <x v="4"/>
    <x v="0"/>
    <x v="1"/>
    <x v="0"/>
  </r>
  <r>
    <x v="50"/>
    <x v="2"/>
    <n v="14739"/>
    <x v="2"/>
    <x v="2"/>
    <x v="1"/>
    <x v="1"/>
    <x v="0"/>
  </r>
  <r>
    <x v="50"/>
    <x v="21"/>
    <n v="-1102"/>
    <x v="1"/>
    <x v="1"/>
    <x v="0"/>
    <x v="1"/>
    <x v="0"/>
  </r>
  <r>
    <x v="50"/>
    <x v="5"/>
    <n v="11420"/>
    <x v="2"/>
    <x v="2"/>
    <x v="1"/>
    <x v="1"/>
    <x v="0"/>
  </r>
  <r>
    <x v="50"/>
    <x v="2"/>
    <n v="13762"/>
    <x v="2"/>
    <x v="2"/>
    <x v="1"/>
    <x v="1"/>
    <x v="0"/>
  </r>
  <r>
    <x v="50"/>
    <x v="36"/>
    <n v="-1573"/>
    <x v="3"/>
    <x v="7"/>
    <x v="0"/>
    <x v="1"/>
    <x v="0"/>
  </r>
  <r>
    <x v="50"/>
    <x v="8"/>
    <n v="-1803"/>
    <x v="3"/>
    <x v="6"/>
    <x v="0"/>
    <x v="1"/>
    <x v="0"/>
  </r>
  <r>
    <x v="50"/>
    <x v="4"/>
    <n v="-2252"/>
    <x v="1"/>
    <x v="1"/>
    <x v="0"/>
    <x v="1"/>
    <x v="0"/>
  </r>
  <r>
    <x v="50"/>
    <x v="5"/>
    <n v="13657"/>
    <x v="2"/>
    <x v="2"/>
    <x v="1"/>
    <x v="1"/>
    <x v="0"/>
  </r>
  <r>
    <x v="50"/>
    <x v="48"/>
    <n v="-2250"/>
    <x v="3"/>
    <x v="7"/>
    <x v="0"/>
    <x v="1"/>
    <x v="0"/>
  </r>
  <r>
    <x v="50"/>
    <x v="53"/>
    <n v="-1744"/>
    <x v="3"/>
    <x v="5"/>
    <x v="0"/>
    <x v="1"/>
    <x v="0"/>
  </r>
  <r>
    <x v="50"/>
    <x v="29"/>
    <n v="-1568"/>
    <x v="3"/>
    <x v="7"/>
    <x v="0"/>
    <x v="1"/>
    <x v="0"/>
  </r>
  <r>
    <x v="51"/>
    <x v="2"/>
    <n v="11769"/>
    <x v="2"/>
    <x v="2"/>
    <x v="1"/>
    <x v="1"/>
    <x v="0"/>
  </r>
  <r>
    <x v="51"/>
    <x v="23"/>
    <n v="-1776"/>
    <x v="3"/>
    <x v="5"/>
    <x v="0"/>
    <x v="1"/>
    <x v="0"/>
  </r>
  <r>
    <x v="51"/>
    <x v="10"/>
    <n v="-2480"/>
    <x v="3"/>
    <x v="6"/>
    <x v="0"/>
    <x v="1"/>
    <x v="0"/>
  </r>
  <r>
    <x v="51"/>
    <x v="47"/>
    <n v="-2370"/>
    <x v="3"/>
    <x v="8"/>
    <x v="0"/>
    <x v="1"/>
    <x v="0"/>
  </r>
  <r>
    <x v="51"/>
    <x v="5"/>
    <n v="14572"/>
    <x v="2"/>
    <x v="2"/>
    <x v="1"/>
    <x v="1"/>
    <x v="0"/>
  </r>
  <r>
    <x v="51"/>
    <x v="32"/>
    <n v="-1134"/>
    <x v="3"/>
    <x v="9"/>
    <x v="0"/>
    <x v="1"/>
    <x v="0"/>
  </r>
  <r>
    <x v="51"/>
    <x v="4"/>
    <n v="-2085"/>
    <x v="1"/>
    <x v="1"/>
    <x v="0"/>
    <x v="1"/>
    <x v="0"/>
  </r>
  <r>
    <x v="51"/>
    <x v="0"/>
    <n v="-2652"/>
    <x v="0"/>
    <x v="0"/>
    <x v="0"/>
    <x v="1"/>
    <x v="0"/>
  </r>
  <r>
    <x v="51"/>
    <x v="61"/>
    <n v="-1228"/>
    <x v="3"/>
    <x v="10"/>
    <x v="0"/>
    <x v="1"/>
    <x v="0"/>
  </r>
  <r>
    <x v="51"/>
    <x v="5"/>
    <n v="12216"/>
    <x v="2"/>
    <x v="2"/>
    <x v="1"/>
    <x v="1"/>
    <x v="0"/>
  </r>
  <r>
    <x v="51"/>
    <x v="0"/>
    <n v="-3510"/>
    <x v="0"/>
    <x v="0"/>
    <x v="0"/>
    <x v="1"/>
    <x v="0"/>
  </r>
  <r>
    <x v="51"/>
    <x v="4"/>
    <n v="-2197"/>
    <x v="1"/>
    <x v="1"/>
    <x v="0"/>
    <x v="1"/>
    <x v="0"/>
  </r>
  <r>
    <x v="51"/>
    <x v="12"/>
    <n v="-1782"/>
    <x v="3"/>
    <x v="3"/>
    <x v="0"/>
    <x v="1"/>
    <x v="0"/>
  </r>
  <r>
    <x v="51"/>
    <x v="4"/>
    <n v="-2235"/>
    <x v="1"/>
    <x v="1"/>
    <x v="0"/>
    <x v="1"/>
    <x v="0"/>
  </r>
  <r>
    <x v="51"/>
    <x v="16"/>
    <n v="-1544"/>
    <x v="3"/>
    <x v="9"/>
    <x v="0"/>
    <x v="1"/>
    <x v="0"/>
  </r>
  <r>
    <x v="51"/>
    <x v="4"/>
    <n v="-1500"/>
    <x v="1"/>
    <x v="1"/>
    <x v="0"/>
    <x v="1"/>
    <x v="0"/>
  </r>
  <r>
    <x v="51"/>
    <x v="37"/>
    <n v="-1856"/>
    <x v="3"/>
    <x v="3"/>
    <x v="0"/>
    <x v="1"/>
    <x v="0"/>
  </r>
  <r>
    <x v="51"/>
    <x v="35"/>
    <n v="-2192"/>
    <x v="3"/>
    <x v="10"/>
    <x v="0"/>
    <x v="1"/>
    <x v="0"/>
  </r>
  <r>
    <x v="51"/>
    <x v="2"/>
    <n v="13837"/>
    <x v="2"/>
    <x v="2"/>
    <x v="1"/>
    <x v="1"/>
    <x v="0"/>
  </r>
  <r>
    <x v="51"/>
    <x v="57"/>
    <n v="-2243"/>
    <x v="3"/>
    <x v="5"/>
    <x v="0"/>
    <x v="1"/>
    <x v="0"/>
  </r>
  <r>
    <x v="51"/>
    <x v="42"/>
    <n v="-2295"/>
    <x v="3"/>
    <x v="5"/>
    <x v="0"/>
    <x v="1"/>
    <x v="0"/>
  </r>
  <r>
    <x v="51"/>
    <x v="10"/>
    <n v="-1508"/>
    <x v="3"/>
    <x v="6"/>
    <x v="0"/>
    <x v="1"/>
    <x v="0"/>
  </r>
  <r>
    <x v="51"/>
    <x v="0"/>
    <n v="-2769"/>
    <x v="0"/>
    <x v="0"/>
    <x v="0"/>
    <x v="1"/>
    <x v="0"/>
  </r>
  <r>
    <x v="51"/>
    <x v="5"/>
    <n v="10868"/>
    <x v="2"/>
    <x v="2"/>
    <x v="1"/>
    <x v="1"/>
    <x v="0"/>
  </r>
  <r>
    <x v="51"/>
    <x v="62"/>
    <n v="-1374"/>
    <x v="3"/>
    <x v="11"/>
    <x v="0"/>
    <x v="1"/>
    <x v="0"/>
  </r>
  <r>
    <x v="51"/>
    <x v="5"/>
    <n v="13131"/>
    <x v="2"/>
    <x v="2"/>
    <x v="1"/>
    <x v="1"/>
    <x v="0"/>
  </r>
  <r>
    <x v="52"/>
    <x v="26"/>
    <n v="-2467"/>
    <x v="3"/>
    <x v="11"/>
    <x v="0"/>
    <x v="1"/>
    <x v="0"/>
  </r>
  <r>
    <x v="52"/>
    <x v="2"/>
    <n v="14773"/>
    <x v="2"/>
    <x v="2"/>
    <x v="1"/>
    <x v="1"/>
    <x v="0"/>
  </r>
  <r>
    <x v="52"/>
    <x v="6"/>
    <n v="-1569"/>
    <x v="1"/>
    <x v="4"/>
    <x v="0"/>
    <x v="1"/>
    <x v="0"/>
  </r>
  <r>
    <x v="52"/>
    <x v="5"/>
    <n v="11364"/>
    <x v="2"/>
    <x v="2"/>
    <x v="1"/>
    <x v="1"/>
    <x v="0"/>
  </r>
  <r>
    <x v="52"/>
    <x v="4"/>
    <n v="-1294"/>
    <x v="1"/>
    <x v="1"/>
    <x v="0"/>
    <x v="1"/>
    <x v="0"/>
  </r>
  <r>
    <x v="52"/>
    <x v="5"/>
    <n v="14645"/>
    <x v="2"/>
    <x v="2"/>
    <x v="1"/>
    <x v="1"/>
    <x v="0"/>
  </r>
  <r>
    <x v="52"/>
    <x v="2"/>
    <n v="14984"/>
    <x v="2"/>
    <x v="2"/>
    <x v="1"/>
    <x v="1"/>
    <x v="0"/>
  </r>
  <r>
    <x v="52"/>
    <x v="39"/>
    <n v="-1845"/>
    <x v="3"/>
    <x v="5"/>
    <x v="0"/>
    <x v="1"/>
    <x v="0"/>
  </r>
  <r>
    <x v="52"/>
    <x v="7"/>
    <n v="-1626"/>
    <x v="3"/>
    <x v="5"/>
    <x v="0"/>
    <x v="1"/>
    <x v="0"/>
  </r>
  <r>
    <x v="52"/>
    <x v="21"/>
    <n v="-1190"/>
    <x v="1"/>
    <x v="1"/>
    <x v="0"/>
    <x v="1"/>
    <x v="0"/>
  </r>
  <r>
    <x v="52"/>
    <x v="8"/>
    <n v="-2179"/>
    <x v="3"/>
    <x v="6"/>
    <x v="0"/>
    <x v="1"/>
    <x v="0"/>
  </r>
  <r>
    <x v="52"/>
    <x v="2"/>
    <n v="12041"/>
    <x v="2"/>
    <x v="2"/>
    <x v="1"/>
    <x v="1"/>
    <x v="0"/>
  </r>
  <r>
    <x v="53"/>
    <x v="0"/>
    <n v="-3682"/>
    <x v="0"/>
    <x v="0"/>
    <x v="0"/>
    <x v="1"/>
    <x v="0"/>
  </r>
  <r>
    <x v="53"/>
    <x v="2"/>
    <n v="11278"/>
    <x v="2"/>
    <x v="2"/>
    <x v="1"/>
    <x v="1"/>
    <x v="0"/>
  </r>
  <r>
    <x v="53"/>
    <x v="2"/>
    <n v="11819"/>
    <x v="2"/>
    <x v="2"/>
    <x v="1"/>
    <x v="1"/>
    <x v="0"/>
  </r>
  <r>
    <x v="53"/>
    <x v="4"/>
    <n v="-1083"/>
    <x v="1"/>
    <x v="1"/>
    <x v="0"/>
    <x v="1"/>
    <x v="0"/>
  </r>
  <r>
    <x v="53"/>
    <x v="18"/>
    <n v="-1161"/>
    <x v="3"/>
    <x v="5"/>
    <x v="0"/>
    <x v="1"/>
    <x v="0"/>
  </r>
  <r>
    <x v="53"/>
    <x v="1"/>
    <n v="-1270"/>
    <x v="1"/>
    <x v="1"/>
    <x v="0"/>
    <x v="1"/>
    <x v="0"/>
  </r>
  <r>
    <x v="53"/>
    <x v="5"/>
    <n v="10267"/>
    <x v="2"/>
    <x v="2"/>
    <x v="1"/>
    <x v="1"/>
    <x v="0"/>
  </r>
  <r>
    <x v="53"/>
    <x v="20"/>
    <n v="-2230"/>
    <x v="3"/>
    <x v="10"/>
    <x v="0"/>
    <x v="1"/>
    <x v="0"/>
  </r>
  <r>
    <x v="53"/>
    <x v="21"/>
    <n v="-2264"/>
    <x v="1"/>
    <x v="1"/>
    <x v="0"/>
    <x v="1"/>
    <x v="0"/>
  </r>
  <r>
    <x v="53"/>
    <x v="21"/>
    <n v="-1724"/>
    <x v="1"/>
    <x v="1"/>
    <x v="0"/>
    <x v="1"/>
    <x v="0"/>
  </r>
  <r>
    <x v="53"/>
    <x v="7"/>
    <n v="-1261"/>
    <x v="3"/>
    <x v="5"/>
    <x v="0"/>
    <x v="1"/>
    <x v="0"/>
  </r>
  <r>
    <x v="53"/>
    <x v="4"/>
    <n v="-1106"/>
    <x v="1"/>
    <x v="1"/>
    <x v="0"/>
    <x v="1"/>
    <x v="0"/>
  </r>
  <r>
    <x v="53"/>
    <x v="5"/>
    <n v="11739"/>
    <x v="2"/>
    <x v="2"/>
    <x v="1"/>
    <x v="1"/>
    <x v="0"/>
  </r>
  <r>
    <x v="53"/>
    <x v="1"/>
    <n v="-1632"/>
    <x v="1"/>
    <x v="1"/>
    <x v="0"/>
    <x v="1"/>
    <x v="0"/>
  </r>
  <r>
    <x v="53"/>
    <x v="8"/>
    <n v="-2000"/>
    <x v="3"/>
    <x v="6"/>
    <x v="0"/>
    <x v="1"/>
    <x v="0"/>
  </r>
  <r>
    <x v="53"/>
    <x v="2"/>
    <n v="13765"/>
    <x v="2"/>
    <x v="2"/>
    <x v="1"/>
    <x v="1"/>
    <x v="0"/>
  </r>
  <r>
    <x v="53"/>
    <x v="1"/>
    <n v="-1434"/>
    <x v="1"/>
    <x v="1"/>
    <x v="0"/>
    <x v="1"/>
    <x v="0"/>
  </r>
  <r>
    <x v="53"/>
    <x v="0"/>
    <n v="-2906"/>
    <x v="0"/>
    <x v="0"/>
    <x v="0"/>
    <x v="1"/>
    <x v="0"/>
  </r>
  <r>
    <x v="53"/>
    <x v="11"/>
    <n v="-1369"/>
    <x v="3"/>
    <x v="5"/>
    <x v="0"/>
    <x v="1"/>
    <x v="0"/>
  </r>
  <r>
    <x v="53"/>
    <x v="0"/>
    <n v="-2610"/>
    <x v="0"/>
    <x v="0"/>
    <x v="0"/>
    <x v="1"/>
    <x v="0"/>
  </r>
  <r>
    <x v="53"/>
    <x v="4"/>
    <n v="-2393"/>
    <x v="1"/>
    <x v="1"/>
    <x v="0"/>
    <x v="1"/>
    <x v="0"/>
  </r>
  <r>
    <x v="53"/>
    <x v="5"/>
    <n v="13354"/>
    <x v="2"/>
    <x v="2"/>
    <x v="1"/>
    <x v="1"/>
    <x v="0"/>
  </r>
  <r>
    <x v="53"/>
    <x v="6"/>
    <n v="-2041"/>
    <x v="1"/>
    <x v="4"/>
    <x v="0"/>
    <x v="1"/>
    <x v="0"/>
  </r>
  <r>
    <x v="53"/>
    <x v="9"/>
    <n v="-1529"/>
    <x v="3"/>
    <x v="5"/>
    <x v="0"/>
    <x v="1"/>
    <x v="0"/>
  </r>
  <r>
    <x v="54"/>
    <x v="21"/>
    <n v="-1914"/>
    <x v="1"/>
    <x v="1"/>
    <x v="0"/>
    <x v="1"/>
    <x v="0"/>
  </r>
  <r>
    <x v="54"/>
    <x v="1"/>
    <n v="-2450"/>
    <x v="1"/>
    <x v="1"/>
    <x v="0"/>
    <x v="1"/>
    <x v="0"/>
  </r>
  <r>
    <x v="54"/>
    <x v="21"/>
    <n v="-2439"/>
    <x v="1"/>
    <x v="1"/>
    <x v="0"/>
    <x v="1"/>
    <x v="0"/>
  </r>
  <r>
    <x v="54"/>
    <x v="6"/>
    <n v="-1811"/>
    <x v="1"/>
    <x v="4"/>
    <x v="0"/>
    <x v="1"/>
    <x v="0"/>
  </r>
  <r>
    <x v="54"/>
    <x v="11"/>
    <n v="-1129"/>
    <x v="3"/>
    <x v="5"/>
    <x v="0"/>
    <x v="1"/>
    <x v="0"/>
  </r>
  <r>
    <x v="54"/>
    <x v="17"/>
    <n v="-1793"/>
    <x v="3"/>
    <x v="5"/>
    <x v="0"/>
    <x v="1"/>
    <x v="0"/>
  </r>
  <r>
    <x v="54"/>
    <x v="23"/>
    <n v="-1656"/>
    <x v="3"/>
    <x v="5"/>
    <x v="0"/>
    <x v="1"/>
    <x v="0"/>
  </r>
  <r>
    <x v="54"/>
    <x v="60"/>
    <n v="-2334"/>
    <x v="3"/>
    <x v="6"/>
    <x v="0"/>
    <x v="1"/>
    <x v="0"/>
  </r>
  <r>
    <x v="55"/>
    <x v="0"/>
    <n v="-2576"/>
    <x v="0"/>
    <x v="0"/>
    <x v="0"/>
    <x v="1"/>
    <x v="0"/>
  </r>
  <r>
    <x v="55"/>
    <x v="6"/>
    <n v="-2025"/>
    <x v="1"/>
    <x v="4"/>
    <x v="0"/>
    <x v="1"/>
    <x v="0"/>
  </r>
  <r>
    <x v="55"/>
    <x v="5"/>
    <n v="10934"/>
    <x v="2"/>
    <x v="2"/>
    <x v="1"/>
    <x v="1"/>
    <x v="0"/>
  </r>
  <r>
    <x v="55"/>
    <x v="4"/>
    <n v="-2369"/>
    <x v="1"/>
    <x v="1"/>
    <x v="0"/>
    <x v="1"/>
    <x v="0"/>
  </r>
  <r>
    <x v="55"/>
    <x v="5"/>
    <n v="14976"/>
    <x v="2"/>
    <x v="2"/>
    <x v="1"/>
    <x v="1"/>
    <x v="0"/>
  </r>
  <r>
    <x v="55"/>
    <x v="4"/>
    <n v="-1399"/>
    <x v="1"/>
    <x v="1"/>
    <x v="0"/>
    <x v="1"/>
    <x v="0"/>
  </r>
  <r>
    <x v="55"/>
    <x v="12"/>
    <n v="-1084"/>
    <x v="3"/>
    <x v="3"/>
    <x v="0"/>
    <x v="1"/>
    <x v="0"/>
  </r>
  <r>
    <x v="55"/>
    <x v="21"/>
    <n v="-1350"/>
    <x v="1"/>
    <x v="1"/>
    <x v="0"/>
    <x v="1"/>
    <x v="0"/>
  </r>
  <r>
    <x v="55"/>
    <x v="4"/>
    <n v="-2169"/>
    <x v="1"/>
    <x v="1"/>
    <x v="0"/>
    <x v="1"/>
    <x v="0"/>
  </r>
  <r>
    <x v="55"/>
    <x v="1"/>
    <n v="-2088"/>
    <x v="1"/>
    <x v="1"/>
    <x v="0"/>
    <x v="1"/>
    <x v="0"/>
  </r>
  <r>
    <x v="55"/>
    <x v="40"/>
    <n v="-1325"/>
    <x v="3"/>
    <x v="9"/>
    <x v="0"/>
    <x v="1"/>
    <x v="0"/>
  </r>
  <r>
    <x v="55"/>
    <x v="1"/>
    <n v="-2436"/>
    <x v="1"/>
    <x v="1"/>
    <x v="0"/>
    <x v="1"/>
    <x v="0"/>
  </r>
  <r>
    <x v="55"/>
    <x v="17"/>
    <n v="-1025"/>
    <x v="3"/>
    <x v="5"/>
    <x v="0"/>
    <x v="1"/>
    <x v="0"/>
  </r>
  <r>
    <x v="55"/>
    <x v="4"/>
    <n v="-1745"/>
    <x v="1"/>
    <x v="1"/>
    <x v="0"/>
    <x v="1"/>
    <x v="0"/>
  </r>
  <r>
    <x v="56"/>
    <x v="6"/>
    <n v="-2329"/>
    <x v="1"/>
    <x v="4"/>
    <x v="0"/>
    <x v="1"/>
    <x v="0"/>
  </r>
  <r>
    <x v="56"/>
    <x v="6"/>
    <n v="-2185"/>
    <x v="1"/>
    <x v="4"/>
    <x v="0"/>
    <x v="1"/>
    <x v="0"/>
  </r>
  <r>
    <x v="56"/>
    <x v="2"/>
    <n v="13285"/>
    <x v="2"/>
    <x v="2"/>
    <x v="1"/>
    <x v="1"/>
    <x v="0"/>
  </r>
  <r>
    <x v="56"/>
    <x v="0"/>
    <n v="-2710"/>
    <x v="0"/>
    <x v="0"/>
    <x v="0"/>
    <x v="1"/>
    <x v="0"/>
  </r>
  <r>
    <x v="57"/>
    <x v="1"/>
    <n v="-2009"/>
    <x v="1"/>
    <x v="1"/>
    <x v="0"/>
    <x v="1"/>
    <x v="0"/>
  </r>
  <r>
    <x v="57"/>
    <x v="21"/>
    <n v="-2213"/>
    <x v="1"/>
    <x v="1"/>
    <x v="0"/>
    <x v="1"/>
    <x v="0"/>
  </r>
  <r>
    <x v="57"/>
    <x v="50"/>
    <n v="-1424"/>
    <x v="3"/>
    <x v="3"/>
    <x v="0"/>
    <x v="1"/>
    <x v="0"/>
  </r>
  <r>
    <x v="57"/>
    <x v="4"/>
    <n v="-2345"/>
    <x v="1"/>
    <x v="1"/>
    <x v="0"/>
    <x v="1"/>
    <x v="0"/>
  </r>
  <r>
    <x v="57"/>
    <x v="5"/>
    <n v="11782"/>
    <x v="2"/>
    <x v="2"/>
    <x v="1"/>
    <x v="1"/>
    <x v="0"/>
  </r>
  <r>
    <x v="57"/>
    <x v="0"/>
    <n v="-3129"/>
    <x v="0"/>
    <x v="0"/>
    <x v="0"/>
    <x v="1"/>
    <x v="0"/>
  </r>
  <r>
    <x v="57"/>
    <x v="2"/>
    <n v="12980"/>
    <x v="2"/>
    <x v="2"/>
    <x v="1"/>
    <x v="1"/>
    <x v="0"/>
  </r>
  <r>
    <x v="57"/>
    <x v="21"/>
    <n v="-1203"/>
    <x v="1"/>
    <x v="1"/>
    <x v="0"/>
    <x v="1"/>
    <x v="0"/>
  </r>
  <r>
    <x v="57"/>
    <x v="59"/>
    <n v="-1370"/>
    <x v="3"/>
    <x v="5"/>
    <x v="0"/>
    <x v="1"/>
    <x v="0"/>
  </r>
  <r>
    <x v="57"/>
    <x v="45"/>
    <n v="-1889"/>
    <x v="3"/>
    <x v="5"/>
    <x v="0"/>
    <x v="1"/>
    <x v="0"/>
  </r>
  <r>
    <x v="57"/>
    <x v="6"/>
    <n v="-1119"/>
    <x v="1"/>
    <x v="4"/>
    <x v="0"/>
    <x v="1"/>
    <x v="0"/>
  </r>
  <r>
    <x v="57"/>
    <x v="6"/>
    <n v="-1671"/>
    <x v="1"/>
    <x v="4"/>
    <x v="0"/>
    <x v="1"/>
    <x v="0"/>
  </r>
  <r>
    <x v="57"/>
    <x v="17"/>
    <n v="-2192"/>
    <x v="3"/>
    <x v="5"/>
    <x v="0"/>
    <x v="1"/>
    <x v="0"/>
  </r>
  <r>
    <x v="57"/>
    <x v="1"/>
    <n v="-2478"/>
    <x v="1"/>
    <x v="1"/>
    <x v="0"/>
    <x v="1"/>
    <x v="0"/>
  </r>
  <r>
    <x v="58"/>
    <x v="4"/>
    <n v="-2395"/>
    <x v="1"/>
    <x v="1"/>
    <x v="0"/>
    <x v="1"/>
    <x v="0"/>
  </r>
  <r>
    <x v="58"/>
    <x v="9"/>
    <n v="-1020"/>
    <x v="3"/>
    <x v="5"/>
    <x v="0"/>
    <x v="1"/>
    <x v="0"/>
  </r>
  <r>
    <x v="58"/>
    <x v="22"/>
    <n v="-2374"/>
    <x v="3"/>
    <x v="11"/>
    <x v="0"/>
    <x v="1"/>
    <x v="0"/>
  </r>
  <r>
    <x v="58"/>
    <x v="4"/>
    <n v="-2376"/>
    <x v="1"/>
    <x v="1"/>
    <x v="0"/>
    <x v="1"/>
    <x v="0"/>
  </r>
  <r>
    <x v="58"/>
    <x v="62"/>
    <n v="-2068"/>
    <x v="3"/>
    <x v="11"/>
    <x v="0"/>
    <x v="1"/>
    <x v="0"/>
  </r>
  <r>
    <x v="58"/>
    <x v="48"/>
    <n v="-1711"/>
    <x v="3"/>
    <x v="7"/>
    <x v="0"/>
    <x v="1"/>
    <x v="0"/>
  </r>
  <r>
    <x v="58"/>
    <x v="4"/>
    <n v="-1675"/>
    <x v="1"/>
    <x v="1"/>
    <x v="0"/>
    <x v="1"/>
    <x v="0"/>
  </r>
  <r>
    <x v="58"/>
    <x v="2"/>
    <n v="13475"/>
    <x v="2"/>
    <x v="2"/>
    <x v="1"/>
    <x v="1"/>
    <x v="0"/>
  </r>
  <r>
    <x v="58"/>
    <x v="21"/>
    <n v="-1458"/>
    <x v="1"/>
    <x v="1"/>
    <x v="0"/>
    <x v="1"/>
    <x v="0"/>
  </r>
  <r>
    <x v="58"/>
    <x v="21"/>
    <n v="-2296"/>
    <x v="1"/>
    <x v="1"/>
    <x v="0"/>
    <x v="1"/>
    <x v="0"/>
  </r>
  <r>
    <x v="59"/>
    <x v="6"/>
    <n v="-1468"/>
    <x v="1"/>
    <x v="4"/>
    <x v="0"/>
    <x v="2"/>
    <x v="0"/>
  </r>
  <r>
    <x v="59"/>
    <x v="1"/>
    <n v="-1954"/>
    <x v="1"/>
    <x v="1"/>
    <x v="0"/>
    <x v="2"/>
    <x v="0"/>
  </r>
  <r>
    <x v="59"/>
    <x v="0"/>
    <n v="-4092"/>
    <x v="0"/>
    <x v="0"/>
    <x v="0"/>
    <x v="2"/>
    <x v="0"/>
  </r>
  <r>
    <x v="59"/>
    <x v="10"/>
    <n v="-2494"/>
    <x v="3"/>
    <x v="6"/>
    <x v="0"/>
    <x v="2"/>
    <x v="0"/>
  </r>
  <r>
    <x v="59"/>
    <x v="2"/>
    <n v="11654"/>
    <x v="2"/>
    <x v="2"/>
    <x v="1"/>
    <x v="2"/>
    <x v="0"/>
  </r>
  <r>
    <x v="59"/>
    <x v="5"/>
    <n v="13341"/>
    <x v="2"/>
    <x v="2"/>
    <x v="1"/>
    <x v="2"/>
    <x v="0"/>
  </r>
  <r>
    <x v="59"/>
    <x v="6"/>
    <n v="-1959"/>
    <x v="1"/>
    <x v="4"/>
    <x v="0"/>
    <x v="2"/>
    <x v="0"/>
  </r>
  <r>
    <x v="59"/>
    <x v="59"/>
    <n v="-1611"/>
    <x v="3"/>
    <x v="5"/>
    <x v="0"/>
    <x v="2"/>
    <x v="0"/>
  </r>
  <r>
    <x v="59"/>
    <x v="24"/>
    <n v="-2321"/>
    <x v="3"/>
    <x v="6"/>
    <x v="0"/>
    <x v="2"/>
    <x v="0"/>
  </r>
  <r>
    <x v="59"/>
    <x v="62"/>
    <n v="-1383"/>
    <x v="3"/>
    <x v="11"/>
    <x v="0"/>
    <x v="2"/>
    <x v="0"/>
  </r>
  <r>
    <x v="59"/>
    <x v="1"/>
    <n v="-2155"/>
    <x v="1"/>
    <x v="1"/>
    <x v="0"/>
    <x v="2"/>
    <x v="0"/>
  </r>
  <r>
    <x v="59"/>
    <x v="5"/>
    <n v="11741"/>
    <x v="2"/>
    <x v="2"/>
    <x v="1"/>
    <x v="2"/>
    <x v="0"/>
  </r>
  <r>
    <x v="59"/>
    <x v="21"/>
    <n v="-2125"/>
    <x v="1"/>
    <x v="1"/>
    <x v="0"/>
    <x v="2"/>
    <x v="0"/>
  </r>
  <r>
    <x v="59"/>
    <x v="0"/>
    <n v="-3699"/>
    <x v="0"/>
    <x v="0"/>
    <x v="0"/>
    <x v="2"/>
    <x v="0"/>
  </r>
  <r>
    <x v="59"/>
    <x v="21"/>
    <n v="-2414"/>
    <x v="1"/>
    <x v="1"/>
    <x v="0"/>
    <x v="2"/>
    <x v="0"/>
  </r>
  <r>
    <x v="59"/>
    <x v="9"/>
    <n v="-1801"/>
    <x v="3"/>
    <x v="5"/>
    <x v="0"/>
    <x v="2"/>
    <x v="0"/>
  </r>
  <r>
    <x v="59"/>
    <x v="13"/>
    <n v="-1025"/>
    <x v="3"/>
    <x v="7"/>
    <x v="0"/>
    <x v="2"/>
    <x v="0"/>
  </r>
  <r>
    <x v="59"/>
    <x v="4"/>
    <n v="-1978"/>
    <x v="1"/>
    <x v="1"/>
    <x v="0"/>
    <x v="2"/>
    <x v="0"/>
  </r>
  <r>
    <x v="59"/>
    <x v="0"/>
    <n v="-3291"/>
    <x v="0"/>
    <x v="0"/>
    <x v="0"/>
    <x v="2"/>
    <x v="0"/>
  </r>
  <r>
    <x v="59"/>
    <x v="54"/>
    <n v="-1905"/>
    <x v="3"/>
    <x v="8"/>
    <x v="0"/>
    <x v="2"/>
    <x v="0"/>
  </r>
  <r>
    <x v="60"/>
    <x v="2"/>
    <n v="13429"/>
    <x v="2"/>
    <x v="2"/>
    <x v="1"/>
    <x v="2"/>
    <x v="0"/>
  </r>
  <r>
    <x v="60"/>
    <x v="1"/>
    <n v="-1678"/>
    <x v="1"/>
    <x v="1"/>
    <x v="0"/>
    <x v="2"/>
    <x v="0"/>
  </r>
  <r>
    <x v="60"/>
    <x v="15"/>
    <n v="-1805"/>
    <x v="3"/>
    <x v="6"/>
    <x v="0"/>
    <x v="2"/>
    <x v="0"/>
  </r>
  <r>
    <x v="60"/>
    <x v="4"/>
    <n v="-1280"/>
    <x v="1"/>
    <x v="1"/>
    <x v="0"/>
    <x v="2"/>
    <x v="0"/>
  </r>
  <r>
    <x v="60"/>
    <x v="5"/>
    <n v="13819"/>
    <x v="2"/>
    <x v="2"/>
    <x v="1"/>
    <x v="2"/>
    <x v="0"/>
  </r>
  <r>
    <x v="60"/>
    <x v="21"/>
    <n v="-1913"/>
    <x v="1"/>
    <x v="1"/>
    <x v="0"/>
    <x v="2"/>
    <x v="0"/>
  </r>
  <r>
    <x v="60"/>
    <x v="21"/>
    <n v="-1578"/>
    <x v="1"/>
    <x v="1"/>
    <x v="0"/>
    <x v="2"/>
    <x v="0"/>
  </r>
  <r>
    <x v="60"/>
    <x v="1"/>
    <n v="-2265"/>
    <x v="1"/>
    <x v="1"/>
    <x v="0"/>
    <x v="2"/>
    <x v="0"/>
  </r>
  <r>
    <x v="60"/>
    <x v="1"/>
    <n v="-1822"/>
    <x v="1"/>
    <x v="1"/>
    <x v="0"/>
    <x v="2"/>
    <x v="0"/>
  </r>
  <r>
    <x v="60"/>
    <x v="0"/>
    <n v="-4989"/>
    <x v="0"/>
    <x v="0"/>
    <x v="0"/>
    <x v="2"/>
    <x v="0"/>
  </r>
  <r>
    <x v="60"/>
    <x v="21"/>
    <n v="-1104"/>
    <x v="1"/>
    <x v="1"/>
    <x v="0"/>
    <x v="2"/>
    <x v="0"/>
  </r>
  <r>
    <x v="60"/>
    <x v="57"/>
    <n v="-1006"/>
    <x v="3"/>
    <x v="5"/>
    <x v="0"/>
    <x v="2"/>
    <x v="0"/>
  </r>
  <r>
    <x v="60"/>
    <x v="5"/>
    <n v="14686"/>
    <x v="2"/>
    <x v="2"/>
    <x v="1"/>
    <x v="2"/>
    <x v="0"/>
  </r>
  <r>
    <x v="60"/>
    <x v="1"/>
    <n v="-2400"/>
    <x v="1"/>
    <x v="1"/>
    <x v="0"/>
    <x v="2"/>
    <x v="0"/>
  </r>
  <r>
    <x v="60"/>
    <x v="5"/>
    <n v="12050"/>
    <x v="2"/>
    <x v="2"/>
    <x v="1"/>
    <x v="2"/>
    <x v="0"/>
  </r>
  <r>
    <x v="60"/>
    <x v="4"/>
    <n v="-1375"/>
    <x v="1"/>
    <x v="1"/>
    <x v="0"/>
    <x v="2"/>
    <x v="0"/>
  </r>
  <r>
    <x v="60"/>
    <x v="0"/>
    <n v="-3457"/>
    <x v="0"/>
    <x v="0"/>
    <x v="0"/>
    <x v="2"/>
    <x v="0"/>
  </r>
  <r>
    <x v="60"/>
    <x v="4"/>
    <n v="-1179"/>
    <x v="1"/>
    <x v="1"/>
    <x v="0"/>
    <x v="2"/>
    <x v="0"/>
  </r>
  <r>
    <x v="61"/>
    <x v="4"/>
    <n v="-1283"/>
    <x v="1"/>
    <x v="1"/>
    <x v="0"/>
    <x v="2"/>
    <x v="0"/>
  </r>
  <r>
    <x v="61"/>
    <x v="2"/>
    <n v="11622"/>
    <x v="2"/>
    <x v="2"/>
    <x v="1"/>
    <x v="2"/>
    <x v="0"/>
  </r>
  <r>
    <x v="61"/>
    <x v="21"/>
    <n v="-1429"/>
    <x v="1"/>
    <x v="1"/>
    <x v="0"/>
    <x v="2"/>
    <x v="0"/>
  </r>
  <r>
    <x v="61"/>
    <x v="0"/>
    <n v="-4920"/>
    <x v="0"/>
    <x v="0"/>
    <x v="0"/>
    <x v="2"/>
    <x v="0"/>
  </r>
  <r>
    <x v="61"/>
    <x v="0"/>
    <n v="-2722"/>
    <x v="0"/>
    <x v="0"/>
    <x v="0"/>
    <x v="2"/>
    <x v="0"/>
  </r>
  <r>
    <x v="61"/>
    <x v="0"/>
    <n v="-4883"/>
    <x v="0"/>
    <x v="0"/>
    <x v="0"/>
    <x v="2"/>
    <x v="0"/>
  </r>
  <r>
    <x v="61"/>
    <x v="5"/>
    <n v="12832"/>
    <x v="2"/>
    <x v="2"/>
    <x v="1"/>
    <x v="2"/>
    <x v="0"/>
  </r>
  <r>
    <x v="61"/>
    <x v="4"/>
    <n v="-1124"/>
    <x v="1"/>
    <x v="1"/>
    <x v="0"/>
    <x v="2"/>
    <x v="0"/>
  </r>
  <r>
    <x v="61"/>
    <x v="54"/>
    <n v="-2169"/>
    <x v="3"/>
    <x v="8"/>
    <x v="0"/>
    <x v="2"/>
    <x v="0"/>
  </r>
  <r>
    <x v="61"/>
    <x v="6"/>
    <n v="-1431"/>
    <x v="1"/>
    <x v="4"/>
    <x v="0"/>
    <x v="2"/>
    <x v="0"/>
  </r>
  <r>
    <x v="61"/>
    <x v="5"/>
    <n v="11303"/>
    <x v="2"/>
    <x v="2"/>
    <x v="1"/>
    <x v="2"/>
    <x v="0"/>
  </r>
  <r>
    <x v="61"/>
    <x v="2"/>
    <n v="14855"/>
    <x v="2"/>
    <x v="2"/>
    <x v="1"/>
    <x v="2"/>
    <x v="0"/>
  </r>
  <r>
    <x v="61"/>
    <x v="2"/>
    <n v="11755"/>
    <x v="2"/>
    <x v="2"/>
    <x v="1"/>
    <x v="2"/>
    <x v="0"/>
  </r>
  <r>
    <x v="61"/>
    <x v="21"/>
    <n v="-1230"/>
    <x v="1"/>
    <x v="1"/>
    <x v="0"/>
    <x v="2"/>
    <x v="0"/>
  </r>
  <r>
    <x v="61"/>
    <x v="21"/>
    <n v="-1998"/>
    <x v="1"/>
    <x v="1"/>
    <x v="0"/>
    <x v="2"/>
    <x v="0"/>
  </r>
  <r>
    <x v="61"/>
    <x v="17"/>
    <n v="-1596"/>
    <x v="3"/>
    <x v="5"/>
    <x v="0"/>
    <x v="2"/>
    <x v="0"/>
  </r>
  <r>
    <x v="61"/>
    <x v="5"/>
    <n v="14016"/>
    <x v="2"/>
    <x v="2"/>
    <x v="1"/>
    <x v="2"/>
    <x v="0"/>
  </r>
  <r>
    <x v="61"/>
    <x v="41"/>
    <n v="-1773"/>
    <x v="3"/>
    <x v="3"/>
    <x v="0"/>
    <x v="2"/>
    <x v="0"/>
  </r>
  <r>
    <x v="62"/>
    <x v="55"/>
    <n v="-1628"/>
    <x v="3"/>
    <x v="5"/>
    <x v="0"/>
    <x v="2"/>
    <x v="0"/>
  </r>
  <r>
    <x v="62"/>
    <x v="5"/>
    <n v="10416"/>
    <x v="2"/>
    <x v="2"/>
    <x v="1"/>
    <x v="2"/>
    <x v="0"/>
  </r>
  <r>
    <x v="62"/>
    <x v="50"/>
    <n v="-1920"/>
    <x v="3"/>
    <x v="3"/>
    <x v="0"/>
    <x v="2"/>
    <x v="0"/>
  </r>
  <r>
    <x v="62"/>
    <x v="2"/>
    <n v="13462"/>
    <x v="2"/>
    <x v="2"/>
    <x v="1"/>
    <x v="2"/>
    <x v="0"/>
  </r>
  <r>
    <x v="62"/>
    <x v="4"/>
    <n v="-2044"/>
    <x v="1"/>
    <x v="1"/>
    <x v="0"/>
    <x v="2"/>
    <x v="0"/>
  </r>
  <r>
    <x v="62"/>
    <x v="5"/>
    <n v="10926"/>
    <x v="2"/>
    <x v="2"/>
    <x v="1"/>
    <x v="2"/>
    <x v="0"/>
  </r>
  <r>
    <x v="62"/>
    <x v="2"/>
    <n v="12501"/>
    <x v="2"/>
    <x v="2"/>
    <x v="1"/>
    <x v="2"/>
    <x v="0"/>
  </r>
  <r>
    <x v="62"/>
    <x v="5"/>
    <n v="13063"/>
    <x v="2"/>
    <x v="2"/>
    <x v="1"/>
    <x v="2"/>
    <x v="0"/>
  </r>
  <r>
    <x v="62"/>
    <x v="2"/>
    <n v="14069"/>
    <x v="2"/>
    <x v="2"/>
    <x v="1"/>
    <x v="2"/>
    <x v="0"/>
  </r>
  <r>
    <x v="62"/>
    <x v="9"/>
    <n v="-1185"/>
    <x v="3"/>
    <x v="5"/>
    <x v="0"/>
    <x v="2"/>
    <x v="0"/>
  </r>
  <r>
    <x v="62"/>
    <x v="21"/>
    <n v="-2003"/>
    <x v="1"/>
    <x v="1"/>
    <x v="0"/>
    <x v="2"/>
    <x v="0"/>
  </r>
  <r>
    <x v="62"/>
    <x v="5"/>
    <n v="11229"/>
    <x v="2"/>
    <x v="2"/>
    <x v="1"/>
    <x v="2"/>
    <x v="0"/>
  </r>
  <r>
    <x v="62"/>
    <x v="1"/>
    <n v="-1580"/>
    <x v="1"/>
    <x v="1"/>
    <x v="0"/>
    <x v="2"/>
    <x v="0"/>
  </r>
  <r>
    <x v="62"/>
    <x v="11"/>
    <n v="-1639"/>
    <x v="3"/>
    <x v="5"/>
    <x v="0"/>
    <x v="2"/>
    <x v="0"/>
  </r>
  <r>
    <x v="62"/>
    <x v="36"/>
    <n v="-1899"/>
    <x v="3"/>
    <x v="7"/>
    <x v="0"/>
    <x v="2"/>
    <x v="0"/>
  </r>
  <r>
    <x v="62"/>
    <x v="2"/>
    <n v="11644"/>
    <x v="2"/>
    <x v="2"/>
    <x v="1"/>
    <x v="2"/>
    <x v="0"/>
  </r>
  <r>
    <x v="63"/>
    <x v="21"/>
    <n v="-1871"/>
    <x v="1"/>
    <x v="1"/>
    <x v="0"/>
    <x v="2"/>
    <x v="0"/>
  </r>
  <r>
    <x v="63"/>
    <x v="48"/>
    <n v="-2317"/>
    <x v="3"/>
    <x v="7"/>
    <x v="0"/>
    <x v="2"/>
    <x v="0"/>
  </r>
  <r>
    <x v="63"/>
    <x v="4"/>
    <n v="-1044"/>
    <x v="1"/>
    <x v="1"/>
    <x v="0"/>
    <x v="2"/>
    <x v="0"/>
  </r>
  <r>
    <x v="63"/>
    <x v="50"/>
    <n v="-2446"/>
    <x v="3"/>
    <x v="3"/>
    <x v="0"/>
    <x v="2"/>
    <x v="0"/>
  </r>
  <r>
    <x v="63"/>
    <x v="1"/>
    <n v="-1540"/>
    <x v="1"/>
    <x v="1"/>
    <x v="0"/>
    <x v="2"/>
    <x v="0"/>
  </r>
  <r>
    <x v="63"/>
    <x v="32"/>
    <n v="-1620"/>
    <x v="3"/>
    <x v="9"/>
    <x v="0"/>
    <x v="2"/>
    <x v="0"/>
  </r>
  <r>
    <x v="63"/>
    <x v="51"/>
    <n v="-1052"/>
    <x v="3"/>
    <x v="5"/>
    <x v="0"/>
    <x v="2"/>
    <x v="0"/>
  </r>
  <r>
    <x v="63"/>
    <x v="4"/>
    <n v="-1212"/>
    <x v="1"/>
    <x v="1"/>
    <x v="0"/>
    <x v="2"/>
    <x v="0"/>
  </r>
  <r>
    <x v="63"/>
    <x v="23"/>
    <n v="-2348"/>
    <x v="3"/>
    <x v="5"/>
    <x v="0"/>
    <x v="2"/>
    <x v="0"/>
  </r>
  <r>
    <x v="63"/>
    <x v="0"/>
    <n v="-3347"/>
    <x v="0"/>
    <x v="0"/>
    <x v="0"/>
    <x v="2"/>
    <x v="0"/>
  </r>
  <r>
    <x v="63"/>
    <x v="17"/>
    <n v="-1688"/>
    <x v="3"/>
    <x v="5"/>
    <x v="0"/>
    <x v="2"/>
    <x v="0"/>
  </r>
  <r>
    <x v="63"/>
    <x v="4"/>
    <n v="-2221"/>
    <x v="1"/>
    <x v="1"/>
    <x v="0"/>
    <x v="2"/>
    <x v="0"/>
  </r>
  <r>
    <x v="63"/>
    <x v="31"/>
    <n v="-1894"/>
    <x v="3"/>
    <x v="11"/>
    <x v="0"/>
    <x v="2"/>
    <x v="0"/>
  </r>
  <r>
    <x v="63"/>
    <x v="4"/>
    <n v="-1918"/>
    <x v="1"/>
    <x v="1"/>
    <x v="0"/>
    <x v="2"/>
    <x v="0"/>
  </r>
  <r>
    <x v="63"/>
    <x v="21"/>
    <n v="-2456"/>
    <x v="1"/>
    <x v="1"/>
    <x v="0"/>
    <x v="2"/>
    <x v="0"/>
  </r>
  <r>
    <x v="63"/>
    <x v="5"/>
    <n v="12109"/>
    <x v="2"/>
    <x v="2"/>
    <x v="1"/>
    <x v="2"/>
    <x v="0"/>
  </r>
  <r>
    <x v="63"/>
    <x v="21"/>
    <n v="-1867"/>
    <x v="1"/>
    <x v="1"/>
    <x v="0"/>
    <x v="2"/>
    <x v="0"/>
  </r>
  <r>
    <x v="63"/>
    <x v="63"/>
    <n v="-1013"/>
    <x v="3"/>
    <x v="5"/>
    <x v="0"/>
    <x v="2"/>
    <x v="0"/>
  </r>
  <r>
    <x v="64"/>
    <x v="0"/>
    <n v="-3231"/>
    <x v="0"/>
    <x v="0"/>
    <x v="0"/>
    <x v="2"/>
    <x v="0"/>
  </r>
  <r>
    <x v="64"/>
    <x v="48"/>
    <n v="-1124"/>
    <x v="3"/>
    <x v="7"/>
    <x v="0"/>
    <x v="2"/>
    <x v="0"/>
  </r>
  <r>
    <x v="64"/>
    <x v="23"/>
    <n v="-2466"/>
    <x v="3"/>
    <x v="5"/>
    <x v="0"/>
    <x v="2"/>
    <x v="0"/>
  </r>
  <r>
    <x v="64"/>
    <x v="2"/>
    <n v="14287"/>
    <x v="2"/>
    <x v="2"/>
    <x v="1"/>
    <x v="2"/>
    <x v="0"/>
  </r>
  <r>
    <x v="64"/>
    <x v="5"/>
    <n v="14677"/>
    <x v="2"/>
    <x v="2"/>
    <x v="1"/>
    <x v="2"/>
    <x v="0"/>
  </r>
  <r>
    <x v="64"/>
    <x v="21"/>
    <n v="-2245"/>
    <x v="1"/>
    <x v="1"/>
    <x v="0"/>
    <x v="2"/>
    <x v="0"/>
  </r>
  <r>
    <x v="64"/>
    <x v="0"/>
    <n v="-2573"/>
    <x v="0"/>
    <x v="0"/>
    <x v="0"/>
    <x v="2"/>
    <x v="0"/>
  </r>
  <r>
    <x v="64"/>
    <x v="2"/>
    <n v="14025"/>
    <x v="2"/>
    <x v="2"/>
    <x v="1"/>
    <x v="2"/>
    <x v="0"/>
  </r>
  <r>
    <x v="64"/>
    <x v="62"/>
    <n v="-1128"/>
    <x v="3"/>
    <x v="11"/>
    <x v="0"/>
    <x v="2"/>
    <x v="0"/>
  </r>
  <r>
    <x v="64"/>
    <x v="5"/>
    <n v="14429"/>
    <x v="2"/>
    <x v="2"/>
    <x v="1"/>
    <x v="2"/>
    <x v="0"/>
  </r>
  <r>
    <x v="64"/>
    <x v="21"/>
    <n v="-1327"/>
    <x v="1"/>
    <x v="1"/>
    <x v="0"/>
    <x v="2"/>
    <x v="0"/>
  </r>
  <r>
    <x v="64"/>
    <x v="8"/>
    <n v="-1856"/>
    <x v="3"/>
    <x v="6"/>
    <x v="0"/>
    <x v="2"/>
    <x v="0"/>
  </r>
  <r>
    <x v="65"/>
    <x v="2"/>
    <n v="14735"/>
    <x v="2"/>
    <x v="2"/>
    <x v="1"/>
    <x v="2"/>
    <x v="0"/>
  </r>
  <r>
    <x v="65"/>
    <x v="21"/>
    <n v="-2057"/>
    <x v="1"/>
    <x v="1"/>
    <x v="0"/>
    <x v="2"/>
    <x v="0"/>
  </r>
  <r>
    <x v="65"/>
    <x v="0"/>
    <n v="-4391"/>
    <x v="0"/>
    <x v="0"/>
    <x v="0"/>
    <x v="2"/>
    <x v="0"/>
  </r>
  <r>
    <x v="65"/>
    <x v="41"/>
    <n v="-1767"/>
    <x v="3"/>
    <x v="3"/>
    <x v="0"/>
    <x v="2"/>
    <x v="0"/>
  </r>
  <r>
    <x v="65"/>
    <x v="5"/>
    <n v="14301"/>
    <x v="2"/>
    <x v="2"/>
    <x v="1"/>
    <x v="2"/>
    <x v="0"/>
  </r>
  <r>
    <x v="65"/>
    <x v="6"/>
    <n v="-1457"/>
    <x v="1"/>
    <x v="4"/>
    <x v="0"/>
    <x v="2"/>
    <x v="0"/>
  </r>
  <r>
    <x v="65"/>
    <x v="3"/>
    <n v="-1507"/>
    <x v="3"/>
    <x v="3"/>
    <x v="0"/>
    <x v="2"/>
    <x v="0"/>
  </r>
  <r>
    <x v="65"/>
    <x v="16"/>
    <n v="-1842"/>
    <x v="3"/>
    <x v="9"/>
    <x v="0"/>
    <x v="2"/>
    <x v="0"/>
  </r>
  <r>
    <x v="65"/>
    <x v="47"/>
    <n v="-1781"/>
    <x v="3"/>
    <x v="8"/>
    <x v="0"/>
    <x v="2"/>
    <x v="0"/>
  </r>
  <r>
    <x v="65"/>
    <x v="6"/>
    <n v="-1786"/>
    <x v="1"/>
    <x v="4"/>
    <x v="0"/>
    <x v="2"/>
    <x v="0"/>
  </r>
  <r>
    <x v="65"/>
    <x v="21"/>
    <n v="-2389"/>
    <x v="1"/>
    <x v="1"/>
    <x v="0"/>
    <x v="2"/>
    <x v="0"/>
  </r>
  <r>
    <x v="65"/>
    <x v="1"/>
    <n v="-1293"/>
    <x v="1"/>
    <x v="1"/>
    <x v="0"/>
    <x v="2"/>
    <x v="0"/>
  </r>
  <r>
    <x v="65"/>
    <x v="5"/>
    <n v="10560"/>
    <x v="2"/>
    <x v="2"/>
    <x v="1"/>
    <x v="2"/>
    <x v="0"/>
  </r>
  <r>
    <x v="65"/>
    <x v="6"/>
    <n v="-1179"/>
    <x v="1"/>
    <x v="4"/>
    <x v="0"/>
    <x v="2"/>
    <x v="0"/>
  </r>
  <r>
    <x v="65"/>
    <x v="46"/>
    <n v="-1368"/>
    <x v="3"/>
    <x v="11"/>
    <x v="0"/>
    <x v="2"/>
    <x v="0"/>
  </r>
  <r>
    <x v="65"/>
    <x v="0"/>
    <n v="-3792"/>
    <x v="0"/>
    <x v="0"/>
    <x v="0"/>
    <x v="2"/>
    <x v="0"/>
  </r>
  <r>
    <x v="65"/>
    <x v="1"/>
    <n v="-1996"/>
    <x v="1"/>
    <x v="1"/>
    <x v="0"/>
    <x v="2"/>
    <x v="0"/>
  </r>
  <r>
    <x v="65"/>
    <x v="5"/>
    <n v="13516"/>
    <x v="2"/>
    <x v="2"/>
    <x v="1"/>
    <x v="2"/>
    <x v="0"/>
  </r>
  <r>
    <x v="65"/>
    <x v="6"/>
    <n v="-1418"/>
    <x v="1"/>
    <x v="4"/>
    <x v="0"/>
    <x v="2"/>
    <x v="0"/>
  </r>
  <r>
    <x v="65"/>
    <x v="23"/>
    <n v="-1939"/>
    <x v="3"/>
    <x v="5"/>
    <x v="0"/>
    <x v="2"/>
    <x v="0"/>
  </r>
  <r>
    <x v="66"/>
    <x v="6"/>
    <n v="-1970"/>
    <x v="1"/>
    <x v="4"/>
    <x v="0"/>
    <x v="2"/>
    <x v="0"/>
  </r>
  <r>
    <x v="66"/>
    <x v="30"/>
    <n v="-1432"/>
    <x v="4"/>
    <x v="13"/>
    <x v="0"/>
    <x v="2"/>
    <x v="0"/>
  </r>
  <r>
    <x v="66"/>
    <x v="35"/>
    <n v="-1220"/>
    <x v="3"/>
    <x v="10"/>
    <x v="0"/>
    <x v="2"/>
    <x v="0"/>
  </r>
  <r>
    <x v="66"/>
    <x v="1"/>
    <n v="-1286"/>
    <x v="1"/>
    <x v="1"/>
    <x v="0"/>
    <x v="2"/>
    <x v="0"/>
  </r>
  <r>
    <x v="66"/>
    <x v="12"/>
    <n v="-1489"/>
    <x v="3"/>
    <x v="3"/>
    <x v="0"/>
    <x v="2"/>
    <x v="0"/>
  </r>
  <r>
    <x v="66"/>
    <x v="0"/>
    <n v="-4899"/>
    <x v="0"/>
    <x v="0"/>
    <x v="0"/>
    <x v="2"/>
    <x v="0"/>
  </r>
  <r>
    <x v="66"/>
    <x v="1"/>
    <n v="-1069"/>
    <x v="1"/>
    <x v="1"/>
    <x v="0"/>
    <x v="2"/>
    <x v="0"/>
  </r>
  <r>
    <x v="66"/>
    <x v="40"/>
    <n v="-2421"/>
    <x v="3"/>
    <x v="9"/>
    <x v="0"/>
    <x v="2"/>
    <x v="0"/>
  </r>
  <r>
    <x v="66"/>
    <x v="4"/>
    <n v="-1156"/>
    <x v="1"/>
    <x v="1"/>
    <x v="0"/>
    <x v="2"/>
    <x v="0"/>
  </r>
  <r>
    <x v="66"/>
    <x v="2"/>
    <n v="10423"/>
    <x v="2"/>
    <x v="2"/>
    <x v="1"/>
    <x v="2"/>
    <x v="0"/>
  </r>
  <r>
    <x v="66"/>
    <x v="1"/>
    <n v="-2325"/>
    <x v="1"/>
    <x v="1"/>
    <x v="0"/>
    <x v="2"/>
    <x v="0"/>
  </r>
  <r>
    <x v="66"/>
    <x v="2"/>
    <n v="13338"/>
    <x v="2"/>
    <x v="2"/>
    <x v="1"/>
    <x v="2"/>
    <x v="0"/>
  </r>
  <r>
    <x v="66"/>
    <x v="21"/>
    <n v="-1261"/>
    <x v="1"/>
    <x v="1"/>
    <x v="0"/>
    <x v="2"/>
    <x v="0"/>
  </r>
  <r>
    <x v="66"/>
    <x v="1"/>
    <n v="-2381"/>
    <x v="1"/>
    <x v="1"/>
    <x v="0"/>
    <x v="2"/>
    <x v="0"/>
  </r>
  <r>
    <x v="67"/>
    <x v="2"/>
    <n v="14760"/>
    <x v="2"/>
    <x v="2"/>
    <x v="1"/>
    <x v="2"/>
    <x v="0"/>
  </r>
  <r>
    <x v="67"/>
    <x v="47"/>
    <n v="-2029"/>
    <x v="3"/>
    <x v="8"/>
    <x v="0"/>
    <x v="2"/>
    <x v="0"/>
  </r>
  <r>
    <x v="67"/>
    <x v="43"/>
    <n v="-1738"/>
    <x v="3"/>
    <x v="5"/>
    <x v="0"/>
    <x v="2"/>
    <x v="0"/>
  </r>
  <r>
    <x v="67"/>
    <x v="18"/>
    <n v="-1717"/>
    <x v="3"/>
    <x v="5"/>
    <x v="0"/>
    <x v="2"/>
    <x v="0"/>
  </r>
  <r>
    <x v="67"/>
    <x v="57"/>
    <n v="-1113"/>
    <x v="3"/>
    <x v="5"/>
    <x v="0"/>
    <x v="2"/>
    <x v="0"/>
  </r>
  <r>
    <x v="67"/>
    <x v="51"/>
    <n v="-2355"/>
    <x v="3"/>
    <x v="5"/>
    <x v="0"/>
    <x v="2"/>
    <x v="0"/>
  </r>
  <r>
    <x v="67"/>
    <x v="35"/>
    <n v="-1907"/>
    <x v="3"/>
    <x v="10"/>
    <x v="0"/>
    <x v="2"/>
    <x v="0"/>
  </r>
  <r>
    <x v="67"/>
    <x v="3"/>
    <n v="-1009"/>
    <x v="3"/>
    <x v="3"/>
    <x v="0"/>
    <x v="2"/>
    <x v="0"/>
  </r>
  <r>
    <x v="67"/>
    <x v="2"/>
    <n v="12127"/>
    <x v="2"/>
    <x v="2"/>
    <x v="1"/>
    <x v="2"/>
    <x v="0"/>
  </r>
  <r>
    <x v="67"/>
    <x v="1"/>
    <n v="-1080"/>
    <x v="1"/>
    <x v="1"/>
    <x v="0"/>
    <x v="2"/>
    <x v="0"/>
  </r>
  <r>
    <x v="67"/>
    <x v="56"/>
    <n v="1006"/>
    <x v="4"/>
    <x v="15"/>
    <x v="0"/>
    <x v="2"/>
    <x v="0"/>
  </r>
  <r>
    <x v="67"/>
    <x v="0"/>
    <n v="-3220"/>
    <x v="0"/>
    <x v="0"/>
    <x v="0"/>
    <x v="2"/>
    <x v="0"/>
  </r>
  <r>
    <x v="67"/>
    <x v="31"/>
    <n v="-2423"/>
    <x v="3"/>
    <x v="11"/>
    <x v="0"/>
    <x v="2"/>
    <x v="0"/>
  </r>
  <r>
    <x v="67"/>
    <x v="21"/>
    <n v="-1986"/>
    <x v="1"/>
    <x v="1"/>
    <x v="0"/>
    <x v="2"/>
    <x v="0"/>
  </r>
  <r>
    <x v="68"/>
    <x v="4"/>
    <n v="-1014"/>
    <x v="1"/>
    <x v="1"/>
    <x v="0"/>
    <x v="2"/>
    <x v="0"/>
  </r>
  <r>
    <x v="68"/>
    <x v="46"/>
    <n v="-1275"/>
    <x v="3"/>
    <x v="11"/>
    <x v="0"/>
    <x v="2"/>
    <x v="0"/>
  </r>
  <r>
    <x v="68"/>
    <x v="6"/>
    <n v="-2047"/>
    <x v="1"/>
    <x v="4"/>
    <x v="0"/>
    <x v="2"/>
    <x v="0"/>
  </r>
  <r>
    <x v="68"/>
    <x v="4"/>
    <n v="-1481"/>
    <x v="1"/>
    <x v="1"/>
    <x v="0"/>
    <x v="2"/>
    <x v="0"/>
  </r>
  <r>
    <x v="68"/>
    <x v="54"/>
    <n v="-1450"/>
    <x v="3"/>
    <x v="8"/>
    <x v="0"/>
    <x v="2"/>
    <x v="0"/>
  </r>
  <r>
    <x v="68"/>
    <x v="1"/>
    <n v="-1305"/>
    <x v="1"/>
    <x v="1"/>
    <x v="0"/>
    <x v="2"/>
    <x v="0"/>
  </r>
  <r>
    <x v="68"/>
    <x v="17"/>
    <n v="-1244"/>
    <x v="3"/>
    <x v="5"/>
    <x v="0"/>
    <x v="2"/>
    <x v="0"/>
  </r>
  <r>
    <x v="68"/>
    <x v="6"/>
    <n v="-2051"/>
    <x v="1"/>
    <x v="4"/>
    <x v="0"/>
    <x v="2"/>
    <x v="0"/>
  </r>
  <r>
    <x v="69"/>
    <x v="21"/>
    <n v="-1957"/>
    <x v="1"/>
    <x v="1"/>
    <x v="0"/>
    <x v="2"/>
    <x v="0"/>
  </r>
  <r>
    <x v="69"/>
    <x v="2"/>
    <n v="12867"/>
    <x v="2"/>
    <x v="2"/>
    <x v="1"/>
    <x v="2"/>
    <x v="0"/>
  </r>
  <r>
    <x v="69"/>
    <x v="21"/>
    <n v="-1187"/>
    <x v="1"/>
    <x v="1"/>
    <x v="0"/>
    <x v="2"/>
    <x v="0"/>
  </r>
  <r>
    <x v="69"/>
    <x v="6"/>
    <n v="-2140"/>
    <x v="1"/>
    <x v="4"/>
    <x v="0"/>
    <x v="2"/>
    <x v="0"/>
  </r>
  <r>
    <x v="69"/>
    <x v="45"/>
    <n v="-1687"/>
    <x v="3"/>
    <x v="5"/>
    <x v="0"/>
    <x v="2"/>
    <x v="0"/>
  </r>
  <r>
    <x v="69"/>
    <x v="15"/>
    <n v="-1318"/>
    <x v="3"/>
    <x v="6"/>
    <x v="0"/>
    <x v="2"/>
    <x v="0"/>
  </r>
  <r>
    <x v="69"/>
    <x v="6"/>
    <n v="-2202"/>
    <x v="1"/>
    <x v="4"/>
    <x v="0"/>
    <x v="2"/>
    <x v="0"/>
  </r>
  <r>
    <x v="69"/>
    <x v="6"/>
    <n v="-1857"/>
    <x v="1"/>
    <x v="4"/>
    <x v="0"/>
    <x v="2"/>
    <x v="0"/>
  </r>
  <r>
    <x v="70"/>
    <x v="1"/>
    <n v="-1345"/>
    <x v="1"/>
    <x v="1"/>
    <x v="0"/>
    <x v="2"/>
    <x v="0"/>
  </r>
  <r>
    <x v="70"/>
    <x v="11"/>
    <n v="-1923"/>
    <x v="3"/>
    <x v="5"/>
    <x v="0"/>
    <x v="2"/>
    <x v="0"/>
  </r>
  <r>
    <x v="70"/>
    <x v="0"/>
    <n v="-3496"/>
    <x v="0"/>
    <x v="0"/>
    <x v="0"/>
    <x v="2"/>
    <x v="0"/>
  </r>
  <r>
    <x v="70"/>
    <x v="35"/>
    <n v="-1133"/>
    <x v="3"/>
    <x v="10"/>
    <x v="0"/>
    <x v="2"/>
    <x v="0"/>
  </r>
  <r>
    <x v="70"/>
    <x v="29"/>
    <n v="-1852"/>
    <x v="3"/>
    <x v="7"/>
    <x v="0"/>
    <x v="2"/>
    <x v="0"/>
  </r>
  <r>
    <x v="70"/>
    <x v="3"/>
    <n v="-2194"/>
    <x v="3"/>
    <x v="3"/>
    <x v="0"/>
    <x v="2"/>
    <x v="0"/>
  </r>
  <r>
    <x v="70"/>
    <x v="4"/>
    <n v="-1198"/>
    <x v="1"/>
    <x v="1"/>
    <x v="0"/>
    <x v="2"/>
    <x v="0"/>
  </r>
  <r>
    <x v="70"/>
    <x v="4"/>
    <n v="-1433"/>
    <x v="1"/>
    <x v="1"/>
    <x v="0"/>
    <x v="2"/>
    <x v="0"/>
  </r>
  <r>
    <x v="70"/>
    <x v="6"/>
    <n v="-1699"/>
    <x v="1"/>
    <x v="4"/>
    <x v="0"/>
    <x v="2"/>
    <x v="0"/>
  </r>
  <r>
    <x v="70"/>
    <x v="2"/>
    <n v="14837"/>
    <x v="2"/>
    <x v="2"/>
    <x v="1"/>
    <x v="2"/>
    <x v="0"/>
  </r>
  <r>
    <x v="70"/>
    <x v="21"/>
    <n v="-1362"/>
    <x v="1"/>
    <x v="1"/>
    <x v="0"/>
    <x v="2"/>
    <x v="0"/>
  </r>
  <r>
    <x v="70"/>
    <x v="0"/>
    <n v="-4711"/>
    <x v="0"/>
    <x v="0"/>
    <x v="0"/>
    <x v="2"/>
    <x v="0"/>
  </r>
  <r>
    <x v="70"/>
    <x v="0"/>
    <n v="-3980"/>
    <x v="0"/>
    <x v="0"/>
    <x v="0"/>
    <x v="2"/>
    <x v="0"/>
  </r>
  <r>
    <x v="70"/>
    <x v="6"/>
    <n v="-1692"/>
    <x v="1"/>
    <x v="4"/>
    <x v="0"/>
    <x v="2"/>
    <x v="0"/>
  </r>
  <r>
    <x v="70"/>
    <x v="0"/>
    <n v="-4072"/>
    <x v="0"/>
    <x v="0"/>
    <x v="0"/>
    <x v="2"/>
    <x v="0"/>
  </r>
  <r>
    <x v="70"/>
    <x v="5"/>
    <n v="10604"/>
    <x v="2"/>
    <x v="2"/>
    <x v="1"/>
    <x v="2"/>
    <x v="0"/>
  </r>
  <r>
    <x v="71"/>
    <x v="43"/>
    <n v="-1660"/>
    <x v="3"/>
    <x v="5"/>
    <x v="0"/>
    <x v="2"/>
    <x v="0"/>
  </r>
  <r>
    <x v="71"/>
    <x v="18"/>
    <n v="-1713"/>
    <x v="3"/>
    <x v="5"/>
    <x v="0"/>
    <x v="2"/>
    <x v="0"/>
  </r>
  <r>
    <x v="71"/>
    <x v="50"/>
    <n v="-1598"/>
    <x v="3"/>
    <x v="3"/>
    <x v="0"/>
    <x v="2"/>
    <x v="0"/>
  </r>
  <r>
    <x v="71"/>
    <x v="4"/>
    <n v="-1846"/>
    <x v="1"/>
    <x v="1"/>
    <x v="0"/>
    <x v="2"/>
    <x v="0"/>
  </r>
  <r>
    <x v="71"/>
    <x v="2"/>
    <n v="12607"/>
    <x v="2"/>
    <x v="2"/>
    <x v="1"/>
    <x v="2"/>
    <x v="0"/>
  </r>
  <r>
    <x v="71"/>
    <x v="2"/>
    <n v="14657"/>
    <x v="2"/>
    <x v="2"/>
    <x v="1"/>
    <x v="2"/>
    <x v="0"/>
  </r>
  <r>
    <x v="71"/>
    <x v="2"/>
    <n v="12047"/>
    <x v="2"/>
    <x v="2"/>
    <x v="1"/>
    <x v="2"/>
    <x v="0"/>
  </r>
  <r>
    <x v="71"/>
    <x v="0"/>
    <n v="-2679"/>
    <x v="0"/>
    <x v="0"/>
    <x v="0"/>
    <x v="2"/>
    <x v="0"/>
  </r>
  <r>
    <x v="71"/>
    <x v="32"/>
    <n v="-2230"/>
    <x v="3"/>
    <x v="9"/>
    <x v="0"/>
    <x v="2"/>
    <x v="0"/>
  </r>
  <r>
    <x v="71"/>
    <x v="6"/>
    <n v="-1716"/>
    <x v="1"/>
    <x v="4"/>
    <x v="0"/>
    <x v="2"/>
    <x v="0"/>
  </r>
  <r>
    <x v="71"/>
    <x v="29"/>
    <n v="-1170"/>
    <x v="3"/>
    <x v="7"/>
    <x v="0"/>
    <x v="2"/>
    <x v="0"/>
  </r>
  <r>
    <x v="71"/>
    <x v="5"/>
    <n v="13228"/>
    <x v="2"/>
    <x v="2"/>
    <x v="1"/>
    <x v="2"/>
    <x v="0"/>
  </r>
  <r>
    <x v="71"/>
    <x v="2"/>
    <n v="11741"/>
    <x v="2"/>
    <x v="2"/>
    <x v="1"/>
    <x v="2"/>
    <x v="0"/>
  </r>
  <r>
    <x v="71"/>
    <x v="36"/>
    <n v="-2259"/>
    <x v="3"/>
    <x v="7"/>
    <x v="0"/>
    <x v="2"/>
    <x v="0"/>
  </r>
  <r>
    <x v="71"/>
    <x v="33"/>
    <n v="-1532"/>
    <x v="3"/>
    <x v="3"/>
    <x v="0"/>
    <x v="2"/>
    <x v="0"/>
  </r>
  <r>
    <x v="71"/>
    <x v="41"/>
    <n v="-1880"/>
    <x v="3"/>
    <x v="3"/>
    <x v="0"/>
    <x v="2"/>
    <x v="0"/>
  </r>
  <r>
    <x v="71"/>
    <x v="28"/>
    <n v="-1821"/>
    <x v="4"/>
    <x v="12"/>
    <x v="0"/>
    <x v="2"/>
    <x v="0"/>
  </r>
  <r>
    <x v="71"/>
    <x v="5"/>
    <n v="11270"/>
    <x v="2"/>
    <x v="2"/>
    <x v="1"/>
    <x v="2"/>
    <x v="0"/>
  </r>
  <r>
    <x v="71"/>
    <x v="5"/>
    <n v="12773"/>
    <x v="2"/>
    <x v="2"/>
    <x v="1"/>
    <x v="2"/>
    <x v="0"/>
  </r>
  <r>
    <x v="71"/>
    <x v="6"/>
    <n v="-1429"/>
    <x v="1"/>
    <x v="4"/>
    <x v="0"/>
    <x v="2"/>
    <x v="0"/>
  </r>
  <r>
    <x v="71"/>
    <x v="1"/>
    <n v="-1250"/>
    <x v="1"/>
    <x v="1"/>
    <x v="0"/>
    <x v="2"/>
    <x v="0"/>
  </r>
  <r>
    <x v="71"/>
    <x v="16"/>
    <n v="-2500"/>
    <x v="3"/>
    <x v="9"/>
    <x v="0"/>
    <x v="2"/>
    <x v="0"/>
  </r>
  <r>
    <x v="71"/>
    <x v="26"/>
    <n v="-2414"/>
    <x v="3"/>
    <x v="11"/>
    <x v="0"/>
    <x v="2"/>
    <x v="0"/>
  </r>
  <r>
    <x v="71"/>
    <x v="0"/>
    <n v="-3384"/>
    <x v="0"/>
    <x v="0"/>
    <x v="0"/>
    <x v="2"/>
    <x v="0"/>
  </r>
  <r>
    <x v="71"/>
    <x v="59"/>
    <n v="-1231"/>
    <x v="3"/>
    <x v="5"/>
    <x v="0"/>
    <x v="2"/>
    <x v="0"/>
  </r>
  <r>
    <x v="71"/>
    <x v="0"/>
    <n v="-4343"/>
    <x v="0"/>
    <x v="0"/>
    <x v="0"/>
    <x v="2"/>
    <x v="0"/>
  </r>
  <r>
    <x v="72"/>
    <x v="6"/>
    <n v="-1774"/>
    <x v="1"/>
    <x v="4"/>
    <x v="0"/>
    <x v="2"/>
    <x v="0"/>
  </r>
  <r>
    <x v="72"/>
    <x v="0"/>
    <n v="-3657"/>
    <x v="0"/>
    <x v="0"/>
    <x v="0"/>
    <x v="2"/>
    <x v="0"/>
  </r>
  <r>
    <x v="72"/>
    <x v="21"/>
    <n v="-1985"/>
    <x v="1"/>
    <x v="1"/>
    <x v="0"/>
    <x v="2"/>
    <x v="0"/>
  </r>
  <r>
    <x v="72"/>
    <x v="7"/>
    <n v="-1842"/>
    <x v="3"/>
    <x v="5"/>
    <x v="0"/>
    <x v="2"/>
    <x v="0"/>
  </r>
  <r>
    <x v="72"/>
    <x v="6"/>
    <n v="-1083"/>
    <x v="1"/>
    <x v="4"/>
    <x v="0"/>
    <x v="2"/>
    <x v="0"/>
  </r>
  <r>
    <x v="72"/>
    <x v="6"/>
    <n v="-2252"/>
    <x v="1"/>
    <x v="4"/>
    <x v="0"/>
    <x v="2"/>
    <x v="0"/>
  </r>
  <r>
    <x v="72"/>
    <x v="24"/>
    <n v="-1579"/>
    <x v="3"/>
    <x v="6"/>
    <x v="0"/>
    <x v="2"/>
    <x v="0"/>
  </r>
  <r>
    <x v="72"/>
    <x v="4"/>
    <n v="-1059"/>
    <x v="1"/>
    <x v="1"/>
    <x v="0"/>
    <x v="2"/>
    <x v="0"/>
  </r>
  <r>
    <x v="72"/>
    <x v="6"/>
    <n v="-1013"/>
    <x v="1"/>
    <x v="4"/>
    <x v="0"/>
    <x v="2"/>
    <x v="0"/>
  </r>
  <r>
    <x v="72"/>
    <x v="21"/>
    <n v="-1718"/>
    <x v="1"/>
    <x v="1"/>
    <x v="0"/>
    <x v="2"/>
    <x v="0"/>
  </r>
  <r>
    <x v="72"/>
    <x v="34"/>
    <n v="-2453"/>
    <x v="3"/>
    <x v="3"/>
    <x v="0"/>
    <x v="2"/>
    <x v="0"/>
  </r>
  <r>
    <x v="72"/>
    <x v="1"/>
    <n v="-1306"/>
    <x v="1"/>
    <x v="1"/>
    <x v="0"/>
    <x v="2"/>
    <x v="0"/>
  </r>
  <r>
    <x v="72"/>
    <x v="47"/>
    <n v="-1825"/>
    <x v="3"/>
    <x v="8"/>
    <x v="0"/>
    <x v="2"/>
    <x v="0"/>
  </r>
  <r>
    <x v="72"/>
    <x v="9"/>
    <n v="-2472"/>
    <x v="3"/>
    <x v="5"/>
    <x v="0"/>
    <x v="2"/>
    <x v="0"/>
  </r>
  <r>
    <x v="73"/>
    <x v="5"/>
    <n v="11124"/>
    <x v="2"/>
    <x v="2"/>
    <x v="1"/>
    <x v="2"/>
    <x v="0"/>
  </r>
  <r>
    <x v="73"/>
    <x v="5"/>
    <n v="12952"/>
    <x v="2"/>
    <x v="2"/>
    <x v="1"/>
    <x v="2"/>
    <x v="0"/>
  </r>
  <r>
    <x v="73"/>
    <x v="30"/>
    <n v="-2457"/>
    <x v="4"/>
    <x v="13"/>
    <x v="0"/>
    <x v="2"/>
    <x v="0"/>
  </r>
  <r>
    <x v="73"/>
    <x v="35"/>
    <n v="-1182"/>
    <x v="3"/>
    <x v="10"/>
    <x v="0"/>
    <x v="2"/>
    <x v="0"/>
  </r>
  <r>
    <x v="73"/>
    <x v="6"/>
    <n v="-1873"/>
    <x v="1"/>
    <x v="4"/>
    <x v="0"/>
    <x v="2"/>
    <x v="0"/>
  </r>
  <r>
    <x v="73"/>
    <x v="8"/>
    <n v="-1735"/>
    <x v="3"/>
    <x v="6"/>
    <x v="0"/>
    <x v="2"/>
    <x v="0"/>
  </r>
  <r>
    <x v="73"/>
    <x v="6"/>
    <n v="-1555"/>
    <x v="1"/>
    <x v="4"/>
    <x v="0"/>
    <x v="2"/>
    <x v="0"/>
  </r>
  <r>
    <x v="73"/>
    <x v="4"/>
    <n v="-1404"/>
    <x v="1"/>
    <x v="1"/>
    <x v="0"/>
    <x v="2"/>
    <x v="0"/>
  </r>
  <r>
    <x v="73"/>
    <x v="14"/>
    <n v="-2154"/>
    <x v="3"/>
    <x v="8"/>
    <x v="0"/>
    <x v="2"/>
    <x v="0"/>
  </r>
  <r>
    <x v="73"/>
    <x v="11"/>
    <n v="-1655"/>
    <x v="3"/>
    <x v="5"/>
    <x v="0"/>
    <x v="2"/>
    <x v="0"/>
  </r>
  <r>
    <x v="73"/>
    <x v="2"/>
    <n v="13292"/>
    <x v="2"/>
    <x v="2"/>
    <x v="1"/>
    <x v="2"/>
    <x v="0"/>
  </r>
  <r>
    <x v="73"/>
    <x v="5"/>
    <n v="14561"/>
    <x v="2"/>
    <x v="2"/>
    <x v="1"/>
    <x v="2"/>
    <x v="0"/>
  </r>
  <r>
    <x v="73"/>
    <x v="0"/>
    <n v="-4543"/>
    <x v="0"/>
    <x v="0"/>
    <x v="0"/>
    <x v="2"/>
    <x v="0"/>
  </r>
  <r>
    <x v="73"/>
    <x v="6"/>
    <n v="-1712"/>
    <x v="1"/>
    <x v="4"/>
    <x v="0"/>
    <x v="2"/>
    <x v="0"/>
  </r>
  <r>
    <x v="73"/>
    <x v="21"/>
    <n v="-2103"/>
    <x v="1"/>
    <x v="1"/>
    <x v="0"/>
    <x v="2"/>
    <x v="0"/>
  </r>
  <r>
    <x v="73"/>
    <x v="0"/>
    <n v="-4760"/>
    <x v="0"/>
    <x v="0"/>
    <x v="0"/>
    <x v="2"/>
    <x v="0"/>
  </r>
  <r>
    <x v="73"/>
    <x v="6"/>
    <n v="-2218"/>
    <x v="1"/>
    <x v="4"/>
    <x v="0"/>
    <x v="2"/>
    <x v="0"/>
  </r>
  <r>
    <x v="73"/>
    <x v="30"/>
    <n v="-2144"/>
    <x v="4"/>
    <x v="13"/>
    <x v="0"/>
    <x v="2"/>
    <x v="0"/>
  </r>
  <r>
    <x v="73"/>
    <x v="2"/>
    <n v="10825"/>
    <x v="2"/>
    <x v="2"/>
    <x v="1"/>
    <x v="2"/>
    <x v="0"/>
  </r>
  <r>
    <x v="73"/>
    <x v="32"/>
    <n v="-1101"/>
    <x v="3"/>
    <x v="9"/>
    <x v="0"/>
    <x v="2"/>
    <x v="0"/>
  </r>
  <r>
    <x v="73"/>
    <x v="0"/>
    <n v="-3572"/>
    <x v="0"/>
    <x v="0"/>
    <x v="0"/>
    <x v="2"/>
    <x v="0"/>
  </r>
  <r>
    <x v="73"/>
    <x v="39"/>
    <n v="-1602"/>
    <x v="3"/>
    <x v="5"/>
    <x v="0"/>
    <x v="2"/>
    <x v="0"/>
  </r>
  <r>
    <x v="74"/>
    <x v="5"/>
    <n v="10547"/>
    <x v="2"/>
    <x v="2"/>
    <x v="1"/>
    <x v="2"/>
    <x v="0"/>
  </r>
  <r>
    <x v="74"/>
    <x v="0"/>
    <n v="-3827"/>
    <x v="0"/>
    <x v="0"/>
    <x v="0"/>
    <x v="2"/>
    <x v="0"/>
  </r>
  <r>
    <x v="74"/>
    <x v="50"/>
    <n v="-2157"/>
    <x v="3"/>
    <x v="3"/>
    <x v="0"/>
    <x v="2"/>
    <x v="0"/>
  </r>
  <r>
    <x v="74"/>
    <x v="2"/>
    <n v="11969"/>
    <x v="2"/>
    <x v="2"/>
    <x v="1"/>
    <x v="2"/>
    <x v="0"/>
  </r>
  <r>
    <x v="74"/>
    <x v="14"/>
    <n v="-1517"/>
    <x v="3"/>
    <x v="8"/>
    <x v="0"/>
    <x v="2"/>
    <x v="0"/>
  </r>
  <r>
    <x v="74"/>
    <x v="46"/>
    <n v="-1507"/>
    <x v="3"/>
    <x v="11"/>
    <x v="0"/>
    <x v="2"/>
    <x v="0"/>
  </r>
  <r>
    <x v="74"/>
    <x v="58"/>
    <n v="-1563"/>
    <x v="3"/>
    <x v="11"/>
    <x v="0"/>
    <x v="2"/>
    <x v="0"/>
  </r>
  <r>
    <x v="74"/>
    <x v="0"/>
    <n v="-4400"/>
    <x v="0"/>
    <x v="0"/>
    <x v="0"/>
    <x v="2"/>
    <x v="0"/>
  </r>
  <r>
    <x v="74"/>
    <x v="4"/>
    <n v="-2076"/>
    <x v="1"/>
    <x v="1"/>
    <x v="0"/>
    <x v="2"/>
    <x v="0"/>
  </r>
  <r>
    <x v="74"/>
    <x v="48"/>
    <n v="-1429"/>
    <x v="3"/>
    <x v="7"/>
    <x v="0"/>
    <x v="2"/>
    <x v="0"/>
  </r>
  <r>
    <x v="74"/>
    <x v="59"/>
    <n v="-1047"/>
    <x v="3"/>
    <x v="5"/>
    <x v="0"/>
    <x v="2"/>
    <x v="0"/>
  </r>
  <r>
    <x v="74"/>
    <x v="2"/>
    <n v="11984"/>
    <x v="2"/>
    <x v="2"/>
    <x v="1"/>
    <x v="2"/>
    <x v="0"/>
  </r>
  <r>
    <x v="74"/>
    <x v="27"/>
    <n v="-1321"/>
    <x v="3"/>
    <x v="5"/>
    <x v="0"/>
    <x v="2"/>
    <x v="0"/>
  </r>
  <r>
    <x v="74"/>
    <x v="29"/>
    <n v="-1455"/>
    <x v="3"/>
    <x v="7"/>
    <x v="0"/>
    <x v="2"/>
    <x v="0"/>
  </r>
  <r>
    <x v="74"/>
    <x v="0"/>
    <n v="-4199"/>
    <x v="0"/>
    <x v="0"/>
    <x v="0"/>
    <x v="2"/>
    <x v="0"/>
  </r>
  <r>
    <x v="74"/>
    <x v="0"/>
    <n v="-4124"/>
    <x v="0"/>
    <x v="0"/>
    <x v="0"/>
    <x v="2"/>
    <x v="0"/>
  </r>
  <r>
    <x v="75"/>
    <x v="4"/>
    <n v="-2277"/>
    <x v="1"/>
    <x v="1"/>
    <x v="0"/>
    <x v="2"/>
    <x v="0"/>
  </r>
  <r>
    <x v="75"/>
    <x v="6"/>
    <n v="-1844"/>
    <x v="1"/>
    <x v="4"/>
    <x v="0"/>
    <x v="2"/>
    <x v="0"/>
  </r>
  <r>
    <x v="75"/>
    <x v="2"/>
    <n v="10621"/>
    <x v="2"/>
    <x v="2"/>
    <x v="1"/>
    <x v="2"/>
    <x v="0"/>
  </r>
  <r>
    <x v="75"/>
    <x v="0"/>
    <n v="-3881"/>
    <x v="0"/>
    <x v="0"/>
    <x v="0"/>
    <x v="2"/>
    <x v="0"/>
  </r>
  <r>
    <x v="75"/>
    <x v="59"/>
    <n v="-1912"/>
    <x v="3"/>
    <x v="5"/>
    <x v="0"/>
    <x v="2"/>
    <x v="0"/>
  </r>
  <r>
    <x v="75"/>
    <x v="2"/>
    <n v="12090"/>
    <x v="2"/>
    <x v="2"/>
    <x v="1"/>
    <x v="2"/>
    <x v="0"/>
  </r>
  <r>
    <x v="75"/>
    <x v="51"/>
    <n v="-1109"/>
    <x v="3"/>
    <x v="5"/>
    <x v="0"/>
    <x v="2"/>
    <x v="0"/>
  </r>
  <r>
    <x v="75"/>
    <x v="1"/>
    <n v="-1934"/>
    <x v="1"/>
    <x v="1"/>
    <x v="0"/>
    <x v="2"/>
    <x v="0"/>
  </r>
  <r>
    <x v="75"/>
    <x v="14"/>
    <n v="-1666"/>
    <x v="3"/>
    <x v="8"/>
    <x v="0"/>
    <x v="2"/>
    <x v="0"/>
  </r>
  <r>
    <x v="75"/>
    <x v="2"/>
    <n v="14949"/>
    <x v="2"/>
    <x v="2"/>
    <x v="1"/>
    <x v="2"/>
    <x v="0"/>
  </r>
  <r>
    <x v="75"/>
    <x v="11"/>
    <n v="-2381"/>
    <x v="3"/>
    <x v="5"/>
    <x v="0"/>
    <x v="2"/>
    <x v="0"/>
  </r>
  <r>
    <x v="75"/>
    <x v="4"/>
    <n v="-2357"/>
    <x v="1"/>
    <x v="1"/>
    <x v="0"/>
    <x v="2"/>
    <x v="0"/>
  </r>
  <r>
    <x v="75"/>
    <x v="6"/>
    <n v="-1610"/>
    <x v="1"/>
    <x v="4"/>
    <x v="0"/>
    <x v="2"/>
    <x v="0"/>
  </r>
  <r>
    <x v="75"/>
    <x v="4"/>
    <n v="-1653"/>
    <x v="1"/>
    <x v="1"/>
    <x v="0"/>
    <x v="2"/>
    <x v="0"/>
  </r>
  <r>
    <x v="76"/>
    <x v="30"/>
    <n v="-1294"/>
    <x v="4"/>
    <x v="13"/>
    <x v="0"/>
    <x v="2"/>
    <x v="0"/>
  </r>
  <r>
    <x v="76"/>
    <x v="6"/>
    <n v="-2177"/>
    <x v="1"/>
    <x v="4"/>
    <x v="0"/>
    <x v="2"/>
    <x v="0"/>
  </r>
  <r>
    <x v="76"/>
    <x v="21"/>
    <n v="-1139"/>
    <x v="1"/>
    <x v="1"/>
    <x v="0"/>
    <x v="2"/>
    <x v="0"/>
  </r>
  <r>
    <x v="76"/>
    <x v="0"/>
    <n v="-4926"/>
    <x v="0"/>
    <x v="0"/>
    <x v="0"/>
    <x v="2"/>
    <x v="0"/>
  </r>
  <r>
    <x v="76"/>
    <x v="59"/>
    <n v="-2105"/>
    <x v="3"/>
    <x v="5"/>
    <x v="0"/>
    <x v="2"/>
    <x v="0"/>
  </r>
  <r>
    <x v="76"/>
    <x v="5"/>
    <n v="11049"/>
    <x v="2"/>
    <x v="2"/>
    <x v="1"/>
    <x v="2"/>
    <x v="0"/>
  </r>
  <r>
    <x v="76"/>
    <x v="1"/>
    <n v="-1299"/>
    <x v="1"/>
    <x v="1"/>
    <x v="0"/>
    <x v="2"/>
    <x v="0"/>
  </r>
  <r>
    <x v="76"/>
    <x v="52"/>
    <n v="-1496"/>
    <x v="3"/>
    <x v="3"/>
    <x v="0"/>
    <x v="2"/>
    <x v="0"/>
  </r>
  <r>
    <x v="76"/>
    <x v="2"/>
    <n v="11449"/>
    <x v="2"/>
    <x v="2"/>
    <x v="1"/>
    <x v="2"/>
    <x v="0"/>
  </r>
  <r>
    <x v="76"/>
    <x v="1"/>
    <n v="-1739"/>
    <x v="1"/>
    <x v="1"/>
    <x v="0"/>
    <x v="2"/>
    <x v="0"/>
  </r>
  <r>
    <x v="76"/>
    <x v="6"/>
    <n v="-1837"/>
    <x v="1"/>
    <x v="4"/>
    <x v="0"/>
    <x v="2"/>
    <x v="0"/>
  </r>
  <r>
    <x v="76"/>
    <x v="0"/>
    <n v="-4279"/>
    <x v="0"/>
    <x v="0"/>
    <x v="0"/>
    <x v="2"/>
    <x v="0"/>
  </r>
  <r>
    <x v="77"/>
    <x v="5"/>
    <n v="13973"/>
    <x v="2"/>
    <x v="2"/>
    <x v="1"/>
    <x v="2"/>
    <x v="0"/>
  </r>
  <r>
    <x v="77"/>
    <x v="2"/>
    <n v="10611"/>
    <x v="2"/>
    <x v="2"/>
    <x v="1"/>
    <x v="2"/>
    <x v="0"/>
  </r>
  <r>
    <x v="77"/>
    <x v="35"/>
    <n v="-1420"/>
    <x v="3"/>
    <x v="10"/>
    <x v="0"/>
    <x v="2"/>
    <x v="0"/>
  </r>
  <r>
    <x v="77"/>
    <x v="29"/>
    <n v="-1683"/>
    <x v="3"/>
    <x v="7"/>
    <x v="0"/>
    <x v="2"/>
    <x v="0"/>
  </r>
  <r>
    <x v="77"/>
    <x v="59"/>
    <n v="-2261"/>
    <x v="3"/>
    <x v="5"/>
    <x v="0"/>
    <x v="2"/>
    <x v="0"/>
  </r>
  <r>
    <x v="77"/>
    <x v="26"/>
    <n v="-2266"/>
    <x v="3"/>
    <x v="11"/>
    <x v="0"/>
    <x v="2"/>
    <x v="0"/>
  </r>
  <r>
    <x v="77"/>
    <x v="5"/>
    <n v="14863"/>
    <x v="2"/>
    <x v="2"/>
    <x v="1"/>
    <x v="2"/>
    <x v="0"/>
  </r>
  <r>
    <x v="77"/>
    <x v="21"/>
    <n v="-1780"/>
    <x v="1"/>
    <x v="1"/>
    <x v="0"/>
    <x v="2"/>
    <x v="0"/>
  </r>
  <r>
    <x v="77"/>
    <x v="0"/>
    <n v="-3806"/>
    <x v="0"/>
    <x v="0"/>
    <x v="0"/>
    <x v="2"/>
    <x v="0"/>
  </r>
  <r>
    <x v="77"/>
    <x v="9"/>
    <n v="-1643"/>
    <x v="3"/>
    <x v="5"/>
    <x v="0"/>
    <x v="2"/>
    <x v="0"/>
  </r>
  <r>
    <x v="77"/>
    <x v="45"/>
    <n v="-1781"/>
    <x v="3"/>
    <x v="5"/>
    <x v="0"/>
    <x v="2"/>
    <x v="0"/>
  </r>
  <r>
    <x v="77"/>
    <x v="1"/>
    <n v="-1636"/>
    <x v="1"/>
    <x v="1"/>
    <x v="0"/>
    <x v="2"/>
    <x v="0"/>
  </r>
  <r>
    <x v="78"/>
    <x v="26"/>
    <n v="-1129"/>
    <x v="3"/>
    <x v="11"/>
    <x v="0"/>
    <x v="2"/>
    <x v="0"/>
  </r>
  <r>
    <x v="78"/>
    <x v="19"/>
    <n v="-1491"/>
    <x v="3"/>
    <x v="8"/>
    <x v="0"/>
    <x v="2"/>
    <x v="0"/>
  </r>
  <r>
    <x v="78"/>
    <x v="0"/>
    <n v="-2761"/>
    <x v="0"/>
    <x v="0"/>
    <x v="0"/>
    <x v="2"/>
    <x v="0"/>
  </r>
  <r>
    <x v="78"/>
    <x v="2"/>
    <n v="14092"/>
    <x v="2"/>
    <x v="2"/>
    <x v="1"/>
    <x v="2"/>
    <x v="0"/>
  </r>
  <r>
    <x v="78"/>
    <x v="21"/>
    <n v="-1372"/>
    <x v="1"/>
    <x v="1"/>
    <x v="0"/>
    <x v="2"/>
    <x v="0"/>
  </r>
  <r>
    <x v="78"/>
    <x v="6"/>
    <n v="-1664"/>
    <x v="1"/>
    <x v="4"/>
    <x v="0"/>
    <x v="2"/>
    <x v="0"/>
  </r>
  <r>
    <x v="78"/>
    <x v="57"/>
    <n v="-2411"/>
    <x v="3"/>
    <x v="5"/>
    <x v="0"/>
    <x v="2"/>
    <x v="0"/>
  </r>
  <r>
    <x v="78"/>
    <x v="14"/>
    <n v="-2260"/>
    <x v="3"/>
    <x v="8"/>
    <x v="0"/>
    <x v="2"/>
    <x v="0"/>
  </r>
  <r>
    <x v="78"/>
    <x v="45"/>
    <n v="-1085"/>
    <x v="3"/>
    <x v="5"/>
    <x v="0"/>
    <x v="2"/>
    <x v="0"/>
  </r>
  <r>
    <x v="78"/>
    <x v="1"/>
    <n v="-1836"/>
    <x v="1"/>
    <x v="1"/>
    <x v="0"/>
    <x v="2"/>
    <x v="0"/>
  </r>
  <r>
    <x v="78"/>
    <x v="53"/>
    <n v="-2050"/>
    <x v="3"/>
    <x v="5"/>
    <x v="0"/>
    <x v="2"/>
    <x v="0"/>
  </r>
  <r>
    <x v="78"/>
    <x v="2"/>
    <n v="13000"/>
    <x v="2"/>
    <x v="2"/>
    <x v="1"/>
    <x v="2"/>
    <x v="0"/>
  </r>
  <r>
    <x v="79"/>
    <x v="6"/>
    <n v="-2025"/>
    <x v="1"/>
    <x v="4"/>
    <x v="0"/>
    <x v="2"/>
    <x v="0"/>
  </r>
  <r>
    <x v="79"/>
    <x v="5"/>
    <n v="12446"/>
    <x v="2"/>
    <x v="2"/>
    <x v="1"/>
    <x v="2"/>
    <x v="0"/>
  </r>
  <r>
    <x v="79"/>
    <x v="26"/>
    <n v="-1480"/>
    <x v="3"/>
    <x v="11"/>
    <x v="0"/>
    <x v="2"/>
    <x v="0"/>
  </r>
  <r>
    <x v="79"/>
    <x v="48"/>
    <n v="-1723"/>
    <x v="3"/>
    <x v="7"/>
    <x v="0"/>
    <x v="2"/>
    <x v="0"/>
  </r>
  <r>
    <x v="79"/>
    <x v="36"/>
    <n v="-1651"/>
    <x v="3"/>
    <x v="7"/>
    <x v="0"/>
    <x v="2"/>
    <x v="0"/>
  </r>
  <r>
    <x v="79"/>
    <x v="1"/>
    <n v="-2000"/>
    <x v="1"/>
    <x v="1"/>
    <x v="0"/>
    <x v="2"/>
    <x v="0"/>
  </r>
  <r>
    <x v="79"/>
    <x v="2"/>
    <n v="11502"/>
    <x v="2"/>
    <x v="2"/>
    <x v="1"/>
    <x v="2"/>
    <x v="0"/>
  </r>
  <r>
    <x v="79"/>
    <x v="61"/>
    <n v="-1970"/>
    <x v="3"/>
    <x v="10"/>
    <x v="0"/>
    <x v="2"/>
    <x v="0"/>
  </r>
  <r>
    <x v="79"/>
    <x v="2"/>
    <n v="14844"/>
    <x v="2"/>
    <x v="2"/>
    <x v="1"/>
    <x v="2"/>
    <x v="0"/>
  </r>
  <r>
    <x v="79"/>
    <x v="0"/>
    <n v="-2594"/>
    <x v="0"/>
    <x v="0"/>
    <x v="0"/>
    <x v="2"/>
    <x v="0"/>
  </r>
  <r>
    <x v="79"/>
    <x v="15"/>
    <n v="-2228"/>
    <x v="3"/>
    <x v="6"/>
    <x v="0"/>
    <x v="2"/>
    <x v="0"/>
  </r>
  <r>
    <x v="79"/>
    <x v="8"/>
    <n v="-2339"/>
    <x v="3"/>
    <x v="6"/>
    <x v="0"/>
    <x v="2"/>
    <x v="0"/>
  </r>
  <r>
    <x v="79"/>
    <x v="23"/>
    <n v="-2308"/>
    <x v="3"/>
    <x v="5"/>
    <x v="0"/>
    <x v="2"/>
    <x v="0"/>
  </r>
  <r>
    <x v="79"/>
    <x v="4"/>
    <n v="-1366"/>
    <x v="1"/>
    <x v="1"/>
    <x v="0"/>
    <x v="2"/>
    <x v="0"/>
  </r>
  <r>
    <x v="79"/>
    <x v="5"/>
    <n v="11514"/>
    <x v="2"/>
    <x v="2"/>
    <x v="1"/>
    <x v="2"/>
    <x v="0"/>
  </r>
  <r>
    <x v="79"/>
    <x v="51"/>
    <n v="-1834"/>
    <x v="3"/>
    <x v="5"/>
    <x v="0"/>
    <x v="2"/>
    <x v="0"/>
  </r>
  <r>
    <x v="79"/>
    <x v="0"/>
    <n v="-4639"/>
    <x v="0"/>
    <x v="0"/>
    <x v="0"/>
    <x v="2"/>
    <x v="0"/>
  </r>
  <r>
    <x v="79"/>
    <x v="0"/>
    <n v="-3179"/>
    <x v="0"/>
    <x v="0"/>
    <x v="0"/>
    <x v="2"/>
    <x v="0"/>
  </r>
  <r>
    <x v="79"/>
    <x v="42"/>
    <n v="-1432"/>
    <x v="3"/>
    <x v="5"/>
    <x v="0"/>
    <x v="2"/>
    <x v="0"/>
  </r>
  <r>
    <x v="79"/>
    <x v="9"/>
    <n v="-2294"/>
    <x v="3"/>
    <x v="5"/>
    <x v="0"/>
    <x v="2"/>
    <x v="0"/>
  </r>
  <r>
    <x v="79"/>
    <x v="43"/>
    <n v="-1655"/>
    <x v="3"/>
    <x v="5"/>
    <x v="0"/>
    <x v="2"/>
    <x v="0"/>
  </r>
  <r>
    <x v="79"/>
    <x v="60"/>
    <n v="-1651"/>
    <x v="3"/>
    <x v="6"/>
    <x v="0"/>
    <x v="2"/>
    <x v="0"/>
  </r>
  <r>
    <x v="79"/>
    <x v="35"/>
    <n v="-1007"/>
    <x v="3"/>
    <x v="10"/>
    <x v="0"/>
    <x v="2"/>
    <x v="0"/>
  </r>
  <r>
    <x v="79"/>
    <x v="58"/>
    <n v="-1991"/>
    <x v="3"/>
    <x v="11"/>
    <x v="0"/>
    <x v="2"/>
    <x v="0"/>
  </r>
  <r>
    <x v="80"/>
    <x v="21"/>
    <n v="-1128"/>
    <x v="1"/>
    <x v="1"/>
    <x v="0"/>
    <x v="2"/>
    <x v="0"/>
  </r>
  <r>
    <x v="80"/>
    <x v="2"/>
    <n v="13332"/>
    <x v="2"/>
    <x v="2"/>
    <x v="1"/>
    <x v="2"/>
    <x v="0"/>
  </r>
  <r>
    <x v="80"/>
    <x v="5"/>
    <n v="13618"/>
    <x v="2"/>
    <x v="2"/>
    <x v="1"/>
    <x v="2"/>
    <x v="0"/>
  </r>
  <r>
    <x v="80"/>
    <x v="21"/>
    <n v="-1584"/>
    <x v="1"/>
    <x v="1"/>
    <x v="0"/>
    <x v="2"/>
    <x v="0"/>
  </r>
  <r>
    <x v="80"/>
    <x v="55"/>
    <n v="-2127"/>
    <x v="3"/>
    <x v="5"/>
    <x v="0"/>
    <x v="2"/>
    <x v="0"/>
  </r>
  <r>
    <x v="80"/>
    <x v="6"/>
    <n v="-2019"/>
    <x v="1"/>
    <x v="4"/>
    <x v="0"/>
    <x v="2"/>
    <x v="0"/>
  </r>
  <r>
    <x v="80"/>
    <x v="14"/>
    <n v="-2442"/>
    <x v="3"/>
    <x v="8"/>
    <x v="0"/>
    <x v="2"/>
    <x v="0"/>
  </r>
  <r>
    <x v="80"/>
    <x v="5"/>
    <n v="12060"/>
    <x v="2"/>
    <x v="2"/>
    <x v="1"/>
    <x v="2"/>
    <x v="0"/>
  </r>
  <r>
    <x v="80"/>
    <x v="2"/>
    <n v="13645"/>
    <x v="2"/>
    <x v="2"/>
    <x v="1"/>
    <x v="2"/>
    <x v="0"/>
  </r>
  <r>
    <x v="80"/>
    <x v="56"/>
    <n v="1918"/>
    <x v="4"/>
    <x v="15"/>
    <x v="0"/>
    <x v="2"/>
    <x v="0"/>
  </r>
  <r>
    <x v="80"/>
    <x v="37"/>
    <n v="-2419"/>
    <x v="3"/>
    <x v="3"/>
    <x v="0"/>
    <x v="2"/>
    <x v="0"/>
  </r>
  <r>
    <x v="80"/>
    <x v="4"/>
    <n v="-1077"/>
    <x v="1"/>
    <x v="1"/>
    <x v="0"/>
    <x v="2"/>
    <x v="0"/>
  </r>
  <r>
    <x v="80"/>
    <x v="0"/>
    <n v="-2762"/>
    <x v="0"/>
    <x v="0"/>
    <x v="0"/>
    <x v="2"/>
    <x v="0"/>
  </r>
  <r>
    <x v="80"/>
    <x v="61"/>
    <n v="-2173"/>
    <x v="3"/>
    <x v="10"/>
    <x v="0"/>
    <x v="2"/>
    <x v="0"/>
  </r>
  <r>
    <x v="80"/>
    <x v="2"/>
    <n v="12740"/>
    <x v="2"/>
    <x v="2"/>
    <x v="1"/>
    <x v="2"/>
    <x v="0"/>
  </r>
  <r>
    <x v="80"/>
    <x v="38"/>
    <n v="-2317"/>
    <x v="3"/>
    <x v="5"/>
    <x v="0"/>
    <x v="2"/>
    <x v="0"/>
  </r>
  <r>
    <x v="80"/>
    <x v="1"/>
    <n v="-1141"/>
    <x v="1"/>
    <x v="1"/>
    <x v="0"/>
    <x v="2"/>
    <x v="0"/>
  </r>
  <r>
    <x v="80"/>
    <x v="21"/>
    <n v="-2351"/>
    <x v="1"/>
    <x v="1"/>
    <x v="0"/>
    <x v="2"/>
    <x v="0"/>
  </r>
  <r>
    <x v="81"/>
    <x v="49"/>
    <n v="-1898"/>
    <x v="3"/>
    <x v="5"/>
    <x v="0"/>
    <x v="2"/>
    <x v="0"/>
  </r>
  <r>
    <x v="81"/>
    <x v="21"/>
    <n v="-1960"/>
    <x v="1"/>
    <x v="1"/>
    <x v="0"/>
    <x v="2"/>
    <x v="0"/>
  </r>
  <r>
    <x v="81"/>
    <x v="0"/>
    <n v="-4948"/>
    <x v="0"/>
    <x v="0"/>
    <x v="0"/>
    <x v="2"/>
    <x v="0"/>
  </r>
  <r>
    <x v="81"/>
    <x v="6"/>
    <n v="-1112"/>
    <x v="1"/>
    <x v="4"/>
    <x v="0"/>
    <x v="2"/>
    <x v="0"/>
  </r>
  <r>
    <x v="81"/>
    <x v="5"/>
    <n v="10466"/>
    <x v="2"/>
    <x v="2"/>
    <x v="1"/>
    <x v="2"/>
    <x v="0"/>
  </r>
  <r>
    <x v="81"/>
    <x v="55"/>
    <n v="-2127"/>
    <x v="3"/>
    <x v="5"/>
    <x v="0"/>
    <x v="2"/>
    <x v="0"/>
  </r>
  <r>
    <x v="81"/>
    <x v="6"/>
    <n v="-1147"/>
    <x v="1"/>
    <x v="4"/>
    <x v="0"/>
    <x v="2"/>
    <x v="0"/>
  </r>
  <r>
    <x v="81"/>
    <x v="21"/>
    <n v="-1539"/>
    <x v="1"/>
    <x v="1"/>
    <x v="0"/>
    <x v="2"/>
    <x v="0"/>
  </r>
  <r>
    <x v="81"/>
    <x v="60"/>
    <n v="-2260"/>
    <x v="3"/>
    <x v="6"/>
    <x v="0"/>
    <x v="2"/>
    <x v="0"/>
  </r>
  <r>
    <x v="81"/>
    <x v="4"/>
    <n v="-1369"/>
    <x v="1"/>
    <x v="1"/>
    <x v="0"/>
    <x v="2"/>
    <x v="0"/>
  </r>
  <r>
    <x v="81"/>
    <x v="25"/>
    <n v="-1303"/>
    <x v="3"/>
    <x v="9"/>
    <x v="0"/>
    <x v="2"/>
    <x v="0"/>
  </r>
  <r>
    <x v="81"/>
    <x v="4"/>
    <n v="-1436"/>
    <x v="1"/>
    <x v="1"/>
    <x v="0"/>
    <x v="2"/>
    <x v="0"/>
  </r>
  <r>
    <x v="81"/>
    <x v="12"/>
    <n v="-2091"/>
    <x v="3"/>
    <x v="3"/>
    <x v="0"/>
    <x v="2"/>
    <x v="0"/>
  </r>
  <r>
    <x v="81"/>
    <x v="6"/>
    <n v="-1771"/>
    <x v="1"/>
    <x v="4"/>
    <x v="0"/>
    <x v="2"/>
    <x v="0"/>
  </r>
  <r>
    <x v="81"/>
    <x v="34"/>
    <n v="-2414"/>
    <x v="3"/>
    <x v="3"/>
    <x v="0"/>
    <x v="2"/>
    <x v="0"/>
  </r>
  <r>
    <x v="81"/>
    <x v="30"/>
    <n v="-1642"/>
    <x v="4"/>
    <x v="13"/>
    <x v="0"/>
    <x v="2"/>
    <x v="0"/>
  </r>
  <r>
    <x v="81"/>
    <x v="0"/>
    <n v="-4689"/>
    <x v="0"/>
    <x v="0"/>
    <x v="0"/>
    <x v="2"/>
    <x v="0"/>
  </r>
  <r>
    <x v="81"/>
    <x v="40"/>
    <n v="-2312"/>
    <x v="3"/>
    <x v="9"/>
    <x v="0"/>
    <x v="2"/>
    <x v="0"/>
  </r>
  <r>
    <x v="81"/>
    <x v="6"/>
    <n v="-1190"/>
    <x v="1"/>
    <x v="4"/>
    <x v="0"/>
    <x v="2"/>
    <x v="0"/>
  </r>
  <r>
    <x v="81"/>
    <x v="21"/>
    <n v="-1388"/>
    <x v="1"/>
    <x v="1"/>
    <x v="0"/>
    <x v="2"/>
    <x v="0"/>
  </r>
  <r>
    <x v="81"/>
    <x v="1"/>
    <n v="-1553"/>
    <x v="1"/>
    <x v="1"/>
    <x v="0"/>
    <x v="2"/>
    <x v="0"/>
  </r>
  <r>
    <x v="81"/>
    <x v="2"/>
    <n v="13187"/>
    <x v="2"/>
    <x v="2"/>
    <x v="1"/>
    <x v="2"/>
    <x v="0"/>
  </r>
  <r>
    <x v="81"/>
    <x v="40"/>
    <n v="-1930"/>
    <x v="3"/>
    <x v="9"/>
    <x v="0"/>
    <x v="2"/>
    <x v="0"/>
  </r>
  <r>
    <x v="81"/>
    <x v="5"/>
    <n v="10803"/>
    <x v="2"/>
    <x v="2"/>
    <x v="1"/>
    <x v="2"/>
    <x v="0"/>
  </r>
  <r>
    <x v="81"/>
    <x v="21"/>
    <n v="-1653"/>
    <x v="1"/>
    <x v="1"/>
    <x v="0"/>
    <x v="2"/>
    <x v="0"/>
  </r>
  <r>
    <x v="81"/>
    <x v="43"/>
    <n v="-1207"/>
    <x v="3"/>
    <x v="5"/>
    <x v="0"/>
    <x v="2"/>
    <x v="0"/>
  </r>
  <r>
    <x v="82"/>
    <x v="4"/>
    <n v="-1440"/>
    <x v="1"/>
    <x v="1"/>
    <x v="0"/>
    <x v="2"/>
    <x v="0"/>
  </r>
  <r>
    <x v="82"/>
    <x v="33"/>
    <n v="-2478"/>
    <x v="3"/>
    <x v="3"/>
    <x v="0"/>
    <x v="2"/>
    <x v="0"/>
  </r>
  <r>
    <x v="82"/>
    <x v="5"/>
    <n v="13292"/>
    <x v="2"/>
    <x v="2"/>
    <x v="1"/>
    <x v="2"/>
    <x v="0"/>
  </r>
  <r>
    <x v="82"/>
    <x v="1"/>
    <n v="-2494"/>
    <x v="1"/>
    <x v="1"/>
    <x v="0"/>
    <x v="2"/>
    <x v="0"/>
  </r>
  <r>
    <x v="82"/>
    <x v="5"/>
    <n v="14849"/>
    <x v="2"/>
    <x v="2"/>
    <x v="1"/>
    <x v="2"/>
    <x v="0"/>
  </r>
  <r>
    <x v="82"/>
    <x v="9"/>
    <n v="-1830"/>
    <x v="3"/>
    <x v="5"/>
    <x v="0"/>
    <x v="2"/>
    <x v="0"/>
  </r>
  <r>
    <x v="82"/>
    <x v="10"/>
    <n v="-2036"/>
    <x v="3"/>
    <x v="6"/>
    <x v="0"/>
    <x v="2"/>
    <x v="0"/>
  </r>
  <r>
    <x v="82"/>
    <x v="55"/>
    <n v="-2450"/>
    <x v="3"/>
    <x v="5"/>
    <x v="0"/>
    <x v="2"/>
    <x v="0"/>
  </r>
  <r>
    <x v="82"/>
    <x v="6"/>
    <n v="-1289"/>
    <x v="1"/>
    <x v="4"/>
    <x v="0"/>
    <x v="2"/>
    <x v="0"/>
  </r>
  <r>
    <x v="82"/>
    <x v="2"/>
    <n v="13995"/>
    <x v="2"/>
    <x v="2"/>
    <x v="1"/>
    <x v="2"/>
    <x v="0"/>
  </r>
  <r>
    <x v="82"/>
    <x v="5"/>
    <n v="14151"/>
    <x v="2"/>
    <x v="2"/>
    <x v="1"/>
    <x v="2"/>
    <x v="0"/>
  </r>
  <r>
    <x v="82"/>
    <x v="2"/>
    <n v="10590"/>
    <x v="2"/>
    <x v="2"/>
    <x v="1"/>
    <x v="2"/>
    <x v="0"/>
  </r>
  <r>
    <x v="83"/>
    <x v="5"/>
    <n v="13890"/>
    <x v="2"/>
    <x v="2"/>
    <x v="1"/>
    <x v="2"/>
    <x v="0"/>
  </r>
  <r>
    <x v="83"/>
    <x v="5"/>
    <n v="12308"/>
    <x v="2"/>
    <x v="2"/>
    <x v="1"/>
    <x v="2"/>
    <x v="0"/>
  </r>
  <r>
    <x v="83"/>
    <x v="0"/>
    <n v="-4911"/>
    <x v="0"/>
    <x v="0"/>
    <x v="0"/>
    <x v="2"/>
    <x v="0"/>
  </r>
  <r>
    <x v="83"/>
    <x v="5"/>
    <n v="14590"/>
    <x v="2"/>
    <x v="2"/>
    <x v="1"/>
    <x v="2"/>
    <x v="0"/>
  </r>
  <r>
    <x v="83"/>
    <x v="4"/>
    <n v="-2277"/>
    <x v="1"/>
    <x v="1"/>
    <x v="0"/>
    <x v="2"/>
    <x v="0"/>
  </r>
  <r>
    <x v="83"/>
    <x v="21"/>
    <n v="-1558"/>
    <x v="1"/>
    <x v="1"/>
    <x v="0"/>
    <x v="2"/>
    <x v="0"/>
  </r>
  <r>
    <x v="83"/>
    <x v="2"/>
    <n v="12317"/>
    <x v="2"/>
    <x v="2"/>
    <x v="1"/>
    <x v="2"/>
    <x v="0"/>
  </r>
  <r>
    <x v="83"/>
    <x v="8"/>
    <n v="-1589"/>
    <x v="3"/>
    <x v="6"/>
    <x v="0"/>
    <x v="2"/>
    <x v="0"/>
  </r>
  <r>
    <x v="83"/>
    <x v="31"/>
    <n v="-1093"/>
    <x v="3"/>
    <x v="11"/>
    <x v="0"/>
    <x v="2"/>
    <x v="0"/>
  </r>
  <r>
    <x v="83"/>
    <x v="2"/>
    <n v="11177"/>
    <x v="2"/>
    <x v="2"/>
    <x v="1"/>
    <x v="2"/>
    <x v="0"/>
  </r>
  <r>
    <x v="83"/>
    <x v="6"/>
    <n v="-2093"/>
    <x v="1"/>
    <x v="4"/>
    <x v="0"/>
    <x v="2"/>
    <x v="0"/>
  </r>
  <r>
    <x v="83"/>
    <x v="21"/>
    <n v="-2192"/>
    <x v="1"/>
    <x v="1"/>
    <x v="0"/>
    <x v="2"/>
    <x v="0"/>
  </r>
  <r>
    <x v="83"/>
    <x v="62"/>
    <n v="-2362"/>
    <x v="3"/>
    <x v="11"/>
    <x v="0"/>
    <x v="2"/>
    <x v="0"/>
  </r>
  <r>
    <x v="83"/>
    <x v="1"/>
    <n v="-2437"/>
    <x v="1"/>
    <x v="1"/>
    <x v="0"/>
    <x v="2"/>
    <x v="0"/>
  </r>
  <r>
    <x v="83"/>
    <x v="0"/>
    <n v="-4470"/>
    <x v="0"/>
    <x v="0"/>
    <x v="0"/>
    <x v="2"/>
    <x v="0"/>
  </r>
  <r>
    <x v="83"/>
    <x v="0"/>
    <n v="-3144"/>
    <x v="0"/>
    <x v="0"/>
    <x v="0"/>
    <x v="2"/>
    <x v="0"/>
  </r>
  <r>
    <x v="83"/>
    <x v="2"/>
    <n v="12543"/>
    <x v="2"/>
    <x v="2"/>
    <x v="1"/>
    <x v="2"/>
    <x v="0"/>
  </r>
  <r>
    <x v="83"/>
    <x v="0"/>
    <n v="-3415"/>
    <x v="0"/>
    <x v="0"/>
    <x v="0"/>
    <x v="2"/>
    <x v="0"/>
  </r>
  <r>
    <x v="83"/>
    <x v="20"/>
    <n v="-1708"/>
    <x v="3"/>
    <x v="10"/>
    <x v="0"/>
    <x v="2"/>
    <x v="0"/>
  </r>
  <r>
    <x v="83"/>
    <x v="5"/>
    <n v="13753"/>
    <x v="2"/>
    <x v="2"/>
    <x v="1"/>
    <x v="2"/>
    <x v="0"/>
  </r>
  <r>
    <x v="83"/>
    <x v="5"/>
    <n v="14704"/>
    <x v="2"/>
    <x v="2"/>
    <x v="1"/>
    <x v="2"/>
    <x v="0"/>
  </r>
  <r>
    <x v="83"/>
    <x v="5"/>
    <n v="13916"/>
    <x v="2"/>
    <x v="2"/>
    <x v="1"/>
    <x v="2"/>
    <x v="0"/>
  </r>
  <r>
    <x v="84"/>
    <x v="5"/>
    <n v="11746"/>
    <x v="2"/>
    <x v="2"/>
    <x v="1"/>
    <x v="2"/>
    <x v="0"/>
  </r>
  <r>
    <x v="84"/>
    <x v="2"/>
    <n v="13459"/>
    <x v="2"/>
    <x v="2"/>
    <x v="1"/>
    <x v="2"/>
    <x v="0"/>
  </r>
  <r>
    <x v="84"/>
    <x v="28"/>
    <n v="-1946"/>
    <x v="4"/>
    <x v="12"/>
    <x v="0"/>
    <x v="2"/>
    <x v="0"/>
  </r>
  <r>
    <x v="84"/>
    <x v="5"/>
    <n v="13346"/>
    <x v="2"/>
    <x v="2"/>
    <x v="1"/>
    <x v="2"/>
    <x v="0"/>
  </r>
  <r>
    <x v="84"/>
    <x v="23"/>
    <n v="-1628"/>
    <x v="3"/>
    <x v="5"/>
    <x v="0"/>
    <x v="2"/>
    <x v="0"/>
  </r>
  <r>
    <x v="84"/>
    <x v="48"/>
    <n v="-1528"/>
    <x v="3"/>
    <x v="7"/>
    <x v="0"/>
    <x v="2"/>
    <x v="0"/>
  </r>
  <r>
    <x v="84"/>
    <x v="59"/>
    <n v="-2445"/>
    <x v="3"/>
    <x v="5"/>
    <x v="0"/>
    <x v="2"/>
    <x v="0"/>
  </r>
  <r>
    <x v="84"/>
    <x v="0"/>
    <n v="-4668"/>
    <x v="0"/>
    <x v="0"/>
    <x v="0"/>
    <x v="2"/>
    <x v="0"/>
  </r>
  <r>
    <x v="84"/>
    <x v="21"/>
    <n v="-1948"/>
    <x v="1"/>
    <x v="1"/>
    <x v="0"/>
    <x v="2"/>
    <x v="0"/>
  </r>
  <r>
    <x v="84"/>
    <x v="5"/>
    <n v="13950"/>
    <x v="2"/>
    <x v="2"/>
    <x v="1"/>
    <x v="2"/>
    <x v="0"/>
  </r>
  <r>
    <x v="84"/>
    <x v="4"/>
    <n v="-1861"/>
    <x v="1"/>
    <x v="1"/>
    <x v="0"/>
    <x v="2"/>
    <x v="0"/>
  </r>
  <r>
    <x v="84"/>
    <x v="0"/>
    <n v="-2983"/>
    <x v="0"/>
    <x v="0"/>
    <x v="0"/>
    <x v="2"/>
    <x v="0"/>
  </r>
  <r>
    <x v="84"/>
    <x v="6"/>
    <n v="-2082"/>
    <x v="1"/>
    <x v="4"/>
    <x v="0"/>
    <x v="2"/>
    <x v="0"/>
  </r>
  <r>
    <x v="84"/>
    <x v="1"/>
    <n v="-2264"/>
    <x v="1"/>
    <x v="1"/>
    <x v="0"/>
    <x v="2"/>
    <x v="0"/>
  </r>
  <r>
    <x v="84"/>
    <x v="21"/>
    <n v="-2182"/>
    <x v="1"/>
    <x v="1"/>
    <x v="0"/>
    <x v="2"/>
    <x v="0"/>
  </r>
  <r>
    <x v="84"/>
    <x v="1"/>
    <n v="-2106"/>
    <x v="1"/>
    <x v="1"/>
    <x v="0"/>
    <x v="2"/>
    <x v="0"/>
  </r>
  <r>
    <x v="84"/>
    <x v="35"/>
    <n v="-1811"/>
    <x v="3"/>
    <x v="10"/>
    <x v="0"/>
    <x v="2"/>
    <x v="0"/>
  </r>
  <r>
    <x v="84"/>
    <x v="7"/>
    <n v="-1234"/>
    <x v="3"/>
    <x v="5"/>
    <x v="0"/>
    <x v="2"/>
    <x v="0"/>
  </r>
  <r>
    <x v="84"/>
    <x v="4"/>
    <n v="-1581"/>
    <x v="1"/>
    <x v="1"/>
    <x v="0"/>
    <x v="2"/>
    <x v="0"/>
  </r>
  <r>
    <x v="84"/>
    <x v="5"/>
    <n v="13468"/>
    <x v="2"/>
    <x v="2"/>
    <x v="1"/>
    <x v="2"/>
    <x v="0"/>
  </r>
  <r>
    <x v="85"/>
    <x v="46"/>
    <n v="-1849"/>
    <x v="3"/>
    <x v="11"/>
    <x v="0"/>
    <x v="2"/>
    <x v="0"/>
  </r>
  <r>
    <x v="85"/>
    <x v="48"/>
    <n v="-2063"/>
    <x v="3"/>
    <x v="7"/>
    <x v="0"/>
    <x v="2"/>
    <x v="0"/>
  </r>
  <r>
    <x v="85"/>
    <x v="2"/>
    <n v="14441"/>
    <x v="2"/>
    <x v="2"/>
    <x v="1"/>
    <x v="2"/>
    <x v="0"/>
  </r>
  <r>
    <x v="85"/>
    <x v="0"/>
    <n v="-3171"/>
    <x v="0"/>
    <x v="0"/>
    <x v="0"/>
    <x v="2"/>
    <x v="0"/>
  </r>
  <r>
    <x v="85"/>
    <x v="46"/>
    <n v="-2241"/>
    <x v="3"/>
    <x v="11"/>
    <x v="0"/>
    <x v="2"/>
    <x v="0"/>
  </r>
  <r>
    <x v="85"/>
    <x v="22"/>
    <n v="-2102"/>
    <x v="3"/>
    <x v="11"/>
    <x v="0"/>
    <x v="2"/>
    <x v="0"/>
  </r>
  <r>
    <x v="85"/>
    <x v="2"/>
    <n v="11103"/>
    <x v="2"/>
    <x v="2"/>
    <x v="1"/>
    <x v="2"/>
    <x v="0"/>
  </r>
  <r>
    <x v="85"/>
    <x v="35"/>
    <n v="-1592"/>
    <x v="3"/>
    <x v="10"/>
    <x v="0"/>
    <x v="2"/>
    <x v="0"/>
  </r>
  <r>
    <x v="85"/>
    <x v="55"/>
    <n v="-1596"/>
    <x v="3"/>
    <x v="5"/>
    <x v="0"/>
    <x v="2"/>
    <x v="0"/>
  </r>
  <r>
    <x v="85"/>
    <x v="4"/>
    <n v="-1136"/>
    <x v="1"/>
    <x v="1"/>
    <x v="0"/>
    <x v="2"/>
    <x v="0"/>
  </r>
  <r>
    <x v="85"/>
    <x v="2"/>
    <n v="10125"/>
    <x v="2"/>
    <x v="2"/>
    <x v="1"/>
    <x v="2"/>
    <x v="0"/>
  </r>
  <r>
    <x v="85"/>
    <x v="0"/>
    <n v="-4569"/>
    <x v="0"/>
    <x v="0"/>
    <x v="0"/>
    <x v="2"/>
    <x v="0"/>
  </r>
  <r>
    <x v="85"/>
    <x v="5"/>
    <n v="12119"/>
    <x v="2"/>
    <x v="2"/>
    <x v="1"/>
    <x v="2"/>
    <x v="0"/>
  </r>
  <r>
    <x v="85"/>
    <x v="6"/>
    <n v="-2043"/>
    <x v="1"/>
    <x v="4"/>
    <x v="0"/>
    <x v="2"/>
    <x v="0"/>
  </r>
  <r>
    <x v="85"/>
    <x v="21"/>
    <n v="-2026"/>
    <x v="1"/>
    <x v="1"/>
    <x v="0"/>
    <x v="2"/>
    <x v="0"/>
  </r>
  <r>
    <x v="85"/>
    <x v="29"/>
    <n v="-1596"/>
    <x v="3"/>
    <x v="7"/>
    <x v="0"/>
    <x v="2"/>
    <x v="0"/>
  </r>
  <r>
    <x v="85"/>
    <x v="5"/>
    <n v="10412"/>
    <x v="2"/>
    <x v="2"/>
    <x v="1"/>
    <x v="2"/>
    <x v="0"/>
  </r>
  <r>
    <x v="85"/>
    <x v="41"/>
    <n v="-2087"/>
    <x v="3"/>
    <x v="3"/>
    <x v="0"/>
    <x v="2"/>
    <x v="0"/>
  </r>
  <r>
    <x v="85"/>
    <x v="0"/>
    <n v="-3325"/>
    <x v="0"/>
    <x v="0"/>
    <x v="0"/>
    <x v="2"/>
    <x v="0"/>
  </r>
  <r>
    <x v="85"/>
    <x v="6"/>
    <n v="-2373"/>
    <x v="1"/>
    <x v="4"/>
    <x v="0"/>
    <x v="2"/>
    <x v="0"/>
  </r>
  <r>
    <x v="86"/>
    <x v="1"/>
    <n v="-1602"/>
    <x v="1"/>
    <x v="1"/>
    <x v="0"/>
    <x v="2"/>
    <x v="0"/>
  </r>
  <r>
    <x v="86"/>
    <x v="27"/>
    <n v="-2461"/>
    <x v="3"/>
    <x v="5"/>
    <x v="0"/>
    <x v="2"/>
    <x v="0"/>
  </r>
  <r>
    <x v="86"/>
    <x v="50"/>
    <n v="-1747"/>
    <x v="3"/>
    <x v="3"/>
    <x v="0"/>
    <x v="2"/>
    <x v="0"/>
  </r>
  <r>
    <x v="86"/>
    <x v="61"/>
    <n v="-2482"/>
    <x v="3"/>
    <x v="10"/>
    <x v="0"/>
    <x v="2"/>
    <x v="0"/>
  </r>
  <r>
    <x v="86"/>
    <x v="9"/>
    <n v="-2120"/>
    <x v="3"/>
    <x v="5"/>
    <x v="0"/>
    <x v="2"/>
    <x v="0"/>
  </r>
  <r>
    <x v="86"/>
    <x v="1"/>
    <n v="-1598"/>
    <x v="1"/>
    <x v="1"/>
    <x v="0"/>
    <x v="2"/>
    <x v="0"/>
  </r>
  <r>
    <x v="86"/>
    <x v="0"/>
    <n v="-4966"/>
    <x v="0"/>
    <x v="0"/>
    <x v="0"/>
    <x v="2"/>
    <x v="0"/>
  </r>
  <r>
    <x v="86"/>
    <x v="21"/>
    <n v="-1276"/>
    <x v="1"/>
    <x v="1"/>
    <x v="0"/>
    <x v="2"/>
    <x v="0"/>
  </r>
  <r>
    <x v="86"/>
    <x v="1"/>
    <n v="-1481"/>
    <x v="1"/>
    <x v="1"/>
    <x v="0"/>
    <x v="2"/>
    <x v="0"/>
  </r>
  <r>
    <x v="86"/>
    <x v="4"/>
    <n v="-1512"/>
    <x v="1"/>
    <x v="1"/>
    <x v="0"/>
    <x v="2"/>
    <x v="0"/>
  </r>
  <r>
    <x v="86"/>
    <x v="21"/>
    <n v="-1402"/>
    <x v="1"/>
    <x v="1"/>
    <x v="0"/>
    <x v="2"/>
    <x v="0"/>
  </r>
  <r>
    <x v="86"/>
    <x v="21"/>
    <n v="-1274"/>
    <x v="1"/>
    <x v="1"/>
    <x v="0"/>
    <x v="2"/>
    <x v="0"/>
  </r>
  <r>
    <x v="86"/>
    <x v="21"/>
    <n v="-1009"/>
    <x v="1"/>
    <x v="1"/>
    <x v="0"/>
    <x v="2"/>
    <x v="0"/>
  </r>
  <r>
    <x v="86"/>
    <x v="32"/>
    <n v="-1951"/>
    <x v="3"/>
    <x v="9"/>
    <x v="0"/>
    <x v="2"/>
    <x v="0"/>
  </r>
  <r>
    <x v="86"/>
    <x v="0"/>
    <n v="-4914"/>
    <x v="0"/>
    <x v="0"/>
    <x v="0"/>
    <x v="2"/>
    <x v="0"/>
  </r>
  <r>
    <x v="86"/>
    <x v="1"/>
    <n v="-1953"/>
    <x v="1"/>
    <x v="1"/>
    <x v="0"/>
    <x v="2"/>
    <x v="0"/>
  </r>
  <r>
    <x v="86"/>
    <x v="15"/>
    <n v="-1335"/>
    <x v="3"/>
    <x v="6"/>
    <x v="0"/>
    <x v="2"/>
    <x v="0"/>
  </r>
  <r>
    <x v="86"/>
    <x v="6"/>
    <n v="-1046"/>
    <x v="1"/>
    <x v="4"/>
    <x v="0"/>
    <x v="2"/>
    <x v="0"/>
  </r>
  <r>
    <x v="87"/>
    <x v="6"/>
    <n v="-1176"/>
    <x v="1"/>
    <x v="4"/>
    <x v="0"/>
    <x v="2"/>
    <x v="0"/>
  </r>
  <r>
    <x v="87"/>
    <x v="0"/>
    <n v="-2960"/>
    <x v="0"/>
    <x v="0"/>
    <x v="0"/>
    <x v="2"/>
    <x v="0"/>
  </r>
  <r>
    <x v="87"/>
    <x v="42"/>
    <n v="-2228"/>
    <x v="3"/>
    <x v="5"/>
    <x v="0"/>
    <x v="2"/>
    <x v="0"/>
  </r>
  <r>
    <x v="87"/>
    <x v="2"/>
    <n v="10883"/>
    <x v="2"/>
    <x v="2"/>
    <x v="1"/>
    <x v="2"/>
    <x v="0"/>
  </r>
  <r>
    <x v="87"/>
    <x v="0"/>
    <n v="-4764"/>
    <x v="0"/>
    <x v="0"/>
    <x v="0"/>
    <x v="2"/>
    <x v="0"/>
  </r>
  <r>
    <x v="87"/>
    <x v="1"/>
    <n v="-2427"/>
    <x v="1"/>
    <x v="1"/>
    <x v="0"/>
    <x v="2"/>
    <x v="0"/>
  </r>
  <r>
    <x v="87"/>
    <x v="2"/>
    <n v="10850"/>
    <x v="2"/>
    <x v="2"/>
    <x v="1"/>
    <x v="2"/>
    <x v="0"/>
  </r>
  <r>
    <x v="87"/>
    <x v="0"/>
    <n v="-3653"/>
    <x v="0"/>
    <x v="0"/>
    <x v="0"/>
    <x v="2"/>
    <x v="0"/>
  </r>
  <r>
    <x v="87"/>
    <x v="14"/>
    <n v="-2451"/>
    <x v="3"/>
    <x v="8"/>
    <x v="0"/>
    <x v="2"/>
    <x v="0"/>
  </r>
  <r>
    <x v="87"/>
    <x v="2"/>
    <n v="13298"/>
    <x v="2"/>
    <x v="2"/>
    <x v="1"/>
    <x v="2"/>
    <x v="0"/>
  </r>
  <r>
    <x v="87"/>
    <x v="25"/>
    <n v="-1793"/>
    <x v="3"/>
    <x v="9"/>
    <x v="0"/>
    <x v="2"/>
    <x v="0"/>
  </r>
  <r>
    <x v="87"/>
    <x v="37"/>
    <n v="-1272"/>
    <x v="3"/>
    <x v="3"/>
    <x v="0"/>
    <x v="2"/>
    <x v="0"/>
  </r>
  <r>
    <x v="87"/>
    <x v="21"/>
    <n v="-2208"/>
    <x v="1"/>
    <x v="1"/>
    <x v="0"/>
    <x v="2"/>
    <x v="0"/>
  </r>
  <r>
    <x v="87"/>
    <x v="0"/>
    <n v="-4398"/>
    <x v="0"/>
    <x v="0"/>
    <x v="0"/>
    <x v="2"/>
    <x v="0"/>
  </r>
  <r>
    <x v="87"/>
    <x v="6"/>
    <n v="-1732"/>
    <x v="1"/>
    <x v="4"/>
    <x v="0"/>
    <x v="2"/>
    <x v="0"/>
  </r>
  <r>
    <x v="87"/>
    <x v="2"/>
    <n v="11404"/>
    <x v="2"/>
    <x v="2"/>
    <x v="1"/>
    <x v="2"/>
    <x v="0"/>
  </r>
  <r>
    <x v="87"/>
    <x v="36"/>
    <n v="-1543"/>
    <x v="3"/>
    <x v="7"/>
    <x v="0"/>
    <x v="2"/>
    <x v="0"/>
  </r>
  <r>
    <x v="87"/>
    <x v="4"/>
    <n v="-2437"/>
    <x v="1"/>
    <x v="1"/>
    <x v="0"/>
    <x v="2"/>
    <x v="0"/>
  </r>
  <r>
    <x v="87"/>
    <x v="21"/>
    <n v="-2336"/>
    <x v="1"/>
    <x v="1"/>
    <x v="0"/>
    <x v="2"/>
    <x v="0"/>
  </r>
  <r>
    <x v="87"/>
    <x v="58"/>
    <n v="-1699"/>
    <x v="3"/>
    <x v="11"/>
    <x v="0"/>
    <x v="2"/>
    <x v="0"/>
  </r>
  <r>
    <x v="88"/>
    <x v="6"/>
    <n v="-1495"/>
    <x v="1"/>
    <x v="4"/>
    <x v="0"/>
    <x v="2"/>
    <x v="0"/>
  </r>
  <r>
    <x v="88"/>
    <x v="5"/>
    <n v="13760"/>
    <x v="2"/>
    <x v="2"/>
    <x v="1"/>
    <x v="2"/>
    <x v="0"/>
  </r>
  <r>
    <x v="88"/>
    <x v="44"/>
    <n v="-2113"/>
    <x v="5"/>
    <x v="14"/>
    <x v="0"/>
    <x v="2"/>
    <x v="0"/>
  </r>
  <r>
    <x v="88"/>
    <x v="7"/>
    <n v="-1138"/>
    <x v="3"/>
    <x v="5"/>
    <x v="0"/>
    <x v="2"/>
    <x v="0"/>
  </r>
  <r>
    <x v="88"/>
    <x v="5"/>
    <n v="14939"/>
    <x v="2"/>
    <x v="2"/>
    <x v="1"/>
    <x v="2"/>
    <x v="0"/>
  </r>
  <r>
    <x v="88"/>
    <x v="2"/>
    <n v="12627"/>
    <x v="2"/>
    <x v="2"/>
    <x v="1"/>
    <x v="2"/>
    <x v="0"/>
  </r>
  <r>
    <x v="88"/>
    <x v="22"/>
    <n v="-1696"/>
    <x v="3"/>
    <x v="11"/>
    <x v="0"/>
    <x v="2"/>
    <x v="0"/>
  </r>
  <r>
    <x v="88"/>
    <x v="5"/>
    <n v="13752"/>
    <x v="2"/>
    <x v="2"/>
    <x v="1"/>
    <x v="2"/>
    <x v="0"/>
  </r>
  <r>
    <x v="88"/>
    <x v="21"/>
    <n v="-1522"/>
    <x v="1"/>
    <x v="1"/>
    <x v="0"/>
    <x v="2"/>
    <x v="0"/>
  </r>
  <r>
    <x v="88"/>
    <x v="6"/>
    <n v="-2443"/>
    <x v="1"/>
    <x v="4"/>
    <x v="0"/>
    <x v="2"/>
    <x v="0"/>
  </r>
  <r>
    <x v="89"/>
    <x v="49"/>
    <n v="-1451"/>
    <x v="3"/>
    <x v="5"/>
    <x v="0"/>
    <x v="2"/>
    <x v="0"/>
  </r>
  <r>
    <x v="89"/>
    <x v="5"/>
    <n v="12092"/>
    <x v="2"/>
    <x v="2"/>
    <x v="1"/>
    <x v="2"/>
    <x v="0"/>
  </r>
  <r>
    <x v="89"/>
    <x v="0"/>
    <n v="-2869"/>
    <x v="0"/>
    <x v="0"/>
    <x v="0"/>
    <x v="2"/>
    <x v="0"/>
  </r>
  <r>
    <x v="89"/>
    <x v="8"/>
    <n v="-1456"/>
    <x v="3"/>
    <x v="6"/>
    <x v="0"/>
    <x v="2"/>
    <x v="0"/>
  </r>
  <r>
    <x v="89"/>
    <x v="2"/>
    <n v="12367"/>
    <x v="2"/>
    <x v="2"/>
    <x v="1"/>
    <x v="2"/>
    <x v="0"/>
  </r>
  <r>
    <x v="89"/>
    <x v="2"/>
    <n v="11396"/>
    <x v="2"/>
    <x v="2"/>
    <x v="1"/>
    <x v="2"/>
    <x v="0"/>
  </r>
  <r>
    <x v="89"/>
    <x v="25"/>
    <n v="-1045"/>
    <x v="3"/>
    <x v="9"/>
    <x v="0"/>
    <x v="2"/>
    <x v="0"/>
  </r>
  <r>
    <x v="89"/>
    <x v="8"/>
    <n v="-1173"/>
    <x v="3"/>
    <x v="6"/>
    <x v="0"/>
    <x v="2"/>
    <x v="0"/>
  </r>
  <r>
    <x v="89"/>
    <x v="2"/>
    <n v="10144"/>
    <x v="2"/>
    <x v="2"/>
    <x v="1"/>
    <x v="2"/>
    <x v="0"/>
  </r>
  <r>
    <x v="89"/>
    <x v="5"/>
    <n v="11280"/>
    <x v="2"/>
    <x v="2"/>
    <x v="1"/>
    <x v="2"/>
    <x v="0"/>
  </r>
  <r>
    <x v="89"/>
    <x v="2"/>
    <n v="12545"/>
    <x v="2"/>
    <x v="2"/>
    <x v="1"/>
    <x v="2"/>
    <x v="0"/>
  </r>
  <r>
    <x v="89"/>
    <x v="0"/>
    <n v="-3134"/>
    <x v="0"/>
    <x v="0"/>
    <x v="0"/>
    <x v="2"/>
    <x v="0"/>
  </r>
  <r>
    <x v="89"/>
    <x v="32"/>
    <n v="-1692"/>
    <x v="3"/>
    <x v="9"/>
    <x v="0"/>
    <x v="2"/>
    <x v="0"/>
  </r>
  <r>
    <x v="89"/>
    <x v="22"/>
    <n v="-1951"/>
    <x v="3"/>
    <x v="11"/>
    <x v="0"/>
    <x v="2"/>
    <x v="0"/>
  </r>
  <r>
    <x v="89"/>
    <x v="30"/>
    <n v="-1387"/>
    <x v="4"/>
    <x v="13"/>
    <x v="0"/>
    <x v="2"/>
    <x v="0"/>
  </r>
  <r>
    <x v="89"/>
    <x v="6"/>
    <n v="-2090"/>
    <x v="1"/>
    <x v="4"/>
    <x v="0"/>
    <x v="2"/>
    <x v="0"/>
  </r>
  <r>
    <x v="89"/>
    <x v="49"/>
    <n v="-2072"/>
    <x v="3"/>
    <x v="5"/>
    <x v="0"/>
    <x v="2"/>
    <x v="0"/>
  </r>
  <r>
    <x v="89"/>
    <x v="51"/>
    <n v="-2369"/>
    <x v="3"/>
    <x v="5"/>
    <x v="0"/>
    <x v="2"/>
    <x v="0"/>
  </r>
  <r>
    <x v="89"/>
    <x v="21"/>
    <n v="-1139"/>
    <x v="1"/>
    <x v="1"/>
    <x v="0"/>
    <x v="2"/>
    <x v="0"/>
  </r>
  <r>
    <x v="89"/>
    <x v="45"/>
    <n v="-2121"/>
    <x v="3"/>
    <x v="5"/>
    <x v="0"/>
    <x v="2"/>
    <x v="0"/>
  </r>
  <r>
    <x v="89"/>
    <x v="1"/>
    <n v="-1335"/>
    <x v="1"/>
    <x v="1"/>
    <x v="0"/>
    <x v="2"/>
    <x v="0"/>
  </r>
  <r>
    <x v="89"/>
    <x v="27"/>
    <n v="-1403"/>
    <x v="3"/>
    <x v="5"/>
    <x v="0"/>
    <x v="2"/>
    <x v="0"/>
  </r>
  <r>
    <x v="89"/>
    <x v="34"/>
    <n v="-1824"/>
    <x v="3"/>
    <x v="3"/>
    <x v="0"/>
    <x v="2"/>
    <x v="0"/>
  </r>
  <r>
    <x v="89"/>
    <x v="21"/>
    <n v="-1109"/>
    <x v="1"/>
    <x v="1"/>
    <x v="0"/>
    <x v="2"/>
    <x v="0"/>
  </r>
  <r>
    <x v="90"/>
    <x v="1"/>
    <n v="-2009"/>
    <x v="1"/>
    <x v="1"/>
    <x v="0"/>
    <x v="3"/>
    <x v="0"/>
  </r>
  <r>
    <x v="90"/>
    <x v="45"/>
    <n v="-1752"/>
    <x v="3"/>
    <x v="5"/>
    <x v="0"/>
    <x v="3"/>
    <x v="0"/>
  </r>
  <r>
    <x v="90"/>
    <x v="5"/>
    <n v="11340"/>
    <x v="2"/>
    <x v="2"/>
    <x v="1"/>
    <x v="3"/>
    <x v="0"/>
  </r>
  <r>
    <x v="90"/>
    <x v="53"/>
    <n v="-1789"/>
    <x v="3"/>
    <x v="5"/>
    <x v="0"/>
    <x v="3"/>
    <x v="0"/>
  </r>
  <r>
    <x v="90"/>
    <x v="4"/>
    <n v="-2347"/>
    <x v="1"/>
    <x v="1"/>
    <x v="0"/>
    <x v="3"/>
    <x v="0"/>
  </r>
  <r>
    <x v="90"/>
    <x v="4"/>
    <n v="-1488"/>
    <x v="1"/>
    <x v="1"/>
    <x v="0"/>
    <x v="3"/>
    <x v="0"/>
  </r>
  <r>
    <x v="90"/>
    <x v="44"/>
    <n v="-2106"/>
    <x v="5"/>
    <x v="14"/>
    <x v="0"/>
    <x v="3"/>
    <x v="0"/>
  </r>
  <r>
    <x v="90"/>
    <x v="1"/>
    <n v="-1716"/>
    <x v="1"/>
    <x v="1"/>
    <x v="0"/>
    <x v="3"/>
    <x v="0"/>
  </r>
  <r>
    <x v="90"/>
    <x v="0"/>
    <n v="-4204"/>
    <x v="0"/>
    <x v="0"/>
    <x v="0"/>
    <x v="3"/>
    <x v="0"/>
  </r>
  <r>
    <x v="90"/>
    <x v="1"/>
    <n v="-1043"/>
    <x v="1"/>
    <x v="1"/>
    <x v="0"/>
    <x v="3"/>
    <x v="0"/>
  </r>
  <r>
    <x v="90"/>
    <x v="6"/>
    <n v="-1705"/>
    <x v="1"/>
    <x v="4"/>
    <x v="0"/>
    <x v="3"/>
    <x v="0"/>
  </r>
  <r>
    <x v="90"/>
    <x v="6"/>
    <n v="-2403"/>
    <x v="1"/>
    <x v="4"/>
    <x v="0"/>
    <x v="3"/>
    <x v="0"/>
  </r>
  <r>
    <x v="90"/>
    <x v="4"/>
    <n v="-1324"/>
    <x v="1"/>
    <x v="1"/>
    <x v="0"/>
    <x v="3"/>
    <x v="0"/>
  </r>
  <r>
    <x v="90"/>
    <x v="4"/>
    <n v="-1446"/>
    <x v="1"/>
    <x v="1"/>
    <x v="0"/>
    <x v="3"/>
    <x v="0"/>
  </r>
  <r>
    <x v="90"/>
    <x v="20"/>
    <n v="-1284"/>
    <x v="3"/>
    <x v="10"/>
    <x v="0"/>
    <x v="3"/>
    <x v="0"/>
  </r>
  <r>
    <x v="90"/>
    <x v="18"/>
    <n v="-1328"/>
    <x v="3"/>
    <x v="5"/>
    <x v="0"/>
    <x v="3"/>
    <x v="0"/>
  </r>
  <r>
    <x v="90"/>
    <x v="6"/>
    <n v="-1074"/>
    <x v="1"/>
    <x v="4"/>
    <x v="0"/>
    <x v="3"/>
    <x v="0"/>
  </r>
  <r>
    <x v="90"/>
    <x v="48"/>
    <n v="-1267"/>
    <x v="3"/>
    <x v="7"/>
    <x v="0"/>
    <x v="3"/>
    <x v="0"/>
  </r>
  <r>
    <x v="90"/>
    <x v="10"/>
    <n v="-1776"/>
    <x v="3"/>
    <x v="6"/>
    <x v="0"/>
    <x v="3"/>
    <x v="0"/>
  </r>
  <r>
    <x v="90"/>
    <x v="4"/>
    <n v="-1924"/>
    <x v="1"/>
    <x v="1"/>
    <x v="0"/>
    <x v="3"/>
    <x v="0"/>
  </r>
  <r>
    <x v="90"/>
    <x v="63"/>
    <n v="-1027"/>
    <x v="3"/>
    <x v="5"/>
    <x v="0"/>
    <x v="3"/>
    <x v="0"/>
  </r>
  <r>
    <x v="90"/>
    <x v="5"/>
    <n v="10165"/>
    <x v="2"/>
    <x v="2"/>
    <x v="1"/>
    <x v="3"/>
    <x v="0"/>
  </r>
  <r>
    <x v="90"/>
    <x v="22"/>
    <n v="-2458"/>
    <x v="3"/>
    <x v="11"/>
    <x v="0"/>
    <x v="3"/>
    <x v="0"/>
  </r>
  <r>
    <x v="90"/>
    <x v="5"/>
    <n v="10219"/>
    <x v="2"/>
    <x v="2"/>
    <x v="1"/>
    <x v="3"/>
    <x v="0"/>
  </r>
  <r>
    <x v="90"/>
    <x v="54"/>
    <n v="-2270"/>
    <x v="3"/>
    <x v="8"/>
    <x v="0"/>
    <x v="3"/>
    <x v="0"/>
  </r>
  <r>
    <x v="90"/>
    <x v="2"/>
    <n v="14783"/>
    <x v="2"/>
    <x v="2"/>
    <x v="1"/>
    <x v="3"/>
    <x v="0"/>
  </r>
  <r>
    <x v="91"/>
    <x v="5"/>
    <n v="12413"/>
    <x v="2"/>
    <x v="2"/>
    <x v="1"/>
    <x v="3"/>
    <x v="0"/>
  </r>
  <r>
    <x v="91"/>
    <x v="2"/>
    <n v="10130"/>
    <x v="2"/>
    <x v="2"/>
    <x v="1"/>
    <x v="3"/>
    <x v="0"/>
  </r>
  <r>
    <x v="91"/>
    <x v="1"/>
    <n v="-1901"/>
    <x v="1"/>
    <x v="1"/>
    <x v="0"/>
    <x v="3"/>
    <x v="0"/>
  </r>
  <r>
    <x v="91"/>
    <x v="60"/>
    <n v="-1753"/>
    <x v="3"/>
    <x v="6"/>
    <x v="0"/>
    <x v="3"/>
    <x v="0"/>
  </r>
  <r>
    <x v="91"/>
    <x v="0"/>
    <n v="-4600"/>
    <x v="0"/>
    <x v="0"/>
    <x v="0"/>
    <x v="3"/>
    <x v="0"/>
  </r>
  <r>
    <x v="91"/>
    <x v="53"/>
    <n v="-1508"/>
    <x v="3"/>
    <x v="5"/>
    <x v="0"/>
    <x v="3"/>
    <x v="0"/>
  </r>
  <r>
    <x v="91"/>
    <x v="0"/>
    <n v="-4247"/>
    <x v="0"/>
    <x v="0"/>
    <x v="0"/>
    <x v="3"/>
    <x v="0"/>
  </r>
  <r>
    <x v="91"/>
    <x v="21"/>
    <n v="-1209"/>
    <x v="1"/>
    <x v="1"/>
    <x v="0"/>
    <x v="3"/>
    <x v="0"/>
  </r>
  <r>
    <x v="91"/>
    <x v="4"/>
    <n v="-1723"/>
    <x v="1"/>
    <x v="1"/>
    <x v="0"/>
    <x v="3"/>
    <x v="0"/>
  </r>
  <r>
    <x v="91"/>
    <x v="2"/>
    <n v="10882"/>
    <x v="2"/>
    <x v="2"/>
    <x v="1"/>
    <x v="3"/>
    <x v="0"/>
  </r>
  <r>
    <x v="91"/>
    <x v="4"/>
    <n v="-1866"/>
    <x v="1"/>
    <x v="1"/>
    <x v="0"/>
    <x v="3"/>
    <x v="0"/>
  </r>
  <r>
    <x v="91"/>
    <x v="21"/>
    <n v="-2357"/>
    <x v="1"/>
    <x v="1"/>
    <x v="0"/>
    <x v="3"/>
    <x v="0"/>
  </r>
  <r>
    <x v="91"/>
    <x v="6"/>
    <n v="-1323"/>
    <x v="1"/>
    <x v="4"/>
    <x v="0"/>
    <x v="3"/>
    <x v="0"/>
  </r>
  <r>
    <x v="91"/>
    <x v="9"/>
    <n v="-1287"/>
    <x v="3"/>
    <x v="5"/>
    <x v="0"/>
    <x v="3"/>
    <x v="0"/>
  </r>
  <r>
    <x v="91"/>
    <x v="5"/>
    <n v="14719"/>
    <x v="2"/>
    <x v="2"/>
    <x v="1"/>
    <x v="3"/>
    <x v="0"/>
  </r>
  <r>
    <x v="91"/>
    <x v="5"/>
    <n v="11944"/>
    <x v="2"/>
    <x v="2"/>
    <x v="1"/>
    <x v="3"/>
    <x v="0"/>
  </r>
  <r>
    <x v="91"/>
    <x v="2"/>
    <n v="10923"/>
    <x v="2"/>
    <x v="2"/>
    <x v="1"/>
    <x v="3"/>
    <x v="0"/>
  </r>
  <r>
    <x v="91"/>
    <x v="43"/>
    <n v="-1668"/>
    <x v="3"/>
    <x v="5"/>
    <x v="0"/>
    <x v="3"/>
    <x v="0"/>
  </r>
  <r>
    <x v="91"/>
    <x v="51"/>
    <n v="-2035"/>
    <x v="3"/>
    <x v="5"/>
    <x v="0"/>
    <x v="3"/>
    <x v="0"/>
  </r>
  <r>
    <x v="91"/>
    <x v="0"/>
    <n v="-4015"/>
    <x v="0"/>
    <x v="0"/>
    <x v="0"/>
    <x v="3"/>
    <x v="0"/>
  </r>
  <r>
    <x v="91"/>
    <x v="1"/>
    <n v="-1506"/>
    <x v="1"/>
    <x v="1"/>
    <x v="0"/>
    <x v="3"/>
    <x v="0"/>
  </r>
  <r>
    <x v="91"/>
    <x v="55"/>
    <n v="-1876"/>
    <x v="3"/>
    <x v="5"/>
    <x v="0"/>
    <x v="3"/>
    <x v="0"/>
  </r>
  <r>
    <x v="91"/>
    <x v="0"/>
    <n v="-3118"/>
    <x v="0"/>
    <x v="0"/>
    <x v="0"/>
    <x v="3"/>
    <x v="0"/>
  </r>
  <r>
    <x v="91"/>
    <x v="2"/>
    <n v="12513"/>
    <x v="2"/>
    <x v="2"/>
    <x v="1"/>
    <x v="3"/>
    <x v="0"/>
  </r>
  <r>
    <x v="91"/>
    <x v="14"/>
    <n v="-1295"/>
    <x v="3"/>
    <x v="8"/>
    <x v="0"/>
    <x v="3"/>
    <x v="0"/>
  </r>
  <r>
    <x v="91"/>
    <x v="3"/>
    <n v="-2058"/>
    <x v="3"/>
    <x v="3"/>
    <x v="0"/>
    <x v="3"/>
    <x v="0"/>
  </r>
  <r>
    <x v="91"/>
    <x v="31"/>
    <n v="-2382"/>
    <x v="3"/>
    <x v="11"/>
    <x v="0"/>
    <x v="3"/>
    <x v="0"/>
  </r>
  <r>
    <x v="91"/>
    <x v="62"/>
    <n v="-1759"/>
    <x v="3"/>
    <x v="11"/>
    <x v="0"/>
    <x v="3"/>
    <x v="0"/>
  </r>
  <r>
    <x v="91"/>
    <x v="14"/>
    <n v="-2405"/>
    <x v="3"/>
    <x v="8"/>
    <x v="0"/>
    <x v="3"/>
    <x v="0"/>
  </r>
  <r>
    <x v="91"/>
    <x v="2"/>
    <n v="11300"/>
    <x v="2"/>
    <x v="2"/>
    <x v="1"/>
    <x v="3"/>
    <x v="0"/>
  </r>
  <r>
    <x v="91"/>
    <x v="5"/>
    <n v="11134"/>
    <x v="2"/>
    <x v="2"/>
    <x v="1"/>
    <x v="3"/>
    <x v="0"/>
  </r>
  <r>
    <x v="91"/>
    <x v="6"/>
    <n v="-1834"/>
    <x v="1"/>
    <x v="4"/>
    <x v="0"/>
    <x v="3"/>
    <x v="0"/>
  </r>
  <r>
    <x v="91"/>
    <x v="1"/>
    <n v="-2200"/>
    <x v="1"/>
    <x v="1"/>
    <x v="0"/>
    <x v="3"/>
    <x v="0"/>
  </r>
  <r>
    <x v="91"/>
    <x v="0"/>
    <n v="-4778"/>
    <x v="0"/>
    <x v="0"/>
    <x v="0"/>
    <x v="3"/>
    <x v="0"/>
  </r>
  <r>
    <x v="92"/>
    <x v="21"/>
    <n v="-2412"/>
    <x v="1"/>
    <x v="1"/>
    <x v="0"/>
    <x v="3"/>
    <x v="0"/>
  </r>
  <r>
    <x v="92"/>
    <x v="45"/>
    <n v="-1709"/>
    <x v="3"/>
    <x v="5"/>
    <x v="0"/>
    <x v="3"/>
    <x v="0"/>
  </r>
  <r>
    <x v="92"/>
    <x v="23"/>
    <n v="-1252"/>
    <x v="3"/>
    <x v="5"/>
    <x v="0"/>
    <x v="3"/>
    <x v="0"/>
  </r>
  <r>
    <x v="92"/>
    <x v="6"/>
    <n v="-1911"/>
    <x v="1"/>
    <x v="4"/>
    <x v="0"/>
    <x v="3"/>
    <x v="0"/>
  </r>
  <r>
    <x v="92"/>
    <x v="1"/>
    <n v="-1910"/>
    <x v="1"/>
    <x v="1"/>
    <x v="0"/>
    <x v="3"/>
    <x v="0"/>
  </r>
  <r>
    <x v="92"/>
    <x v="27"/>
    <n v="-2481"/>
    <x v="3"/>
    <x v="5"/>
    <x v="0"/>
    <x v="3"/>
    <x v="0"/>
  </r>
  <r>
    <x v="92"/>
    <x v="1"/>
    <n v="-1655"/>
    <x v="1"/>
    <x v="1"/>
    <x v="0"/>
    <x v="3"/>
    <x v="0"/>
  </r>
  <r>
    <x v="92"/>
    <x v="37"/>
    <n v="-1624"/>
    <x v="3"/>
    <x v="3"/>
    <x v="0"/>
    <x v="3"/>
    <x v="0"/>
  </r>
  <r>
    <x v="92"/>
    <x v="50"/>
    <n v="-2291"/>
    <x v="3"/>
    <x v="3"/>
    <x v="0"/>
    <x v="3"/>
    <x v="0"/>
  </r>
  <r>
    <x v="92"/>
    <x v="36"/>
    <n v="-2371"/>
    <x v="3"/>
    <x v="7"/>
    <x v="0"/>
    <x v="3"/>
    <x v="0"/>
  </r>
  <r>
    <x v="92"/>
    <x v="0"/>
    <n v="-4959"/>
    <x v="0"/>
    <x v="0"/>
    <x v="0"/>
    <x v="3"/>
    <x v="0"/>
  </r>
  <r>
    <x v="92"/>
    <x v="0"/>
    <n v="-4451"/>
    <x v="0"/>
    <x v="0"/>
    <x v="0"/>
    <x v="3"/>
    <x v="0"/>
  </r>
  <r>
    <x v="92"/>
    <x v="44"/>
    <n v="-1712"/>
    <x v="5"/>
    <x v="14"/>
    <x v="0"/>
    <x v="3"/>
    <x v="0"/>
  </r>
  <r>
    <x v="92"/>
    <x v="26"/>
    <n v="-2046"/>
    <x v="3"/>
    <x v="11"/>
    <x v="0"/>
    <x v="3"/>
    <x v="0"/>
  </r>
  <r>
    <x v="93"/>
    <x v="5"/>
    <n v="12625"/>
    <x v="2"/>
    <x v="2"/>
    <x v="1"/>
    <x v="3"/>
    <x v="0"/>
  </r>
  <r>
    <x v="93"/>
    <x v="21"/>
    <n v="-2424"/>
    <x v="1"/>
    <x v="1"/>
    <x v="0"/>
    <x v="3"/>
    <x v="0"/>
  </r>
  <r>
    <x v="93"/>
    <x v="4"/>
    <n v="-2034"/>
    <x v="1"/>
    <x v="1"/>
    <x v="0"/>
    <x v="3"/>
    <x v="0"/>
  </r>
  <r>
    <x v="93"/>
    <x v="21"/>
    <n v="-1221"/>
    <x v="1"/>
    <x v="1"/>
    <x v="0"/>
    <x v="3"/>
    <x v="0"/>
  </r>
  <r>
    <x v="93"/>
    <x v="1"/>
    <n v="-2338"/>
    <x v="1"/>
    <x v="1"/>
    <x v="0"/>
    <x v="3"/>
    <x v="0"/>
  </r>
  <r>
    <x v="93"/>
    <x v="0"/>
    <n v="-4651"/>
    <x v="0"/>
    <x v="0"/>
    <x v="0"/>
    <x v="3"/>
    <x v="0"/>
  </r>
  <r>
    <x v="93"/>
    <x v="21"/>
    <n v="-1565"/>
    <x v="1"/>
    <x v="1"/>
    <x v="0"/>
    <x v="3"/>
    <x v="0"/>
  </r>
  <r>
    <x v="93"/>
    <x v="16"/>
    <n v="-1310"/>
    <x v="3"/>
    <x v="9"/>
    <x v="0"/>
    <x v="3"/>
    <x v="0"/>
  </r>
  <r>
    <x v="93"/>
    <x v="5"/>
    <n v="12482"/>
    <x v="2"/>
    <x v="2"/>
    <x v="1"/>
    <x v="3"/>
    <x v="0"/>
  </r>
  <r>
    <x v="93"/>
    <x v="14"/>
    <n v="-2185"/>
    <x v="3"/>
    <x v="8"/>
    <x v="0"/>
    <x v="3"/>
    <x v="0"/>
  </r>
  <r>
    <x v="93"/>
    <x v="4"/>
    <n v="-1199"/>
    <x v="1"/>
    <x v="1"/>
    <x v="0"/>
    <x v="3"/>
    <x v="0"/>
  </r>
  <r>
    <x v="93"/>
    <x v="37"/>
    <n v="-1421"/>
    <x v="3"/>
    <x v="3"/>
    <x v="0"/>
    <x v="3"/>
    <x v="0"/>
  </r>
  <r>
    <x v="93"/>
    <x v="0"/>
    <n v="-3552"/>
    <x v="0"/>
    <x v="0"/>
    <x v="0"/>
    <x v="3"/>
    <x v="0"/>
  </r>
  <r>
    <x v="93"/>
    <x v="0"/>
    <n v="-4944"/>
    <x v="0"/>
    <x v="0"/>
    <x v="0"/>
    <x v="3"/>
    <x v="0"/>
  </r>
  <r>
    <x v="93"/>
    <x v="2"/>
    <n v="10766"/>
    <x v="2"/>
    <x v="2"/>
    <x v="1"/>
    <x v="3"/>
    <x v="0"/>
  </r>
  <r>
    <x v="93"/>
    <x v="2"/>
    <n v="12478"/>
    <x v="2"/>
    <x v="2"/>
    <x v="1"/>
    <x v="3"/>
    <x v="0"/>
  </r>
  <r>
    <x v="93"/>
    <x v="63"/>
    <n v="-2154"/>
    <x v="3"/>
    <x v="5"/>
    <x v="0"/>
    <x v="3"/>
    <x v="0"/>
  </r>
  <r>
    <x v="93"/>
    <x v="39"/>
    <n v="-1941"/>
    <x v="3"/>
    <x v="5"/>
    <x v="0"/>
    <x v="3"/>
    <x v="0"/>
  </r>
  <r>
    <x v="94"/>
    <x v="20"/>
    <n v="-1784"/>
    <x v="3"/>
    <x v="10"/>
    <x v="0"/>
    <x v="3"/>
    <x v="0"/>
  </r>
  <r>
    <x v="94"/>
    <x v="63"/>
    <n v="-2259"/>
    <x v="3"/>
    <x v="5"/>
    <x v="0"/>
    <x v="3"/>
    <x v="0"/>
  </r>
  <r>
    <x v="94"/>
    <x v="0"/>
    <n v="-2859"/>
    <x v="0"/>
    <x v="0"/>
    <x v="0"/>
    <x v="3"/>
    <x v="0"/>
  </r>
  <r>
    <x v="94"/>
    <x v="5"/>
    <n v="14186"/>
    <x v="2"/>
    <x v="2"/>
    <x v="1"/>
    <x v="3"/>
    <x v="0"/>
  </r>
  <r>
    <x v="94"/>
    <x v="5"/>
    <n v="14287"/>
    <x v="2"/>
    <x v="2"/>
    <x v="1"/>
    <x v="3"/>
    <x v="0"/>
  </r>
  <r>
    <x v="94"/>
    <x v="1"/>
    <n v="-1604"/>
    <x v="1"/>
    <x v="1"/>
    <x v="0"/>
    <x v="3"/>
    <x v="0"/>
  </r>
  <r>
    <x v="94"/>
    <x v="45"/>
    <n v="-2316"/>
    <x v="3"/>
    <x v="5"/>
    <x v="0"/>
    <x v="3"/>
    <x v="0"/>
  </r>
  <r>
    <x v="94"/>
    <x v="31"/>
    <n v="-2457"/>
    <x v="3"/>
    <x v="11"/>
    <x v="0"/>
    <x v="3"/>
    <x v="0"/>
  </r>
  <r>
    <x v="94"/>
    <x v="6"/>
    <n v="-1961"/>
    <x v="1"/>
    <x v="4"/>
    <x v="0"/>
    <x v="3"/>
    <x v="0"/>
  </r>
  <r>
    <x v="94"/>
    <x v="0"/>
    <n v="-3433"/>
    <x v="0"/>
    <x v="0"/>
    <x v="0"/>
    <x v="3"/>
    <x v="0"/>
  </r>
  <r>
    <x v="94"/>
    <x v="2"/>
    <n v="12685"/>
    <x v="2"/>
    <x v="2"/>
    <x v="1"/>
    <x v="3"/>
    <x v="0"/>
  </r>
  <r>
    <x v="94"/>
    <x v="4"/>
    <n v="-1354"/>
    <x v="1"/>
    <x v="1"/>
    <x v="0"/>
    <x v="3"/>
    <x v="0"/>
  </r>
  <r>
    <x v="94"/>
    <x v="49"/>
    <n v="-1086"/>
    <x v="3"/>
    <x v="5"/>
    <x v="0"/>
    <x v="3"/>
    <x v="0"/>
  </r>
  <r>
    <x v="94"/>
    <x v="21"/>
    <n v="-1610"/>
    <x v="1"/>
    <x v="1"/>
    <x v="0"/>
    <x v="3"/>
    <x v="0"/>
  </r>
  <r>
    <x v="94"/>
    <x v="0"/>
    <n v="-3374"/>
    <x v="0"/>
    <x v="0"/>
    <x v="0"/>
    <x v="3"/>
    <x v="0"/>
  </r>
  <r>
    <x v="94"/>
    <x v="6"/>
    <n v="-2203"/>
    <x v="1"/>
    <x v="4"/>
    <x v="0"/>
    <x v="3"/>
    <x v="0"/>
  </r>
  <r>
    <x v="94"/>
    <x v="1"/>
    <n v="-2018"/>
    <x v="1"/>
    <x v="1"/>
    <x v="0"/>
    <x v="3"/>
    <x v="0"/>
  </r>
  <r>
    <x v="94"/>
    <x v="6"/>
    <n v="-1437"/>
    <x v="1"/>
    <x v="4"/>
    <x v="0"/>
    <x v="3"/>
    <x v="0"/>
  </r>
  <r>
    <x v="95"/>
    <x v="1"/>
    <n v="-1867"/>
    <x v="1"/>
    <x v="1"/>
    <x v="0"/>
    <x v="3"/>
    <x v="0"/>
  </r>
  <r>
    <x v="95"/>
    <x v="43"/>
    <n v="-1901"/>
    <x v="3"/>
    <x v="5"/>
    <x v="0"/>
    <x v="3"/>
    <x v="0"/>
  </r>
  <r>
    <x v="95"/>
    <x v="2"/>
    <n v="14583"/>
    <x v="2"/>
    <x v="2"/>
    <x v="1"/>
    <x v="3"/>
    <x v="0"/>
  </r>
  <r>
    <x v="95"/>
    <x v="0"/>
    <n v="-3480"/>
    <x v="0"/>
    <x v="0"/>
    <x v="0"/>
    <x v="3"/>
    <x v="0"/>
  </r>
  <r>
    <x v="95"/>
    <x v="9"/>
    <n v="-1769"/>
    <x v="3"/>
    <x v="5"/>
    <x v="0"/>
    <x v="3"/>
    <x v="0"/>
  </r>
  <r>
    <x v="95"/>
    <x v="1"/>
    <n v="-2097"/>
    <x v="1"/>
    <x v="1"/>
    <x v="0"/>
    <x v="3"/>
    <x v="0"/>
  </r>
  <r>
    <x v="95"/>
    <x v="17"/>
    <n v="-1318"/>
    <x v="3"/>
    <x v="5"/>
    <x v="0"/>
    <x v="3"/>
    <x v="0"/>
  </r>
  <r>
    <x v="95"/>
    <x v="4"/>
    <n v="-2047"/>
    <x v="1"/>
    <x v="1"/>
    <x v="0"/>
    <x v="3"/>
    <x v="0"/>
  </r>
  <r>
    <x v="95"/>
    <x v="2"/>
    <n v="13874"/>
    <x v="2"/>
    <x v="2"/>
    <x v="1"/>
    <x v="3"/>
    <x v="0"/>
  </r>
  <r>
    <x v="95"/>
    <x v="14"/>
    <n v="-2021"/>
    <x v="3"/>
    <x v="8"/>
    <x v="0"/>
    <x v="3"/>
    <x v="0"/>
  </r>
  <r>
    <x v="95"/>
    <x v="21"/>
    <n v="-1668"/>
    <x v="1"/>
    <x v="1"/>
    <x v="0"/>
    <x v="3"/>
    <x v="0"/>
  </r>
  <r>
    <x v="95"/>
    <x v="4"/>
    <n v="-1942"/>
    <x v="1"/>
    <x v="1"/>
    <x v="0"/>
    <x v="3"/>
    <x v="0"/>
  </r>
  <r>
    <x v="95"/>
    <x v="2"/>
    <n v="12876"/>
    <x v="2"/>
    <x v="2"/>
    <x v="1"/>
    <x v="3"/>
    <x v="0"/>
  </r>
  <r>
    <x v="95"/>
    <x v="6"/>
    <n v="-1215"/>
    <x v="1"/>
    <x v="4"/>
    <x v="0"/>
    <x v="3"/>
    <x v="0"/>
  </r>
  <r>
    <x v="95"/>
    <x v="26"/>
    <n v="-1413"/>
    <x v="3"/>
    <x v="11"/>
    <x v="0"/>
    <x v="3"/>
    <x v="0"/>
  </r>
  <r>
    <x v="95"/>
    <x v="30"/>
    <n v="-1131"/>
    <x v="4"/>
    <x v="13"/>
    <x v="0"/>
    <x v="3"/>
    <x v="0"/>
  </r>
  <r>
    <x v="96"/>
    <x v="6"/>
    <n v="-2033"/>
    <x v="1"/>
    <x v="4"/>
    <x v="0"/>
    <x v="3"/>
    <x v="0"/>
  </r>
  <r>
    <x v="96"/>
    <x v="55"/>
    <n v="-1144"/>
    <x v="3"/>
    <x v="5"/>
    <x v="0"/>
    <x v="3"/>
    <x v="0"/>
  </r>
  <r>
    <x v="96"/>
    <x v="1"/>
    <n v="-1391"/>
    <x v="1"/>
    <x v="1"/>
    <x v="0"/>
    <x v="3"/>
    <x v="0"/>
  </r>
  <r>
    <x v="96"/>
    <x v="5"/>
    <n v="10389"/>
    <x v="2"/>
    <x v="2"/>
    <x v="1"/>
    <x v="3"/>
    <x v="0"/>
  </r>
  <r>
    <x v="96"/>
    <x v="2"/>
    <n v="11694"/>
    <x v="2"/>
    <x v="2"/>
    <x v="1"/>
    <x v="3"/>
    <x v="0"/>
  </r>
  <r>
    <x v="96"/>
    <x v="11"/>
    <n v="-1713"/>
    <x v="3"/>
    <x v="5"/>
    <x v="0"/>
    <x v="3"/>
    <x v="0"/>
  </r>
  <r>
    <x v="96"/>
    <x v="45"/>
    <n v="-2142"/>
    <x v="3"/>
    <x v="5"/>
    <x v="0"/>
    <x v="3"/>
    <x v="0"/>
  </r>
  <r>
    <x v="96"/>
    <x v="6"/>
    <n v="-2120"/>
    <x v="1"/>
    <x v="4"/>
    <x v="0"/>
    <x v="3"/>
    <x v="0"/>
  </r>
  <r>
    <x v="96"/>
    <x v="1"/>
    <n v="-1229"/>
    <x v="1"/>
    <x v="1"/>
    <x v="0"/>
    <x v="3"/>
    <x v="0"/>
  </r>
  <r>
    <x v="96"/>
    <x v="1"/>
    <n v="-1308"/>
    <x v="1"/>
    <x v="1"/>
    <x v="0"/>
    <x v="3"/>
    <x v="0"/>
  </r>
  <r>
    <x v="96"/>
    <x v="50"/>
    <n v="-1040"/>
    <x v="3"/>
    <x v="3"/>
    <x v="0"/>
    <x v="3"/>
    <x v="0"/>
  </r>
  <r>
    <x v="96"/>
    <x v="21"/>
    <n v="-2184"/>
    <x v="1"/>
    <x v="1"/>
    <x v="0"/>
    <x v="3"/>
    <x v="0"/>
  </r>
  <r>
    <x v="96"/>
    <x v="5"/>
    <n v="11863"/>
    <x v="2"/>
    <x v="2"/>
    <x v="1"/>
    <x v="3"/>
    <x v="0"/>
  </r>
  <r>
    <x v="96"/>
    <x v="4"/>
    <n v="-1266"/>
    <x v="1"/>
    <x v="1"/>
    <x v="0"/>
    <x v="3"/>
    <x v="0"/>
  </r>
  <r>
    <x v="96"/>
    <x v="6"/>
    <n v="-1545"/>
    <x v="1"/>
    <x v="4"/>
    <x v="0"/>
    <x v="3"/>
    <x v="0"/>
  </r>
  <r>
    <x v="96"/>
    <x v="39"/>
    <n v="-1366"/>
    <x v="3"/>
    <x v="5"/>
    <x v="0"/>
    <x v="3"/>
    <x v="0"/>
  </r>
  <r>
    <x v="96"/>
    <x v="5"/>
    <n v="14181"/>
    <x v="2"/>
    <x v="2"/>
    <x v="1"/>
    <x v="3"/>
    <x v="0"/>
  </r>
  <r>
    <x v="96"/>
    <x v="2"/>
    <n v="12950"/>
    <x v="2"/>
    <x v="2"/>
    <x v="1"/>
    <x v="3"/>
    <x v="0"/>
  </r>
  <r>
    <x v="96"/>
    <x v="0"/>
    <n v="-3843"/>
    <x v="0"/>
    <x v="0"/>
    <x v="0"/>
    <x v="3"/>
    <x v="0"/>
  </r>
  <r>
    <x v="96"/>
    <x v="21"/>
    <n v="-1050"/>
    <x v="1"/>
    <x v="1"/>
    <x v="0"/>
    <x v="3"/>
    <x v="0"/>
  </r>
  <r>
    <x v="96"/>
    <x v="18"/>
    <n v="-2394"/>
    <x v="3"/>
    <x v="5"/>
    <x v="0"/>
    <x v="3"/>
    <x v="0"/>
  </r>
  <r>
    <x v="96"/>
    <x v="0"/>
    <n v="-3230"/>
    <x v="0"/>
    <x v="0"/>
    <x v="0"/>
    <x v="3"/>
    <x v="0"/>
  </r>
  <r>
    <x v="96"/>
    <x v="21"/>
    <n v="-2350"/>
    <x v="1"/>
    <x v="1"/>
    <x v="0"/>
    <x v="3"/>
    <x v="0"/>
  </r>
  <r>
    <x v="96"/>
    <x v="2"/>
    <n v="12633"/>
    <x v="2"/>
    <x v="2"/>
    <x v="1"/>
    <x v="3"/>
    <x v="0"/>
  </r>
  <r>
    <x v="96"/>
    <x v="5"/>
    <n v="14881"/>
    <x v="2"/>
    <x v="2"/>
    <x v="1"/>
    <x v="3"/>
    <x v="0"/>
  </r>
  <r>
    <x v="96"/>
    <x v="0"/>
    <n v="-3615"/>
    <x v="0"/>
    <x v="0"/>
    <x v="0"/>
    <x v="3"/>
    <x v="0"/>
  </r>
  <r>
    <x v="96"/>
    <x v="0"/>
    <n v="-4197"/>
    <x v="0"/>
    <x v="0"/>
    <x v="0"/>
    <x v="3"/>
    <x v="0"/>
  </r>
  <r>
    <x v="96"/>
    <x v="2"/>
    <n v="12212"/>
    <x v="2"/>
    <x v="2"/>
    <x v="1"/>
    <x v="3"/>
    <x v="0"/>
  </r>
  <r>
    <x v="97"/>
    <x v="53"/>
    <n v="-2242"/>
    <x v="3"/>
    <x v="5"/>
    <x v="0"/>
    <x v="3"/>
    <x v="0"/>
  </r>
  <r>
    <x v="97"/>
    <x v="2"/>
    <n v="11989"/>
    <x v="2"/>
    <x v="2"/>
    <x v="1"/>
    <x v="3"/>
    <x v="0"/>
  </r>
  <r>
    <x v="97"/>
    <x v="24"/>
    <n v="-2371"/>
    <x v="3"/>
    <x v="6"/>
    <x v="0"/>
    <x v="3"/>
    <x v="0"/>
  </r>
  <r>
    <x v="97"/>
    <x v="0"/>
    <n v="-3902"/>
    <x v="0"/>
    <x v="0"/>
    <x v="0"/>
    <x v="3"/>
    <x v="0"/>
  </r>
  <r>
    <x v="97"/>
    <x v="1"/>
    <n v="-1731"/>
    <x v="1"/>
    <x v="1"/>
    <x v="0"/>
    <x v="3"/>
    <x v="0"/>
  </r>
  <r>
    <x v="97"/>
    <x v="44"/>
    <n v="-1509"/>
    <x v="5"/>
    <x v="14"/>
    <x v="0"/>
    <x v="3"/>
    <x v="0"/>
  </r>
  <r>
    <x v="97"/>
    <x v="6"/>
    <n v="-2164"/>
    <x v="1"/>
    <x v="4"/>
    <x v="0"/>
    <x v="3"/>
    <x v="0"/>
  </r>
  <r>
    <x v="97"/>
    <x v="39"/>
    <n v="-1445"/>
    <x v="3"/>
    <x v="5"/>
    <x v="0"/>
    <x v="3"/>
    <x v="0"/>
  </r>
  <r>
    <x v="97"/>
    <x v="0"/>
    <n v="-3262"/>
    <x v="0"/>
    <x v="0"/>
    <x v="0"/>
    <x v="3"/>
    <x v="0"/>
  </r>
  <r>
    <x v="97"/>
    <x v="13"/>
    <n v="-1516"/>
    <x v="3"/>
    <x v="7"/>
    <x v="0"/>
    <x v="3"/>
    <x v="0"/>
  </r>
  <r>
    <x v="97"/>
    <x v="1"/>
    <n v="-1946"/>
    <x v="1"/>
    <x v="1"/>
    <x v="0"/>
    <x v="3"/>
    <x v="0"/>
  </r>
  <r>
    <x v="97"/>
    <x v="33"/>
    <n v="-1045"/>
    <x v="3"/>
    <x v="3"/>
    <x v="0"/>
    <x v="3"/>
    <x v="0"/>
  </r>
  <r>
    <x v="97"/>
    <x v="4"/>
    <n v="-1832"/>
    <x v="1"/>
    <x v="1"/>
    <x v="0"/>
    <x v="3"/>
    <x v="0"/>
  </r>
  <r>
    <x v="97"/>
    <x v="30"/>
    <n v="-2491"/>
    <x v="4"/>
    <x v="13"/>
    <x v="0"/>
    <x v="3"/>
    <x v="0"/>
  </r>
  <r>
    <x v="97"/>
    <x v="41"/>
    <n v="-1064"/>
    <x v="3"/>
    <x v="3"/>
    <x v="0"/>
    <x v="3"/>
    <x v="0"/>
  </r>
  <r>
    <x v="97"/>
    <x v="61"/>
    <n v="-1897"/>
    <x v="3"/>
    <x v="10"/>
    <x v="0"/>
    <x v="3"/>
    <x v="0"/>
  </r>
  <r>
    <x v="97"/>
    <x v="2"/>
    <n v="13578"/>
    <x v="2"/>
    <x v="2"/>
    <x v="1"/>
    <x v="3"/>
    <x v="0"/>
  </r>
  <r>
    <x v="97"/>
    <x v="5"/>
    <n v="13552"/>
    <x v="2"/>
    <x v="2"/>
    <x v="1"/>
    <x v="3"/>
    <x v="0"/>
  </r>
  <r>
    <x v="98"/>
    <x v="4"/>
    <n v="-2490"/>
    <x v="1"/>
    <x v="1"/>
    <x v="0"/>
    <x v="3"/>
    <x v="0"/>
  </r>
  <r>
    <x v="98"/>
    <x v="54"/>
    <n v="-2275"/>
    <x v="3"/>
    <x v="8"/>
    <x v="0"/>
    <x v="3"/>
    <x v="0"/>
  </r>
  <r>
    <x v="98"/>
    <x v="43"/>
    <n v="-2444"/>
    <x v="3"/>
    <x v="5"/>
    <x v="0"/>
    <x v="3"/>
    <x v="0"/>
  </r>
  <r>
    <x v="98"/>
    <x v="47"/>
    <n v="-2273"/>
    <x v="3"/>
    <x v="8"/>
    <x v="0"/>
    <x v="3"/>
    <x v="0"/>
  </r>
  <r>
    <x v="98"/>
    <x v="32"/>
    <n v="-1933"/>
    <x v="3"/>
    <x v="9"/>
    <x v="0"/>
    <x v="3"/>
    <x v="0"/>
  </r>
  <r>
    <x v="98"/>
    <x v="1"/>
    <n v="-2059"/>
    <x v="1"/>
    <x v="1"/>
    <x v="0"/>
    <x v="3"/>
    <x v="0"/>
  </r>
  <r>
    <x v="98"/>
    <x v="4"/>
    <n v="-1236"/>
    <x v="1"/>
    <x v="1"/>
    <x v="0"/>
    <x v="3"/>
    <x v="0"/>
  </r>
  <r>
    <x v="98"/>
    <x v="9"/>
    <n v="-1205"/>
    <x v="3"/>
    <x v="5"/>
    <x v="0"/>
    <x v="3"/>
    <x v="0"/>
  </r>
  <r>
    <x v="98"/>
    <x v="1"/>
    <n v="-2358"/>
    <x v="1"/>
    <x v="1"/>
    <x v="0"/>
    <x v="3"/>
    <x v="0"/>
  </r>
  <r>
    <x v="98"/>
    <x v="21"/>
    <n v="-1645"/>
    <x v="1"/>
    <x v="1"/>
    <x v="0"/>
    <x v="3"/>
    <x v="0"/>
  </r>
  <r>
    <x v="98"/>
    <x v="44"/>
    <n v="-1178"/>
    <x v="5"/>
    <x v="14"/>
    <x v="0"/>
    <x v="3"/>
    <x v="0"/>
  </r>
  <r>
    <x v="98"/>
    <x v="1"/>
    <n v="-2324"/>
    <x v="1"/>
    <x v="1"/>
    <x v="0"/>
    <x v="3"/>
    <x v="0"/>
  </r>
  <r>
    <x v="98"/>
    <x v="63"/>
    <n v="-1884"/>
    <x v="3"/>
    <x v="5"/>
    <x v="0"/>
    <x v="3"/>
    <x v="0"/>
  </r>
  <r>
    <x v="98"/>
    <x v="1"/>
    <n v="-1275"/>
    <x v="1"/>
    <x v="1"/>
    <x v="0"/>
    <x v="3"/>
    <x v="0"/>
  </r>
  <r>
    <x v="98"/>
    <x v="2"/>
    <n v="14130"/>
    <x v="2"/>
    <x v="2"/>
    <x v="1"/>
    <x v="3"/>
    <x v="0"/>
  </r>
  <r>
    <x v="98"/>
    <x v="0"/>
    <n v="-4721"/>
    <x v="0"/>
    <x v="0"/>
    <x v="0"/>
    <x v="3"/>
    <x v="0"/>
  </r>
  <r>
    <x v="98"/>
    <x v="6"/>
    <n v="-1783"/>
    <x v="1"/>
    <x v="4"/>
    <x v="0"/>
    <x v="3"/>
    <x v="0"/>
  </r>
  <r>
    <x v="98"/>
    <x v="6"/>
    <n v="-1436"/>
    <x v="1"/>
    <x v="4"/>
    <x v="0"/>
    <x v="3"/>
    <x v="0"/>
  </r>
  <r>
    <x v="98"/>
    <x v="2"/>
    <n v="10181"/>
    <x v="2"/>
    <x v="2"/>
    <x v="1"/>
    <x v="3"/>
    <x v="0"/>
  </r>
  <r>
    <x v="98"/>
    <x v="34"/>
    <n v="-2118"/>
    <x v="3"/>
    <x v="3"/>
    <x v="0"/>
    <x v="3"/>
    <x v="0"/>
  </r>
  <r>
    <x v="98"/>
    <x v="1"/>
    <n v="-2288"/>
    <x v="1"/>
    <x v="1"/>
    <x v="0"/>
    <x v="3"/>
    <x v="0"/>
  </r>
  <r>
    <x v="98"/>
    <x v="21"/>
    <n v="-2101"/>
    <x v="1"/>
    <x v="1"/>
    <x v="0"/>
    <x v="3"/>
    <x v="0"/>
  </r>
  <r>
    <x v="99"/>
    <x v="0"/>
    <n v="-2728"/>
    <x v="0"/>
    <x v="0"/>
    <x v="0"/>
    <x v="3"/>
    <x v="0"/>
  </r>
  <r>
    <x v="99"/>
    <x v="0"/>
    <n v="-4758"/>
    <x v="0"/>
    <x v="0"/>
    <x v="0"/>
    <x v="3"/>
    <x v="0"/>
  </r>
  <r>
    <x v="99"/>
    <x v="21"/>
    <n v="-1954"/>
    <x v="1"/>
    <x v="1"/>
    <x v="0"/>
    <x v="3"/>
    <x v="0"/>
  </r>
  <r>
    <x v="99"/>
    <x v="11"/>
    <n v="-1618"/>
    <x v="3"/>
    <x v="5"/>
    <x v="0"/>
    <x v="3"/>
    <x v="0"/>
  </r>
  <r>
    <x v="99"/>
    <x v="1"/>
    <n v="-1891"/>
    <x v="1"/>
    <x v="1"/>
    <x v="0"/>
    <x v="3"/>
    <x v="0"/>
  </r>
  <r>
    <x v="99"/>
    <x v="11"/>
    <n v="-2280"/>
    <x v="3"/>
    <x v="5"/>
    <x v="0"/>
    <x v="3"/>
    <x v="0"/>
  </r>
  <r>
    <x v="99"/>
    <x v="48"/>
    <n v="-1031"/>
    <x v="3"/>
    <x v="7"/>
    <x v="0"/>
    <x v="3"/>
    <x v="0"/>
  </r>
  <r>
    <x v="99"/>
    <x v="3"/>
    <n v="-2473"/>
    <x v="3"/>
    <x v="3"/>
    <x v="0"/>
    <x v="3"/>
    <x v="0"/>
  </r>
  <r>
    <x v="100"/>
    <x v="1"/>
    <n v="-2467"/>
    <x v="1"/>
    <x v="1"/>
    <x v="0"/>
    <x v="3"/>
    <x v="0"/>
  </r>
  <r>
    <x v="100"/>
    <x v="41"/>
    <n v="-1719"/>
    <x v="3"/>
    <x v="3"/>
    <x v="0"/>
    <x v="3"/>
    <x v="0"/>
  </r>
  <r>
    <x v="100"/>
    <x v="0"/>
    <n v="-4406"/>
    <x v="0"/>
    <x v="0"/>
    <x v="0"/>
    <x v="3"/>
    <x v="0"/>
  </r>
  <r>
    <x v="100"/>
    <x v="17"/>
    <n v="-1874"/>
    <x v="3"/>
    <x v="5"/>
    <x v="0"/>
    <x v="3"/>
    <x v="0"/>
  </r>
  <r>
    <x v="100"/>
    <x v="1"/>
    <n v="-1044"/>
    <x v="1"/>
    <x v="1"/>
    <x v="0"/>
    <x v="3"/>
    <x v="0"/>
  </r>
  <r>
    <x v="100"/>
    <x v="53"/>
    <n v="-1324"/>
    <x v="3"/>
    <x v="5"/>
    <x v="0"/>
    <x v="3"/>
    <x v="0"/>
  </r>
  <r>
    <x v="100"/>
    <x v="6"/>
    <n v="-1065"/>
    <x v="1"/>
    <x v="4"/>
    <x v="0"/>
    <x v="3"/>
    <x v="0"/>
  </r>
  <r>
    <x v="100"/>
    <x v="3"/>
    <n v="-1228"/>
    <x v="3"/>
    <x v="3"/>
    <x v="0"/>
    <x v="3"/>
    <x v="0"/>
  </r>
  <r>
    <x v="100"/>
    <x v="1"/>
    <n v="-1152"/>
    <x v="1"/>
    <x v="1"/>
    <x v="0"/>
    <x v="3"/>
    <x v="0"/>
  </r>
  <r>
    <x v="100"/>
    <x v="16"/>
    <n v="-1400"/>
    <x v="3"/>
    <x v="9"/>
    <x v="0"/>
    <x v="3"/>
    <x v="0"/>
  </r>
  <r>
    <x v="100"/>
    <x v="17"/>
    <n v="-1861"/>
    <x v="3"/>
    <x v="5"/>
    <x v="0"/>
    <x v="3"/>
    <x v="0"/>
  </r>
  <r>
    <x v="100"/>
    <x v="4"/>
    <n v="-1641"/>
    <x v="1"/>
    <x v="1"/>
    <x v="0"/>
    <x v="3"/>
    <x v="0"/>
  </r>
  <r>
    <x v="100"/>
    <x v="4"/>
    <n v="-1225"/>
    <x v="1"/>
    <x v="1"/>
    <x v="0"/>
    <x v="3"/>
    <x v="0"/>
  </r>
  <r>
    <x v="100"/>
    <x v="21"/>
    <n v="-2108"/>
    <x v="1"/>
    <x v="1"/>
    <x v="0"/>
    <x v="3"/>
    <x v="0"/>
  </r>
  <r>
    <x v="100"/>
    <x v="9"/>
    <n v="-1486"/>
    <x v="3"/>
    <x v="5"/>
    <x v="0"/>
    <x v="3"/>
    <x v="0"/>
  </r>
  <r>
    <x v="100"/>
    <x v="5"/>
    <n v="10565"/>
    <x v="2"/>
    <x v="2"/>
    <x v="1"/>
    <x v="3"/>
    <x v="0"/>
  </r>
  <r>
    <x v="100"/>
    <x v="28"/>
    <n v="-1122"/>
    <x v="4"/>
    <x v="12"/>
    <x v="0"/>
    <x v="3"/>
    <x v="0"/>
  </r>
  <r>
    <x v="100"/>
    <x v="5"/>
    <n v="10390"/>
    <x v="2"/>
    <x v="2"/>
    <x v="1"/>
    <x v="3"/>
    <x v="0"/>
  </r>
  <r>
    <x v="100"/>
    <x v="5"/>
    <n v="13386"/>
    <x v="2"/>
    <x v="2"/>
    <x v="1"/>
    <x v="3"/>
    <x v="0"/>
  </r>
  <r>
    <x v="100"/>
    <x v="36"/>
    <n v="-2190"/>
    <x v="3"/>
    <x v="7"/>
    <x v="0"/>
    <x v="3"/>
    <x v="0"/>
  </r>
  <r>
    <x v="101"/>
    <x v="31"/>
    <n v="-1004"/>
    <x v="3"/>
    <x v="11"/>
    <x v="0"/>
    <x v="3"/>
    <x v="0"/>
  </r>
  <r>
    <x v="101"/>
    <x v="45"/>
    <n v="-2409"/>
    <x v="3"/>
    <x v="5"/>
    <x v="0"/>
    <x v="3"/>
    <x v="0"/>
  </r>
  <r>
    <x v="101"/>
    <x v="4"/>
    <n v="-1540"/>
    <x v="1"/>
    <x v="1"/>
    <x v="0"/>
    <x v="3"/>
    <x v="0"/>
  </r>
  <r>
    <x v="101"/>
    <x v="21"/>
    <n v="-2452"/>
    <x v="1"/>
    <x v="1"/>
    <x v="0"/>
    <x v="3"/>
    <x v="0"/>
  </r>
  <r>
    <x v="101"/>
    <x v="4"/>
    <n v="-1433"/>
    <x v="1"/>
    <x v="1"/>
    <x v="0"/>
    <x v="3"/>
    <x v="0"/>
  </r>
  <r>
    <x v="101"/>
    <x v="0"/>
    <n v="-3432"/>
    <x v="0"/>
    <x v="0"/>
    <x v="0"/>
    <x v="3"/>
    <x v="0"/>
  </r>
  <r>
    <x v="101"/>
    <x v="6"/>
    <n v="-2364"/>
    <x v="1"/>
    <x v="4"/>
    <x v="0"/>
    <x v="3"/>
    <x v="0"/>
  </r>
  <r>
    <x v="101"/>
    <x v="0"/>
    <n v="-3448"/>
    <x v="0"/>
    <x v="0"/>
    <x v="0"/>
    <x v="3"/>
    <x v="0"/>
  </r>
  <r>
    <x v="102"/>
    <x v="21"/>
    <n v="-1443"/>
    <x v="1"/>
    <x v="1"/>
    <x v="0"/>
    <x v="3"/>
    <x v="0"/>
  </r>
  <r>
    <x v="102"/>
    <x v="5"/>
    <n v="12518"/>
    <x v="2"/>
    <x v="2"/>
    <x v="1"/>
    <x v="3"/>
    <x v="0"/>
  </r>
  <r>
    <x v="102"/>
    <x v="57"/>
    <n v="-1842"/>
    <x v="3"/>
    <x v="5"/>
    <x v="0"/>
    <x v="3"/>
    <x v="0"/>
  </r>
  <r>
    <x v="102"/>
    <x v="44"/>
    <n v="-1953"/>
    <x v="5"/>
    <x v="14"/>
    <x v="0"/>
    <x v="3"/>
    <x v="0"/>
  </r>
  <r>
    <x v="102"/>
    <x v="1"/>
    <n v="-1604"/>
    <x v="1"/>
    <x v="1"/>
    <x v="0"/>
    <x v="3"/>
    <x v="0"/>
  </r>
  <r>
    <x v="102"/>
    <x v="59"/>
    <n v="-2387"/>
    <x v="3"/>
    <x v="5"/>
    <x v="0"/>
    <x v="3"/>
    <x v="0"/>
  </r>
  <r>
    <x v="102"/>
    <x v="21"/>
    <n v="-2389"/>
    <x v="1"/>
    <x v="1"/>
    <x v="0"/>
    <x v="3"/>
    <x v="0"/>
  </r>
  <r>
    <x v="102"/>
    <x v="44"/>
    <n v="-1084"/>
    <x v="5"/>
    <x v="14"/>
    <x v="0"/>
    <x v="3"/>
    <x v="0"/>
  </r>
  <r>
    <x v="102"/>
    <x v="22"/>
    <n v="-1207"/>
    <x v="3"/>
    <x v="11"/>
    <x v="0"/>
    <x v="3"/>
    <x v="0"/>
  </r>
  <r>
    <x v="102"/>
    <x v="35"/>
    <n v="-2458"/>
    <x v="3"/>
    <x v="10"/>
    <x v="0"/>
    <x v="3"/>
    <x v="0"/>
  </r>
  <r>
    <x v="102"/>
    <x v="0"/>
    <n v="-4231"/>
    <x v="0"/>
    <x v="0"/>
    <x v="0"/>
    <x v="3"/>
    <x v="0"/>
  </r>
  <r>
    <x v="102"/>
    <x v="61"/>
    <n v="-1624"/>
    <x v="3"/>
    <x v="10"/>
    <x v="0"/>
    <x v="3"/>
    <x v="0"/>
  </r>
  <r>
    <x v="103"/>
    <x v="39"/>
    <n v="-1421"/>
    <x v="3"/>
    <x v="5"/>
    <x v="0"/>
    <x v="3"/>
    <x v="0"/>
  </r>
  <r>
    <x v="103"/>
    <x v="13"/>
    <n v="-2253"/>
    <x v="3"/>
    <x v="7"/>
    <x v="0"/>
    <x v="3"/>
    <x v="0"/>
  </r>
  <r>
    <x v="103"/>
    <x v="43"/>
    <n v="-1849"/>
    <x v="3"/>
    <x v="5"/>
    <x v="0"/>
    <x v="3"/>
    <x v="0"/>
  </r>
  <r>
    <x v="103"/>
    <x v="60"/>
    <n v="-2479"/>
    <x v="3"/>
    <x v="6"/>
    <x v="0"/>
    <x v="3"/>
    <x v="0"/>
  </r>
  <r>
    <x v="103"/>
    <x v="60"/>
    <n v="-2070"/>
    <x v="3"/>
    <x v="6"/>
    <x v="0"/>
    <x v="3"/>
    <x v="0"/>
  </r>
  <r>
    <x v="103"/>
    <x v="21"/>
    <n v="-2310"/>
    <x v="1"/>
    <x v="1"/>
    <x v="0"/>
    <x v="3"/>
    <x v="0"/>
  </r>
  <r>
    <x v="103"/>
    <x v="0"/>
    <n v="-3098"/>
    <x v="0"/>
    <x v="0"/>
    <x v="0"/>
    <x v="3"/>
    <x v="0"/>
  </r>
  <r>
    <x v="103"/>
    <x v="2"/>
    <n v="10184"/>
    <x v="2"/>
    <x v="2"/>
    <x v="1"/>
    <x v="3"/>
    <x v="0"/>
  </r>
  <r>
    <x v="104"/>
    <x v="1"/>
    <n v="-2024"/>
    <x v="1"/>
    <x v="1"/>
    <x v="0"/>
    <x v="3"/>
    <x v="0"/>
  </r>
  <r>
    <x v="104"/>
    <x v="58"/>
    <n v="-1587"/>
    <x v="3"/>
    <x v="11"/>
    <x v="0"/>
    <x v="3"/>
    <x v="0"/>
  </r>
  <r>
    <x v="104"/>
    <x v="15"/>
    <n v="-1426"/>
    <x v="3"/>
    <x v="6"/>
    <x v="0"/>
    <x v="3"/>
    <x v="0"/>
  </r>
  <r>
    <x v="104"/>
    <x v="1"/>
    <n v="-2364"/>
    <x v="1"/>
    <x v="1"/>
    <x v="0"/>
    <x v="3"/>
    <x v="0"/>
  </r>
  <r>
    <x v="104"/>
    <x v="1"/>
    <n v="-1018"/>
    <x v="1"/>
    <x v="1"/>
    <x v="0"/>
    <x v="3"/>
    <x v="0"/>
  </r>
  <r>
    <x v="104"/>
    <x v="0"/>
    <n v="-4524"/>
    <x v="0"/>
    <x v="0"/>
    <x v="0"/>
    <x v="3"/>
    <x v="0"/>
  </r>
  <r>
    <x v="104"/>
    <x v="1"/>
    <n v="-2303"/>
    <x v="1"/>
    <x v="1"/>
    <x v="0"/>
    <x v="3"/>
    <x v="0"/>
  </r>
  <r>
    <x v="104"/>
    <x v="6"/>
    <n v="-1973"/>
    <x v="1"/>
    <x v="4"/>
    <x v="0"/>
    <x v="3"/>
    <x v="0"/>
  </r>
  <r>
    <x v="104"/>
    <x v="1"/>
    <n v="-1603"/>
    <x v="1"/>
    <x v="1"/>
    <x v="0"/>
    <x v="3"/>
    <x v="0"/>
  </r>
  <r>
    <x v="104"/>
    <x v="4"/>
    <n v="-1555"/>
    <x v="1"/>
    <x v="1"/>
    <x v="0"/>
    <x v="3"/>
    <x v="0"/>
  </r>
  <r>
    <x v="105"/>
    <x v="6"/>
    <n v="-1100"/>
    <x v="1"/>
    <x v="4"/>
    <x v="0"/>
    <x v="3"/>
    <x v="0"/>
  </r>
  <r>
    <x v="105"/>
    <x v="14"/>
    <n v="-1993"/>
    <x v="3"/>
    <x v="8"/>
    <x v="0"/>
    <x v="3"/>
    <x v="0"/>
  </r>
  <r>
    <x v="105"/>
    <x v="46"/>
    <n v="-2151"/>
    <x v="3"/>
    <x v="11"/>
    <x v="0"/>
    <x v="3"/>
    <x v="0"/>
  </r>
  <r>
    <x v="105"/>
    <x v="0"/>
    <n v="-4419"/>
    <x v="0"/>
    <x v="0"/>
    <x v="0"/>
    <x v="3"/>
    <x v="0"/>
  </r>
  <r>
    <x v="105"/>
    <x v="1"/>
    <n v="-1824"/>
    <x v="1"/>
    <x v="1"/>
    <x v="0"/>
    <x v="3"/>
    <x v="0"/>
  </r>
  <r>
    <x v="105"/>
    <x v="37"/>
    <n v="-1687"/>
    <x v="3"/>
    <x v="3"/>
    <x v="0"/>
    <x v="3"/>
    <x v="0"/>
  </r>
  <r>
    <x v="105"/>
    <x v="6"/>
    <n v="-2365"/>
    <x v="1"/>
    <x v="4"/>
    <x v="0"/>
    <x v="3"/>
    <x v="0"/>
  </r>
  <r>
    <x v="105"/>
    <x v="0"/>
    <n v="-3304"/>
    <x v="0"/>
    <x v="0"/>
    <x v="0"/>
    <x v="3"/>
    <x v="0"/>
  </r>
  <r>
    <x v="105"/>
    <x v="2"/>
    <n v="13283"/>
    <x v="2"/>
    <x v="2"/>
    <x v="1"/>
    <x v="3"/>
    <x v="0"/>
  </r>
  <r>
    <x v="105"/>
    <x v="38"/>
    <n v="-1642"/>
    <x v="3"/>
    <x v="5"/>
    <x v="0"/>
    <x v="3"/>
    <x v="0"/>
  </r>
  <r>
    <x v="105"/>
    <x v="5"/>
    <n v="10642"/>
    <x v="2"/>
    <x v="2"/>
    <x v="1"/>
    <x v="3"/>
    <x v="0"/>
  </r>
  <r>
    <x v="105"/>
    <x v="5"/>
    <n v="14368"/>
    <x v="2"/>
    <x v="2"/>
    <x v="1"/>
    <x v="3"/>
    <x v="0"/>
  </r>
  <r>
    <x v="105"/>
    <x v="0"/>
    <n v="-3940"/>
    <x v="0"/>
    <x v="0"/>
    <x v="0"/>
    <x v="3"/>
    <x v="0"/>
  </r>
  <r>
    <x v="105"/>
    <x v="5"/>
    <n v="11612"/>
    <x v="2"/>
    <x v="2"/>
    <x v="1"/>
    <x v="3"/>
    <x v="0"/>
  </r>
  <r>
    <x v="105"/>
    <x v="50"/>
    <n v="-2235"/>
    <x v="3"/>
    <x v="3"/>
    <x v="0"/>
    <x v="3"/>
    <x v="0"/>
  </r>
  <r>
    <x v="105"/>
    <x v="5"/>
    <n v="11309"/>
    <x v="2"/>
    <x v="2"/>
    <x v="1"/>
    <x v="3"/>
    <x v="0"/>
  </r>
  <r>
    <x v="106"/>
    <x v="5"/>
    <n v="11519"/>
    <x v="2"/>
    <x v="2"/>
    <x v="1"/>
    <x v="3"/>
    <x v="0"/>
  </r>
  <r>
    <x v="106"/>
    <x v="6"/>
    <n v="-1750"/>
    <x v="1"/>
    <x v="4"/>
    <x v="0"/>
    <x v="3"/>
    <x v="0"/>
  </r>
  <r>
    <x v="106"/>
    <x v="42"/>
    <n v="-2207"/>
    <x v="3"/>
    <x v="5"/>
    <x v="0"/>
    <x v="3"/>
    <x v="0"/>
  </r>
  <r>
    <x v="106"/>
    <x v="21"/>
    <n v="-1909"/>
    <x v="1"/>
    <x v="1"/>
    <x v="0"/>
    <x v="3"/>
    <x v="0"/>
  </r>
  <r>
    <x v="106"/>
    <x v="32"/>
    <n v="-1151"/>
    <x v="3"/>
    <x v="9"/>
    <x v="0"/>
    <x v="3"/>
    <x v="0"/>
  </r>
  <r>
    <x v="106"/>
    <x v="5"/>
    <n v="14440"/>
    <x v="2"/>
    <x v="2"/>
    <x v="1"/>
    <x v="3"/>
    <x v="0"/>
  </r>
  <r>
    <x v="106"/>
    <x v="5"/>
    <n v="14611"/>
    <x v="2"/>
    <x v="2"/>
    <x v="1"/>
    <x v="3"/>
    <x v="0"/>
  </r>
  <r>
    <x v="106"/>
    <x v="16"/>
    <n v="-1326"/>
    <x v="3"/>
    <x v="9"/>
    <x v="0"/>
    <x v="3"/>
    <x v="0"/>
  </r>
  <r>
    <x v="106"/>
    <x v="50"/>
    <n v="-1584"/>
    <x v="3"/>
    <x v="3"/>
    <x v="0"/>
    <x v="3"/>
    <x v="0"/>
  </r>
  <r>
    <x v="106"/>
    <x v="1"/>
    <n v="-1194"/>
    <x v="1"/>
    <x v="1"/>
    <x v="0"/>
    <x v="3"/>
    <x v="0"/>
  </r>
  <r>
    <x v="107"/>
    <x v="4"/>
    <n v="-1484"/>
    <x v="1"/>
    <x v="1"/>
    <x v="0"/>
    <x v="3"/>
    <x v="0"/>
  </r>
  <r>
    <x v="107"/>
    <x v="16"/>
    <n v="-2084"/>
    <x v="3"/>
    <x v="9"/>
    <x v="0"/>
    <x v="3"/>
    <x v="0"/>
  </r>
  <r>
    <x v="107"/>
    <x v="6"/>
    <n v="-1459"/>
    <x v="1"/>
    <x v="4"/>
    <x v="0"/>
    <x v="3"/>
    <x v="0"/>
  </r>
  <r>
    <x v="107"/>
    <x v="1"/>
    <n v="-1704"/>
    <x v="1"/>
    <x v="1"/>
    <x v="0"/>
    <x v="3"/>
    <x v="0"/>
  </r>
  <r>
    <x v="107"/>
    <x v="2"/>
    <n v="11862"/>
    <x v="2"/>
    <x v="2"/>
    <x v="1"/>
    <x v="3"/>
    <x v="0"/>
  </r>
  <r>
    <x v="107"/>
    <x v="21"/>
    <n v="-1023"/>
    <x v="1"/>
    <x v="1"/>
    <x v="0"/>
    <x v="3"/>
    <x v="0"/>
  </r>
  <r>
    <x v="108"/>
    <x v="56"/>
    <n v="1920"/>
    <x v="4"/>
    <x v="15"/>
    <x v="0"/>
    <x v="3"/>
    <x v="0"/>
  </r>
  <r>
    <x v="108"/>
    <x v="2"/>
    <n v="13880"/>
    <x v="2"/>
    <x v="2"/>
    <x v="1"/>
    <x v="3"/>
    <x v="0"/>
  </r>
  <r>
    <x v="108"/>
    <x v="6"/>
    <n v="-1550"/>
    <x v="1"/>
    <x v="4"/>
    <x v="0"/>
    <x v="3"/>
    <x v="0"/>
  </r>
  <r>
    <x v="108"/>
    <x v="0"/>
    <n v="-2517"/>
    <x v="0"/>
    <x v="0"/>
    <x v="0"/>
    <x v="3"/>
    <x v="0"/>
  </r>
  <r>
    <x v="108"/>
    <x v="0"/>
    <n v="-3101"/>
    <x v="0"/>
    <x v="0"/>
    <x v="0"/>
    <x v="3"/>
    <x v="0"/>
  </r>
  <r>
    <x v="108"/>
    <x v="5"/>
    <n v="11913"/>
    <x v="2"/>
    <x v="2"/>
    <x v="1"/>
    <x v="3"/>
    <x v="0"/>
  </r>
  <r>
    <x v="108"/>
    <x v="6"/>
    <n v="-1773"/>
    <x v="1"/>
    <x v="4"/>
    <x v="0"/>
    <x v="3"/>
    <x v="0"/>
  </r>
  <r>
    <x v="108"/>
    <x v="0"/>
    <n v="-3714"/>
    <x v="0"/>
    <x v="0"/>
    <x v="0"/>
    <x v="3"/>
    <x v="0"/>
  </r>
  <r>
    <x v="108"/>
    <x v="6"/>
    <n v="-1899"/>
    <x v="1"/>
    <x v="4"/>
    <x v="0"/>
    <x v="3"/>
    <x v="0"/>
  </r>
  <r>
    <x v="108"/>
    <x v="63"/>
    <n v="-2182"/>
    <x v="3"/>
    <x v="5"/>
    <x v="0"/>
    <x v="3"/>
    <x v="0"/>
  </r>
  <r>
    <x v="108"/>
    <x v="15"/>
    <n v="-1472"/>
    <x v="3"/>
    <x v="6"/>
    <x v="0"/>
    <x v="3"/>
    <x v="0"/>
  </r>
  <r>
    <x v="108"/>
    <x v="28"/>
    <n v="-1237"/>
    <x v="4"/>
    <x v="12"/>
    <x v="0"/>
    <x v="3"/>
    <x v="0"/>
  </r>
  <r>
    <x v="108"/>
    <x v="10"/>
    <n v="-2235"/>
    <x v="3"/>
    <x v="6"/>
    <x v="0"/>
    <x v="3"/>
    <x v="0"/>
  </r>
  <r>
    <x v="108"/>
    <x v="5"/>
    <n v="13112"/>
    <x v="2"/>
    <x v="2"/>
    <x v="1"/>
    <x v="3"/>
    <x v="0"/>
  </r>
  <r>
    <x v="108"/>
    <x v="21"/>
    <n v="-2182"/>
    <x v="1"/>
    <x v="1"/>
    <x v="0"/>
    <x v="3"/>
    <x v="0"/>
  </r>
  <r>
    <x v="108"/>
    <x v="2"/>
    <n v="10346"/>
    <x v="2"/>
    <x v="2"/>
    <x v="1"/>
    <x v="3"/>
    <x v="0"/>
  </r>
  <r>
    <x v="108"/>
    <x v="0"/>
    <n v="-3331"/>
    <x v="0"/>
    <x v="0"/>
    <x v="0"/>
    <x v="3"/>
    <x v="0"/>
  </r>
  <r>
    <x v="108"/>
    <x v="21"/>
    <n v="-2165"/>
    <x v="1"/>
    <x v="1"/>
    <x v="0"/>
    <x v="3"/>
    <x v="0"/>
  </r>
  <r>
    <x v="108"/>
    <x v="5"/>
    <n v="14798"/>
    <x v="2"/>
    <x v="2"/>
    <x v="1"/>
    <x v="3"/>
    <x v="0"/>
  </r>
  <r>
    <x v="108"/>
    <x v="5"/>
    <n v="14414"/>
    <x v="2"/>
    <x v="2"/>
    <x v="1"/>
    <x v="3"/>
    <x v="0"/>
  </r>
  <r>
    <x v="108"/>
    <x v="10"/>
    <n v="-1446"/>
    <x v="3"/>
    <x v="6"/>
    <x v="0"/>
    <x v="3"/>
    <x v="0"/>
  </r>
  <r>
    <x v="108"/>
    <x v="21"/>
    <n v="-2266"/>
    <x v="1"/>
    <x v="1"/>
    <x v="0"/>
    <x v="3"/>
    <x v="0"/>
  </r>
  <r>
    <x v="109"/>
    <x v="0"/>
    <n v="-3806"/>
    <x v="0"/>
    <x v="0"/>
    <x v="0"/>
    <x v="3"/>
    <x v="0"/>
  </r>
  <r>
    <x v="109"/>
    <x v="20"/>
    <n v="-1006"/>
    <x v="3"/>
    <x v="10"/>
    <x v="0"/>
    <x v="3"/>
    <x v="0"/>
  </r>
  <r>
    <x v="109"/>
    <x v="1"/>
    <n v="-1647"/>
    <x v="1"/>
    <x v="1"/>
    <x v="0"/>
    <x v="3"/>
    <x v="0"/>
  </r>
  <r>
    <x v="109"/>
    <x v="8"/>
    <n v="-1718"/>
    <x v="3"/>
    <x v="6"/>
    <x v="0"/>
    <x v="3"/>
    <x v="0"/>
  </r>
  <r>
    <x v="109"/>
    <x v="0"/>
    <n v="-4751"/>
    <x v="0"/>
    <x v="0"/>
    <x v="0"/>
    <x v="3"/>
    <x v="0"/>
  </r>
  <r>
    <x v="109"/>
    <x v="21"/>
    <n v="-1167"/>
    <x v="1"/>
    <x v="1"/>
    <x v="0"/>
    <x v="3"/>
    <x v="0"/>
  </r>
  <r>
    <x v="109"/>
    <x v="1"/>
    <n v="-1680"/>
    <x v="1"/>
    <x v="1"/>
    <x v="0"/>
    <x v="3"/>
    <x v="0"/>
  </r>
  <r>
    <x v="109"/>
    <x v="6"/>
    <n v="-1257"/>
    <x v="1"/>
    <x v="4"/>
    <x v="0"/>
    <x v="3"/>
    <x v="0"/>
  </r>
  <r>
    <x v="109"/>
    <x v="49"/>
    <n v="-1433"/>
    <x v="3"/>
    <x v="5"/>
    <x v="0"/>
    <x v="3"/>
    <x v="0"/>
  </r>
  <r>
    <x v="109"/>
    <x v="24"/>
    <n v="-1668"/>
    <x v="3"/>
    <x v="6"/>
    <x v="0"/>
    <x v="3"/>
    <x v="0"/>
  </r>
  <r>
    <x v="109"/>
    <x v="5"/>
    <n v="10302"/>
    <x v="2"/>
    <x v="2"/>
    <x v="1"/>
    <x v="3"/>
    <x v="0"/>
  </r>
  <r>
    <x v="109"/>
    <x v="5"/>
    <n v="12040"/>
    <x v="2"/>
    <x v="2"/>
    <x v="1"/>
    <x v="3"/>
    <x v="0"/>
  </r>
  <r>
    <x v="109"/>
    <x v="0"/>
    <n v="-3400"/>
    <x v="0"/>
    <x v="0"/>
    <x v="0"/>
    <x v="3"/>
    <x v="0"/>
  </r>
  <r>
    <x v="109"/>
    <x v="36"/>
    <n v="-2084"/>
    <x v="3"/>
    <x v="7"/>
    <x v="0"/>
    <x v="3"/>
    <x v="0"/>
  </r>
  <r>
    <x v="109"/>
    <x v="55"/>
    <n v="-1579"/>
    <x v="3"/>
    <x v="5"/>
    <x v="0"/>
    <x v="3"/>
    <x v="0"/>
  </r>
  <r>
    <x v="109"/>
    <x v="52"/>
    <n v="-1986"/>
    <x v="3"/>
    <x v="3"/>
    <x v="0"/>
    <x v="3"/>
    <x v="0"/>
  </r>
  <r>
    <x v="109"/>
    <x v="1"/>
    <n v="-1696"/>
    <x v="1"/>
    <x v="1"/>
    <x v="0"/>
    <x v="3"/>
    <x v="0"/>
  </r>
  <r>
    <x v="109"/>
    <x v="2"/>
    <n v="10988"/>
    <x v="2"/>
    <x v="2"/>
    <x v="1"/>
    <x v="3"/>
    <x v="0"/>
  </r>
  <r>
    <x v="110"/>
    <x v="0"/>
    <n v="-3538"/>
    <x v="0"/>
    <x v="0"/>
    <x v="0"/>
    <x v="3"/>
    <x v="0"/>
  </r>
  <r>
    <x v="110"/>
    <x v="5"/>
    <n v="11444"/>
    <x v="2"/>
    <x v="2"/>
    <x v="1"/>
    <x v="3"/>
    <x v="0"/>
  </r>
  <r>
    <x v="110"/>
    <x v="5"/>
    <n v="11223"/>
    <x v="2"/>
    <x v="2"/>
    <x v="1"/>
    <x v="3"/>
    <x v="0"/>
  </r>
  <r>
    <x v="110"/>
    <x v="50"/>
    <n v="-1227"/>
    <x v="3"/>
    <x v="3"/>
    <x v="0"/>
    <x v="3"/>
    <x v="0"/>
  </r>
  <r>
    <x v="110"/>
    <x v="0"/>
    <n v="-4050"/>
    <x v="0"/>
    <x v="0"/>
    <x v="0"/>
    <x v="3"/>
    <x v="0"/>
  </r>
  <r>
    <x v="110"/>
    <x v="6"/>
    <n v="-1495"/>
    <x v="1"/>
    <x v="4"/>
    <x v="0"/>
    <x v="3"/>
    <x v="0"/>
  </r>
  <r>
    <x v="110"/>
    <x v="47"/>
    <n v="-1518"/>
    <x v="3"/>
    <x v="8"/>
    <x v="0"/>
    <x v="3"/>
    <x v="0"/>
  </r>
  <r>
    <x v="110"/>
    <x v="19"/>
    <n v="-1430"/>
    <x v="3"/>
    <x v="8"/>
    <x v="0"/>
    <x v="3"/>
    <x v="0"/>
  </r>
  <r>
    <x v="110"/>
    <x v="0"/>
    <n v="-2810"/>
    <x v="0"/>
    <x v="0"/>
    <x v="0"/>
    <x v="3"/>
    <x v="0"/>
  </r>
  <r>
    <x v="110"/>
    <x v="4"/>
    <n v="-1442"/>
    <x v="1"/>
    <x v="1"/>
    <x v="0"/>
    <x v="3"/>
    <x v="0"/>
  </r>
  <r>
    <x v="110"/>
    <x v="55"/>
    <n v="-2032"/>
    <x v="3"/>
    <x v="5"/>
    <x v="0"/>
    <x v="3"/>
    <x v="0"/>
  </r>
  <r>
    <x v="110"/>
    <x v="21"/>
    <n v="-1519"/>
    <x v="1"/>
    <x v="1"/>
    <x v="0"/>
    <x v="3"/>
    <x v="0"/>
  </r>
  <r>
    <x v="110"/>
    <x v="57"/>
    <n v="-2033"/>
    <x v="3"/>
    <x v="5"/>
    <x v="0"/>
    <x v="3"/>
    <x v="0"/>
  </r>
  <r>
    <x v="110"/>
    <x v="1"/>
    <n v="-1254"/>
    <x v="1"/>
    <x v="1"/>
    <x v="0"/>
    <x v="3"/>
    <x v="0"/>
  </r>
  <r>
    <x v="110"/>
    <x v="1"/>
    <n v="-1706"/>
    <x v="1"/>
    <x v="1"/>
    <x v="0"/>
    <x v="3"/>
    <x v="0"/>
  </r>
  <r>
    <x v="110"/>
    <x v="47"/>
    <n v="-1659"/>
    <x v="3"/>
    <x v="8"/>
    <x v="0"/>
    <x v="3"/>
    <x v="0"/>
  </r>
  <r>
    <x v="111"/>
    <x v="37"/>
    <n v="-1112"/>
    <x v="3"/>
    <x v="3"/>
    <x v="0"/>
    <x v="3"/>
    <x v="0"/>
  </r>
  <r>
    <x v="111"/>
    <x v="0"/>
    <n v="-4723"/>
    <x v="0"/>
    <x v="0"/>
    <x v="0"/>
    <x v="3"/>
    <x v="0"/>
  </r>
  <r>
    <x v="111"/>
    <x v="20"/>
    <n v="-2220"/>
    <x v="3"/>
    <x v="10"/>
    <x v="0"/>
    <x v="3"/>
    <x v="0"/>
  </r>
  <r>
    <x v="111"/>
    <x v="5"/>
    <n v="11161"/>
    <x v="2"/>
    <x v="2"/>
    <x v="1"/>
    <x v="3"/>
    <x v="0"/>
  </r>
  <r>
    <x v="111"/>
    <x v="0"/>
    <n v="-4301"/>
    <x v="0"/>
    <x v="0"/>
    <x v="0"/>
    <x v="3"/>
    <x v="0"/>
  </r>
  <r>
    <x v="111"/>
    <x v="21"/>
    <n v="-1626"/>
    <x v="1"/>
    <x v="1"/>
    <x v="0"/>
    <x v="3"/>
    <x v="0"/>
  </r>
  <r>
    <x v="111"/>
    <x v="6"/>
    <n v="-1145"/>
    <x v="1"/>
    <x v="4"/>
    <x v="0"/>
    <x v="3"/>
    <x v="0"/>
  </r>
  <r>
    <x v="111"/>
    <x v="17"/>
    <n v="-1127"/>
    <x v="3"/>
    <x v="5"/>
    <x v="0"/>
    <x v="3"/>
    <x v="0"/>
  </r>
  <r>
    <x v="111"/>
    <x v="5"/>
    <n v="14220"/>
    <x v="2"/>
    <x v="2"/>
    <x v="1"/>
    <x v="3"/>
    <x v="0"/>
  </r>
  <r>
    <x v="111"/>
    <x v="47"/>
    <n v="-1264"/>
    <x v="3"/>
    <x v="8"/>
    <x v="0"/>
    <x v="3"/>
    <x v="0"/>
  </r>
  <r>
    <x v="111"/>
    <x v="7"/>
    <n v="-1682"/>
    <x v="3"/>
    <x v="5"/>
    <x v="0"/>
    <x v="3"/>
    <x v="0"/>
  </r>
  <r>
    <x v="111"/>
    <x v="9"/>
    <n v="-1675"/>
    <x v="3"/>
    <x v="5"/>
    <x v="0"/>
    <x v="3"/>
    <x v="0"/>
  </r>
  <r>
    <x v="111"/>
    <x v="21"/>
    <n v="-1798"/>
    <x v="1"/>
    <x v="1"/>
    <x v="0"/>
    <x v="3"/>
    <x v="0"/>
  </r>
  <r>
    <x v="111"/>
    <x v="2"/>
    <n v="12252"/>
    <x v="2"/>
    <x v="2"/>
    <x v="1"/>
    <x v="3"/>
    <x v="0"/>
  </r>
  <r>
    <x v="112"/>
    <x v="32"/>
    <n v="-1046"/>
    <x v="3"/>
    <x v="9"/>
    <x v="0"/>
    <x v="3"/>
    <x v="0"/>
  </r>
  <r>
    <x v="112"/>
    <x v="20"/>
    <n v="-2189"/>
    <x v="3"/>
    <x v="10"/>
    <x v="0"/>
    <x v="3"/>
    <x v="0"/>
  </r>
  <r>
    <x v="112"/>
    <x v="2"/>
    <n v="12159"/>
    <x v="2"/>
    <x v="2"/>
    <x v="1"/>
    <x v="3"/>
    <x v="0"/>
  </r>
  <r>
    <x v="112"/>
    <x v="62"/>
    <n v="-1746"/>
    <x v="3"/>
    <x v="11"/>
    <x v="0"/>
    <x v="3"/>
    <x v="0"/>
  </r>
  <r>
    <x v="112"/>
    <x v="2"/>
    <n v="13412"/>
    <x v="2"/>
    <x v="2"/>
    <x v="1"/>
    <x v="3"/>
    <x v="0"/>
  </r>
  <r>
    <x v="112"/>
    <x v="16"/>
    <n v="-1340"/>
    <x v="3"/>
    <x v="9"/>
    <x v="0"/>
    <x v="3"/>
    <x v="0"/>
  </r>
  <r>
    <x v="112"/>
    <x v="0"/>
    <n v="-3657"/>
    <x v="0"/>
    <x v="0"/>
    <x v="0"/>
    <x v="3"/>
    <x v="0"/>
  </r>
  <r>
    <x v="112"/>
    <x v="6"/>
    <n v="-1579"/>
    <x v="1"/>
    <x v="4"/>
    <x v="0"/>
    <x v="3"/>
    <x v="0"/>
  </r>
  <r>
    <x v="112"/>
    <x v="2"/>
    <n v="11461"/>
    <x v="2"/>
    <x v="2"/>
    <x v="1"/>
    <x v="3"/>
    <x v="0"/>
  </r>
  <r>
    <x v="112"/>
    <x v="21"/>
    <n v="-2275"/>
    <x v="1"/>
    <x v="1"/>
    <x v="0"/>
    <x v="3"/>
    <x v="0"/>
  </r>
  <r>
    <x v="112"/>
    <x v="5"/>
    <n v="13373"/>
    <x v="2"/>
    <x v="2"/>
    <x v="1"/>
    <x v="3"/>
    <x v="0"/>
  </r>
  <r>
    <x v="112"/>
    <x v="61"/>
    <n v="-1327"/>
    <x v="3"/>
    <x v="10"/>
    <x v="0"/>
    <x v="3"/>
    <x v="0"/>
  </r>
  <r>
    <x v="113"/>
    <x v="6"/>
    <n v="-2403"/>
    <x v="1"/>
    <x v="4"/>
    <x v="0"/>
    <x v="3"/>
    <x v="0"/>
  </r>
  <r>
    <x v="113"/>
    <x v="36"/>
    <n v="-1496"/>
    <x v="3"/>
    <x v="7"/>
    <x v="0"/>
    <x v="3"/>
    <x v="0"/>
  </r>
  <r>
    <x v="113"/>
    <x v="6"/>
    <n v="-1312"/>
    <x v="1"/>
    <x v="4"/>
    <x v="0"/>
    <x v="3"/>
    <x v="0"/>
  </r>
  <r>
    <x v="113"/>
    <x v="5"/>
    <n v="12070"/>
    <x v="2"/>
    <x v="2"/>
    <x v="1"/>
    <x v="3"/>
    <x v="0"/>
  </r>
  <r>
    <x v="113"/>
    <x v="13"/>
    <n v="-2162"/>
    <x v="3"/>
    <x v="7"/>
    <x v="0"/>
    <x v="3"/>
    <x v="0"/>
  </r>
  <r>
    <x v="113"/>
    <x v="8"/>
    <n v="-1990"/>
    <x v="3"/>
    <x v="6"/>
    <x v="0"/>
    <x v="3"/>
    <x v="0"/>
  </r>
  <r>
    <x v="113"/>
    <x v="4"/>
    <n v="-1856"/>
    <x v="1"/>
    <x v="1"/>
    <x v="0"/>
    <x v="3"/>
    <x v="0"/>
  </r>
  <r>
    <x v="113"/>
    <x v="18"/>
    <n v="-1070"/>
    <x v="3"/>
    <x v="5"/>
    <x v="0"/>
    <x v="3"/>
    <x v="0"/>
  </r>
  <r>
    <x v="113"/>
    <x v="5"/>
    <n v="12809"/>
    <x v="2"/>
    <x v="2"/>
    <x v="1"/>
    <x v="3"/>
    <x v="0"/>
  </r>
  <r>
    <x v="113"/>
    <x v="5"/>
    <n v="10416"/>
    <x v="2"/>
    <x v="2"/>
    <x v="1"/>
    <x v="3"/>
    <x v="0"/>
  </r>
  <r>
    <x v="113"/>
    <x v="7"/>
    <n v="-1177"/>
    <x v="3"/>
    <x v="5"/>
    <x v="0"/>
    <x v="3"/>
    <x v="0"/>
  </r>
  <r>
    <x v="113"/>
    <x v="54"/>
    <n v="-2388"/>
    <x v="3"/>
    <x v="8"/>
    <x v="0"/>
    <x v="3"/>
    <x v="0"/>
  </r>
  <r>
    <x v="113"/>
    <x v="35"/>
    <n v="-2378"/>
    <x v="3"/>
    <x v="10"/>
    <x v="0"/>
    <x v="3"/>
    <x v="0"/>
  </r>
  <r>
    <x v="113"/>
    <x v="21"/>
    <n v="-1406"/>
    <x v="1"/>
    <x v="1"/>
    <x v="0"/>
    <x v="3"/>
    <x v="0"/>
  </r>
  <r>
    <x v="113"/>
    <x v="51"/>
    <n v="-1174"/>
    <x v="3"/>
    <x v="5"/>
    <x v="0"/>
    <x v="3"/>
    <x v="0"/>
  </r>
  <r>
    <x v="113"/>
    <x v="62"/>
    <n v="-1785"/>
    <x v="3"/>
    <x v="11"/>
    <x v="0"/>
    <x v="3"/>
    <x v="0"/>
  </r>
  <r>
    <x v="114"/>
    <x v="0"/>
    <n v="-4035"/>
    <x v="0"/>
    <x v="0"/>
    <x v="0"/>
    <x v="3"/>
    <x v="0"/>
  </r>
  <r>
    <x v="114"/>
    <x v="0"/>
    <n v="-4452"/>
    <x v="0"/>
    <x v="0"/>
    <x v="0"/>
    <x v="3"/>
    <x v="0"/>
  </r>
  <r>
    <x v="114"/>
    <x v="6"/>
    <n v="-1870"/>
    <x v="1"/>
    <x v="4"/>
    <x v="0"/>
    <x v="3"/>
    <x v="0"/>
  </r>
  <r>
    <x v="114"/>
    <x v="5"/>
    <n v="13464"/>
    <x v="2"/>
    <x v="2"/>
    <x v="1"/>
    <x v="3"/>
    <x v="0"/>
  </r>
  <r>
    <x v="114"/>
    <x v="6"/>
    <n v="-2384"/>
    <x v="1"/>
    <x v="4"/>
    <x v="0"/>
    <x v="3"/>
    <x v="0"/>
  </r>
  <r>
    <x v="114"/>
    <x v="6"/>
    <n v="-1994"/>
    <x v="1"/>
    <x v="4"/>
    <x v="0"/>
    <x v="3"/>
    <x v="0"/>
  </r>
  <r>
    <x v="115"/>
    <x v="2"/>
    <n v="14225"/>
    <x v="2"/>
    <x v="2"/>
    <x v="1"/>
    <x v="3"/>
    <x v="0"/>
  </r>
  <r>
    <x v="115"/>
    <x v="4"/>
    <n v="-1907"/>
    <x v="1"/>
    <x v="1"/>
    <x v="0"/>
    <x v="3"/>
    <x v="0"/>
  </r>
  <r>
    <x v="115"/>
    <x v="4"/>
    <n v="-1908"/>
    <x v="1"/>
    <x v="1"/>
    <x v="0"/>
    <x v="3"/>
    <x v="0"/>
  </r>
  <r>
    <x v="115"/>
    <x v="6"/>
    <n v="-1438"/>
    <x v="1"/>
    <x v="4"/>
    <x v="0"/>
    <x v="3"/>
    <x v="0"/>
  </r>
  <r>
    <x v="115"/>
    <x v="2"/>
    <n v="10904"/>
    <x v="2"/>
    <x v="2"/>
    <x v="1"/>
    <x v="3"/>
    <x v="0"/>
  </r>
  <r>
    <x v="115"/>
    <x v="5"/>
    <n v="14348"/>
    <x v="2"/>
    <x v="2"/>
    <x v="1"/>
    <x v="3"/>
    <x v="0"/>
  </r>
  <r>
    <x v="115"/>
    <x v="0"/>
    <n v="-2809"/>
    <x v="0"/>
    <x v="0"/>
    <x v="0"/>
    <x v="3"/>
    <x v="0"/>
  </r>
  <r>
    <x v="115"/>
    <x v="4"/>
    <n v="-2354"/>
    <x v="1"/>
    <x v="1"/>
    <x v="0"/>
    <x v="3"/>
    <x v="0"/>
  </r>
  <r>
    <x v="115"/>
    <x v="41"/>
    <n v="-1540"/>
    <x v="3"/>
    <x v="3"/>
    <x v="0"/>
    <x v="3"/>
    <x v="0"/>
  </r>
  <r>
    <x v="115"/>
    <x v="21"/>
    <n v="-1049"/>
    <x v="1"/>
    <x v="1"/>
    <x v="0"/>
    <x v="3"/>
    <x v="0"/>
  </r>
  <r>
    <x v="115"/>
    <x v="48"/>
    <n v="-2018"/>
    <x v="3"/>
    <x v="7"/>
    <x v="0"/>
    <x v="3"/>
    <x v="0"/>
  </r>
  <r>
    <x v="115"/>
    <x v="23"/>
    <n v="-2200"/>
    <x v="3"/>
    <x v="5"/>
    <x v="0"/>
    <x v="3"/>
    <x v="0"/>
  </r>
  <r>
    <x v="115"/>
    <x v="0"/>
    <n v="-4279"/>
    <x v="0"/>
    <x v="0"/>
    <x v="0"/>
    <x v="3"/>
    <x v="0"/>
  </r>
  <r>
    <x v="115"/>
    <x v="19"/>
    <n v="-2355"/>
    <x v="3"/>
    <x v="8"/>
    <x v="0"/>
    <x v="3"/>
    <x v="0"/>
  </r>
  <r>
    <x v="116"/>
    <x v="6"/>
    <n v="-1817"/>
    <x v="1"/>
    <x v="4"/>
    <x v="0"/>
    <x v="3"/>
    <x v="0"/>
  </r>
  <r>
    <x v="116"/>
    <x v="49"/>
    <n v="-2481"/>
    <x v="3"/>
    <x v="5"/>
    <x v="0"/>
    <x v="3"/>
    <x v="0"/>
  </r>
  <r>
    <x v="116"/>
    <x v="6"/>
    <n v="-1196"/>
    <x v="1"/>
    <x v="4"/>
    <x v="0"/>
    <x v="3"/>
    <x v="0"/>
  </r>
  <r>
    <x v="116"/>
    <x v="1"/>
    <n v="-1439"/>
    <x v="1"/>
    <x v="1"/>
    <x v="0"/>
    <x v="3"/>
    <x v="0"/>
  </r>
  <r>
    <x v="116"/>
    <x v="44"/>
    <n v="-2276"/>
    <x v="5"/>
    <x v="14"/>
    <x v="0"/>
    <x v="3"/>
    <x v="0"/>
  </r>
  <r>
    <x v="116"/>
    <x v="5"/>
    <n v="12352"/>
    <x v="2"/>
    <x v="2"/>
    <x v="1"/>
    <x v="3"/>
    <x v="0"/>
  </r>
  <r>
    <x v="116"/>
    <x v="20"/>
    <n v="-1105"/>
    <x v="3"/>
    <x v="10"/>
    <x v="0"/>
    <x v="3"/>
    <x v="0"/>
  </r>
  <r>
    <x v="116"/>
    <x v="35"/>
    <n v="-2207"/>
    <x v="3"/>
    <x v="10"/>
    <x v="0"/>
    <x v="3"/>
    <x v="0"/>
  </r>
  <r>
    <x v="116"/>
    <x v="1"/>
    <n v="-2352"/>
    <x v="1"/>
    <x v="1"/>
    <x v="0"/>
    <x v="3"/>
    <x v="0"/>
  </r>
  <r>
    <x v="116"/>
    <x v="6"/>
    <n v="-1966"/>
    <x v="1"/>
    <x v="4"/>
    <x v="0"/>
    <x v="3"/>
    <x v="0"/>
  </r>
  <r>
    <x v="116"/>
    <x v="6"/>
    <n v="-2330"/>
    <x v="1"/>
    <x v="4"/>
    <x v="0"/>
    <x v="3"/>
    <x v="0"/>
  </r>
  <r>
    <x v="116"/>
    <x v="1"/>
    <n v="-2211"/>
    <x v="1"/>
    <x v="1"/>
    <x v="0"/>
    <x v="3"/>
    <x v="0"/>
  </r>
  <r>
    <x v="117"/>
    <x v="5"/>
    <n v="11053"/>
    <x v="2"/>
    <x v="2"/>
    <x v="1"/>
    <x v="3"/>
    <x v="0"/>
  </r>
  <r>
    <x v="117"/>
    <x v="6"/>
    <n v="-2004"/>
    <x v="1"/>
    <x v="4"/>
    <x v="0"/>
    <x v="3"/>
    <x v="0"/>
  </r>
  <r>
    <x v="117"/>
    <x v="19"/>
    <n v="-1593"/>
    <x v="3"/>
    <x v="8"/>
    <x v="0"/>
    <x v="3"/>
    <x v="0"/>
  </r>
  <r>
    <x v="117"/>
    <x v="0"/>
    <n v="-3018"/>
    <x v="0"/>
    <x v="0"/>
    <x v="0"/>
    <x v="3"/>
    <x v="0"/>
  </r>
  <r>
    <x v="117"/>
    <x v="5"/>
    <n v="11558"/>
    <x v="2"/>
    <x v="2"/>
    <x v="1"/>
    <x v="3"/>
    <x v="0"/>
  </r>
  <r>
    <x v="117"/>
    <x v="16"/>
    <n v="-1527"/>
    <x v="3"/>
    <x v="9"/>
    <x v="0"/>
    <x v="3"/>
    <x v="0"/>
  </r>
  <r>
    <x v="117"/>
    <x v="60"/>
    <n v="-2054"/>
    <x v="3"/>
    <x v="6"/>
    <x v="0"/>
    <x v="3"/>
    <x v="0"/>
  </r>
  <r>
    <x v="117"/>
    <x v="10"/>
    <n v="-1479"/>
    <x v="3"/>
    <x v="6"/>
    <x v="0"/>
    <x v="3"/>
    <x v="0"/>
  </r>
  <r>
    <x v="118"/>
    <x v="1"/>
    <n v="-1521"/>
    <x v="1"/>
    <x v="1"/>
    <x v="0"/>
    <x v="3"/>
    <x v="0"/>
  </r>
  <r>
    <x v="118"/>
    <x v="5"/>
    <n v="12074"/>
    <x v="2"/>
    <x v="2"/>
    <x v="1"/>
    <x v="3"/>
    <x v="0"/>
  </r>
  <r>
    <x v="118"/>
    <x v="4"/>
    <n v="-2479"/>
    <x v="1"/>
    <x v="1"/>
    <x v="0"/>
    <x v="3"/>
    <x v="0"/>
  </r>
  <r>
    <x v="118"/>
    <x v="55"/>
    <n v="-1663"/>
    <x v="3"/>
    <x v="5"/>
    <x v="0"/>
    <x v="3"/>
    <x v="0"/>
  </r>
  <r>
    <x v="118"/>
    <x v="2"/>
    <n v="14883"/>
    <x v="2"/>
    <x v="2"/>
    <x v="1"/>
    <x v="3"/>
    <x v="0"/>
  </r>
  <r>
    <x v="118"/>
    <x v="23"/>
    <n v="-2210"/>
    <x v="3"/>
    <x v="5"/>
    <x v="0"/>
    <x v="3"/>
    <x v="0"/>
  </r>
  <r>
    <x v="118"/>
    <x v="21"/>
    <n v="-1565"/>
    <x v="1"/>
    <x v="1"/>
    <x v="0"/>
    <x v="3"/>
    <x v="0"/>
  </r>
  <r>
    <x v="118"/>
    <x v="0"/>
    <n v="-2717"/>
    <x v="0"/>
    <x v="0"/>
    <x v="0"/>
    <x v="3"/>
    <x v="0"/>
  </r>
  <r>
    <x v="118"/>
    <x v="2"/>
    <n v="11056"/>
    <x v="2"/>
    <x v="2"/>
    <x v="1"/>
    <x v="3"/>
    <x v="0"/>
  </r>
  <r>
    <x v="118"/>
    <x v="10"/>
    <n v="-1332"/>
    <x v="3"/>
    <x v="6"/>
    <x v="0"/>
    <x v="3"/>
    <x v="0"/>
  </r>
  <r>
    <x v="118"/>
    <x v="0"/>
    <n v="-4258"/>
    <x v="0"/>
    <x v="0"/>
    <x v="0"/>
    <x v="3"/>
    <x v="0"/>
  </r>
  <r>
    <x v="118"/>
    <x v="4"/>
    <n v="-1414"/>
    <x v="1"/>
    <x v="1"/>
    <x v="0"/>
    <x v="3"/>
    <x v="0"/>
  </r>
  <r>
    <x v="118"/>
    <x v="6"/>
    <n v="-1996"/>
    <x v="1"/>
    <x v="4"/>
    <x v="0"/>
    <x v="3"/>
    <x v="0"/>
  </r>
  <r>
    <x v="118"/>
    <x v="35"/>
    <n v="-1585"/>
    <x v="3"/>
    <x v="10"/>
    <x v="0"/>
    <x v="3"/>
    <x v="0"/>
  </r>
  <r>
    <x v="118"/>
    <x v="21"/>
    <n v="-1959"/>
    <x v="1"/>
    <x v="1"/>
    <x v="0"/>
    <x v="3"/>
    <x v="0"/>
  </r>
  <r>
    <x v="118"/>
    <x v="1"/>
    <n v="-1227"/>
    <x v="1"/>
    <x v="1"/>
    <x v="0"/>
    <x v="3"/>
    <x v="0"/>
  </r>
  <r>
    <x v="119"/>
    <x v="1"/>
    <n v="-1804"/>
    <x v="1"/>
    <x v="1"/>
    <x v="0"/>
    <x v="3"/>
    <x v="0"/>
  </r>
  <r>
    <x v="119"/>
    <x v="6"/>
    <n v="-1003"/>
    <x v="1"/>
    <x v="4"/>
    <x v="0"/>
    <x v="3"/>
    <x v="0"/>
  </r>
  <r>
    <x v="119"/>
    <x v="6"/>
    <n v="-1306"/>
    <x v="1"/>
    <x v="4"/>
    <x v="0"/>
    <x v="3"/>
    <x v="0"/>
  </r>
  <r>
    <x v="119"/>
    <x v="60"/>
    <n v="-1622"/>
    <x v="3"/>
    <x v="6"/>
    <x v="0"/>
    <x v="3"/>
    <x v="0"/>
  </r>
  <r>
    <x v="119"/>
    <x v="6"/>
    <n v="-1274"/>
    <x v="1"/>
    <x v="4"/>
    <x v="0"/>
    <x v="3"/>
    <x v="0"/>
  </r>
  <r>
    <x v="119"/>
    <x v="2"/>
    <n v="13890"/>
    <x v="2"/>
    <x v="2"/>
    <x v="1"/>
    <x v="3"/>
    <x v="0"/>
  </r>
  <r>
    <x v="119"/>
    <x v="39"/>
    <n v="-1060"/>
    <x v="3"/>
    <x v="5"/>
    <x v="0"/>
    <x v="3"/>
    <x v="0"/>
  </r>
  <r>
    <x v="119"/>
    <x v="26"/>
    <n v="-1477"/>
    <x v="3"/>
    <x v="11"/>
    <x v="0"/>
    <x v="3"/>
    <x v="0"/>
  </r>
  <r>
    <x v="119"/>
    <x v="45"/>
    <n v="-2407"/>
    <x v="3"/>
    <x v="5"/>
    <x v="0"/>
    <x v="3"/>
    <x v="0"/>
  </r>
  <r>
    <x v="119"/>
    <x v="5"/>
    <n v="10647"/>
    <x v="2"/>
    <x v="2"/>
    <x v="1"/>
    <x v="3"/>
    <x v="0"/>
  </r>
  <r>
    <x v="119"/>
    <x v="21"/>
    <n v="-2202"/>
    <x v="1"/>
    <x v="1"/>
    <x v="0"/>
    <x v="3"/>
    <x v="0"/>
  </r>
  <r>
    <x v="119"/>
    <x v="6"/>
    <n v="-1255"/>
    <x v="1"/>
    <x v="4"/>
    <x v="0"/>
    <x v="3"/>
    <x v="0"/>
  </r>
  <r>
    <x v="119"/>
    <x v="5"/>
    <n v="10271"/>
    <x v="2"/>
    <x v="2"/>
    <x v="1"/>
    <x v="3"/>
    <x v="0"/>
  </r>
  <r>
    <x v="119"/>
    <x v="0"/>
    <n v="-3328"/>
    <x v="0"/>
    <x v="0"/>
    <x v="0"/>
    <x v="3"/>
    <x v="0"/>
  </r>
  <r>
    <x v="119"/>
    <x v="2"/>
    <n v="11627"/>
    <x v="2"/>
    <x v="2"/>
    <x v="1"/>
    <x v="3"/>
    <x v="0"/>
  </r>
  <r>
    <x v="119"/>
    <x v="0"/>
    <n v="-4842"/>
    <x v="0"/>
    <x v="0"/>
    <x v="0"/>
    <x v="3"/>
    <x v="0"/>
  </r>
  <r>
    <x v="119"/>
    <x v="21"/>
    <n v="-1461"/>
    <x v="1"/>
    <x v="1"/>
    <x v="0"/>
    <x v="3"/>
    <x v="0"/>
  </r>
  <r>
    <x v="119"/>
    <x v="5"/>
    <n v="13093"/>
    <x v="2"/>
    <x v="2"/>
    <x v="1"/>
    <x v="3"/>
    <x v="0"/>
  </r>
  <r>
    <x v="120"/>
    <x v="49"/>
    <n v="-1970"/>
    <x v="3"/>
    <x v="5"/>
    <x v="0"/>
    <x v="4"/>
    <x v="0"/>
  </r>
  <r>
    <x v="120"/>
    <x v="2"/>
    <n v="11661"/>
    <x v="2"/>
    <x v="2"/>
    <x v="1"/>
    <x v="4"/>
    <x v="0"/>
  </r>
  <r>
    <x v="120"/>
    <x v="0"/>
    <n v="-4723"/>
    <x v="0"/>
    <x v="0"/>
    <x v="0"/>
    <x v="4"/>
    <x v="0"/>
  </r>
  <r>
    <x v="120"/>
    <x v="0"/>
    <n v="-4552"/>
    <x v="0"/>
    <x v="0"/>
    <x v="0"/>
    <x v="4"/>
    <x v="0"/>
  </r>
  <r>
    <x v="120"/>
    <x v="26"/>
    <n v="-1147"/>
    <x v="3"/>
    <x v="11"/>
    <x v="0"/>
    <x v="4"/>
    <x v="0"/>
  </r>
  <r>
    <x v="120"/>
    <x v="1"/>
    <n v="-1781"/>
    <x v="1"/>
    <x v="1"/>
    <x v="0"/>
    <x v="4"/>
    <x v="0"/>
  </r>
  <r>
    <x v="120"/>
    <x v="0"/>
    <n v="-3436"/>
    <x v="0"/>
    <x v="0"/>
    <x v="0"/>
    <x v="4"/>
    <x v="0"/>
  </r>
  <r>
    <x v="120"/>
    <x v="4"/>
    <n v="-1145"/>
    <x v="1"/>
    <x v="1"/>
    <x v="0"/>
    <x v="4"/>
    <x v="0"/>
  </r>
  <r>
    <x v="120"/>
    <x v="6"/>
    <n v="-1548"/>
    <x v="1"/>
    <x v="4"/>
    <x v="0"/>
    <x v="4"/>
    <x v="0"/>
  </r>
  <r>
    <x v="120"/>
    <x v="31"/>
    <n v="-1489"/>
    <x v="3"/>
    <x v="11"/>
    <x v="0"/>
    <x v="4"/>
    <x v="0"/>
  </r>
  <r>
    <x v="120"/>
    <x v="1"/>
    <n v="-1591"/>
    <x v="1"/>
    <x v="1"/>
    <x v="0"/>
    <x v="4"/>
    <x v="0"/>
  </r>
  <r>
    <x v="120"/>
    <x v="1"/>
    <n v="-1535"/>
    <x v="1"/>
    <x v="1"/>
    <x v="0"/>
    <x v="4"/>
    <x v="0"/>
  </r>
  <r>
    <x v="121"/>
    <x v="5"/>
    <n v="14804"/>
    <x v="2"/>
    <x v="2"/>
    <x v="1"/>
    <x v="4"/>
    <x v="0"/>
  </r>
  <r>
    <x v="121"/>
    <x v="1"/>
    <n v="-2080"/>
    <x v="1"/>
    <x v="1"/>
    <x v="0"/>
    <x v="4"/>
    <x v="0"/>
  </r>
  <r>
    <x v="121"/>
    <x v="42"/>
    <n v="-1079"/>
    <x v="3"/>
    <x v="5"/>
    <x v="0"/>
    <x v="4"/>
    <x v="0"/>
  </r>
  <r>
    <x v="121"/>
    <x v="21"/>
    <n v="-1748"/>
    <x v="1"/>
    <x v="1"/>
    <x v="0"/>
    <x v="4"/>
    <x v="0"/>
  </r>
  <r>
    <x v="121"/>
    <x v="4"/>
    <n v="-1460"/>
    <x v="1"/>
    <x v="1"/>
    <x v="0"/>
    <x v="4"/>
    <x v="0"/>
  </r>
  <r>
    <x v="121"/>
    <x v="2"/>
    <n v="12389"/>
    <x v="2"/>
    <x v="2"/>
    <x v="1"/>
    <x v="4"/>
    <x v="0"/>
  </r>
  <r>
    <x v="121"/>
    <x v="60"/>
    <n v="-1755"/>
    <x v="3"/>
    <x v="6"/>
    <x v="0"/>
    <x v="4"/>
    <x v="0"/>
  </r>
  <r>
    <x v="121"/>
    <x v="40"/>
    <n v="-2360"/>
    <x v="3"/>
    <x v="9"/>
    <x v="0"/>
    <x v="4"/>
    <x v="0"/>
  </r>
  <r>
    <x v="121"/>
    <x v="47"/>
    <n v="-1911"/>
    <x v="3"/>
    <x v="8"/>
    <x v="0"/>
    <x v="4"/>
    <x v="0"/>
  </r>
  <r>
    <x v="121"/>
    <x v="2"/>
    <n v="10410"/>
    <x v="2"/>
    <x v="2"/>
    <x v="1"/>
    <x v="4"/>
    <x v="0"/>
  </r>
  <r>
    <x v="121"/>
    <x v="4"/>
    <n v="-1055"/>
    <x v="1"/>
    <x v="1"/>
    <x v="0"/>
    <x v="4"/>
    <x v="0"/>
  </r>
  <r>
    <x v="121"/>
    <x v="21"/>
    <n v="-1502"/>
    <x v="1"/>
    <x v="1"/>
    <x v="0"/>
    <x v="4"/>
    <x v="0"/>
  </r>
  <r>
    <x v="122"/>
    <x v="54"/>
    <n v="-2491"/>
    <x v="3"/>
    <x v="8"/>
    <x v="0"/>
    <x v="4"/>
    <x v="0"/>
  </r>
  <r>
    <x v="122"/>
    <x v="41"/>
    <n v="-1262"/>
    <x v="3"/>
    <x v="3"/>
    <x v="0"/>
    <x v="4"/>
    <x v="0"/>
  </r>
  <r>
    <x v="122"/>
    <x v="22"/>
    <n v="-1193"/>
    <x v="3"/>
    <x v="11"/>
    <x v="0"/>
    <x v="4"/>
    <x v="0"/>
  </r>
  <r>
    <x v="122"/>
    <x v="1"/>
    <n v="-1869"/>
    <x v="1"/>
    <x v="1"/>
    <x v="0"/>
    <x v="4"/>
    <x v="0"/>
  </r>
  <r>
    <x v="122"/>
    <x v="59"/>
    <n v="-2083"/>
    <x v="3"/>
    <x v="5"/>
    <x v="0"/>
    <x v="4"/>
    <x v="0"/>
  </r>
  <r>
    <x v="122"/>
    <x v="4"/>
    <n v="-2218"/>
    <x v="1"/>
    <x v="1"/>
    <x v="0"/>
    <x v="4"/>
    <x v="0"/>
  </r>
  <r>
    <x v="122"/>
    <x v="6"/>
    <n v="-2135"/>
    <x v="1"/>
    <x v="4"/>
    <x v="0"/>
    <x v="4"/>
    <x v="0"/>
  </r>
  <r>
    <x v="122"/>
    <x v="6"/>
    <n v="-2191"/>
    <x v="1"/>
    <x v="4"/>
    <x v="0"/>
    <x v="4"/>
    <x v="0"/>
  </r>
  <r>
    <x v="122"/>
    <x v="11"/>
    <n v="-1902"/>
    <x v="3"/>
    <x v="5"/>
    <x v="0"/>
    <x v="4"/>
    <x v="0"/>
  </r>
  <r>
    <x v="122"/>
    <x v="0"/>
    <n v="-4239"/>
    <x v="0"/>
    <x v="0"/>
    <x v="0"/>
    <x v="4"/>
    <x v="0"/>
  </r>
  <r>
    <x v="122"/>
    <x v="5"/>
    <n v="10343"/>
    <x v="2"/>
    <x v="2"/>
    <x v="1"/>
    <x v="4"/>
    <x v="0"/>
  </r>
  <r>
    <x v="122"/>
    <x v="21"/>
    <n v="-2172"/>
    <x v="1"/>
    <x v="1"/>
    <x v="0"/>
    <x v="4"/>
    <x v="0"/>
  </r>
  <r>
    <x v="122"/>
    <x v="4"/>
    <n v="-1498"/>
    <x v="1"/>
    <x v="1"/>
    <x v="0"/>
    <x v="4"/>
    <x v="0"/>
  </r>
  <r>
    <x v="122"/>
    <x v="6"/>
    <n v="-1216"/>
    <x v="1"/>
    <x v="4"/>
    <x v="0"/>
    <x v="4"/>
    <x v="0"/>
  </r>
  <r>
    <x v="122"/>
    <x v="5"/>
    <n v="13603"/>
    <x v="2"/>
    <x v="2"/>
    <x v="1"/>
    <x v="4"/>
    <x v="0"/>
  </r>
  <r>
    <x v="122"/>
    <x v="39"/>
    <n v="-1564"/>
    <x v="3"/>
    <x v="5"/>
    <x v="0"/>
    <x v="4"/>
    <x v="0"/>
  </r>
  <r>
    <x v="122"/>
    <x v="35"/>
    <n v="-1992"/>
    <x v="3"/>
    <x v="10"/>
    <x v="0"/>
    <x v="4"/>
    <x v="0"/>
  </r>
  <r>
    <x v="122"/>
    <x v="61"/>
    <n v="-1635"/>
    <x v="3"/>
    <x v="10"/>
    <x v="0"/>
    <x v="4"/>
    <x v="0"/>
  </r>
  <r>
    <x v="123"/>
    <x v="11"/>
    <n v="-2038"/>
    <x v="3"/>
    <x v="5"/>
    <x v="0"/>
    <x v="4"/>
    <x v="0"/>
  </r>
  <r>
    <x v="123"/>
    <x v="5"/>
    <n v="14809"/>
    <x v="2"/>
    <x v="2"/>
    <x v="1"/>
    <x v="4"/>
    <x v="0"/>
  </r>
  <r>
    <x v="123"/>
    <x v="2"/>
    <n v="14278"/>
    <x v="2"/>
    <x v="2"/>
    <x v="1"/>
    <x v="4"/>
    <x v="0"/>
  </r>
  <r>
    <x v="123"/>
    <x v="14"/>
    <n v="-1625"/>
    <x v="3"/>
    <x v="8"/>
    <x v="0"/>
    <x v="4"/>
    <x v="0"/>
  </r>
  <r>
    <x v="123"/>
    <x v="62"/>
    <n v="-1549"/>
    <x v="3"/>
    <x v="11"/>
    <x v="0"/>
    <x v="4"/>
    <x v="0"/>
  </r>
  <r>
    <x v="123"/>
    <x v="0"/>
    <n v="-3896"/>
    <x v="0"/>
    <x v="0"/>
    <x v="0"/>
    <x v="4"/>
    <x v="0"/>
  </r>
  <r>
    <x v="123"/>
    <x v="9"/>
    <n v="-1818"/>
    <x v="3"/>
    <x v="5"/>
    <x v="0"/>
    <x v="4"/>
    <x v="0"/>
  </r>
  <r>
    <x v="123"/>
    <x v="0"/>
    <n v="-3815"/>
    <x v="0"/>
    <x v="0"/>
    <x v="0"/>
    <x v="4"/>
    <x v="0"/>
  </r>
  <r>
    <x v="123"/>
    <x v="4"/>
    <n v="-2489"/>
    <x v="1"/>
    <x v="1"/>
    <x v="0"/>
    <x v="4"/>
    <x v="0"/>
  </r>
  <r>
    <x v="123"/>
    <x v="55"/>
    <n v="-1951"/>
    <x v="3"/>
    <x v="5"/>
    <x v="0"/>
    <x v="4"/>
    <x v="0"/>
  </r>
  <r>
    <x v="123"/>
    <x v="45"/>
    <n v="-1772"/>
    <x v="3"/>
    <x v="5"/>
    <x v="0"/>
    <x v="4"/>
    <x v="0"/>
  </r>
  <r>
    <x v="123"/>
    <x v="1"/>
    <n v="-1126"/>
    <x v="1"/>
    <x v="1"/>
    <x v="0"/>
    <x v="4"/>
    <x v="0"/>
  </r>
  <r>
    <x v="123"/>
    <x v="38"/>
    <n v="-1147"/>
    <x v="3"/>
    <x v="5"/>
    <x v="0"/>
    <x v="4"/>
    <x v="0"/>
  </r>
  <r>
    <x v="123"/>
    <x v="21"/>
    <n v="-2042"/>
    <x v="1"/>
    <x v="1"/>
    <x v="0"/>
    <x v="4"/>
    <x v="0"/>
  </r>
  <r>
    <x v="124"/>
    <x v="41"/>
    <n v="-1413"/>
    <x v="3"/>
    <x v="3"/>
    <x v="0"/>
    <x v="4"/>
    <x v="0"/>
  </r>
  <r>
    <x v="124"/>
    <x v="12"/>
    <n v="-1856"/>
    <x v="3"/>
    <x v="3"/>
    <x v="0"/>
    <x v="4"/>
    <x v="0"/>
  </r>
  <r>
    <x v="124"/>
    <x v="22"/>
    <n v="-1618"/>
    <x v="3"/>
    <x v="11"/>
    <x v="0"/>
    <x v="4"/>
    <x v="0"/>
  </r>
  <r>
    <x v="124"/>
    <x v="10"/>
    <n v="-1734"/>
    <x v="3"/>
    <x v="6"/>
    <x v="0"/>
    <x v="4"/>
    <x v="0"/>
  </r>
  <r>
    <x v="124"/>
    <x v="16"/>
    <n v="-1535"/>
    <x v="3"/>
    <x v="9"/>
    <x v="0"/>
    <x v="4"/>
    <x v="0"/>
  </r>
  <r>
    <x v="124"/>
    <x v="1"/>
    <n v="-1847"/>
    <x v="1"/>
    <x v="1"/>
    <x v="0"/>
    <x v="4"/>
    <x v="0"/>
  </r>
  <r>
    <x v="124"/>
    <x v="4"/>
    <n v="-1603"/>
    <x v="1"/>
    <x v="1"/>
    <x v="0"/>
    <x v="4"/>
    <x v="0"/>
  </r>
  <r>
    <x v="124"/>
    <x v="0"/>
    <n v="-3505"/>
    <x v="0"/>
    <x v="0"/>
    <x v="0"/>
    <x v="4"/>
    <x v="0"/>
  </r>
  <r>
    <x v="124"/>
    <x v="5"/>
    <n v="10824"/>
    <x v="2"/>
    <x v="2"/>
    <x v="1"/>
    <x v="4"/>
    <x v="0"/>
  </r>
  <r>
    <x v="124"/>
    <x v="5"/>
    <n v="12740"/>
    <x v="2"/>
    <x v="2"/>
    <x v="1"/>
    <x v="4"/>
    <x v="0"/>
  </r>
  <r>
    <x v="124"/>
    <x v="6"/>
    <n v="-1702"/>
    <x v="1"/>
    <x v="4"/>
    <x v="0"/>
    <x v="4"/>
    <x v="0"/>
  </r>
  <r>
    <x v="124"/>
    <x v="0"/>
    <n v="-3019"/>
    <x v="0"/>
    <x v="0"/>
    <x v="0"/>
    <x v="4"/>
    <x v="0"/>
  </r>
  <r>
    <x v="125"/>
    <x v="5"/>
    <n v="11242"/>
    <x v="2"/>
    <x v="2"/>
    <x v="1"/>
    <x v="4"/>
    <x v="0"/>
  </r>
  <r>
    <x v="125"/>
    <x v="60"/>
    <n v="-2311"/>
    <x v="3"/>
    <x v="6"/>
    <x v="0"/>
    <x v="4"/>
    <x v="0"/>
  </r>
  <r>
    <x v="125"/>
    <x v="51"/>
    <n v="-2359"/>
    <x v="3"/>
    <x v="5"/>
    <x v="0"/>
    <x v="4"/>
    <x v="0"/>
  </r>
  <r>
    <x v="125"/>
    <x v="2"/>
    <n v="13982"/>
    <x v="2"/>
    <x v="2"/>
    <x v="1"/>
    <x v="4"/>
    <x v="0"/>
  </r>
  <r>
    <x v="125"/>
    <x v="21"/>
    <n v="-1926"/>
    <x v="1"/>
    <x v="1"/>
    <x v="0"/>
    <x v="4"/>
    <x v="0"/>
  </r>
  <r>
    <x v="125"/>
    <x v="0"/>
    <n v="-2757"/>
    <x v="0"/>
    <x v="0"/>
    <x v="0"/>
    <x v="4"/>
    <x v="0"/>
  </r>
  <r>
    <x v="125"/>
    <x v="22"/>
    <n v="-1976"/>
    <x v="3"/>
    <x v="11"/>
    <x v="0"/>
    <x v="4"/>
    <x v="0"/>
  </r>
  <r>
    <x v="125"/>
    <x v="2"/>
    <n v="12371"/>
    <x v="2"/>
    <x v="2"/>
    <x v="1"/>
    <x v="4"/>
    <x v="0"/>
  </r>
  <r>
    <x v="125"/>
    <x v="0"/>
    <n v="-4515"/>
    <x v="0"/>
    <x v="0"/>
    <x v="0"/>
    <x v="4"/>
    <x v="0"/>
  </r>
  <r>
    <x v="125"/>
    <x v="2"/>
    <n v="11265"/>
    <x v="2"/>
    <x v="2"/>
    <x v="1"/>
    <x v="4"/>
    <x v="0"/>
  </r>
  <r>
    <x v="126"/>
    <x v="5"/>
    <n v="11803"/>
    <x v="2"/>
    <x v="2"/>
    <x v="1"/>
    <x v="4"/>
    <x v="0"/>
  </r>
  <r>
    <x v="126"/>
    <x v="21"/>
    <n v="-1504"/>
    <x v="1"/>
    <x v="1"/>
    <x v="0"/>
    <x v="4"/>
    <x v="0"/>
  </r>
  <r>
    <x v="126"/>
    <x v="6"/>
    <n v="-2273"/>
    <x v="1"/>
    <x v="4"/>
    <x v="0"/>
    <x v="4"/>
    <x v="0"/>
  </r>
  <r>
    <x v="126"/>
    <x v="41"/>
    <n v="-2430"/>
    <x v="3"/>
    <x v="3"/>
    <x v="0"/>
    <x v="4"/>
    <x v="0"/>
  </r>
  <r>
    <x v="126"/>
    <x v="21"/>
    <n v="-2111"/>
    <x v="1"/>
    <x v="1"/>
    <x v="0"/>
    <x v="4"/>
    <x v="0"/>
  </r>
  <r>
    <x v="126"/>
    <x v="2"/>
    <n v="14224"/>
    <x v="2"/>
    <x v="2"/>
    <x v="1"/>
    <x v="4"/>
    <x v="0"/>
  </r>
  <r>
    <x v="126"/>
    <x v="4"/>
    <n v="-1839"/>
    <x v="1"/>
    <x v="1"/>
    <x v="0"/>
    <x v="4"/>
    <x v="0"/>
  </r>
  <r>
    <x v="126"/>
    <x v="46"/>
    <n v="-2283"/>
    <x v="3"/>
    <x v="11"/>
    <x v="0"/>
    <x v="4"/>
    <x v="0"/>
  </r>
  <r>
    <x v="126"/>
    <x v="38"/>
    <n v="-1113"/>
    <x v="3"/>
    <x v="5"/>
    <x v="0"/>
    <x v="4"/>
    <x v="0"/>
  </r>
  <r>
    <x v="126"/>
    <x v="6"/>
    <n v="-1373"/>
    <x v="1"/>
    <x v="4"/>
    <x v="0"/>
    <x v="4"/>
    <x v="0"/>
  </r>
  <r>
    <x v="126"/>
    <x v="1"/>
    <n v="-1579"/>
    <x v="1"/>
    <x v="1"/>
    <x v="0"/>
    <x v="4"/>
    <x v="0"/>
  </r>
  <r>
    <x v="126"/>
    <x v="4"/>
    <n v="-2436"/>
    <x v="1"/>
    <x v="1"/>
    <x v="0"/>
    <x v="4"/>
    <x v="0"/>
  </r>
  <r>
    <x v="127"/>
    <x v="5"/>
    <n v="13991"/>
    <x v="2"/>
    <x v="2"/>
    <x v="1"/>
    <x v="4"/>
    <x v="0"/>
  </r>
  <r>
    <x v="127"/>
    <x v="41"/>
    <n v="-2058"/>
    <x v="3"/>
    <x v="3"/>
    <x v="0"/>
    <x v="4"/>
    <x v="0"/>
  </r>
  <r>
    <x v="127"/>
    <x v="5"/>
    <n v="12222"/>
    <x v="2"/>
    <x v="2"/>
    <x v="1"/>
    <x v="4"/>
    <x v="0"/>
  </r>
  <r>
    <x v="127"/>
    <x v="28"/>
    <n v="-1421"/>
    <x v="4"/>
    <x v="12"/>
    <x v="0"/>
    <x v="4"/>
    <x v="0"/>
  </r>
  <r>
    <x v="127"/>
    <x v="8"/>
    <n v="-1607"/>
    <x v="3"/>
    <x v="6"/>
    <x v="0"/>
    <x v="4"/>
    <x v="0"/>
  </r>
  <r>
    <x v="127"/>
    <x v="55"/>
    <n v="-1792"/>
    <x v="3"/>
    <x v="5"/>
    <x v="0"/>
    <x v="4"/>
    <x v="0"/>
  </r>
  <r>
    <x v="127"/>
    <x v="0"/>
    <n v="-3905"/>
    <x v="0"/>
    <x v="0"/>
    <x v="0"/>
    <x v="4"/>
    <x v="0"/>
  </r>
  <r>
    <x v="127"/>
    <x v="35"/>
    <n v="-1426"/>
    <x v="3"/>
    <x v="10"/>
    <x v="0"/>
    <x v="4"/>
    <x v="0"/>
  </r>
  <r>
    <x v="127"/>
    <x v="10"/>
    <n v="-2070"/>
    <x v="3"/>
    <x v="6"/>
    <x v="0"/>
    <x v="4"/>
    <x v="0"/>
  </r>
  <r>
    <x v="127"/>
    <x v="38"/>
    <n v="-1374"/>
    <x v="3"/>
    <x v="5"/>
    <x v="0"/>
    <x v="4"/>
    <x v="0"/>
  </r>
  <r>
    <x v="127"/>
    <x v="27"/>
    <n v="-2252"/>
    <x v="3"/>
    <x v="5"/>
    <x v="0"/>
    <x v="4"/>
    <x v="0"/>
  </r>
  <r>
    <x v="127"/>
    <x v="2"/>
    <n v="12253"/>
    <x v="2"/>
    <x v="2"/>
    <x v="1"/>
    <x v="4"/>
    <x v="0"/>
  </r>
  <r>
    <x v="127"/>
    <x v="1"/>
    <n v="-1226"/>
    <x v="1"/>
    <x v="1"/>
    <x v="0"/>
    <x v="4"/>
    <x v="0"/>
  </r>
  <r>
    <x v="127"/>
    <x v="1"/>
    <n v="-2068"/>
    <x v="1"/>
    <x v="1"/>
    <x v="0"/>
    <x v="4"/>
    <x v="0"/>
  </r>
  <r>
    <x v="127"/>
    <x v="14"/>
    <n v="-1236"/>
    <x v="3"/>
    <x v="8"/>
    <x v="0"/>
    <x v="4"/>
    <x v="0"/>
  </r>
  <r>
    <x v="127"/>
    <x v="5"/>
    <n v="12621"/>
    <x v="2"/>
    <x v="2"/>
    <x v="1"/>
    <x v="4"/>
    <x v="0"/>
  </r>
  <r>
    <x v="127"/>
    <x v="2"/>
    <n v="11379"/>
    <x v="2"/>
    <x v="2"/>
    <x v="1"/>
    <x v="4"/>
    <x v="0"/>
  </r>
  <r>
    <x v="127"/>
    <x v="4"/>
    <n v="-1594"/>
    <x v="1"/>
    <x v="1"/>
    <x v="0"/>
    <x v="4"/>
    <x v="0"/>
  </r>
  <r>
    <x v="128"/>
    <x v="1"/>
    <n v="-1626"/>
    <x v="1"/>
    <x v="1"/>
    <x v="0"/>
    <x v="4"/>
    <x v="0"/>
  </r>
  <r>
    <x v="128"/>
    <x v="4"/>
    <n v="-1126"/>
    <x v="1"/>
    <x v="1"/>
    <x v="0"/>
    <x v="4"/>
    <x v="0"/>
  </r>
  <r>
    <x v="128"/>
    <x v="4"/>
    <n v="-1512"/>
    <x v="1"/>
    <x v="1"/>
    <x v="0"/>
    <x v="4"/>
    <x v="0"/>
  </r>
  <r>
    <x v="128"/>
    <x v="5"/>
    <n v="14654"/>
    <x v="2"/>
    <x v="2"/>
    <x v="1"/>
    <x v="4"/>
    <x v="0"/>
  </r>
  <r>
    <x v="128"/>
    <x v="18"/>
    <n v="-1502"/>
    <x v="3"/>
    <x v="5"/>
    <x v="0"/>
    <x v="4"/>
    <x v="0"/>
  </r>
  <r>
    <x v="128"/>
    <x v="60"/>
    <n v="-1332"/>
    <x v="3"/>
    <x v="6"/>
    <x v="0"/>
    <x v="4"/>
    <x v="0"/>
  </r>
  <r>
    <x v="128"/>
    <x v="5"/>
    <n v="13078"/>
    <x v="2"/>
    <x v="2"/>
    <x v="1"/>
    <x v="4"/>
    <x v="0"/>
  </r>
  <r>
    <x v="128"/>
    <x v="62"/>
    <n v="-1454"/>
    <x v="3"/>
    <x v="11"/>
    <x v="0"/>
    <x v="4"/>
    <x v="0"/>
  </r>
  <r>
    <x v="128"/>
    <x v="37"/>
    <n v="-1837"/>
    <x v="3"/>
    <x v="3"/>
    <x v="0"/>
    <x v="4"/>
    <x v="0"/>
  </r>
  <r>
    <x v="128"/>
    <x v="21"/>
    <n v="-1490"/>
    <x v="1"/>
    <x v="1"/>
    <x v="0"/>
    <x v="4"/>
    <x v="0"/>
  </r>
  <r>
    <x v="128"/>
    <x v="52"/>
    <n v="-1533"/>
    <x v="3"/>
    <x v="3"/>
    <x v="0"/>
    <x v="4"/>
    <x v="0"/>
  </r>
  <r>
    <x v="128"/>
    <x v="19"/>
    <n v="-1617"/>
    <x v="3"/>
    <x v="8"/>
    <x v="0"/>
    <x v="4"/>
    <x v="0"/>
  </r>
  <r>
    <x v="129"/>
    <x v="13"/>
    <n v="-2074"/>
    <x v="3"/>
    <x v="7"/>
    <x v="0"/>
    <x v="4"/>
    <x v="0"/>
  </r>
  <r>
    <x v="129"/>
    <x v="6"/>
    <n v="-2277"/>
    <x v="1"/>
    <x v="4"/>
    <x v="0"/>
    <x v="4"/>
    <x v="0"/>
  </r>
  <r>
    <x v="129"/>
    <x v="33"/>
    <n v="-2279"/>
    <x v="3"/>
    <x v="3"/>
    <x v="0"/>
    <x v="4"/>
    <x v="0"/>
  </r>
  <r>
    <x v="129"/>
    <x v="5"/>
    <n v="14687"/>
    <x v="2"/>
    <x v="2"/>
    <x v="1"/>
    <x v="4"/>
    <x v="0"/>
  </r>
  <r>
    <x v="129"/>
    <x v="1"/>
    <n v="-2300"/>
    <x v="1"/>
    <x v="1"/>
    <x v="0"/>
    <x v="4"/>
    <x v="0"/>
  </r>
  <r>
    <x v="129"/>
    <x v="2"/>
    <n v="12900"/>
    <x v="2"/>
    <x v="2"/>
    <x v="1"/>
    <x v="4"/>
    <x v="0"/>
  </r>
  <r>
    <x v="129"/>
    <x v="1"/>
    <n v="-1470"/>
    <x v="1"/>
    <x v="1"/>
    <x v="0"/>
    <x v="4"/>
    <x v="0"/>
  </r>
  <r>
    <x v="129"/>
    <x v="2"/>
    <n v="11923"/>
    <x v="2"/>
    <x v="2"/>
    <x v="1"/>
    <x v="4"/>
    <x v="0"/>
  </r>
  <r>
    <x v="129"/>
    <x v="2"/>
    <n v="11490"/>
    <x v="2"/>
    <x v="2"/>
    <x v="1"/>
    <x v="4"/>
    <x v="0"/>
  </r>
  <r>
    <x v="129"/>
    <x v="47"/>
    <n v="-2419"/>
    <x v="3"/>
    <x v="8"/>
    <x v="0"/>
    <x v="4"/>
    <x v="0"/>
  </r>
  <r>
    <x v="129"/>
    <x v="5"/>
    <n v="13812"/>
    <x v="2"/>
    <x v="2"/>
    <x v="1"/>
    <x v="4"/>
    <x v="0"/>
  </r>
  <r>
    <x v="129"/>
    <x v="46"/>
    <n v="-1537"/>
    <x v="3"/>
    <x v="11"/>
    <x v="0"/>
    <x v="4"/>
    <x v="0"/>
  </r>
  <r>
    <x v="129"/>
    <x v="18"/>
    <n v="-1017"/>
    <x v="3"/>
    <x v="5"/>
    <x v="0"/>
    <x v="4"/>
    <x v="0"/>
  </r>
  <r>
    <x v="129"/>
    <x v="4"/>
    <n v="-1215"/>
    <x v="1"/>
    <x v="1"/>
    <x v="0"/>
    <x v="4"/>
    <x v="0"/>
  </r>
  <r>
    <x v="130"/>
    <x v="4"/>
    <n v="-1890"/>
    <x v="1"/>
    <x v="1"/>
    <x v="0"/>
    <x v="4"/>
    <x v="0"/>
  </r>
  <r>
    <x v="130"/>
    <x v="4"/>
    <n v="-1946"/>
    <x v="1"/>
    <x v="1"/>
    <x v="0"/>
    <x v="4"/>
    <x v="0"/>
  </r>
  <r>
    <x v="130"/>
    <x v="6"/>
    <n v="-1091"/>
    <x v="1"/>
    <x v="4"/>
    <x v="0"/>
    <x v="4"/>
    <x v="0"/>
  </r>
  <r>
    <x v="130"/>
    <x v="6"/>
    <n v="-1507"/>
    <x v="1"/>
    <x v="4"/>
    <x v="0"/>
    <x v="4"/>
    <x v="0"/>
  </r>
  <r>
    <x v="130"/>
    <x v="5"/>
    <n v="12910"/>
    <x v="2"/>
    <x v="2"/>
    <x v="1"/>
    <x v="4"/>
    <x v="0"/>
  </r>
  <r>
    <x v="130"/>
    <x v="45"/>
    <n v="-2269"/>
    <x v="3"/>
    <x v="5"/>
    <x v="0"/>
    <x v="4"/>
    <x v="0"/>
  </r>
  <r>
    <x v="130"/>
    <x v="1"/>
    <n v="-2190"/>
    <x v="1"/>
    <x v="1"/>
    <x v="0"/>
    <x v="4"/>
    <x v="0"/>
  </r>
  <r>
    <x v="130"/>
    <x v="25"/>
    <n v="-1812"/>
    <x v="3"/>
    <x v="9"/>
    <x v="0"/>
    <x v="4"/>
    <x v="0"/>
  </r>
  <r>
    <x v="130"/>
    <x v="39"/>
    <n v="-2111"/>
    <x v="3"/>
    <x v="5"/>
    <x v="0"/>
    <x v="4"/>
    <x v="0"/>
  </r>
  <r>
    <x v="130"/>
    <x v="5"/>
    <n v="12136"/>
    <x v="2"/>
    <x v="2"/>
    <x v="1"/>
    <x v="4"/>
    <x v="0"/>
  </r>
  <r>
    <x v="130"/>
    <x v="5"/>
    <n v="14131"/>
    <x v="2"/>
    <x v="2"/>
    <x v="1"/>
    <x v="4"/>
    <x v="0"/>
  </r>
  <r>
    <x v="130"/>
    <x v="21"/>
    <n v="-2220"/>
    <x v="1"/>
    <x v="1"/>
    <x v="0"/>
    <x v="4"/>
    <x v="0"/>
  </r>
  <r>
    <x v="130"/>
    <x v="5"/>
    <n v="13940"/>
    <x v="2"/>
    <x v="2"/>
    <x v="1"/>
    <x v="4"/>
    <x v="0"/>
  </r>
  <r>
    <x v="130"/>
    <x v="4"/>
    <n v="-1036"/>
    <x v="1"/>
    <x v="1"/>
    <x v="0"/>
    <x v="4"/>
    <x v="0"/>
  </r>
  <r>
    <x v="130"/>
    <x v="19"/>
    <n v="-2032"/>
    <x v="3"/>
    <x v="8"/>
    <x v="0"/>
    <x v="4"/>
    <x v="0"/>
  </r>
  <r>
    <x v="130"/>
    <x v="2"/>
    <n v="13175"/>
    <x v="2"/>
    <x v="2"/>
    <x v="1"/>
    <x v="4"/>
    <x v="0"/>
  </r>
  <r>
    <x v="130"/>
    <x v="6"/>
    <n v="-2096"/>
    <x v="1"/>
    <x v="4"/>
    <x v="0"/>
    <x v="4"/>
    <x v="0"/>
  </r>
  <r>
    <x v="130"/>
    <x v="35"/>
    <n v="-1135"/>
    <x v="3"/>
    <x v="10"/>
    <x v="0"/>
    <x v="4"/>
    <x v="0"/>
  </r>
  <r>
    <x v="130"/>
    <x v="2"/>
    <n v="13022"/>
    <x v="2"/>
    <x v="2"/>
    <x v="1"/>
    <x v="4"/>
    <x v="0"/>
  </r>
  <r>
    <x v="130"/>
    <x v="21"/>
    <n v="-2097"/>
    <x v="1"/>
    <x v="1"/>
    <x v="0"/>
    <x v="4"/>
    <x v="0"/>
  </r>
  <r>
    <x v="131"/>
    <x v="6"/>
    <n v="-1450"/>
    <x v="1"/>
    <x v="4"/>
    <x v="0"/>
    <x v="4"/>
    <x v="0"/>
  </r>
  <r>
    <x v="131"/>
    <x v="54"/>
    <n v="-2118"/>
    <x v="3"/>
    <x v="8"/>
    <x v="0"/>
    <x v="4"/>
    <x v="0"/>
  </r>
  <r>
    <x v="131"/>
    <x v="40"/>
    <n v="-1686"/>
    <x v="3"/>
    <x v="9"/>
    <x v="0"/>
    <x v="4"/>
    <x v="0"/>
  </r>
  <r>
    <x v="131"/>
    <x v="6"/>
    <n v="-1023"/>
    <x v="1"/>
    <x v="4"/>
    <x v="0"/>
    <x v="4"/>
    <x v="0"/>
  </r>
  <r>
    <x v="131"/>
    <x v="43"/>
    <n v="-1424"/>
    <x v="3"/>
    <x v="5"/>
    <x v="0"/>
    <x v="4"/>
    <x v="0"/>
  </r>
  <r>
    <x v="131"/>
    <x v="1"/>
    <n v="-2160"/>
    <x v="1"/>
    <x v="1"/>
    <x v="0"/>
    <x v="4"/>
    <x v="0"/>
  </r>
  <r>
    <x v="131"/>
    <x v="62"/>
    <n v="-1831"/>
    <x v="3"/>
    <x v="11"/>
    <x v="0"/>
    <x v="4"/>
    <x v="0"/>
  </r>
  <r>
    <x v="131"/>
    <x v="1"/>
    <n v="-1546"/>
    <x v="1"/>
    <x v="1"/>
    <x v="0"/>
    <x v="4"/>
    <x v="0"/>
  </r>
  <r>
    <x v="131"/>
    <x v="6"/>
    <n v="-1496"/>
    <x v="1"/>
    <x v="4"/>
    <x v="0"/>
    <x v="4"/>
    <x v="0"/>
  </r>
  <r>
    <x v="131"/>
    <x v="48"/>
    <n v="-1458"/>
    <x v="3"/>
    <x v="7"/>
    <x v="0"/>
    <x v="4"/>
    <x v="0"/>
  </r>
  <r>
    <x v="131"/>
    <x v="6"/>
    <n v="-1635"/>
    <x v="1"/>
    <x v="4"/>
    <x v="0"/>
    <x v="4"/>
    <x v="0"/>
  </r>
  <r>
    <x v="131"/>
    <x v="0"/>
    <n v="-4353"/>
    <x v="0"/>
    <x v="0"/>
    <x v="0"/>
    <x v="4"/>
    <x v="0"/>
  </r>
  <r>
    <x v="131"/>
    <x v="4"/>
    <n v="-1180"/>
    <x v="1"/>
    <x v="1"/>
    <x v="0"/>
    <x v="4"/>
    <x v="0"/>
  </r>
  <r>
    <x v="131"/>
    <x v="32"/>
    <n v="-2188"/>
    <x v="3"/>
    <x v="9"/>
    <x v="0"/>
    <x v="4"/>
    <x v="0"/>
  </r>
  <r>
    <x v="131"/>
    <x v="5"/>
    <n v="11437"/>
    <x v="2"/>
    <x v="2"/>
    <x v="1"/>
    <x v="4"/>
    <x v="0"/>
  </r>
  <r>
    <x v="131"/>
    <x v="5"/>
    <n v="10919"/>
    <x v="2"/>
    <x v="2"/>
    <x v="1"/>
    <x v="4"/>
    <x v="0"/>
  </r>
  <r>
    <x v="132"/>
    <x v="1"/>
    <n v="-2312"/>
    <x v="1"/>
    <x v="1"/>
    <x v="0"/>
    <x v="4"/>
    <x v="0"/>
  </r>
  <r>
    <x v="132"/>
    <x v="21"/>
    <n v="-1932"/>
    <x v="1"/>
    <x v="1"/>
    <x v="0"/>
    <x v="4"/>
    <x v="0"/>
  </r>
  <r>
    <x v="132"/>
    <x v="1"/>
    <n v="-1199"/>
    <x v="1"/>
    <x v="1"/>
    <x v="0"/>
    <x v="4"/>
    <x v="0"/>
  </r>
  <r>
    <x v="132"/>
    <x v="28"/>
    <n v="-2442"/>
    <x v="4"/>
    <x v="12"/>
    <x v="0"/>
    <x v="4"/>
    <x v="0"/>
  </r>
  <r>
    <x v="132"/>
    <x v="2"/>
    <n v="13566"/>
    <x v="2"/>
    <x v="2"/>
    <x v="1"/>
    <x v="4"/>
    <x v="0"/>
  </r>
  <r>
    <x v="132"/>
    <x v="5"/>
    <n v="13921"/>
    <x v="2"/>
    <x v="2"/>
    <x v="1"/>
    <x v="4"/>
    <x v="0"/>
  </r>
  <r>
    <x v="132"/>
    <x v="38"/>
    <n v="-1452"/>
    <x v="3"/>
    <x v="5"/>
    <x v="0"/>
    <x v="4"/>
    <x v="0"/>
  </r>
  <r>
    <x v="132"/>
    <x v="42"/>
    <n v="-1818"/>
    <x v="3"/>
    <x v="5"/>
    <x v="0"/>
    <x v="4"/>
    <x v="0"/>
  </r>
  <r>
    <x v="132"/>
    <x v="21"/>
    <n v="-2085"/>
    <x v="1"/>
    <x v="1"/>
    <x v="0"/>
    <x v="4"/>
    <x v="0"/>
  </r>
  <r>
    <x v="132"/>
    <x v="2"/>
    <n v="11484"/>
    <x v="2"/>
    <x v="2"/>
    <x v="1"/>
    <x v="4"/>
    <x v="0"/>
  </r>
  <r>
    <x v="133"/>
    <x v="1"/>
    <n v="-2320"/>
    <x v="1"/>
    <x v="1"/>
    <x v="0"/>
    <x v="4"/>
    <x v="0"/>
  </r>
  <r>
    <x v="133"/>
    <x v="21"/>
    <n v="-1539"/>
    <x v="1"/>
    <x v="1"/>
    <x v="0"/>
    <x v="4"/>
    <x v="0"/>
  </r>
  <r>
    <x v="133"/>
    <x v="2"/>
    <n v="14804"/>
    <x v="2"/>
    <x v="2"/>
    <x v="1"/>
    <x v="4"/>
    <x v="0"/>
  </r>
  <r>
    <x v="133"/>
    <x v="21"/>
    <n v="-2410"/>
    <x v="1"/>
    <x v="1"/>
    <x v="0"/>
    <x v="4"/>
    <x v="0"/>
  </r>
  <r>
    <x v="133"/>
    <x v="36"/>
    <n v="-1772"/>
    <x v="3"/>
    <x v="7"/>
    <x v="0"/>
    <x v="4"/>
    <x v="0"/>
  </r>
  <r>
    <x v="133"/>
    <x v="6"/>
    <n v="-1272"/>
    <x v="1"/>
    <x v="4"/>
    <x v="0"/>
    <x v="4"/>
    <x v="0"/>
  </r>
  <r>
    <x v="133"/>
    <x v="48"/>
    <n v="-1872"/>
    <x v="3"/>
    <x v="7"/>
    <x v="0"/>
    <x v="4"/>
    <x v="0"/>
  </r>
  <r>
    <x v="133"/>
    <x v="21"/>
    <n v="-1999"/>
    <x v="1"/>
    <x v="1"/>
    <x v="0"/>
    <x v="4"/>
    <x v="0"/>
  </r>
  <r>
    <x v="133"/>
    <x v="60"/>
    <n v="-1660"/>
    <x v="3"/>
    <x v="6"/>
    <x v="0"/>
    <x v="4"/>
    <x v="0"/>
  </r>
  <r>
    <x v="133"/>
    <x v="20"/>
    <n v="-2465"/>
    <x v="3"/>
    <x v="10"/>
    <x v="0"/>
    <x v="4"/>
    <x v="0"/>
  </r>
  <r>
    <x v="133"/>
    <x v="2"/>
    <n v="11329"/>
    <x v="2"/>
    <x v="2"/>
    <x v="1"/>
    <x v="4"/>
    <x v="0"/>
  </r>
  <r>
    <x v="133"/>
    <x v="1"/>
    <n v="-2114"/>
    <x v="1"/>
    <x v="1"/>
    <x v="0"/>
    <x v="4"/>
    <x v="0"/>
  </r>
  <r>
    <x v="133"/>
    <x v="6"/>
    <n v="-1053"/>
    <x v="1"/>
    <x v="4"/>
    <x v="0"/>
    <x v="4"/>
    <x v="0"/>
  </r>
  <r>
    <x v="133"/>
    <x v="0"/>
    <n v="-3518"/>
    <x v="0"/>
    <x v="0"/>
    <x v="0"/>
    <x v="4"/>
    <x v="0"/>
  </r>
  <r>
    <x v="134"/>
    <x v="10"/>
    <n v="-2125"/>
    <x v="3"/>
    <x v="6"/>
    <x v="0"/>
    <x v="4"/>
    <x v="0"/>
  </r>
  <r>
    <x v="134"/>
    <x v="6"/>
    <n v="-1438"/>
    <x v="1"/>
    <x v="4"/>
    <x v="0"/>
    <x v="4"/>
    <x v="0"/>
  </r>
  <r>
    <x v="134"/>
    <x v="46"/>
    <n v="-1690"/>
    <x v="3"/>
    <x v="11"/>
    <x v="0"/>
    <x v="4"/>
    <x v="0"/>
  </r>
  <r>
    <x v="134"/>
    <x v="2"/>
    <n v="14267"/>
    <x v="2"/>
    <x v="2"/>
    <x v="1"/>
    <x v="4"/>
    <x v="0"/>
  </r>
  <r>
    <x v="134"/>
    <x v="21"/>
    <n v="-1126"/>
    <x v="1"/>
    <x v="1"/>
    <x v="0"/>
    <x v="4"/>
    <x v="0"/>
  </r>
  <r>
    <x v="134"/>
    <x v="2"/>
    <n v="13784"/>
    <x v="2"/>
    <x v="2"/>
    <x v="1"/>
    <x v="4"/>
    <x v="0"/>
  </r>
  <r>
    <x v="134"/>
    <x v="44"/>
    <n v="-2140"/>
    <x v="5"/>
    <x v="14"/>
    <x v="0"/>
    <x v="4"/>
    <x v="0"/>
  </r>
  <r>
    <x v="134"/>
    <x v="18"/>
    <n v="-2480"/>
    <x v="3"/>
    <x v="5"/>
    <x v="0"/>
    <x v="4"/>
    <x v="0"/>
  </r>
  <r>
    <x v="134"/>
    <x v="0"/>
    <n v="-2546"/>
    <x v="0"/>
    <x v="0"/>
    <x v="0"/>
    <x v="4"/>
    <x v="0"/>
  </r>
  <r>
    <x v="134"/>
    <x v="3"/>
    <n v="-1753"/>
    <x v="3"/>
    <x v="3"/>
    <x v="0"/>
    <x v="4"/>
    <x v="0"/>
  </r>
  <r>
    <x v="134"/>
    <x v="6"/>
    <n v="-1190"/>
    <x v="1"/>
    <x v="4"/>
    <x v="0"/>
    <x v="4"/>
    <x v="0"/>
  </r>
  <r>
    <x v="134"/>
    <x v="1"/>
    <n v="-2470"/>
    <x v="1"/>
    <x v="1"/>
    <x v="0"/>
    <x v="4"/>
    <x v="0"/>
  </r>
  <r>
    <x v="135"/>
    <x v="7"/>
    <n v="-1548"/>
    <x v="3"/>
    <x v="5"/>
    <x v="0"/>
    <x v="4"/>
    <x v="0"/>
  </r>
  <r>
    <x v="135"/>
    <x v="21"/>
    <n v="-1120"/>
    <x v="1"/>
    <x v="1"/>
    <x v="0"/>
    <x v="4"/>
    <x v="0"/>
  </r>
  <r>
    <x v="135"/>
    <x v="6"/>
    <n v="-2234"/>
    <x v="1"/>
    <x v="4"/>
    <x v="0"/>
    <x v="4"/>
    <x v="0"/>
  </r>
  <r>
    <x v="135"/>
    <x v="6"/>
    <n v="-1045"/>
    <x v="1"/>
    <x v="4"/>
    <x v="0"/>
    <x v="4"/>
    <x v="0"/>
  </r>
  <r>
    <x v="135"/>
    <x v="1"/>
    <n v="-2422"/>
    <x v="1"/>
    <x v="1"/>
    <x v="0"/>
    <x v="4"/>
    <x v="0"/>
  </r>
  <r>
    <x v="135"/>
    <x v="2"/>
    <n v="10868"/>
    <x v="2"/>
    <x v="2"/>
    <x v="1"/>
    <x v="4"/>
    <x v="0"/>
  </r>
  <r>
    <x v="135"/>
    <x v="6"/>
    <n v="-2469"/>
    <x v="1"/>
    <x v="4"/>
    <x v="0"/>
    <x v="4"/>
    <x v="0"/>
  </r>
  <r>
    <x v="135"/>
    <x v="3"/>
    <n v="-2307"/>
    <x v="3"/>
    <x v="3"/>
    <x v="0"/>
    <x v="4"/>
    <x v="0"/>
  </r>
  <r>
    <x v="135"/>
    <x v="2"/>
    <n v="13349"/>
    <x v="2"/>
    <x v="2"/>
    <x v="1"/>
    <x v="4"/>
    <x v="0"/>
  </r>
  <r>
    <x v="135"/>
    <x v="0"/>
    <n v="-4623"/>
    <x v="0"/>
    <x v="0"/>
    <x v="0"/>
    <x v="4"/>
    <x v="0"/>
  </r>
  <r>
    <x v="135"/>
    <x v="2"/>
    <n v="10716"/>
    <x v="2"/>
    <x v="2"/>
    <x v="1"/>
    <x v="4"/>
    <x v="0"/>
  </r>
  <r>
    <x v="135"/>
    <x v="45"/>
    <n v="-1607"/>
    <x v="3"/>
    <x v="5"/>
    <x v="0"/>
    <x v="4"/>
    <x v="0"/>
  </r>
  <r>
    <x v="136"/>
    <x v="0"/>
    <n v="-2751"/>
    <x v="0"/>
    <x v="0"/>
    <x v="0"/>
    <x v="4"/>
    <x v="0"/>
  </r>
  <r>
    <x v="136"/>
    <x v="5"/>
    <n v="14265"/>
    <x v="2"/>
    <x v="2"/>
    <x v="1"/>
    <x v="4"/>
    <x v="0"/>
  </r>
  <r>
    <x v="136"/>
    <x v="6"/>
    <n v="-1071"/>
    <x v="1"/>
    <x v="4"/>
    <x v="0"/>
    <x v="4"/>
    <x v="0"/>
  </r>
  <r>
    <x v="136"/>
    <x v="19"/>
    <n v="-2014"/>
    <x v="3"/>
    <x v="8"/>
    <x v="0"/>
    <x v="4"/>
    <x v="0"/>
  </r>
  <r>
    <x v="136"/>
    <x v="21"/>
    <n v="-2180"/>
    <x v="1"/>
    <x v="1"/>
    <x v="0"/>
    <x v="4"/>
    <x v="0"/>
  </r>
  <r>
    <x v="136"/>
    <x v="6"/>
    <n v="-2459"/>
    <x v="1"/>
    <x v="4"/>
    <x v="0"/>
    <x v="4"/>
    <x v="0"/>
  </r>
  <r>
    <x v="137"/>
    <x v="1"/>
    <n v="-2247"/>
    <x v="1"/>
    <x v="1"/>
    <x v="0"/>
    <x v="4"/>
    <x v="0"/>
  </r>
  <r>
    <x v="137"/>
    <x v="4"/>
    <n v="-2121"/>
    <x v="1"/>
    <x v="1"/>
    <x v="0"/>
    <x v="4"/>
    <x v="0"/>
  </r>
  <r>
    <x v="137"/>
    <x v="14"/>
    <n v="-1717"/>
    <x v="3"/>
    <x v="8"/>
    <x v="0"/>
    <x v="4"/>
    <x v="0"/>
  </r>
  <r>
    <x v="137"/>
    <x v="57"/>
    <n v="-1959"/>
    <x v="3"/>
    <x v="5"/>
    <x v="0"/>
    <x v="4"/>
    <x v="0"/>
  </r>
  <r>
    <x v="137"/>
    <x v="6"/>
    <n v="-1742"/>
    <x v="1"/>
    <x v="4"/>
    <x v="0"/>
    <x v="4"/>
    <x v="0"/>
  </r>
  <r>
    <x v="137"/>
    <x v="1"/>
    <n v="-1183"/>
    <x v="1"/>
    <x v="1"/>
    <x v="0"/>
    <x v="4"/>
    <x v="0"/>
  </r>
  <r>
    <x v="137"/>
    <x v="1"/>
    <n v="-1292"/>
    <x v="1"/>
    <x v="1"/>
    <x v="0"/>
    <x v="4"/>
    <x v="0"/>
  </r>
  <r>
    <x v="137"/>
    <x v="40"/>
    <n v="-1360"/>
    <x v="3"/>
    <x v="9"/>
    <x v="0"/>
    <x v="4"/>
    <x v="0"/>
  </r>
  <r>
    <x v="137"/>
    <x v="5"/>
    <n v="10215"/>
    <x v="2"/>
    <x v="2"/>
    <x v="1"/>
    <x v="4"/>
    <x v="0"/>
  </r>
  <r>
    <x v="137"/>
    <x v="21"/>
    <n v="-2175"/>
    <x v="1"/>
    <x v="1"/>
    <x v="0"/>
    <x v="4"/>
    <x v="0"/>
  </r>
  <r>
    <x v="137"/>
    <x v="6"/>
    <n v="-1900"/>
    <x v="1"/>
    <x v="4"/>
    <x v="0"/>
    <x v="4"/>
    <x v="0"/>
  </r>
  <r>
    <x v="137"/>
    <x v="21"/>
    <n v="-1656"/>
    <x v="1"/>
    <x v="1"/>
    <x v="0"/>
    <x v="4"/>
    <x v="0"/>
  </r>
  <r>
    <x v="138"/>
    <x v="4"/>
    <n v="-1796"/>
    <x v="1"/>
    <x v="1"/>
    <x v="0"/>
    <x v="4"/>
    <x v="0"/>
  </r>
  <r>
    <x v="138"/>
    <x v="4"/>
    <n v="-2208"/>
    <x v="1"/>
    <x v="1"/>
    <x v="0"/>
    <x v="4"/>
    <x v="0"/>
  </r>
  <r>
    <x v="138"/>
    <x v="22"/>
    <n v="-1516"/>
    <x v="3"/>
    <x v="11"/>
    <x v="0"/>
    <x v="4"/>
    <x v="0"/>
  </r>
  <r>
    <x v="138"/>
    <x v="1"/>
    <n v="-2227"/>
    <x v="1"/>
    <x v="1"/>
    <x v="0"/>
    <x v="4"/>
    <x v="0"/>
  </r>
  <r>
    <x v="138"/>
    <x v="2"/>
    <n v="10685"/>
    <x v="2"/>
    <x v="2"/>
    <x v="1"/>
    <x v="4"/>
    <x v="0"/>
  </r>
  <r>
    <x v="138"/>
    <x v="20"/>
    <n v="-2087"/>
    <x v="3"/>
    <x v="10"/>
    <x v="0"/>
    <x v="4"/>
    <x v="0"/>
  </r>
  <r>
    <x v="138"/>
    <x v="5"/>
    <n v="12925"/>
    <x v="2"/>
    <x v="2"/>
    <x v="1"/>
    <x v="4"/>
    <x v="0"/>
  </r>
  <r>
    <x v="138"/>
    <x v="0"/>
    <n v="-3163"/>
    <x v="0"/>
    <x v="0"/>
    <x v="0"/>
    <x v="4"/>
    <x v="0"/>
  </r>
  <r>
    <x v="138"/>
    <x v="7"/>
    <n v="-1888"/>
    <x v="3"/>
    <x v="5"/>
    <x v="0"/>
    <x v="4"/>
    <x v="0"/>
  </r>
  <r>
    <x v="138"/>
    <x v="2"/>
    <n v="11304"/>
    <x v="2"/>
    <x v="2"/>
    <x v="1"/>
    <x v="4"/>
    <x v="0"/>
  </r>
  <r>
    <x v="138"/>
    <x v="5"/>
    <n v="11163"/>
    <x v="2"/>
    <x v="2"/>
    <x v="1"/>
    <x v="4"/>
    <x v="0"/>
  </r>
  <r>
    <x v="138"/>
    <x v="0"/>
    <n v="-4907"/>
    <x v="0"/>
    <x v="0"/>
    <x v="0"/>
    <x v="4"/>
    <x v="0"/>
  </r>
  <r>
    <x v="138"/>
    <x v="1"/>
    <n v="-1792"/>
    <x v="1"/>
    <x v="1"/>
    <x v="0"/>
    <x v="4"/>
    <x v="0"/>
  </r>
  <r>
    <x v="138"/>
    <x v="5"/>
    <n v="12255"/>
    <x v="2"/>
    <x v="2"/>
    <x v="1"/>
    <x v="4"/>
    <x v="0"/>
  </r>
  <r>
    <x v="138"/>
    <x v="0"/>
    <n v="-4775"/>
    <x v="0"/>
    <x v="0"/>
    <x v="0"/>
    <x v="4"/>
    <x v="0"/>
  </r>
  <r>
    <x v="138"/>
    <x v="0"/>
    <n v="-3980"/>
    <x v="0"/>
    <x v="0"/>
    <x v="0"/>
    <x v="4"/>
    <x v="0"/>
  </r>
  <r>
    <x v="139"/>
    <x v="0"/>
    <n v="-3212"/>
    <x v="0"/>
    <x v="0"/>
    <x v="0"/>
    <x v="4"/>
    <x v="0"/>
  </r>
  <r>
    <x v="139"/>
    <x v="0"/>
    <n v="-3152"/>
    <x v="0"/>
    <x v="0"/>
    <x v="0"/>
    <x v="4"/>
    <x v="0"/>
  </r>
  <r>
    <x v="139"/>
    <x v="2"/>
    <n v="14920"/>
    <x v="2"/>
    <x v="2"/>
    <x v="1"/>
    <x v="4"/>
    <x v="0"/>
  </r>
  <r>
    <x v="139"/>
    <x v="51"/>
    <n v="-1548"/>
    <x v="3"/>
    <x v="5"/>
    <x v="0"/>
    <x v="4"/>
    <x v="0"/>
  </r>
  <r>
    <x v="139"/>
    <x v="1"/>
    <n v="-2481"/>
    <x v="1"/>
    <x v="1"/>
    <x v="0"/>
    <x v="4"/>
    <x v="0"/>
  </r>
  <r>
    <x v="139"/>
    <x v="21"/>
    <n v="-2049"/>
    <x v="1"/>
    <x v="1"/>
    <x v="0"/>
    <x v="4"/>
    <x v="0"/>
  </r>
  <r>
    <x v="140"/>
    <x v="23"/>
    <n v="-2087"/>
    <x v="3"/>
    <x v="5"/>
    <x v="0"/>
    <x v="4"/>
    <x v="0"/>
  </r>
  <r>
    <x v="140"/>
    <x v="2"/>
    <n v="12811"/>
    <x v="2"/>
    <x v="2"/>
    <x v="1"/>
    <x v="4"/>
    <x v="0"/>
  </r>
  <r>
    <x v="140"/>
    <x v="40"/>
    <n v="-1194"/>
    <x v="3"/>
    <x v="9"/>
    <x v="0"/>
    <x v="4"/>
    <x v="0"/>
  </r>
  <r>
    <x v="140"/>
    <x v="21"/>
    <n v="-1172"/>
    <x v="1"/>
    <x v="1"/>
    <x v="0"/>
    <x v="4"/>
    <x v="0"/>
  </r>
  <r>
    <x v="140"/>
    <x v="37"/>
    <n v="-2206"/>
    <x v="3"/>
    <x v="3"/>
    <x v="0"/>
    <x v="4"/>
    <x v="0"/>
  </r>
  <r>
    <x v="140"/>
    <x v="23"/>
    <n v="-2472"/>
    <x v="3"/>
    <x v="5"/>
    <x v="0"/>
    <x v="4"/>
    <x v="0"/>
  </r>
  <r>
    <x v="140"/>
    <x v="22"/>
    <n v="-1643"/>
    <x v="3"/>
    <x v="11"/>
    <x v="0"/>
    <x v="4"/>
    <x v="0"/>
  </r>
  <r>
    <x v="140"/>
    <x v="21"/>
    <n v="-2369"/>
    <x v="1"/>
    <x v="1"/>
    <x v="0"/>
    <x v="4"/>
    <x v="0"/>
  </r>
  <r>
    <x v="140"/>
    <x v="5"/>
    <n v="13219"/>
    <x v="2"/>
    <x v="2"/>
    <x v="1"/>
    <x v="4"/>
    <x v="0"/>
  </r>
  <r>
    <x v="140"/>
    <x v="16"/>
    <n v="-1922"/>
    <x v="3"/>
    <x v="9"/>
    <x v="0"/>
    <x v="4"/>
    <x v="0"/>
  </r>
  <r>
    <x v="140"/>
    <x v="54"/>
    <n v="-1223"/>
    <x v="3"/>
    <x v="8"/>
    <x v="0"/>
    <x v="4"/>
    <x v="0"/>
  </r>
  <r>
    <x v="140"/>
    <x v="4"/>
    <n v="-2152"/>
    <x v="1"/>
    <x v="1"/>
    <x v="0"/>
    <x v="4"/>
    <x v="0"/>
  </r>
  <r>
    <x v="140"/>
    <x v="6"/>
    <n v="-2101"/>
    <x v="1"/>
    <x v="4"/>
    <x v="0"/>
    <x v="4"/>
    <x v="0"/>
  </r>
  <r>
    <x v="140"/>
    <x v="37"/>
    <n v="-1578"/>
    <x v="3"/>
    <x v="3"/>
    <x v="0"/>
    <x v="4"/>
    <x v="0"/>
  </r>
  <r>
    <x v="140"/>
    <x v="40"/>
    <n v="-1913"/>
    <x v="3"/>
    <x v="9"/>
    <x v="0"/>
    <x v="4"/>
    <x v="0"/>
  </r>
  <r>
    <x v="140"/>
    <x v="59"/>
    <n v="-1678"/>
    <x v="3"/>
    <x v="5"/>
    <x v="0"/>
    <x v="4"/>
    <x v="0"/>
  </r>
  <r>
    <x v="140"/>
    <x v="0"/>
    <n v="-3917"/>
    <x v="0"/>
    <x v="0"/>
    <x v="0"/>
    <x v="4"/>
    <x v="0"/>
  </r>
  <r>
    <x v="140"/>
    <x v="54"/>
    <n v="-1124"/>
    <x v="3"/>
    <x v="8"/>
    <x v="0"/>
    <x v="4"/>
    <x v="0"/>
  </r>
  <r>
    <x v="140"/>
    <x v="0"/>
    <n v="-4715"/>
    <x v="0"/>
    <x v="0"/>
    <x v="0"/>
    <x v="4"/>
    <x v="0"/>
  </r>
  <r>
    <x v="140"/>
    <x v="5"/>
    <n v="11931"/>
    <x v="2"/>
    <x v="2"/>
    <x v="1"/>
    <x v="4"/>
    <x v="0"/>
  </r>
  <r>
    <x v="141"/>
    <x v="2"/>
    <n v="11556"/>
    <x v="2"/>
    <x v="2"/>
    <x v="1"/>
    <x v="4"/>
    <x v="0"/>
  </r>
  <r>
    <x v="141"/>
    <x v="4"/>
    <n v="-1474"/>
    <x v="1"/>
    <x v="1"/>
    <x v="0"/>
    <x v="4"/>
    <x v="0"/>
  </r>
  <r>
    <x v="141"/>
    <x v="4"/>
    <n v="-1270"/>
    <x v="1"/>
    <x v="1"/>
    <x v="0"/>
    <x v="4"/>
    <x v="0"/>
  </r>
  <r>
    <x v="141"/>
    <x v="6"/>
    <n v="-2485"/>
    <x v="1"/>
    <x v="4"/>
    <x v="0"/>
    <x v="4"/>
    <x v="0"/>
  </r>
  <r>
    <x v="141"/>
    <x v="5"/>
    <n v="12761"/>
    <x v="2"/>
    <x v="2"/>
    <x v="1"/>
    <x v="4"/>
    <x v="0"/>
  </r>
  <r>
    <x v="141"/>
    <x v="47"/>
    <n v="-1334"/>
    <x v="3"/>
    <x v="8"/>
    <x v="0"/>
    <x v="4"/>
    <x v="0"/>
  </r>
  <r>
    <x v="141"/>
    <x v="0"/>
    <n v="-3178"/>
    <x v="0"/>
    <x v="0"/>
    <x v="0"/>
    <x v="4"/>
    <x v="0"/>
  </r>
  <r>
    <x v="141"/>
    <x v="63"/>
    <n v="-1637"/>
    <x v="3"/>
    <x v="5"/>
    <x v="0"/>
    <x v="4"/>
    <x v="0"/>
  </r>
  <r>
    <x v="141"/>
    <x v="57"/>
    <n v="-1640"/>
    <x v="3"/>
    <x v="5"/>
    <x v="0"/>
    <x v="4"/>
    <x v="0"/>
  </r>
  <r>
    <x v="141"/>
    <x v="21"/>
    <n v="-1109"/>
    <x v="1"/>
    <x v="1"/>
    <x v="0"/>
    <x v="4"/>
    <x v="0"/>
  </r>
  <r>
    <x v="141"/>
    <x v="36"/>
    <n v="-1140"/>
    <x v="3"/>
    <x v="7"/>
    <x v="0"/>
    <x v="4"/>
    <x v="0"/>
  </r>
  <r>
    <x v="141"/>
    <x v="1"/>
    <n v="-1713"/>
    <x v="1"/>
    <x v="1"/>
    <x v="0"/>
    <x v="4"/>
    <x v="0"/>
  </r>
  <r>
    <x v="141"/>
    <x v="23"/>
    <n v="-2074"/>
    <x v="3"/>
    <x v="5"/>
    <x v="0"/>
    <x v="4"/>
    <x v="0"/>
  </r>
  <r>
    <x v="141"/>
    <x v="5"/>
    <n v="11095"/>
    <x v="2"/>
    <x v="2"/>
    <x v="1"/>
    <x v="4"/>
    <x v="0"/>
  </r>
  <r>
    <x v="141"/>
    <x v="0"/>
    <n v="-3601"/>
    <x v="0"/>
    <x v="0"/>
    <x v="0"/>
    <x v="4"/>
    <x v="0"/>
  </r>
  <r>
    <x v="141"/>
    <x v="1"/>
    <n v="-2226"/>
    <x v="1"/>
    <x v="1"/>
    <x v="0"/>
    <x v="4"/>
    <x v="0"/>
  </r>
  <r>
    <x v="141"/>
    <x v="2"/>
    <n v="10397"/>
    <x v="2"/>
    <x v="2"/>
    <x v="1"/>
    <x v="4"/>
    <x v="0"/>
  </r>
  <r>
    <x v="141"/>
    <x v="50"/>
    <n v="-1714"/>
    <x v="3"/>
    <x v="3"/>
    <x v="0"/>
    <x v="4"/>
    <x v="0"/>
  </r>
  <r>
    <x v="141"/>
    <x v="30"/>
    <n v="-1986"/>
    <x v="4"/>
    <x v="13"/>
    <x v="0"/>
    <x v="4"/>
    <x v="0"/>
  </r>
  <r>
    <x v="141"/>
    <x v="20"/>
    <n v="-2170"/>
    <x v="3"/>
    <x v="10"/>
    <x v="0"/>
    <x v="4"/>
    <x v="0"/>
  </r>
  <r>
    <x v="141"/>
    <x v="0"/>
    <n v="-3786"/>
    <x v="0"/>
    <x v="0"/>
    <x v="0"/>
    <x v="4"/>
    <x v="0"/>
  </r>
  <r>
    <x v="141"/>
    <x v="1"/>
    <n v="-1653"/>
    <x v="1"/>
    <x v="1"/>
    <x v="0"/>
    <x v="4"/>
    <x v="0"/>
  </r>
  <r>
    <x v="142"/>
    <x v="21"/>
    <n v="-1675"/>
    <x v="1"/>
    <x v="1"/>
    <x v="0"/>
    <x v="4"/>
    <x v="0"/>
  </r>
  <r>
    <x v="142"/>
    <x v="21"/>
    <n v="-2318"/>
    <x v="1"/>
    <x v="1"/>
    <x v="0"/>
    <x v="4"/>
    <x v="0"/>
  </r>
  <r>
    <x v="142"/>
    <x v="11"/>
    <n v="-2474"/>
    <x v="3"/>
    <x v="5"/>
    <x v="0"/>
    <x v="4"/>
    <x v="0"/>
  </r>
  <r>
    <x v="142"/>
    <x v="21"/>
    <n v="-1748"/>
    <x v="1"/>
    <x v="1"/>
    <x v="0"/>
    <x v="4"/>
    <x v="0"/>
  </r>
  <r>
    <x v="142"/>
    <x v="6"/>
    <n v="-1940"/>
    <x v="1"/>
    <x v="4"/>
    <x v="0"/>
    <x v="4"/>
    <x v="0"/>
  </r>
  <r>
    <x v="142"/>
    <x v="5"/>
    <n v="11551"/>
    <x v="2"/>
    <x v="2"/>
    <x v="1"/>
    <x v="4"/>
    <x v="0"/>
  </r>
  <r>
    <x v="142"/>
    <x v="4"/>
    <n v="-2364"/>
    <x v="1"/>
    <x v="1"/>
    <x v="0"/>
    <x v="4"/>
    <x v="0"/>
  </r>
  <r>
    <x v="142"/>
    <x v="4"/>
    <n v="-1316"/>
    <x v="1"/>
    <x v="1"/>
    <x v="0"/>
    <x v="4"/>
    <x v="0"/>
  </r>
  <r>
    <x v="142"/>
    <x v="21"/>
    <n v="-1220"/>
    <x v="1"/>
    <x v="1"/>
    <x v="0"/>
    <x v="4"/>
    <x v="0"/>
  </r>
  <r>
    <x v="142"/>
    <x v="44"/>
    <n v="-1136"/>
    <x v="5"/>
    <x v="14"/>
    <x v="0"/>
    <x v="4"/>
    <x v="0"/>
  </r>
  <r>
    <x v="142"/>
    <x v="5"/>
    <n v="11492"/>
    <x v="2"/>
    <x v="2"/>
    <x v="1"/>
    <x v="4"/>
    <x v="0"/>
  </r>
  <r>
    <x v="142"/>
    <x v="40"/>
    <n v="-2446"/>
    <x v="3"/>
    <x v="9"/>
    <x v="0"/>
    <x v="4"/>
    <x v="0"/>
  </r>
  <r>
    <x v="142"/>
    <x v="35"/>
    <n v="-1788"/>
    <x v="3"/>
    <x v="10"/>
    <x v="0"/>
    <x v="4"/>
    <x v="0"/>
  </r>
  <r>
    <x v="142"/>
    <x v="2"/>
    <n v="10286"/>
    <x v="2"/>
    <x v="2"/>
    <x v="1"/>
    <x v="4"/>
    <x v="0"/>
  </r>
  <r>
    <x v="142"/>
    <x v="2"/>
    <n v="14176"/>
    <x v="2"/>
    <x v="2"/>
    <x v="1"/>
    <x v="4"/>
    <x v="0"/>
  </r>
  <r>
    <x v="142"/>
    <x v="1"/>
    <n v="-2468"/>
    <x v="1"/>
    <x v="1"/>
    <x v="0"/>
    <x v="4"/>
    <x v="0"/>
  </r>
  <r>
    <x v="142"/>
    <x v="0"/>
    <n v="-3029"/>
    <x v="0"/>
    <x v="0"/>
    <x v="0"/>
    <x v="4"/>
    <x v="0"/>
  </r>
  <r>
    <x v="142"/>
    <x v="21"/>
    <n v="-1405"/>
    <x v="1"/>
    <x v="1"/>
    <x v="0"/>
    <x v="4"/>
    <x v="0"/>
  </r>
  <r>
    <x v="142"/>
    <x v="5"/>
    <n v="11581"/>
    <x v="2"/>
    <x v="2"/>
    <x v="1"/>
    <x v="4"/>
    <x v="0"/>
  </r>
  <r>
    <x v="142"/>
    <x v="5"/>
    <n v="14383"/>
    <x v="2"/>
    <x v="2"/>
    <x v="1"/>
    <x v="4"/>
    <x v="0"/>
  </r>
  <r>
    <x v="143"/>
    <x v="35"/>
    <n v="-1832"/>
    <x v="3"/>
    <x v="10"/>
    <x v="0"/>
    <x v="4"/>
    <x v="0"/>
  </r>
  <r>
    <x v="143"/>
    <x v="2"/>
    <n v="12886"/>
    <x v="2"/>
    <x v="2"/>
    <x v="1"/>
    <x v="4"/>
    <x v="0"/>
  </r>
  <r>
    <x v="143"/>
    <x v="61"/>
    <n v="-1614"/>
    <x v="3"/>
    <x v="10"/>
    <x v="0"/>
    <x v="4"/>
    <x v="0"/>
  </r>
  <r>
    <x v="143"/>
    <x v="2"/>
    <n v="12873"/>
    <x v="2"/>
    <x v="2"/>
    <x v="1"/>
    <x v="4"/>
    <x v="0"/>
  </r>
  <r>
    <x v="143"/>
    <x v="5"/>
    <n v="14911"/>
    <x v="2"/>
    <x v="2"/>
    <x v="1"/>
    <x v="4"/>
    <x v="0"/>
  </r>
  <r>
    <x v="143"/>
    <x v="6"/>
    <n v="-1057"/>
    <x v="1"/>
    <x v="4"/>
    <x v="0"/>
    <x v="4"/>
    <x v="0"/>
  </r>
  <r>
    <x v="143"/>
    <x v="6"/>
    <n v="-2285"/>
    <x v="1"/>
    <x v="4"/>
    <x v="0"/>
    <x v="4"/>
    <x v="0"/>
  </r>
  <r>
    <x v="143"/>
    <x v="6"/>
    <n v="-1858"/>
    <x v="1"/>
    <x v="4"/>
    <x v="0"/>
    <x v="4"/>
    <x v="0"/>
  </r>
  <r>
    <x v="143"/>
    <x v="6"/>
    <n v="-1048"/>
    <x v="1"/>
    <x v="4"/>
    <x v="0"/>
    <x v="4"/>
    <x v="0"/>
  </r>
  <r>
    <x v="143"/>
    <x v="59"/>
    <n v="-1678"/>
    <x v="3"/>
    <x v="5"/>
    <x v="0"/>
    <x v="4"/>
    <x v="0"/>
  </r>
  <r>
    <x v="144"/>
    <x v="23"/>
    <n v="-1655"/>
    <x v="3"/>
    <x v="5"/>
    <x v="0"/>
    <x v="4"/>
    <x v="0"/>
  </r>
  <r>
    <x v="144"/>
    <x v="4"/>
    <n v="-1171"/>
    <x v="1"/>
    <x v="1"/>
    <x v="0"/>
    <x v="4"/>
    <x v="0"/>
  </r>
  <r>
    <x v="144"/>
    <x v="2"/>
    <n v="12120"/>
    <x v="2"/>
    <x v="2"/>
    <x v="1"/>
    <x v="4"/>
    <x v="0"/>
  </r>
  <r>
    <x v="144"/>
    <x v="5"/>
    <n v="12105"/>
    <x v="2"/>
    <x v="2"/>
    <x v="1"/>
    <x v="4"/>
    <x v="0"/>
  </r>
  <r>
    <x v="144"/>
    <x v="1"/>
    <n v="-1337"/>
    <x v="1"/>
    <x v="1"/>
    <x v="0"/>
    <x v="4"/>
    <x v="0"/>
  </r>
  <r>
    <x v="144"/>
    <x v="6"/>
    <n v="-2053"/>
    <x v="1"/>
    <x v="4"/>
    <x v="0"/>
    <x v="4"/>
    <x v="0"/>
  </r>
  <r>
    <x v="144"/>
    <x v="28"/>
    <n v="-2344"/>
    <x v="4"/>
    <x v="12"/>
    <x v="0"/>
    <x v="4"/>
    <x v="0"/>
  </r>
  <r>
    <x v="144"/>
    <x v="30"/>
    <n v="-2326"/>
    <x v="4"/>
    <x v="13"/>
    <x v="0"/>
    <x v="4"/>
    <x v="0"/>
  </r>
  <r>
    <x v="144"/>
    <x v="2"/>
    <n v="10395"/>
    <x v="2"/>
    <x v="2"/>
    <x v="1"/>
    <x v="4"/>
    <x v="0"/>
  </r>
  <r>
    <x v="144"/>
    <x v="5"/>
    <n v="14843"/>
    <x v="2"/>
    <x v="2"/>
    <x v="1"/>
    <x v="4"/>
    <x v="0"/>
  </r>
  <r>
    <x v="144"/>
    <x v="21"/>
    <n v="-1794"/>
    <x v="1"/>
    <x v="1"/>
    <x v="0"/>
    <x v="4"/>
    <x v="0"/>
  </r>
  <r>
    <x v="144"/>
    <x v="4"/>
    <n v="-2427"/>
    <x v="1"/>
    <x v="1"/>
    <x v="0"/>
    <x v="4"/>
    <x v="0"/>
  </r>
  <r>
    <x v="144"/>
    <x v="51"/>
    <n v="-1301"/>
    <x v="3"/>
    <x v="5"/>
    <x v="0"/>
    <x v="4"/>
    <x v="0"/>
  </r>
  <r>
    <x v="144"/>
    <x v="21"/>
    <n v="-2153"/>
    <x v="1"/>
    <x v="1"/>
    <x v="0"/>
    <x v="4"/>
    <x v="0"/>
  </r>
  <r>
    <x v="144"/>
    <x v="28"/>
    <n v="-1771"/>
    <x v="4"/>
    <x v="12"/>
    <x v="0"/>
    <x v="4"/>
    <x v="0"/>
  </r>
  <r>
    <x v="144"/>
    <x v="0"/>
    <n v="-4964"/>
    <x v="0"/>
    <x v="0"/>
    <x v="0"/>
    <x v="4"/>
    <x v="0"/>
  </r>
  <r>
    <x v="145"/>
    <x v="50"/>
    <n v="-1930"/>
    <x v="3"/>
    <x v="3"/>
    <x v="0"/>
    <x v="4"/>
    <x v="0"/>
  </r>
  <r>
    <x v="145"/>
    <x v="12"/>
    <n v="-2478"/>
    <x v="3"/>
    <x v="3"/>
    <x v="0"/>
    <x v="4"/>
    <x v="0"/>
  </r>
  <r>
    <x v="145"/>
    <x v="0"/>
    <n v="-4351"/>
    <x v="0"/>
    <x v="0"/>
    <x v="0"/>
    <x v="4"/>
    <x v="0"/>
  </r>
  <r>
    <x v="145"/>
    <x v="52"/>
    <n v="-1589"/>
    <x v="3"/>
    <x v="3"/>
    <x v="0"/>
    <x v="4"/>
    <x v="0"/>
  </r>
  <r>
    <x v="145"/>
    <x v="21"/>
    <n v="-1850"/>
    <x v="1"/>
    <x v="1"/>
    <x v="0"/>
    <x v="4"/>
    <x v="0"/>
  </r>
  <r>
    <x v="145"/>
    <x v="1"/>
    <n v="-1146"/>
    <x v="1"/>
    <x v="1"/>
    <x v="0"/>
    <x v="4"/>
    <x v="0"/>
  </r>
  <r>
    <x v="145"/>
    <x v="6"/>
    <n v="-1468"/>
    <x v="1"/>
    <x v="4"/>
    <x v="0"/>
    <x v="4"/>
    <x v="0"/>
  </r>
  <r>
    <x v="145"/>
    <x v="57"/>
    <n v="-1174"/>
    <x v="3"/>
    <x v="5"/>
    <x v="0"/>
    <x v="4"/>
    <x v="0"/>
  </r>
  <r>
    <x v="145"/>
    <x v="2"/>
    <n v="13470"/>
    <x v="2"/>
    <x v="2"/>
    <x v="1"/>
    <x v="4"/>
    <x v="0"/>
  </r>
  <r>
    <x v="145"/>
    <x v="5"/>
    <n v="10946"/>
    <x v="2"/>
    <x v="2"/>
    <x v="1"/>
    <x v="4"/>
    <x v="0"/>
  </r>
  <r>
    <x v="145"/>
    <x v="4"/>
    <n v="-2298"/>
    <x v="1"/>
    <x v="1"/>
    <x v="0"/>
    <x v="4"/>
    <x v="0"/>
  </r>
  <r>
    <x v="145"/>
    <x v="21"/>
    <n v="-1102"/>
    <x v="1"/>
    <x v="1"/>
    <x v="0"/>
    <x v="4"/>
    <x v="0"/>
  </r>
  <r>
    <x v="146"/>
    <x v="18"/>
    <n v="-2206"/>
    <x v="3"/>
    <x v="5"/>
    <x v="0"/>
    <x v="4"/>
    <x v="0"/>
  </r>
  <r>
    <x v="146"/>
    <x v="4"/>
    <n v="-1312"/>
    <x v="1"/>
    <x v="1"/>
    <x v="0"/>
    <x v="4"/>
    <x v="0"/>
  </r>
  <r>
    <x v="146"/>
    <x v="21"/>
    <n v="-1040"/>
    <x v="1"/>
    <x v="1"/>
    <x v="0"/>
    <x v="4"/>
    <x v="0"/>
  </r>
  <r>
    <x v="146"/>
    <x v="0"/>
    <n v="-4786"/>
    <x v="0"/>
    <x v="0"/>
    <x v="0"/>
    <x v="4"/>
    <x v="0"/>
  </r>
  <r>
    <x v="146"/>
    <x v="5"/>
    <n v="12985"/>
    <x v="2"/>
    <x v="2"/>
    <x v="1"/>
    <x v="4"/>
    <x v="0"/>
  </r>
  <r>
    <x v="146"/>
    <x v="1"/>
    <n v="-1680"/>
    <x v="1"/>
    <x v="1"/>
    <x v="0"/>
    <x v="4"/>
    <x v="0"/>
  </r>
  <r>
    <x v="146"/>
    <x v="6"/>
    <n v="-1708"/>
    <x v="1"/>
    <x v="4"/>
    <x v="0"/>
    <x v="4"/>
    <x v="0"/>
  </r>
  <r>
    <x v="146"/>
    <x v="1"/>
    <n v="-2213"/>
    <x v="1"/>
    <x v="1"/>
    <x v="0"/>
    <x v="4"/>
    <x v="0"/>
  </r>
  <r>
    <x v="146"/>
    <x v="2"/>
    <n v="14085"/>
    <x v="2"/>
    <x v="2"/>
    <x v="1"/>
    <x v="4"/>
    <x v="0"/>
  </r>
  <r>
    <x v="146"/>
    <x v="27"/>
    <n v="-1405"/>
    <x v="3"/>
    <x v="5"/>
    <x v="0"/>
    <x v="4"/>
    <x v="0"/>
  </r>
  <r>
    <x v="146"/>
    <x v="6"/>
    <n v="-1183"/>
    <x v="1"/>
    <x v="4"/>
    <x v="0"/>
    <x v="4"/>
    <x v="0"/>
  </r>
  <r>
    <x v="146"/>
    <x v="5"/>
    <n v="12316"/>
    <x v="2"/>
    <x v="2"/>
    <x v="1"/>
    <x v="4"/>
    <x v="0"/>
  </r>
  <r>
    <x v="146"/>
    <x v="5"/>
    <n v="11955"/>
    <x v="2"/>
    <x v="2"/>
    <x v="1"/>
    <x v="4"/>
    <x v="0"/>
  </r>
  <r>
    <x v="146"/>
    <x v="1"/>
    <n v="-1624"/>
    <x v="1"/>
    <x v="1"/>
    <x v="0"/>
    <x v="4"/>
    <x v="0"/>
  </r>
  <r>
    <x v="146"/>
    <x v="21"/>
    <n v="-1738"/>
    <x v="1"/>
    <x v="1"/>
    <x v="0"/>
    <x v="4"/>
    <x v="0"/>
  </r>
  <r>
    <x v="146"/>
    <x v="5"/>
    <n v="13777"/>
    <x v="2"/>
    <x v="2"/>
    <x v="1"/>
    <x v="4"/>
    <x v="0"/>
  </r>
  <r>
    <x v="146"/>
    <x v="2"/>
    <n v="14423"/>
    <x v="2"/>
    <x v="2"/>
    <x v="1"/>
    <x v="4"/>
    <x v="0"/>
  </r>
  <r>
    <x v="146"/>
    <x v="21"/>
    <n v="-2325"/>
    <x v="1"/>
    <x v="1"/>
    <x v="0"/>
    <x v="4"/>
    <x v="0"/>
  </r>
  <r>
    <x v="146"/>
    <x v="6"/>
    <n v="-2072"/>
    <x v="1"/>
    <x v="4"/>
    <x v="0"/>
    <x v="4"/>
    <x v="0"/>
  </r>
  <r>
    <x v="146"/>
    <x v="31"/>
    <n v="-1937"/>
    <x v="3"/>
    <x v="11"/>
    <x v="0"/>
    <x v="4"/>
    <x v="0"/>
  </r>
  <r>
    <x v="146"/>
    <x v="30"/>
    <n v="-1395"/>
    <x v="4"/>
    <x v="13"/>
    <x v="0"/>
    <x v="4"/>
    <x v="0"/>
  </r>
  <r>
    <x v="146"/>
    <x v="0"/>
    <n v="-3592"/>
    <x v="0"/>
    <x v="0"/>
    <x v="0"/>
    <x v="4"/>
    <x v="0"/>
  </r>
  <r>
    <x v="146"/>
    <x v="5"/>
    <n v="12193"/>
    <x v="2"/>
    <x v="2"/>
    <x v="1"/>
    <x v="4"/>
    <x v="0"/>
  </r>
  <r>
    <x v="146"/>
    <x v="36"/>
    <n v="-2467"/>
    <x v="3"/>
    <x v="7"/>
    <x v="0"/>
    <x v="4"/>
    <x v="0"/>
  </r>
  <r>
    <x v="146"/>
    <x v="5"/>
    <n v="13629"/>
    <x v="2"/>
    <x v="2"/>
    <x v="1"/>
    <x v="4"/>
    <x v="0"/>
  </r>
  <r>
    <x v="146"/>
    <x v="8"/>
    <n v="-1676"/>
    <x v="3"/>
    <x v="6"/>
    <x v="0"/>
    <x v="4"/>
    <x v="0"/>
  </r>
  <r>
    <x v="146"/>
    <x v="6"/>
    <n v="-1269"/>
    <x v="1"/>
    <x v="4"/>
    <x v="0"/>
    <x v="4"/>
    <x v="0"/>
  </r>
  <r>
    <x v="146"/>
    <x v="5"/>
    <n v="10320"/>
    <x v="2"/>
    <x v="2"/>
    <x v="1"/>
    <x v="4"/>
    <x v="0"/>
  </r>
  <r>
    <x v="147"/>
    <x v="33"/>
    <n v="-2435"/>
    <x v="3"/>
    <x v="3"/>
    <x v="0"/>
    <x v="4"/>
    <x v="0"/>
  </r>
  <r>
    <x v="147"/>
    <x v="57"/>
    <n v="-2154"/>
    <x v="3"/>
    <x v="5"/>
    <x v="0"/>
    <x v="4"/>
    <x v="0"/>
  </r>
  <r>
    <x v="147"/>
    <x v="1"/>
    <n v="-1958"/>
    <x v="1"/>
    <x v="1"/>
    <x v="0"/>
    <x v="4"/>
    <x v="0"/>
  </r>
  <r>
    <x v="147"/>
    <x v="32"/>
    <n v="-2485"/>
    <x v="3"/>
    <x v="9"/>
    <x v="0"/>
    <x v="4"/>
    <x v="0"/>
  </r>
  <r>
    <x v="147"/>
    <x v="7"/>
    <n v="-2076"/>
    <x v="3"/>
    <x v="5"/>
    <x v="0"/>
    <x v="4"/>
    <x v="0"/>
  </r>
  <r>
    <x v="147"/>
    <x v="1"/>
    <n v="-1836"/>
    <x v="1"/>
    <x v="1"/>
    <x v="0"/>
    <x v="4"/>
    <x v="0"/>
  </r>
  <r>
    <x v="147"/>
    <x v="2"/>
    <n v="14554"/>
    <x v="2"/>
    <x v="2"/>
    <x v="1"/>
    <x v="4"/>
    <x v="0"/>
  </r>
  <r>
    <x v="147"/>
    <x v="0"/>
    <n v="-3496"/>
    <x v="0"/>
    <x v="0"/>
    <x v="0"/>
    <x v="4"/>
    <x v="0"/>
  </r>
  <r>
    <x v="147"/>
    <x v="25"/>
    <n v="-1259"/>
    <x v="3"/>
    <x v="9"/>
    <x v="0"/>
    <x v="4"/>
    <x v="0"/>
  </r>
  <r>
    <x v="147"/>
    <x v="2"/>
    <n v="12941"/>
    <x v="2"/>
    <x v="2"/>
    <x v="1"/>
    <x v="4"/>
    <x v="0"/>
  </r>
  <r>
    <x v="147"/>
    <x v="59"/>
    <n v="-1220"/>
    <x v="3"/>
    <x v="5"/>
    <x v="0"/>
    <x v="4"/>
    <x v="0"/>
  </r>
  <r>
    <x v="147"/>
    <x v="43"/>
    <n v="-2227"/>
    <x v="3"/>
    <x v="5"/>
    <x v="0"/>
    <x v="4"/>
    <x v="0"/>
  </r>
  <r>
    <x v="147"/>
    <x v="5"/>
    <n v="13117"/>
    <x v="2"/>
    <x v="2"/>
    <x v="1"/>
    <x v="4"/>
    <x v="0"/>
  </r>
  <r>
    <x v="147"/>
    <x v="34"/>
    <n v="-1860"/>
    <x v="3"/>
    <x v="3"/>
    <x v="0"/>
    <x v="4"/>
    <x v="0"/>
  </r>
  <r>
    <x v="147"/>
    <x v="48"/>
    <n v="-1302"/>
    <x v="3"/>
    <x v="7"/>
    <x v="0"/>
    <x v="4"/>
    <x v="0"/>
  </r>
  <r>
    <x v="147"/>
    <x v="1"/>
    <n v="-2169"/>
    <x v="1"/>
    <x v="1"/>
    <x v="0"/>
    <x v="4"/>
    <x v="0"/>
  </r>
  <r>
    <x v="147"/>
    <x v="7"/>
    <n v="-2336"/>
    <x v="3"/>
    <x v="5"/>
    <x v="0"/>
    <x v="4"/>
    <x v="0"/>
  </r>
  <r>
    <x v="147"/>
    <x v="9"/>
    <n v="-1457"/>
    <x v="3"/>
    <x v="5"/>
    <x v="0"/>
    <x v="4"/>
    <x v="0"/>
  </r>
  <r>
    <x v="147"/>
    <x v="61"/>
    <n v="-2339"/>
    <x v="3"/>
    <x v="10"/>
    <x v="0"/>
    <x v="4"/>
    <x v="0"/>
  </r>
  <r>
    <x v="147"/>
    <x v="4"/>
    <n v="-2153"/>
    <x v="1"/>
    <x v="1"/>
    <x v="0"/>
    <x v="4"/>
    <x v="0"/>
  </r>
  <r>
    <x v="147"/>
    <x v="42"/>
    <n v="-1747"/>
    <x v="3"/>
    <x v="5"/>
    <x v="0"/>
    <x v="4"/>
    <x v="0"/>
  </r>
  <r>
    <x v="147"/>
    <x v="5"/>
    <n v="10874"/>
    <x v="2"/>
    <x v="2"/>
    <x v="1"/>
    <x v="4"/>
    <x v="0"/>
  </r>
  <r>
    <x v="147"/>
    <x v="29"/>
    <n v="-1966"/>
    <x v="3"/>
    <x v="7"/>
    <x v="0"/>
    <x v="4"/>
    <x v="0"/>
  </r>
  <r>
    <x v="147"/>
    <x v="9"/>
    <n v="-1555"/>
    <x v="3"/>
    <x v="5"/>
    <x v="0"/>
    <x v="4"/>
    <x v="0"/>
  </r>
  <r>
    <x v="148"/>
    <x v="3"/>
    <n v="-2045"/>
    <x v="3"/>
    <x v="3"/>
    <x v="0"/>
    <x v="4"/>
    <x v="0"/>
  </r>
  <r>
    <x v="148"/>
    <x v="6"/>
    <n v="-2425"/>
    <x v="1"/>
    <x v="4"/>
    <x v="0"/>
    <x v="4"/>
    <x v="0"/>
  </r>
  <r>
    <x v="148"/>
    <x v="5"/>
    <n v="12477"/>
    <x v="2"/>
    <x v="2"/>
    <x v="1"/>
    <x v="4"/>
    <x v="0"/>
  </r>
  <r>
    <x v="148"/>
    <x v="21"/>
    <n v="-1991"/>
    <x v="1"/>
    <x v="1"/>
    <x v="0"/>
    <x v="4"/>
    <x v="0"/>
  </r>
  <r>
    <x v="148"/>
    <x v="29"/>
    <n v="-1308"/>
    <x v="3"/>
    <x v="7"/>
    <x v="0"/>
    <x v="4"/>
    <x v="0"/>
  </r>
  <r>
    <x v="148"/>
    <x v="5"/>
    <n v="10403"/>
    <x v="2"/>
    <x v="2"/>
    <x v="1"/>
    <x v="4"/>
    <x v="0"/>
  </r>
  <r>
    <x v="148"/>
    <x v="0"/>
    <n v="-2519"/>
    <x v="0"/>
    <x v="0"/>
    <x v="0"/>
    <x v="4"/>
    <x v="0"/>
  </r>
  <r>
    <x v="148"/>
    <x v="4"/>
    <n v="-2027"/>
    <x v="1"/>
    <x v="1"/>
    <x v="0"/>
    <x v="4"/>
    <x v="0"/>
  </r>
  <r>
    <x v="148"/>
    <x v="1"/>
    <n v="-2061"/>
    <x v="1"/>
    <x v="1"/>
    <x v="0"/>
    <x v="4"/>
    <x v="0"/>
  </r>
  <r>
    <x v="148"/>
    <x v="24"/>
    <n v="-2287"/>
    <x v="3"/>
    <x v="6"/>
    <x v="0"/>
    <x v="4"/>
    <x v="0"/>
  </r>
  <r>
    <x v="148"/>
    <x v="2"/>
    <n v="11991"/>
    <x v="2"/>
    <x v="2"/>
    <x v="1"/>
    <x v="4"/>
    <x v="0"/>
  </r>
  <r>
    <x v="148"/>
    <x v="21"/>
    <n v="-1498"/>
    <x v="1"/>
    <x v="1"/>
    <x v="0"/>
    <x v="4"/>
    <x v="0"/>
  </r>
  <r>
    <x v="148"/>
    <x v="1"/>
    <n v="-1852"/>
    <x v="1"/>
    <x v="1"/>
    <x v="0"/>
    <x v="4"/>
    <x v="0"/>
  </r>
  <r>
    <x v="148"/>
    <x v="21"/>
    <n v="-2200"/>
    <x v="1"/>
    <x v="1"/>
    <x v="0"/>
    <x v="4"/>
    <x v="0"/>
  </r>
  <r>
    <x v="148"/>
    <x v="21"/>
    <n v="-1837"/>
    <x v="1"/>
    <x v="1"/>
    <x v="0"/>
    <x v="4"/>
    <x v="0"/>
  </r>
  <r>
    <x v="148"/>
    <x v="47"/>
    <n v="-1188"/>
    <x v="3"/>
    <x v="8"/>
    <x v="0"/>
    <x v="4"/>
    <x v="0"/>
  </r>
  <r>
    <x v="148"/>
    <x v="6"/>
    <n v="-1555"/>
    <x v="1"/>
    <x v="4"/>
    <x v="0"/>
    <x v="4"/>
    <x v="0"/>
  </r>
  <r>
    <x v="148"/>
    <x v="0"/>
    <n v="-3310"/>
    <x v="0"/>
    <x v="0"/>
    <x v="0"/>
    <x v="4"/>
    <x v="0"/>
  </r>
  <r>
    <x v="148"/>
    <x v="50"/>
    <n v="-1495"/>
    <x v="3"/>
    <x v="3"/>
    <x v="0"/>
    <x v="4"/>
    <x v="0"/>
  </r>
  <r>
    <x v="148"/>
    <x v="45"/>
    <n v="-1383"/>
    <x v="3"/>
    <x v="5"/>
    <x v="0"/>
    <x v="4"/>
    <x v="0"/>
  </r>
  <r>
    <x v="149"/>
    <x v="21"/>
    <n v="-1761"/>
    <x v="1"/>
    <x v="1"/>
    <x v="0"/>
    <x v="4"/>
    <x v="0"/>
  </r>
  <r>
    <x v="149"/>
    <x v="0"/>
    <n v="-3284"/>
    <x v="0"/>
    <x v="0"/>
    <x v="0"/>
    <x v="4"/>
    <x v="0"/>
  </r>
  <r>
    <x v="149"/>
    <x v="4"/>
    <n v="-1011"/>
    <x v="1"/>
    <x v="1"/>
    <x v="0"/>
    <x v="4"/>
    <x v="0"/>
  </r>
  <r>
    <x v="149"/>
    <x v="5"/>
    <n v="13633"/>
    <x v="2"/>
    <x v="2"/>
    <x v="1"/>
    <x v="4"/>
    <x v="0"/>
  </r>
  <r>
    <x v="149"/>
    <x v="0"/>
    <n v="-2703"/>
    <x v="0"/>
    <x v="0"/>
    <x v="0"/>
    <x v="4"/>
    <x v="0"/>
  </r>
  <r>
    <x v="149"/>
    <x v="5"/>
    <n v="11528"/>
    <x v="2"/>
    <x v="2"/>
    <x v="1"/>
    <x v="4"/>
    <x v="0"/>
  </r>
  <r>
    <x v="149"/>
    <x v="19"/>
    <n v="-1752"/>
    <x v="3"/>
    <x v="8"/>
    <x v="0"/>
    <x v="4"/>
    <x v="0"/>
  </r>
  <r>
    <x v="149"/>
    <x v="56"/>
    <n v="1766"/>
    <x v="4"/>
    <x v="15"/>
    <x v="0"/>
    <x v="4"/>
    <x v="0"/>
  </r>
  <r>
    <x v="149"/>
    <x v="2"/>
    <n v="11515"/>
    <x v="2"/>
    <x v="2"/>
    <x v="1"/>
    <x v="4"/>
    <x v="0"/>
  </r>
  <r>
    <x v="149"/>
    <x v="5"/>
    <n v="12386"/>
    <x v="2"/>
    <x v="2"/>
    <x v="1"/>
    <x v="4"/>
    <x v="0"/>
  </r>
  <r>
    <x v="149"/>
    <x v="17"/>
    <n v="-1836"/>
    <x v="3"/>
    <x v="5"/>
    <x v="0"/>
    <x v="4"/>
    <x v="0"/>
  </r>
  <r>
    <x v="149"/>
    <x v="2"/>
    <n v="10083"/>
    <x v="2"/>
    <x v="2"/>
    <x v="1"/>
    <x v="4"/>
    <x v="0"/>
  </r>
  <r>
    <x v="149"/>
    <x v="4"/>
    <n v="-1223"/>
    <x v="1"/>
    <x v="1"/>
    <x v="0"/>
    <x v="4"/>
    <x v="0"/>
  </r>
  <r>
    <x v="149"/>
    <x v="0"/>
    <n v="-4690"/>
    <x v="0"/>
    <x v="0"/>
    <x v="0"/>
    <x v="4"/>
    <x v="0"/>
  </r>
  <r>
    <x v="149"/>
    <x v="21"/>
    <n v="-1490"/>
    <x v="1"/>
    <x v="1"/>
    <x v="0"/>
    <x v="4"/>
    <x v="0"/>
  </r>
  <r>
    <x v="149"/>
    <x v="46"/>
    <n v="-1318"/>
    <x v="3"/>
    <x v="11"/>
    <x v="0"/>
    <x v="4"/>
    <x v="0"/>
  </r>
  <r>
    <x v="149"/>
    <x v="21"/>
    <n v="-1470"/>
    <x v="1"/>
    <x v="1"/>
    <x v="0"/>
    <x v="4"/>
    <x v="0"/>
  </r>
  <r>
    <x v="149"/>
    <x v="57"/>
    <n v="-1388"/>
    <x v="3"/>
    <x v="5"/>
    <x v="0"/>
    <x v="4"/>
    <x v="0"/>
  </r>
  <r>
    <x v="149"/>
    <x v="2"/>
    <n v="11043"/>
    <x v="2"/>
    <x v="2"/>
    <x v="1"/>
    <x v="4"/>
    <x v="0"/>
  </r>
  <r>
    <x v="149"/>
    <x v="5"/>
    <n v="11456"/>
    <x v="2"/>
    <x v="2"/>
    <x v="1"/>
    <x v="4"/>
    <x v="0"/>
  </r>
  <r>
    <x v="150"/>
    <x v="6"/>
    <n v="-2212"/>
    <x v="1"/>
    <x v="4"/>
    <x v="0"/>
    <x v="4"/>
    <x v="0"/>
  </r>
  <r>
    <x v="150"/>
    <x v="33"/>
    <n v="-1632"/>
    <x v="3"/>
    <x v="3"/>
    <x v="0"/>
    <x v="4"/>
    <x v="0"/>
  </r>
  <r>
    <x v="150"/>
    <x v="2"/>
    <n v="11648"/>
    <x v="2"/>
    <x v="2"/>
    <x v="1"/>
    <x v="4"/>
    <x v="0"/>
  </r>
  <r>
    <x v="150"/>
    <x v="4"/>
    <n v="-2407"/>
    <x v="1"/>
    <x v="1"/>
    <x v="0"/>
    <x v="4"/>
    <x v="0"/>
  </r>
  <r>
    <x v="150"/>
    <x v="4"/>
    <n v="-1571"/>
    <x v="1"/>
    <x v="1"/>
    <x v="0"/>
    <x v="4"/>
    <x v="0"/>
  </r>
  <r>
    <x v="150"/>
    <x v="36"/>
    <n v="-1215"/>
    <x v="3"/>
    <x v="7"/>
    <x v="0"/>
    <x v="4"/>
    <x v="0"/>
  </r>
  <r>
    <x v="150"/>
    <x v="0"/>
    <n v="-2864"/>
    <x v="0"/>
    <x v="0"/>
    <x v="0"/>
    <x v="4"/>
    <x v="0"/>
  </r>
  <r>
    <x v="150"/>
    <x v="1"/>
    <n v="-2183"/>
    <x v="1"/>
    <x v="1"/>
    <x v="0"/>
    <x v="4"/>
    <x v="0"/>
  </r>
  <r>
    <x v="150"/>
    <x v="21"/>
    <n v="-2135"/>
    <x v="1"/>
    <x v="1"/>
    <x v="0"/>
    <x v="4"/>
    <x v="0"/>
  </r>
  <r>
    <x v="150"/>
    <x v="21"/>
    <n v="-2244"/>
    <x v="1"/>
    <x v="1"/>
    <x v="0"/>
    <x v="4"/>
    <x v="0"/>
  </r>
  <r>
    <x v="150"/>
    <x v="48"/>
    <n v="-1944"/>
    <x v="3"/>
    <x v="7"/>
    <x v="0"/>
    <x v="4"/>
    <x v="0"/>
  </r>
  <r>
    <x v="150"/>
    <x v="6"/>
    <n v="-2235"/>
    <x v="1"/>
    <x v="4"/>
    <x v="0"/>
    <x v="4"/>
    <x v="0"/>
  </r>
  <r>
    <x v="150"/>
    <x v="5"/>
    <n v="12761"/>
    <x v="2"/>
    <x v="2"/>
    <x v="1"/>
    <x v="4"/>
    <x v="0"/>
  </r>
  <r>
    <x v="150"/>
    <x v="0"/>
    <n v="-2693"/>
    <x v="0"/>
    <x v="0"/>
    <x v="0"/>
    <x v="4"/>
    <x v="0"/>
  </r>
  <r>
    <x v="150"/>
    <x v="1"/>
    <n v="-1524"/>
    <x v="1"/>
    <x v="1"/>
    <x v="0"/>
    <x v="4"/>
    <x v="0"/>
  </r>
  <r>
    <x v="150"/>
    <x v="2"/>
    <n v="11672"/>
    <x v="2"/>
    <x v="2"/>
    <x v="1"/>
    <x v="4"/>
    <x v="0"/>
  </r>
  <r>
    <x v="151"/>
    <x v="2"/>
    <n v="10771"/>
    <x v="2"/>
    <x v="2"/>
    <x v="1"/>
    <x v="5"/>
    <x v="0"/>
  </r>
  <r>
    <x v="151"/>
    <x v="6"/>
    <n v="-2118"/>
    <x v="1"/>
    <x v="4"/>
    <x v="0"/>
    <x v="5"/>
    <x v="0"/>
  </r>
  <r>
    <x v="151"/>
    <x v="54"/>
    <n v="-2270"/>
    <x v="3"/>
    <x v="8"/>
    <x v="0"/>
    <x v="5"/>
    <x v="0"/>
  </r>
  <r>
    <x v="151"/>
    <x v="58"/>
    <n v="-2209"/>
    <x v="3"/>
    <x v="11"/>
    <x v="0"/>
    <x v="5"/>
    <x v="0"/>
  </r>
  <r>
    <x v="151"/>
    <x v="51"/>
    <n v="-2063"/>
    <x v="3"/>
    <x v="5"/>
    <x v="0"/>
    <x v="5"/>
    <x v="0"/>
  </r>
  <r>
    <x v="151"/>
    <x v="6"/>
    <n v="-1202"/>
    <x v="1"/>
    <x v="4"/>
    <x v="0"/>
    <x v="5"/>
    <x v="0"/>
  </r>
  <r>
    <x v="151"/>
    <x v="26"/>
    <n v="-1891"/>
    <x v="3"/>
    <x v="11"/>
    <x v="0"/>
    <x v="5"/>
    <x v="0"/>
  </r>
  <r>
    <x v="151"/>
    <x v="5"/>
    <n v="13320"/>
    <x v="2"/>
    <x v="2"/>
    <x v="1"/>
    <x v="5"/>
    <x v="0"/>
  </r>
  <r>
    <x v="151"/>
    <x v="45"/>
    <n v="-1212"/>
    <x v="3"/>
    <x v="5"/>
    <x v="0"/>
    <x v="5"/>
    <x v="0"/>
  </r>
  <r>
    <x v="151"/>
    <x v="8"/>
    <n v="-1922"/>
    <x v="3"/>
    <x v="6"/>
    <x v="0"/>
    <x v="5"/>
    <x v="0"/>
  </r>
  <r>
    <x v="151"/>
    <x v="4"/>
    <n v="-1824"/>
    <x v="1"/>
    <x v="1"/>
    <x v="0"/>
    <x v="5"/>
    <x v="0"/>
  </r>
  <r>
    <x v="151"/>
    <x v="12"/>
    <n v="-1880"/>
    <x v="3"/>
    <x v="3"/>
    <x v="0"/>
    <x v="5"/>
    <x v="0"/>
  </r>
  <r>
    <x v="152"/>
    <x v="1"/>
    <n v="-1821"/>
    <x v="1"/>
    <x v="1"/>
    <x v="0"/>
    <x v="5"/>
    <x v="0"/>
  </r>
  <r>
    <x v="152"/>
    <x v="53"/>
    <n v="-1953"/>
    <x v="3"/>
    <x v="5"/>
    <x v="0"/>
    <x v="5"/>
    <x v="0"/>
  </r>
  <r>
    <x v="152"/>
    <x v="6"/>
    <n v="-1394"/>
    <x v="1"/>
    <x v="4"/>
    <x v="0"/>
    <x v="5"/>
    <x v="0"/>
  </r>
  <r>
    <x v="152"/>
    <x v="4"/>
    <n v="-1944"/>
    <x v="1"/>
    <x v="1"/>
    <x v="0"/>
    <x v="5"/>
    <x v="0"/>
  </r>
  <r>
    <x v="152"/>
    <x v="14"/>
    <n v="-1096"/>
    <x v="3"/>
    <x v="8"/>
    <x v="0"/>
    <x v="5"/>
    <x v="0"/>
  </r>
  <r>
    <x v="152"/>
    <x v="21"/>
    <n v="-1030"/>
    <x v="1"/>
    <x v="1"/>
    <x v="0"/>
    <x v="5"/>
    <x v="0"/>
  </r>
  <r>
    <x v="152"/>
    <x v="6"/>
    <n v="-2500"/>
    <x v="1"/>
    <x v="4"/>
    <x v="0"/>
    <x v="5"/>
    <x v="0"/>
  </r>
  <r>
    <x v="152"/>
    <x v="21"/>
    <n v="-1177"/>
    <x v="1"/>
    <x v="1"/>
    <x v="0"/>
    <x v="5"/>
    <x v="0"/>
  </r>
  <r>
    <x v="152"/>
    <x v="5"/>
    <n v="10206"/>
    <x v="2"/>
    <x v="2"/>
    <x v="1"/>
    <x v="5"/>
    <x v="0"/>
  </r>
  <r>
    <x v="152"/>
    <x v="4"/>
    <n v="-2095"/>
    <x v="1"/>
    <x v="1"/>
    <x v="0"/>
    <x v="5"/>
    <x v="0"/>
  </r>
  <r>
    <x v="152"/>
    <x v="21"/>
    <n v="-1397"/>
    <x v="1"/>
    <x v="1"/>
    <x v="0"/>
    <x v="5"/>
    <x v="0"/>
  </r>
  <r>
    <x v="152"/>
    <x v="5"/>
    <n v="14786"/>
    <x v="2"/>
    <x v="2"/>
    <x v="1"/>
    <x v="5"/>
    <x v="0"/>
  </r>
  <r>
    <x v="152"/>
    <x v="1"/>
    <n v="-2227"/>
    <x v="1"/>
    <x v="1"/>
    <x v="0"/>
    <x v="5"/>
    <x v="0"/>
  </r>
  <r>
    <x v="152"/>
    <x v="2"/>
    <n v="12705"/>
    <x v="2"/>
    <x v="2"/>
    <x v="1"/>
    <x v="5"/>
    <x v="0"/>
  </r>
  <r>
    <x v="152"/>
    <x v="52"/>
    <n v="-1035"/>
    <x v="3"/>
    <x v="3"/>
    <x v="0"/>
    <x v="5"/>
    <x v="0"/>
  </r>
  <r>
    <x v="152"/>
    <x v="1"/>
    <n v="-1575"/>
    <x v="1"/>
    <x v="1"/>
    <x v="0"/>
    <x v="5"/>
    <x v="0"/>
  </r>
  <r>
    <x v="152"/>
    <x v="21"/>
    <n v="-2309"/>
    <x v="1"/>
    <x v="1"/>
    <x v="0"/>
    <x v="5"/>
    <x v="0"/>
  </r>
  <r>
    <x v="152"/>
    <x v="1"/>
    <n v="-2104"/>
    <x v="1"/>
    <x v="1"/>
    <x v="0"/>
    <x v="5"/>
    <x v="0"/>
  </r>
  <r>
    <x v="153"/>
    <x v="6"/>
    <n v="-1870"/>
    <x v="1"/>
    <x v="4"/>
    <x v="0"/>
    <x v="5"/>
    <x v="0"/>
  </r>
  <r>
    <x v="153"/>
    <x v="0"/>
    <n v="-3669"/>
    <x v="0"/>
    <x v="0"/>
    <x v="0"/>
    <x v="5"/>
    <x v="0"/>
  </r>
  <r>
    <x v="153"/>
    <x v="1"/>
    <n v="-1517"/>
    <x v="1"/>
    <x v="1"/>
    <x v="0"/>
    <x v="5"/>
    <x v="0"/>
  </r>
  <r>
    <x v="153"/>
    <x v="3"/>
    <n v="-1620"/>
    <x v="3"/>
    <x v="3"/>
    <x v="0"/>
    <x v="5"/>
    <x v="0"/>
  </r>
  <r>
    <x v="153"/>
    <x v="2"/>
    <n v="11134"/>
    <x v="2"/>
    <x v="2"/>
    <x v="1"/>
    <x v="5"/>
    <x v="0"/>
  </r>
  <r>
    <x v="153"/>
    <x v="30"/>
    <n v="-1647"/>
    <x v="4"/>
    <x v="13"/>
    <x v="0"/>
    <x v="5"/>
    <x v="0"/>
  </r>
  <r>
    <x v="153"/>
    <x v="42"/>
    <n v="-2235"/>
    <x v="3"/>
    <x v="5"/>
    <x v="0"/>
    <x v="5"/>
    <x v="0"/>
  </r>
  <r>
    <x v="153"/>
    <x v="6"/>
    <n v="-2471"/>
    <x v="1"/>
    <x v="4"/>
    <x v="0"/>
    <x v="5"/>
    <x v="0"/>
  </r>
  <r>
    <x v="153"/>
    <x v="10"/>
    <n v="-1826"/>
    <x v="3"/>
    <x v="6"/>
    <x v="0"/>
    <x v="5"/>
    <x v="0"/>
  </r>
  <r>
    <x v="153"/>
    <x v="23"/>
    <n v="-1654"/>
    <x v="3"/>
    <x v="5"/>
    <x v="0"/>
    <x v="5"/>
    <x v="0"/>
  </r>
  <r>
    <x v="153"/>
    <x v="47"/>
    <n v="-1823"/>
    <x v="3"/>
    <x v="8"/>
    <x v="0"/>
    <x v="5"/>
    <x v="0"/>
  </r>
  <r>
    <x v="153"/>
    <x v="1"/>
    <n v="-2123"/>
    <x v="1"/>
    <x v="1"/>
    <x v="0"/>
    <x v="5"/>
    <x v="0"/>
  </r>
  <r>
    <x v="153"/>
    <x v="5"/>
    <n v="11339"/>
    <x v="2"/>
    <x v="2"/>
    <x v="1"/>
    <x v="5"/>
    <x v="0"/>
  </r>
  <r>
    <x v="153"/>
    <x v="45"/>
    <n v="-1438"/>
    <x v="3"/>
    <x v="5"/>
    <x v="0"/>
    <x v="5"/>
    <x v="0"/>
  </r>
  <r>
    <x v="153"/>
    <x v="2"/>
    <n v="11793"/>
    <x v="2"/>
    <x v="2"/>
    <x v="1"/>
    <x v="5"/>
    <x v="0"/>
  </r>
  <r>
    <x v="153"/>
    <x v="5"/>
    <n v="12706"/>
    <x v="2"/>
    <x v="2"/>
    <x v="1"/>
    <x v="5"/>
    <x v="0"/>
  </r>
  <r>
    <x v="153"/>
    <x v="6"/>
    <n v="-1607"/>
    <x v="1"/>
    <x v="4"/>
    <x v="0"/>
    <x v="5"/>
    <x v="0"/>
  </r>
  <r>
    <x v="153"/>
    <x v="31"/>
    <n v="-1671"/>
    <x v="3"/>
    <x v="11"/>
    <x v="0"/>
    <x v="5"/>
    <x v="0"/>
  </r>
  <r>
    <x v="153"/>
    <x v="5"/>
    <n v="12410"/>
    <x v="2"/>
    <x v="2"/>
    <x v="1"/>
    <x v="5"/>
    <x v="0"/>
  </r>
  <r>
    <x v="153"/>
    <x v="51"/>
    <n v="-1922"/>
    <x v="3"/>
    <x v="5"/>
    <x v="0"/>
    <x v="5"/>
    <x v="0"/>
  </r>
  <r>
    <x v="153"/>
    <x v="5"/>
    <n v="12587"/>
    <x v="2"/>
    <x v="2"/>
    <x v="1"/>
    <x v="5"/>
    <x v="0"/>
  </r>
  <r>
    <x v="153"/>
    <x v="5"/>
    <n v="13560"/>
    <x v="2"/>
    <x v="2"/>
    <x v="1"/>
    <x v="5"/>
    <x v="0"/>
  </r>
  <r>
    <x v="153"/>
    <x v="5"/>
    <n v="13135"/>
    <x v="2"/>
    <x v="2"/>
    <x v="1"/>
    <x v="5"/>
    <x v="0"/>
  </r>
  <r>
    <x v="153"/>
    <x v="17"/>
    <n v="-1117"/>
    <x v="3"/>
    <x v="5"/>
    <x v="0"/>
    <x v="5"/>
    <x v="0"/>
  </r>
  <r>
    <x v="153"/>
    <x v="41"/>
    <n v="-2075"/>
    <x v="3"/>
    <x v="3"/>
    <x v="0"/>
    <x v="5"/>
    <x v="0"/>
  </r>
  <r>
    <x v="153"/>
    <x v="21"/>
    <n v="-1106"/>
    <x v="1"/>
    <x v="1"/>
    <x v="0"/>
    <x v="5"/>
    <x v="0"/>
  </r>
  <r>
    <x v="154"/>
    <x v="23"/>
    <n v="-1547"/>
    <x v="3"/>
    <x v="5"/>
    <x v="0"/>
    <x v="5"/>
    <x v="0"/>
  </r>
  <r>
    <x v="154"/>
    <x v="4"/>
    <n v="-1296"/>
    <x v="1"/>
    <x v="1"/>
    <x v="0"/>
    <x v="5"/>
    <x v="0"/>
  </r>
  <r>
    <x v="154"/>
    <x v="29"/>
    <n v="-1117"/>
    <x v="3"/>
    <x v="7"/>
    <x v="0"/>
    <x v="5"/>
    <x v="0"/>
  </r>
  <r>
    <x v="154"/>
    <x v="3"/>
    <n v="-1829"/>
    <x v="3"/>
    <x v="3"/>
    <x v="0"/>
    <x v="5"/>
    <x v="0"/>
  </r>
  <r>
    <x v="154"/>
    <x v="5"/>
    <n v="13887"/>
    <x v="2"/>
    <x v="2"/>
    <x v="1"/>
    <x v="5"/>
    <x v="0"/>
  </r>
  <r>
    <x v="154"/>
    <x v="4"/>
    <n v="-1437"/>
    <x v="1"/>
    <x v="1"/>
    <x v="0"/>
    <x v="5"/>
    <x v="0"/>
  </r>
  <r>
    <x v="154"/>
    <x v="0"/>
    <n v="-3214"/>
    <x v="0"/>
    <x v="0"/>
    <x v="0"/>
    <x v="5"/>
    <x v="0"/>
  </r>
  <r>
    <x v="154"/>
    <x v="5"/>
    <n v="14926"/>
    <x v="2"/>
    <x v="2"/>
    <x v="1"/>
    <x v="5"/>
    <x v="0"/>
  </r>
  <r>
    <x v="154"/>
    <x v="21"/>
    <n v="-1862"/>
    <x v="1"/>
    <x v="1"/>
    <x v="0"/>
    <x v="5"/>
    <x v="0"/>
  </r>
  <r>
    <x v="154"/>
    <x v="18"/>
    <n v="-1571"/>
    <x v="3"/>
    <x v="5"/>
    <x v="0"/>
    <x v="5"/>
    <x v="0"/>
  </r>
  <r>
    <x v="154"/>
    <x v="43"/>
    <n v="-1287"/>
    <x v="3"/>
    <x v="5"/>
    <x v="0"/>
    <x v="5"/>
    <x v="0"/>
  </r>
  <r>
    <x v="154"/>
    <x v="4"/>
    <n v="-1174"/>
    <x v="1"/>
    <x v="1"/>
    <x v="0"/>
    <x v="5"/>
    <x v="0"/>
  </r>
  <r>
    <x v="154"/>
    <x v="16"/>
    <n v="-2315"/>
    <x v="3"/>
    <x v="9"/>
    <x v="0"/>
    <x v="5"/>
    <x v="0"/>
  </r>
  <r>
    <x v="154"/>
    <x v="59"/>
    <n v="-1399"/>
    <x v="3"/>
    <x v="5"/>
    <x v="0"/>
    <x v="5"/>
    <x v="0"/>
  </r>
  <r>
    <x v="154"/>
    <x v="61"/>
    <n v="-1047"/>
    <x v="3"/>
    <x v="10"/>
    <x v="0"/>
    <x v="5"/>
    <x v="0"/>
  </r>
  <r>
    <x v="154"/>
    <x v="45"/>
    <n v="-1538"/>
    <x v="3"/>
    <x v="5"/>
    <x v="0"/>
    <x v="5"/>
    <x v="0"/>
  </r>
  <r>
    <x v="154"/>
    <x v="45"/>
    <n v="-2115"/>
    <x v="3"/>
    <x v="5"/>
    <x v="0"/>
    <x v="5"/>
    <x v="0"/>
  </r>
  <r>
    <x v="154"/>
    <x v="28"/>
    <n v="-2071"/>
    <x v="4"/>
    <x v="12"/>
    <x v="0"/>
    <x v="5"/>
    <x v="0"/>
  </r>
  <r>
    <x v="154"/>
    <x v="12"/>
    <n v="-1234"/>
    <x v="3"/>
    <x v="3"/>
    <x v="0"/>
    <x v="5"/>
    <x v="0"/>
  </r>
  <r>
    <x v="154"/>
    <x v="2"/>
    <n v="13071"/>
    <x v="2"/>
    <x v="2"/>
    <x v="1"/>
    <x v="5"/>
    <x v="0"/>
  </r>
  <r>
    <x v="154"/>
    <x v="32"/>
    <n v="-2369"/>
    <x v="3"/>
    <x v="9"/>
    <x v="0"/>
    <x v="5"/>
    <x v="0"/>
  </r>
  <r>
    <x v="154"/>
    <x v="1"/>
    <n v="-1530"/>
    <x v="1"/>
    <x v="1"/>
    <x v="0"/>
    <x v="5"/>
    <x v="0"/>
  </r>
  <r>
    <x v="154"/>
    <x v="1"/>
    <n v="-2020"/>
    <x v="1"/>
    <x v="1"/>
    <x v="0"/>
    <x v="5"/>
    <x v="0"/>
  </r>
  <r>
    <x v="154"/>
    <x v="56"/>
    <n v="243400"/>
    <x v="4"/>
    <x v="15"/>
    <x v="0"/>
    <x v="5"/>
    <x v="0"/>
  </r>
  <r>
    <x v="154"/>
    <x v="0"/>
    <n v="-4689"/>
    <x v="0"/>
    <x v="0"/>
    <x v="0"/>
    <x v="5"/>
    <x v="0"/>
  </r>
  <r>
    <x v="154"/>
    <x v="21"/>
    <n v="-1271"/>
    <x v="1"/>
    <x v="1"/>
    <x v="0"/>
    <x v="5"/>
    <x v="0"/>
  </r>
  <r>
    <x v="155"/>
    <x v="1"/>
    <n v="-1740"/>
    <x v="1"/>
    <x v="1"/>
    <x v="0"/>
    <x v="5"/>
    <x v="0"/>
  </r>
  <r>
    <x v="155"/>
    <x v="4"/>
    <n v="-1173"/>
    <x v="1"/>
    <x v="1"/>
    <x v="0"/>
    <x v="5"/>
    <x v="0"/>
  </r>
  <r>
    <x v="155"/>
    <x v="21"/>
    <n v="-1733"/>
    <x v="1"/>
    <x v="1"/>
    <x v="0"/>
    <x v="5"/>
    <x v="0"/>
  </r>
  <r>
    <x v="155"/>
    <x v="2"/>
    <n v="11924"/>
    <x v="2"/>
    <x v="2"/>
    <x v="1"/>
    <x v="5"/>
    <x v="0"/>
  </r>
  <r>
    <x v="155"/>
    <x v="21"/>
    <n v="-1315"/>
    <x v="1"/>
    <x v="1"/>
    <x v="0"/>
    <x v="5"/>
    <x v="0"/>
  </r>
  <r>
    <x v="155"/>
    <x v="52"/>
    <n v="-1136"/>
    <x v="3"/>
    <x v="3"/>
    <x v="0"/>
    <x v="5"/>
    <x v="0"/>
  </r>
  <r>
    <x v="155"/>
    <x v="25"/>
    <n v="-1079"/>
    <x v="3"/>
    <x v="9"/>
    <x v="0"/>
    <x v="5"/>
    <x v="0"/>
  </r>
  <r>
    <x v="155"/>
    <x v="0"/>
    <n v="-2831"/>
    <x v="0"/>
    <x v="0"/>
    <x v="0"/>
    <x v="5"/>
    <x v="0"/>
  </r>
  <r>
    <x v="155"/>
    <x v="5"/>
    <n v="12497"/>
    <x v="2"/>
    <x v="2"/>
    <x v="1"/>
    <x v="5"/>
    <x v="0"/>
  </r>
  <r>
    <x v="155"/>
    <x v="8"/>
    <n v="-1921"/>
    <x v="3"/>
    <x v="6"/>
    <x v="0"/>
    <x v="5"/>
    <x v="0"/>
  </r>
  <r>
    <x v="155"/>
    <x v="2"/>
    <n v="13119"/>
    <x v="2"/>
    <x v="2"/>
    <x v="1"/>
    <x v="5"/>
    <x v="0"/>
  </r>
  <r>
    <x v="155"/>
    <x v="0"/>
    <n v="-2648"/>
    <x v="0"/>
    <x v="0"/>
    <x v="0"/>
    <x v="5"/>
    <x v="0"/>
  </r>
  <r>
    <x v="155"/>
    <x v="2"/>
    <n v="14271"/>
    <x v="2"/>
    <x v="2"/>
    <x v="1"/>
    <x v="5"/>
    <x v="0"/>
  </r>
  <r>
    <x v="155"/>
    <x v="5"/>
    <n v="11107"/>
    <x v="2"/>
    <x v="2"/>
    <x v="1"/>
    <x v="5"/>
    <x v="0"/>
  </r>
  <r>
    <x v="155"/>
    <x v="4"/>
    <n v="-1633"/>
    <x v="1"/>
    <x v="1"/>
    <x v="0"/>
    <x v="5"/>
    <x v="0"/>
  </r>
  <r>
    <x v="155"/>
    <x v="4"/>
    <n v="-1242"/>
    <x v="1"/>
    <x v="1"/>
    <x v="0"/>
    <x v="5"/>
    <x v="0"/>
  </r>
  <r>
    <x v="156"/>
    <x v="19"/>
    <n v="-1419"/>
    <x v="3"/>
    <x v="8"/>
    <x v="0"/>
    <x v="5"/>
    <x v="0"/>
  </r>
  <r>
    <x v="156"/>
    <x v="33"/>
    <n v="-2367"/>
    <x v="3"/>
    <x v="3"/>
    <x v="0"/>
    <x v="5"/>
    <x v="0"/>
  </r>
  <r>
    <x v="156"/>
    <x v="46"/>
    <n v="-1053"/>
    <x v="3"/>
    <x v="11"/>
    <x v="0"/>
    <x v="5"/>
    <x v="0"/>
  </r>
  <r>
    <x v="156"/>
    <x v="18"/>
    <n v="-2125"/>
    <x v="3"/>
    <x v="5"/>
    <x v="0"/>
    <x v="5"/>
    <x v="0"/>
  </r>
  <r>
    <x v="156"/>
    <x v="56"/>
    <n v="1788"/>
    <x v="4"/>
    <x v="15"/>
    <x v="0"/>
    <x v="5"/>
    <x v="0"/>
  </r>
  <r>
    <x v="156"/>
    <x v="3"/>
    <n v="-2450"/>
    <x v="3"/>
    <x v="3"/>
    <x v="0"/>
    <x v="5"/>
    <x v="0"/>
  </r>
  <r>
    <x v="156"/>
    <x v="6"/>
    <n v="-1885"/>
    <x v="1"/>
    <x v="4"/>
    <x v="0"/>
    <x v="5"/>
    <x v="0"/>
  </r>
  <r>
    <x v="156"/>
    <x v="0"/>
    <n v="-4727"/>
    <x v="0"/>
    <x v="0"/>
    <x v="0"/>
    <x v="5"/>
    <x v="0"/>
  </r>
  <r>
    <x v="156"/>
    <x v="24"/>
    <n v="-2237"/>
    <x v="3"/>
    <x v="6"/>
    <x v="0"/>
    <x v="5"/>
    <x v="0"/>
  </r>
  <r>
    <x v="156"/>
    <x v="33"/>
    <n v="-1511"/>
    <x v="3"/>
    <x v="3"/>
    <x v="0"/>
    <x v="5"/>
    <x v="0"/>
  </r>
  <r>
    <x v="156"/>
    <x v="21"/>
    <n v="-1294"/>
    <x v="1"/>
    <x v="1"/>
    <x v="0"/>
    <x v="5"/>
    <x v="0"/>
  </r>
  <r>
    <x v="156"/>
    <x v="5"/>
    <n v="10426"/>
    <x v="2"/>
    <x v="2"/>
    <x v="1"/>
    <x v="5"/>
    <x v="0"/>
  </r>
  <r>
    <x v="156"/>
    <x v="1"/>
    <n v="-1196"/>
    <x v="1"/>
    <x v="1"/>
    <x v="0"/>
    <x v="5"/>
    <x v="0"/>
  </r>
  <r>
    <x v="156"/>
    <x v="1"/>
    <n v="-1308"/>
    <x v="1"/>
    <x v="1"/>
    <x v="0"/>
    <x v="5"/>
    <x v="0"/>
  </r>
  <r>
    <x v="156"/>
    <x v="21"/>
    <n v="-2326"/>
    <x v="1"/>
    <x v="1"/>
    <x v="0"/>
    <x v="5"/>
    <x v="0"/>
  </r>
  <r>
    <x v="156"/>
    <x v="2"/>
    <n v="10340"/>
    <x v="2"/>
    <x v="2"/>
    <x v="1"/>
    <x v="5"/>
    <x v="0"/>
  </r>
  <r>
    <x v="157"/>
    <x v="49"/>
    <n v="-1299"/>
    <x v="3"/>
    <x v="5"/>
    <x v="0"/>
    <x v="5"/>
    <x v="0"/>
  </r>
  <r>
    <x v="157"/>
    <x v="31"/>
    <n v="-1524"/>
    <x v="3"/>
    <x v="11"/>
    <x v="0"/>
    <x v="5"/>
    <x v="0"/>
  </r>
  <r>
    <x v="157"/>
    <x v="1"/>
    <n v="-2170"/>
    <x v="1"/>
    <x v="1"/>
    <x v="0"/>
    <x v="5"/>
    <x v="0"/>
  </r>
  <r>
    <x v="157"/>
    <x v="4"/>
    <n v="-1078"/>
    <x v="1"/>
    <x v="1"/>
    <x v="0"/>
    <x v="5"/>
    <x v="0"/>
  </r>
  <r>
    <x v="157"/>
    <x v="5"/>
    <n v="12810"/>
    <x v="2"/>
    <x v="2"/>
    <x v="1"/>
    <x v="5"/>
    <x v="0"/>
  </r>
  <r>
    <x v="157"/>
    <x v="4"/>
    <n v="-1510"/>
    <x v="1"/>
    <x v="1"/>
    <x v="0"/>
    <x v="5"/>
    <x v="0"/>
  </r>
  <r>
    <x v="157"/>
    <x v="6"/>
    <n v="-1905"/>
    <x v="1"/>
    <x v="4"/>
    <x v="0"/>
    <x v="5"/>
    <x v="0"/>
  </r>
  <r>
    <x v="157"/>
    <x v="5"/>
    <n v="14567"/>
    <x v="2"/>
    <x v="2"/>
    <x v="1"/>
    <x v="5"/>
    <x v="0"/>
  </r>
  <r>
    <x v="157"/>
    <x v="24"/>
    <n v="-2265"/>
    <x v="3"/>
    <x v="6"/>
    <x v="0"/>
    <x v="5"/>
    <x v="0"/>
  </r>
  <r>
    <x v="157"/>
    <x v="2"/>
    <n v="12579"/>
    <x v="2"/>
    <x v="2"/>
    <x v="1"/>
    <x v="5"/>
    <x v="0"/>
  </r>
  <r>
    <x v="157"/>
    <x v="2"/>
    <n v="10771"/>
    <x v="2"/>
    <x v="2"/>
    <x v="1"/>
    <x v="5"/>
    <x v="0"/>
  </r>
  <r>
    <x v="157"/>
    <x v="41"/>
    <n v="-2481"/>
    <x v="3"/>
    <x v="3"/>
    <x v="0"/>
    <x v="5"/>
    <x v="0"/>
  </r>
  <r>
    <x v="157"/>
    <x v="21"/>
    <n v="-2255"/>
    <x v="1"/>
    <x v="1"/>
    <x v="0"/>
    <x v="5"/>
    <x v="0"/>
  </r>
  <r>
    <x v="157"/>
    <x v="4"/>
    <n v="-2015"/>
    <x v="1"/>
    <x v="1"/>
    <x v="0"/>
    <x v="5"/>
    <x v="0"/>
  </r>
  <r>
    <x v="157"/>
    <x v="33"/>
    <n v="-2294"/>
    <x v="3"/>
    <x v="3"/>
    <x v="0"/>
    <x v="5"/>
    <x v="0"/>
  </r>
  <r>
    <x v="157"/>
    <x v="5"/>
    <n v="10364"/>
    <x v="2"/>
    <x v="2"/>
    <x v="1"/>
    <x v="5"/>
    <x v="0"/>
  </r>
  <r>
    <x v="157"/>
    <x v="6"/>
    <n v="-1549"/>
    <x v="1"/>
    <x v="4"/>
    <x v="0"/>
    <x v="5"/>
    <x v="0"/>
  </r>
  <r>
    <x v="157"/>
    <x v="21"/>
    <n v="-1795"/>
    <x v="1"/>
    <x v="1"/>
    <x v="0"/>
    <x v="5"/>
    <x v="0"/>
  </r>
  <r>
    <x v="157"/>
    <x v="1"/>
    <n v="-2470"/>
    <x v="1"/>
    <x v="1"/>
    <x v="0"/>
    <x v="5"/>
    <x v="0"/>
  </r>
  <r>
    <x v="157"/>
    <x v="13"/>
    <n v="-1160"/>
    <x v="3"/>
    <x v="7"/>
    <x v="0"/>
    <x v="5"/>
    <x v="0"/>
  </r>
  <r>
    <x v="157"/>
    <x v="5"/>
    <n v="12622"/>
    <x v="2"/>
    <x v="2"/>
    <x v="1"/>
    <x v="5"/>
    <x v="0"/>
  </r>
  <r>
    <x v="157"/>
    <x v="2"/>
    <n v="14831"/>
    <x v="2"/>
    <x v="2"/>
    <x v="1"/>
    <x v="5"/>
    <x v="0"/>
  </r>
  <r>
    <x v="157"/>
    <x v="19"/>
    <n v="-2151"/>
    <x v="3"/>
    <x v="8"/>
    <x v="0"/>
    <x v="5"/>
    <x v="0"/>
  </r>
  <r>
    <x v="157"/>
    <x v="6"/>
    <n v="-2162"/>
    <x v="1"/>
    <x v="4"/>
    <x v="0"/>
    <x v="5"/>
    <x v="0"/>
  </r>
  <r>
    <x v="157"/>
    <x v="0"/>
    <n v="-3417"/>
    <x v="0"/>
    <x v="0"/>
    <x v="0"/>
    <x v="5"/>
    <x v="0"/>
  </r>
  <r>
    <x v="157"/>
    <x v="6"/>
    <n v="-1454"/>
    <x v="1"/>
    <x v="4"/>
    <x v="0"/>
    <x v="5"/>
    <x v="0"/>
  </r>
  <r>
    <x v="157"/>
    <x v="5"/>
    <n v="10205"/>
    <x v="2"/>
    <x v="2"/>
    <x v="1"/>
    <x v="5"/>
    <x v="0"/>
  </r>
  <r>
    <x v="157"/>
    <x v="5"/>
    <n v="14432"/>
    <x v="2"/>
    <x v="2"/>
    <x v="1"/>
    <x v="5"/>
    <x v="0"/>
  </r>
  <r>
    <x v="157"/>
    <x v="1"/>
    <n v="-2450"/>
    <x v="1"/>
    <x v="1"/>
    <x v="0"/>
    <x v="5"/>
    <x v="0"/>
  </r>
  <r>
    <x v="157"/>
    <x v="5"/>
    <n v="10179"/>
    <x v="2"/>
    <x v="2"/>
    <x v="1"/>
    <x v="5"/>
    <x v="0"/>
  </r>
  <r>
    <x v="157"/>
    <x v="58"/>
    <n v="-1371"/>
    <x v="3"/>
    <x v="11"/>
    <x v="0"/>
    <x v="5"/>
    <x v="0"/>
  </r>
  <r>
    <x v="157"/>
    <x v="43"/>
    <n v="-1276"/>
    <x v="3"/>
    <x v="5"/>
    <x v="0"/>
    <x v="5"/>
    <x v="0"/>
  </r>
  <r>
    <x v="157"/>
    <x v="5"/>
    <n v="10480"/>
    <x v="2"/>
    <x v="2"/>
    <x v="1"/>
    <x v="5"/>
    <x v="0"/>
  </r>
  <r>
    <x v="157"/>
    <x v="26"/>
    <n v="-1162"/>
    <x v="3"/>
    <x v="11"/>
    <x v="0"/>
    <x v="5"/>
    <x v="0"/>
  </r>
  <r>
    <x v="157"/>
    <x v="0"/>
    <n v="-3447"/>
    <x v="0"/>
    <x v="0"/>
    <x v="0"/>
    <x v="5"/>
    <x v="0"/>
  </r>
  <r>
    <x v="157"/>
    <x v="10"/>
    <n v="-1186"/>
    <x v="3"/>
    <x v="6"/>
    <x v="0"/>
    <x v="5"/>
    <x v="0"/>
  </r>
  <r>
    <x v="158"/>
    <x v="5"/>
    <n v="11324"/>
    <x v="2"/>
    <x v="2"/>
    <x v="1"/>
    <x v="5"/>
    <x v="0"/>
  </r>
  <r>
    <x v="158"/>
    <x v="1"/>
    <n v="-1082"/>
    <x v="1"/>
    <x v="1"/>
    <x v="0"/>
    <x v="5"/>
    <x v="0"/>
  </r>
  <r>
    <x v="158"/>
    <x v="5"/>
    <n v="10654"/>
    <x v="2"/>
    <x v="2"/>
    <x v="1"/>
    <x v="5"/>
    <x v="0"/>
  </r>
  <r>
    <x v="158"/>
    <x v="46"/>
    <n v="-1715"/>
    <x v="3"/>
    <x v="11"/>
    <x v="0"/>
    <x v="5"/>
    <x v="0"/>
  </r>
  <r>
    <x v="158"/>
    <x v="4"/>
    <n v="-1628"/>
    <x v="1"/>
    <x v="1"/>
    <x v="0"/>
    <x v="5"/>
    <x v="0"/>
  </r>
  <r>
    <x v="158"/>
    <x v="3"/>
    <n v="-1465"/>
    <x v="3"/>
    <x v="3"/>
    <x v="0"/>
    <x v="5"/>
    <x v="0"/>
  </r>
  <r>
    <x v="158"/>
    <x v="1"/>
    <n v="-1653"/>
    <x v="1"/>
    <x v="1"/>
    <x v="0"/>
    <x v="5"/>
    <x v="0"/>
  </r>
  <r>
    <x v="158"/>
    <x v="27"/>
    <n v="-1737"/>
    <x v="3"/>
    <x v="5"/>
    <x v="0"/>
    <x v="5"/>
    <x v="0"/>
  </r>
  <r>
    <x v="158"/>
    <x v="33"/>
    <n v="-1842"/>
    <x v="3"/>
    <x v="3"/>
    <x v="0"/>
    <x v="5"/>
    <x v="0"/>
  </r>
  <r>
    <x v="158"/>
    <x v="1"/>
    <n v="-1735"/>
    <x v="1"/>
    <x v="1"/>
    <x v="0"/>
    <x v="5"/>
    <x v="0"/>
  </r>
  <r>
    <x v="158"/>
    <x v="21"/>
    <n v="-2215"/>
    <x v="1"/>
    <x v="1"/>
    <x v="0"/>
    <x v="5"/>
    <x v="0"/>
  </r>
  <r>
    <x v="158"/>
    <x v="38"/>
    <n v="-1407"/>
    <x v="3"/>
    <x v="5"/>
    <x v="0"/>
    <x v="5"/>
    <x v="0"/>
  </r>
  <r>
    <x v="158"/>
    <x v="5"/>
    <n v="14013"/>
    <x v="2"/>
    <x v="2"/>
    <x v="1"/>
    <x v="5"/>
    <x v="0"/>
  </r>
  <r>
    <x v="158"/>
    <x v="56"/>
    <n v="2305"/>
    <x v="4"/>
    <x v="15"/>
    <x v="0"/>
    <x v="5"/>
    <x v="0"/>
  </r>
  <r>
    <x v="159"/>
    <x v="24"/>
    <n v="-1192"/>
    <x v="3"/>
    <x v="6"/>
    <x v="0"/>
    <x v="5"/>
    <x v="0"/>
  </r>
  <r>
    <x v="159"/>
    <x v="21"/>
    <n v="-1651"/>
    <x v="1"/>
    <x v="1"/>
    <x v="0"/>
    <x v="5"/>
    <x v="0"/>
  </r>
  <r>
    <x v="159"/>
    <x v="2"/>
    <n v="10151"/>
    <x v="2"/>
    <x v="2"/>
    <x v="1"/>
    <x v="5"/>
    <x v="0"/>
  </r>
  <r>
    <x v="159"/>
    <x v="1"/>
    <n v="-1070"/>
    <x v="1"/>
    <x v="1"/>
    <x v="0"/>
    <x v="5"/>
    <x v="0"/>
  </r>
  <r>
    <x v="159"/>
    <x v="28"/>
    <n v="-2228"/>
    <x v="4"/>
    <x v="12"/>
    <x v="0"/>
    <x v="5"/>
    <x v="0"/>
  </r>
  <r>
    <x v="159"/>
    <x v="4"/>
    <n v="-1419"/>
    <x v="1"/>
    <x v="1"/>
    <x v="0"/>
    <x v="5"/>
    <x v="0"/>
  </r>
  <r>
    <x v="159"/>
    <x v="2"/>
    <n v="13311"/>
    <x v="2"/>
    <x v="2"/>
    <x v="1"/>
    <x v="5"/>
    <x v="0"/>
  </r>
  <r>
    <x v="159"/>
    <x v="5"/>
    <n v="14989"/>
    <x v="2"/>
    <x v="2"/>
    <x v="1"/>
    <x v="5"/>
    <x v="0"/>
  </r>
  <r>
    <x v="159"/>
    <x v="5"/>
    <n v="11935"/>
    <x v="2"/>
    <x v="2"/>
    <x v="1"/>
    <x v="5"/>
    <x v="0"/>
  </r>
  <r>
    <x v="159"/>
    <x v="0"/>
    <n v="-4884"/>
    <x v="0"/>
    <x v="0"/>
    <x v="0"/>
    <x v="5"/>
    <x v="0"/>
  </r>
  <r>
    <x v="159"/>
    <x v="6"/>
    <n v="-1272"/>
    <x v="1"/>
    <x v="4"/>
    <x v="0"/>
    <x v="5"/>
    <x v="0"/>
  </r>
  <r>
    <x v="159"/>
    <x v="63"/>
    <n v="-1727"/>
    <x v="3"/>
    <x v="5"/>
    <x v="0"/>
    <x v="5"/>
    <x v="0"/>
  </r>
  <r>
    <x v="159"/>
    <x v="5"/>
    <n v="11622"/>
    <x v="2"/>
    <x v="2"/>
    <x v="1"/>
    <x v="5"/>
    <x v="0"/>
  </r>
  <r>
    <x v="159"/>
    <x v="10"/>
    <n v="-1002"/>
    <x v="3"/>
    <x v="6"/>
    <x v="0"/>
    <x v="5"/>
    <x v="0"/>
  </r>
  <r>
    <x v="159"/>
    <x v="6"/>
    <n v="-1423"/>
    <x v="1"/>
    <x v="4"/>
    <x v="0"/>
    <x v="5"/>
    <x v="0"/>
  </r>
  <r>
    <x v="159"/>
    <x v="6"/>
    <n v="-1622"/>
    <x v="1"/>
    <x v="4"/>
    <x v="0"/>
    <x v="5"/>
    <x v="0"/>
  </r>
  <r>
    <x v="159"/>
    <x v="5"/>
    <n v="10533"/>
    <x v="2"/>
    <x v="2"/>
    <x v="1"/>
    <x v="5"/>
    <x v="0"/>
  </r>
  <r>
    <x v="159"/>
    <x v="21"/>
    <n v="-1685"/>
    <x v="1"/>
    <x v="1"/>
    <x v="0"/>
    <x v="5"/>
    <x v="0"/>
  </r>
  <r>
    <x v="159"/>
    <x v="4"/>
    <n v="-1595"/>
    <x v="1"/>
    <x v="1"/>
    <x v="0"/>
    <x v="5"/>
    <x v="0"/>
  </r>
  <r>
    <x v="159"/>
    <x v="5"/>
    <n v="11974"/>
    <x v="2"/>
    <x v="2"/>
    <x v="1"/>
    <x v="5"/>
    <x v="0"/>
  </r>
  <r>
    <x v="160"/>
    <x v="49"/>
    <n v="-2148"/>
    <x v="3"/>
    <x v="5"/>
    <x v="0"/>
    <x v="5"/>
    <x v="0"/>
  </r>
  <r>
    <x v="160"/>
    <x v="5"/>
    <n v="13582"/>
    <x v="2"/>
    <x v="2"/>
    <x v="1"/>
    <x v="5"/>
    <x v="0"/>
  </r>
  <r>
    <x v="160"/>
    <x v="37"/>
    <n v="-2139"/>
    <x v="3"/>
    <x v="3"/>
    <x v="0"/>
    <x v="5"/>
    <x v="0"/>
  </r>
  <r>
    <x v="160"/>
    <x v="4"/>
    <n v="-1262"/>
    <x v="1"/>
    <x v="1"/>
    <x v="0"/>
    <x v="5"/>
    <x v="0"/>
  </r>
  <r>
    <x v="160"/>
    <x v="55"/>
    <n v="-2406"/>
    <x v="3"/>
    <x v="5"/>
    <x v="0"/>
    <x v="5"/>
    <x v="0"/>
  </r>
  <r>
    <x v="160"/>
    <x v="2"/>
    <n v="14725"/>
    <x v="2"/>
    <x v="2"/>
    <x v="1"/>
    <x v="5"/>
    <x v="0"/>
  </r>
  <r>
    <x v="160"/>
    <x v="1"/>
    <n v="-2232"/>
    <x v="1"/>
    <x v="1"/>
    <x v="0"/>
    <x v="5"/>
    <x v="0"/>
  </r>
  <r>
    <x v="160"/>
    <x v="5"/>
    <n v="10445"/>
    <x v="2"/>
    <x v="2"/>
    <x v="1"/>
    <x v="5"/>
    <x v="0"/>
  </r>
  <r>
    <x v="160"/>
    <x v="2"/>
    <n v="14799"/>
    <x v="2"/>
    <x v="2"/>
    <x v="1"/>
    <x v="5"/>
    <x v="0"/>
  </r>
  <r>
    <x v="160"/>
    <x v="38"/>
    <n v="-1730"/>
    <x v="3"/>
    <x v="5"/>
    <x v="0"/>
    <x v="5"/>
    <x v="0"/>
  </r>
  <r>
    <x v="160"/>
    <x v="35"/>
    <n v="-1147"/>
    <x v="3"/>
    <x v="10"/>
    <x v="0"/>
    <x v="5"/>
    <x v="0"/>
  </r>
  <r>
    <x v="160"/>
    <x v="2"/>
    <n v="11434"/>
    <x v="2"/>
    <x v="2"/>
    <x v="1"/>
    <x v="5"/>
    <x v="0"/>
  </r>
  <r>
    <x v="161"/>
    <x v="21"/>
    <n v="-2178"/>
    <x v="1"/>
    <x v="1"/>
    <x v="0"/>
    <x v="5"/>
    <x v="0"/>
  </r>
  <r>
    <x v="161"/>
    <x v="6"/>
    <n v="-2150"/>
    <x v="1"/>
    <x v="4"/>
    <x v="0"/>
    <x v="5"/>
    <x v="0"/>
  </r>
  <r>
    <x v="161"/>
    <x v="4"/>
    <n v="-2497"/>
    <x v="1"/>
    <x v="1"/>
    <x v="0"/>
    <x v="5"/>
    <x v="0"/>
  </r>
  <r>
    <x v="161"/>
    <x v="33"/>
    <n v="-1066"/>
    <x v="3"/>
    <x v="3"/>
    <x v="0"/>
    <x v="5"/>
    <x v="0"/>
  </r>
  <r>
    <x v="161"/>
    <x v="4"/>
    <n v="-1951"/>
    <x v="1"/>
    <x v="1"/>
    <x v="0"/>
    <x v="5"/>
    <x v="0"/>
  </r>
  <r>
    <x v="161"/>
    <x v="47"/>
    <n v="-1421"/>
    <x v="3"/>
    <x v="8"/>
    <x v="0"/>
    <x v="5"/>
    <x v="0"/>
  </r>
  <r>
    <x v="161"/>
    <x v="15"/>
    <n v="-1707"/>
    <x v="3"/>
    <x v="6"/>
    <x v="0"/>
    <x v="5"/>
    <x v="0"/>
  </r>
  <r>
    <x v="161"/>
    <x v="6"/>
    <n v="-1257"/>
    <x v="1"/>
    <x v="4"/>
    <x v="0"/>
    <x v="5"/>
    <x v="0"/>
  </r>
  <r>
    <x v="161"/>
    <x v="2"/>
    <n v="11286"/>
    <x v="2"/>
    <x v="2"/>
    <x v="1"/>
    <x v="5"/>
    <x v="0"/>
  </r>
  <r>
    <x v="161"/>
    <x v="26"/>
    <n v="-1457"/>
    <x v="3"/>
    <x v="11"/>
    <x v="0"/>
    <x v="5"/>
    <x v="0"/>
  </r>
  <r>
    <x v="161"/>
    <x v="1"/>
    <n v="-2446"/>
    <x v="1"/>
    <x v="1"/>
    <x v="0"/>
    <x v="5"/>
    <x v="0"/>
  </r>
  <r>
    <x v="161"/>
    <x v="0"/>
    <n v="-4183"/>
    <x v="0"/>
    <x v="0"/>
    <x v="0"/>
    <x v="5"/>
    <x v="0"/>
  </r>
  <r>
    <x v="161"/>
    <x v="37"/>
    <n v="-1715"/>
    <x v="3"/>
    <x v="3"/>
    <x v="0"/>
    <x v="5"/>
    <x v="0"/>
  </r>
  <r>
    <x v="161"/>
    <x v="0"/>
    <n v="-4865"/>
    <x v="0"/>
    <x v="0"/>
    <x v="0"/>
    <x v="5"/>
    <x v="0"/>
  </r>
  <r>
    <x v="162"/>
    <x v="4"/>
    <n v="-1578"/>
    <x v="1"/>
    <x v="1"/>
    <x v="0"/>
    <x v="5"/>
    <x v="0"/>
  </r>
  <r>
    <x v="162"/>
    <x v="5"/>
    <n v="13555"/>
    <x v="2"/>
    <x v="2"/>
    <x v="1"/>
    <x v="5"/>
    <x v="0"/>
  </r>
  <r>
    <x v="162"/>
    <x v="6"/>
    <n v="-1563"/>
    <x v="1"/>
    <x v="4"/>
    <x v="0"/>
    <x v="5"/>
    <x v="0"/>
  </r>
  <r>
    <x v="162"/>
    <x v="48"/>
    <n v="-2294"/>
    <x v="3"/>
    <x v="7"/>
    <x v="0"/>
    <x v="5"/>
    <x v="0"/>
  </r>
  <r>
    <x v="162"/>
    <x v="54"/>
    <n v="-1686"/>
    <x v="3"/>
    <x v="8"/>
    <x v="0"/>
    <x v="5"/>
    <x v="0"/>
  </r>
  <r>
    <x v="162"/>
    <x v="2"/>
    <n v="14287"/>
    <x v="2"/>
    <x v="2"/>
    <x v="1"/>
    <x v="5"/>
    <x v="0"/>
  </r>
  <r>
    <x v="162"/>
    <x v="35"/>
    <n v="-2015"/>
    <x v="3"/>
    <x v="10"/>
    <x v="0"/>
    <x v="5"/>
    <x v="0"/>
  </r>
  <r>
    <x v="162"/>
    <x v="1"/>
    <n v="-1793"/>
    <x v="1"/>
    <x v="1"/>
    <x v="0"/>
    <x v="5"/>
    <x v="0"/>
  </r>
  <r>
    <x v="162"/>
    <x v="0"/>
    <n v="-4694"/>
    <x v="0"/>
    <x v="0"/>
    <x v="0"/>
    <x v="5"/>
    <x v="0"/>
  </r>
  <r>
    <x v="162"/>
    <x v="5"/>
    <n v="14721"/>
    <x v="2"/>
    <x v="2"/>
    <x v="1"/>
    <x v="5"/>
    <x v="0"/>
  </r>
  <r>
    <x v="162"/>
    <x v="5"/>
    <n v="12845"/>
    <x v="2"/>
    <x v="2"/>
    <x v="1"/>
    <x v="5"/>
    <x v="0"/>
  </r>
  <r>
    <x v="162"/>
    <x v="5"/>
    <n v="13853"/>
    <x v="2"/>
    <x v="2"/>
    <x v="1"/>
    <x v="5"/>
    <x v="0"/>
  </r>
  <r>
    <x v="162"/>
    <x v="48"/>
    <n v="-1849"/>
    <x v="3"/>
    <x v="7"/>
    <x v="0"/>
    <x v="5"/>
    <x v="0"/>
  </r>
  <r>
    <x v="162"/>
    <x v="0"/>
    <n v="-4988"/>
    <x v="0"/>
    <x v="0"/>
    <x v="0"/>
    <x v="5"/>
    <x v="0"/>
  </r>
  <r>
    <x v="162"/>
    <x v="14"/>
    <n v="-1502"/>
    <x v="3"/>
    <x v="8"/>
    <x v="0"/>
    <x v="5"/>
    <x v="0"/>
  </r>
  <r>
    <x v="162"/>
    <x v="30"/>
    <n v="-1457"/>
    <x v="4"/>
    <x v="13"/>
    <x v="0"/>
    <x v="5"/>
    <x v="0"/>
  </r>
  <r>
    <x v="162"/>
    <x v="14"/>
    <n v="-1492"/>
    <x v="3"/>
    <x v="8"/>
    <x v="0"/>
    <x v="5"/>
    <x v="0"/>
  </r>
  <r>
    <x v="162"/>
    <x v="36"/>
    <n v="-2051"/>
    <x v="3"/>
    <x v="7"/>
    <x v="0"/>
    <x v="5"/>
    <x v="0"/>
  </r>
  <r>
    <x v="163"/>
    <x v="1"/>
    <n v="-1219"/>
    <x v="1"/>
    <x v="1"/>
    <x v="0"/>
    <x v="5"/>
    <x v="0"/>
  </r>
  <r>
    <x v="163"/>
    <x v="5"/>
    <n v="12055"/>
    <x v="2"/>
    <x v="2"/>
    <x v="1"/>
    <x v="5"/>
    <x v="0"/>
  </r>
  <r>
    <x v="163"/>
    <x v="5"/>
    <n v="11999"/>
    <x v="2"/>
    <x v="2"/>
    <x v="1"/>
    <x v="5"/>
    <x v="0"/>
  </r>
  <r>
    <x v="163"/>
    <x v="21"/>
    <n v="-1173"/>
    <x v="1"/>
    <x v="1"/>
    <x v="0"/>
    <x v="5"/>
    <x v="0"/>
  </r>
  <r>
    <x v="163"/>
    <x v="45"/>
    <n v="-1520"/>
    <x v="3"/>
    <x v="5"/>
    <x v="0"/>
    <x v="5"/>
    <x v="0"/>
  </r>
  <r>
    <x v="163"/>
    <x v="57"/>
    <n v="-2277"/>
    <x v="3"/>
    <x v="5"/>
    <x v="0"/>
    <x v="5"/>
    <x v="0"/>
  </r>
  <r>
    <x v="163"/>
    <x v="5"/>
    <n v="13722"/>
    <x v="2"/>
    <x v="2"/>
    <x v="1"/>
    <x v="5"/>
    <x v="0"/>
  </r>
  <r>
    <x v="163"/>
    <x v="2"/>
    <n v="10631"/>
    <x v="2"/>
    <x v="2"/>
    <x v="1"/>
    <x v="5"/>
    <x v="0"/>
  </r>
  <r>
    <x v="163"/>
    <x v="0"/>
    <n v="-2683"/>
    <x v="0"/>
    <x v="0"/>
    <x v="0"/>
    <x v="5"/>
    <x v="0"/>
  </r>
  <r>
    <x v="163"/>
    <x v="52"/>
    <n v="-2194"/>
    <x v="3"/>
    <x v="3"/>
    <x v="0"/>
    <x v="5"/>
    <x v="0"/>
  </r>
  <r>
    <x v="163"/>
    <x v="2"/>
    <n v="11749"/>
    <x v="2"/>
    <x v="2"/>
    <x v="1"/>
    <x v="5"/>
    <x v="0"/>
  </r>
  <r>
    <x v="163"/>
    <x v="22"/>
    <n v="-1154"/>
    <x v="3"/>
    <x v="11"/>
    <x v="0"/>
    <x v="5"/>
    <x v="0"/>
  </r>
  <r>
    <x v="163"/>
    <x v="5"/>
    <n v="14578"/>
    <x v="2"/>
    <x v="2"/>
    <x v="1"/>
    <x v="5"/>
    <x v="0"/>
  </r>
  <r>
    <x v="163"/>
    <x v="5"/>
    <n v="14960"/>
    <x v="2"/>
    <x v="2"/>
    <x v="1"/>
    <x v="5"/>
    <x v="0"/>
  </r>
  <r>
    <x v="163"/>
    <x v="16"/>
    <n v="-2377"/>
    <x v="3"/>
    <x v="9"/>
    <x v="0"/>
    <x v="5"/>
    <x v="0"/>
  </r>
  <r>
    <x v="163"/>
    <x v="22"/>
    <n v="-2411"/>
    <x v="3"/>
    <x v="11"/>
    <x v="0"/>
    <x v="5"/>
    <x v="0"/>
  </r>
  <r>
    <x v="163"/>
    <x v="38"/>
    <n v="-2418"/>
    <x v="3"/>
    <x v="5"/>
    <x v="0"/>
    <x v="5"/>
    <x v="0"/>
  </r>
  <r>
    <x v="163"/>
    <x v="21"/>
    <n v="-2186"/>
    <x v="1"/>
    <x v="1"/>
    <x v="0"/>
    <x v="5"/>
    <x v="0"/>
  </r>
  <r>
    <x v="163"/>
    <x v="62"/>
    <n v="-1933"/>
    <x v="3"/>
    <x v="11"/>
    <x v="0"/>
    <x v="5"/>
    <x v="0"/>
  </r>
  <r>
    <x v="163"/>
    <x v="5"/>
    <n v="14135"/>
    <x v="2"/>
    <x v="2"/>
    <x v="1"/>
    <x v="5"/>
    <x v="0"/>
  </r>
  <r>
    <x v="164"/>
    <x v="21"/>
    <n v="-1339"/>
    <x v="1"/>
    <x v="1"/>
    <x v="0"/>
    <x v="5"/>
    <x v="0"/>
  </r>
  <r>
    <x v="164"/>
    <x v="6"/>
    <n v="-1487"/>
    <x v="1"/>
    <x v="4"/>
    <x v="0"/>
    <x v="5"/>
    <x v="0"/>
  </r>
  <r>
    <x v="164"/>
    <x v="1"/>
    <n v="-2109"/>
    <x v="1"/>
    <x v="1"/>
    <x v="0"/>
    <x v="5"/>
    <x v="0"/>
  </r>
  <r>
    <x v="164"/>
    <x v="6"/>
    <n v="-1130"/>
    <x v="1"/>
    <x v="4"/>
    <x v="0"/>
    <x v="5"/>
    <x v="0"/>
  </r>
  <r>
    <x v="164"/>
    <x v="1"/>
    <n v="-1315"/>
    <x v="1"/>
    <x v="1"/>
    <x v="0"/>
    <x v="5"/>
    <x v="0"/>
  </r>
  <r>
    <x v="164"/>
    <x v="6"/>
    <n v="-2046"/>
    <x v="1"/>
    <x v="4"/>
    <x v="0"/>
    <x v="5"/>
    <x v="0"/>
  </r>
  <r>
    <x v="164"/>
    <x v="43"/>
    <n v="-2337"/>
    <x v="3"/>
    <x v="5"/>
    <x v="0"/>
    <x v="5"/>
    <x v="0"/>
  </r>
  <r>
    <x v="164"/>
    <x v="6"/>
    <n v="-1921"/>
    <x v="1"/>
    <x v="4"/>
    <x v="0"/>
    <x v="5"/>
    <x v="0"/>
  </r>
  <r>
    <x v="164"/>
    <x v="6"/>
    <n v="-1451"/>
    <x v="1"/>
    <x v="4"/>
    <x v="0"/>
    <x v="5"/>
    <x v="0"/>
  </r>
  <r>
    <x v="164"/>
    <x v="21"/>
    <n v="-1658"/>
    <x v="1"/>
    <x v="1"/>
    <x v="0"/>
    <x v="5"/>
    <x v="0"/>
  </r>
  <r>
    <x v="164"/>
    <x v="6"/>
    <n v="-1669"/>
    <x v="1"/>
    <x v="4"/>
    <x v="0"/>
    <x v="5"/>
    <x v="0"/>
  </r>
  <r>
    <x v="164"/>
    <x v="2"/>
    <n v="10467"/>
    <x v="2"/>
    <x v="2"/>
    <x v="1"/>
    <x v="5"/>
    <x v="0"/>
  </r>
  <r>
    <x v="164"/>
    <x v="61"/>
    <n v="-1184"/>
    <x v="3"/>
    <x v="10"/>
    <x v="0"/>
    <x v="5"/>
    <x v="0"/>
  </r>
  <r>
    <x v="164"/>
    <x v="1"/>
    <n v="-1455"/>
    <x v="1"/>
    <x v="1"/>
    <x v="0"/>
    <x v="5"/>
    <x v="0"/>
  </r>
  <r>
    <x v="164"/>
    <x v="35"/>
    <n v="-1957"/>
    <x v="3"/>
    <x v="10"/>
    <x v="0"/>
    <x v="5"/>
    <x v="0"/>
  </r>
  <r>
    <x v="164"/>
    <x v="6"/>
    <n v="-2274"/>
    <x v="1"/>
    <x v="4"/>
    <x v="0"/>
    <x v="5"/>
    <x v="0"/>
  </r>
  <r>
    <x v="164"/>
    <x v="63"/>
    <n v="-1997"/>
    <x v="3"/>
    <x v="5"/>
    <x v="0"/>
    <x v="5"/>
    <x v="0"/>
  </r>
  <r>
    <x v="164"/>
    <x v="54"/>
    <n v="-1543"/>
    <x v="3"/>
    <x v="8"/>
    <x v="0"/>
    <x v="5"/>
    <x v="0"/>
  </r>
  <r>
    <x v="164"/>
    <x v="1"/>
    <n v="-2210"/>
    <x v="1"/>
    <x v="1"/>
    <x v="0"/>
    <x v="5"/>
    <x v="0"/>
  </r>
  <r>
    <x v="164"/>
    <x v="57"/>
    <n v="-1332"/>
    <x v="3"/>
    <x v="5"/>
    <x v="0"/>
    <x v="5"/>
    <x v="0"/>
  </r>
  <r>
    <x v="165"/>
    <x v="46"/>
    <n v="-2255"/>
    <x v="3"/>
    <x v="11"/>
    <x v="0"/>
    <x v="5"/>
    <x v="0"/>
  </r>
  <r>
    <x v="165"/>
    <x v="36"/>
    <n v="-2466"/>
    <x v="3"/>
    <x v="7"/>
    <x v="0"/>
    <x v="5"/>
    <x v="0"/>
  </r>
  <r>
    <x v="165"/>
    <x v="1"/>
    <n v="-1349"/>
    <x v="1"/>
    <x v="1"/>
    <x v="0"/>
    <x v="5"/>
    <x v="0"/>
  </r>
  <r>
    <x v="165"/>
    <x v="21"/>
    <n v="-2013"/>
    <x v="1"/>
    <x v="1"/>
    <x v="0"/>
    <x v="5"/>
    <x v="0"/>
  </r>
  <r>
    <x v="165"/>
    <x v="41"/>
    <n v="-2071"/>
    <x v="3"/>
    <x v="3"/>
    <x v="0"/>
    <x v="5"/>
    <x v="0"/>
  </r>
  <r>
    <x v="165"/>
    <x v="0"/>
    <n v="-4389"/>
    <x v="0"/>
    <x v="0"/>
    <x v="0"/>
    <x v="5"/>
    <x v="0"/>
  </r>
  <r>
    <x v="165"/>
    <x v="1"/>
    <n v="-1244"/>
    <x v="1"/>
    <x v="1"/>
    <x v="0"/>
    <x v="5"/>
    <x v="0"/>
  </r>
  <r>
    <x v="165"/>
    <x v="0"/>
    <n v="-4242"/>
    <x v="0"/>
    <x v="0"/>
    <x v="0"/>
    <x v="5"/>
    <x v="0"/>
  </r>
  <r>
    <x v="165"/>
    <x v="23"/>
    <n v="-2136"/>
    <x v="3"/>
    <x v="5"/>
    <x v="0"/>
    <x v="5"/>
    <x v="0"/>
  </r>
  <r>
    <x v="165"/>
    <x v="21"/>
    <n v="-2095"/>
    <x v="1"/>
    <x v="1"/>
    <x v="0"/>
    <x v="5"/>
    <x v="0"/>
  </r>
  <r>
    <x v="166"/>
    <x v="5"/>
    <n v="14708"/>
    <x v="2"/>
    <x v="2"/>
    <x v="1"/>
    <x v="5"/>
    <x v="0"/>
  </r>
  <r>
    <x v="166"/>
    <x v="57"/>
    <n v="-1729"/>
    <x v="3"/>
    <x v="5"/>
    <x v="0"/>
    <x v="5"/>
    <x v="0"/>
  </r>
  <r>
    <x v="166"/>
    <x v="1"/>
    <n v="-1433"/>
    <x v="1"/>
    <x v="1"/>
    <x v="0"/>
    <x v="5"/>
    <x v="0"/>
  </r>
  <r>
    <x v="166"/>
    <x v="19"/>
    <n v="-2327"/>
    <x v="3"/>
    <x v="8"/>
    <x v="0"/>
    <x v="5"/>
    <x v="0"/>
  </r>
  <r>
    <x v="166"/>
    <x v="1"/>
    <n v="-1054"/>
    <x v="1"/>
    <x v="1"/>
    <x v="0"/>
    <x v="5"/>
    <x v="0"/>
  </r>
  <r>
    <x v="166"/>
    <x v="4"/>
    <n v="-2074"/>
    <x v="1"/>
    <x v="1"/>
    <x v="0"/>
    <x v="5"/>
    <x v="0"/>
  </r>
  <r>
    <x v="166"/>
    <x v="5"/>
    <n v="14853"/>
    <x v="2"/>
    <x v="2"/>
    <x v="1"/>
    <x v="5"/>
    <x v="0"/>
  </r>
  <r>
    <x v="166"/>
    <x v="32"/>
    <n v="-1209"/>
    <x v="3"/>
    <x v="9"/>
    <x v="0"/>
    <x v="5"/>
    <x v="0"/>
  </r>
  <r>
    <x v="166"/>
    <x v="4"/>
    <n v="-1844"/>
    <x v="1"/>
    <x v="1"/>
    <x v="0"/>
    <x v="5"/>
    <x v="0"/>
  </r>
  <r>
    <x v="166"/>
    <x v="2"/>
    <n v="12489"/>
    <x v="2"/>
    <x v="2"/>
    <x v="1"/>
    <x v="5"/>
    <x v="0"/>
  </r>
  <r>
    <x v="166"/>
    <x v="0"/>
    <n v="-4871"/>
    <x v="0"/>
    <x v="0"/>
    <x v="0"/>
    <x v="5"/>
    <x v="0"/>
  </r>
  <r>
    <x v="166"/>
    <x v="2"/>
    <n v="14695"/>
    <x v="2"/>
    <x v="2"/>
    <x v="1"/>
    <x v="5"/>
    <x v="0"/>
  </r>
  <r>
    <x v="166"/>
    <x v="0"/>
    <n v="-2595"/>
    <x v="0"/>
    <x v="0"/>
    <x v="0"/>
    <x v="5"/>
    <x v="0"/>
  </r>
  <r>
    <x v="166"/>
    <x v="0"/>
    <n v="-4517"/>
    <x v="0"/>
    <x v="0"/>
    <x v="0"/>
    <x v="5"/>
    <x v="0"/>
  </r>
  <r>
    <x v="167"/>
    <x v="47"/>
    <n v="-1009"/>
    <x v="3"/>
    <x v="8"/>
    <x v="0"/>
    <x v="5"/>
    <x v="0"/>
  </r>
  <r>
    <x v="167"/>
    <x v="45"/>
    <n v="-1402"/>
    <x v="3"/>
    <x v="5"/>
    <x v="0"/>
    <x v="5"/>
    <x v="0"/>
  </r>
  <r>
    <x v="167"/>
    <x v="4"/>
    <n v="-1401"/>
    <x v="1"/>
    <x v="1"/>
    <x v="0"/>
    <x v="5"/>
    <x v="0"/>
  </r>
  <r>
    <x v="167"/>
    <x v="1"/>
    <n v="-2391"/>
    <x v="1"/>
    <x v="1"/>
    <x v="0"/>
    <x v="5"/>
    <x v="0"/>
  </r>
  <r>
    <x v="167"/>
    <x v="0"/>
    <n v="-4945"/>
    <x v="0"/>
    <x v="0"/>
    <x v="0"/>
    <x v="5"/>
    <x v="0"/>
  </r>
  <r>
    <x v="167"/>
    <x v="38"/>
    <n v="-1802"/>
    <x v="3"/>
    <x v="5"/>
    <x v="0"/>
    <x v="5"/>
    <x v="0"/>
  </r>
  <r>
    <x v="167"/>
    <x v="51"/>
    <n v="-1928"/>
    <x v="3"/>
    <x v="5"/>
    <x v="0"/>
    <x v="5"/>
    <x v="0"/>
  </r>
  <r>
    <x v="167"/>
    <x v="44"/>
    <n v="-1245"/>
    <x v="5"/>
    <x v="14"/>
    <x v="0"/>
    <x v="5"/>
    <x v="0"/>
  </r>
  <r>
    <x v="167"/>
    <x v="0"/>
    <n v="-3614"/>
    <x v="0"/>
    <x v="0"/>
    <x v="0"/>
    <x v="5"/>
    <x v="0"/>
  </r>
  <r>
    <x v="167"/>
    <x v="20"/>
    <n v="-1586"/>
    <x v="3"/>
    <x v="10"/>
    <x v="0"/>
    <x v="5"/>
    <x v="0"/>
  </r>
  <r>
    <x v="167"/>
    <x v="5"/>
    <n v="13709"/>
    <x v="2"/>
    <x v="2"/>
    <x v="1"/>
    <x v="5"/>
    <x v="0"/>
  </r>
  <r>
    <x v="167"/>
    <x v="2"/>
    <n v="12493"/>
    <x v="2"/>
    <x v="2"/>
    <x v="1"/>
    <x v="5"/>
    <x v="0"/>
  </r>
  <r>
    <x v="167"/>
    <x v="2"/>
    <n v="11983"/>
    <x v="2"/>
    <x v="2"/>
    <x v="1"/>
    <x v="5"/>
    <x v="0"/>
  </r>
  <r>
    <x v="167"/>
    <x v="21"/>
    <n v="-1830"/>
    <x v="1"/>
    <x v="1"/>
    <x v="0"/>
    <x v="5"/>
    <x v="0"/>
  </r>
  <r>
    <x v="167"/>
    <x v="9"/>
    <n v="-2173"/>
    <x v="3"/>
    <x v="5"/>
    <x v="0"/>
    <x v="5"/>
    <x v="0"/>
  </r>
  <r>
    <x v="167"/>
    <x v="1"/>
    <n v="-1041"/>
    <x v="1"/>
    <x v="1"/>
    <x v="0"/>
    <x v="5"/>
    <x v="0"/>
  </r>
  <r>
    <x v="168"/>
    <x v="30"/>
    <n v="-1647"/>
    <x v="4"/>
    <x v="13"/>
    <x v="0"/>
    <x v="5"/>
    <x v="0"/>
  </r>
  <r>
    <x v="168"/>
    <x v="21"/>
    <n v="-1867"/>
    <x v="1"/>
    <x v="1"/>
    <x v="0"/>
    <x v="5"/>
    <x v="0"/>
  </r>
  <r>
    <x v="168"/>
    <x v="15"/>
    <n v="-1310"/>
    <x v="3"/>
    <x v="6"/>
    <x v="0"/>
    <x v="5"/>
    <x v="0"/>
  </r>
  <r>
    <x v="168"/>
    <x v="18"/>
    <n v="-1674"/>
    <x v="3"/>
    <x v="5"/>
    <x v="0"/>
    <x v="5"/>
    <x v="0"/>
  </r>
  <r>
    <x v="168"/>
    <x v="3"/>
    <n v="-1621"/>
    <x v="3"/>
    <x v="3"/>
    <x v="0"/>
    <x v="5"/>
    <x v="0"/>
  </r>
  <r>
    <x v="168"/>
    <x v="2"/>
    <n v="11804"/>
    <x v="2"/>
    <x v="2"/>
    <x v="1"/>
    <x v="5"/>
    <x v="0"/>
  </r>
  <r>
    <x v="168"/>
    <x v="1"/>
    <n v="-2147"/>
    <x v="1"/>
    <x v="1"/>
    <x v="0"/>
    <x v="5"/>
    <x v="0"/>
  </r>
  <r>
    <x v="168"/>
    <x v="20"/>
    <n v="-2383"/>
    <x v="3"/>
    <x v="10"/>
    <x v="0"/>
    <x v="5"/>
    <x v="0"/>
  </r>
  <r>
    <x v="168"/>
    <x v="1"/>
    <n v="-1003"/>
    <x v="1"/>
    <x v="1"/>
    <x v="0"/>
    <x v="5"/>
    <x v="0"/>
  </r>
  <r>
    <x v="168"/>
    <x v="0"/>
    <n v="-4815"/>
    <x v="0"/>
    <x v="0"/>
    <x v="0"/>
    <x v="5"/>
    <x v="0"/>
  </r>
  <r>
    <x v="168"/>
    <x v="5"/>
    <n v="12721"/>
    <x v="2"/>
    <x v="2"/>
    <x v="1"/>
    <x v="5"/>
    <x v="0"/>
  </r>
  <r>
    <x v="168"/>
    <x v="4"/>
    <n v="-1456"/>
    <x v="1"/>
    <x v="1"/>
    <x v="0"/>
    <x v="5"/>
    <x v="0"/>
  </r>
  <r>
    <x v="168"/>
    <x v="52"/>
    <n v="-1984"/>
    <x v="3"/>
    <x v="3"/>
    <x v="0"/>
    <x v="5"/>
    <x v="0"/>
  </r>
  <r>
    <x v="168"/>
    <x v="21"/>
    <n v="-2022"/>
    <x v="1"/>
    <x v="1"/>
    <x v="0"/>
    <x v="5"/>
    <x v="0"/>
  </r>
  <r>
    <x v="168"/>
    <x v="0"/>
    <n v="-4054"/>
    <x v="0"/>
    <x v="0"/>
    <x v="0"/>
    <x v="5"/>
    <x v="0"/>
  </r>
  <r>
    <x v="168"/>
    <x v="0"/>
    <n v="-3664"/>
    <x v="0"/>
    <x v="0"/>
    <x v="0"/>
    <x v="5"/>
    <x v="0"/>
  </r>
  <r>
    <x v="168"/>
    <x v="21"/>
    <n v="-1120"/>
    <x v="1"/>
    <x v="1"/>
    <x v="0"/>
    <x v="5"/>
    <x v="0"/>
  </r>
  <r>
    <x v="168"/>
    <x v="43"/>
    <n v="-1950"/>
    <x v="3"/>
    <x v="5"/>
    <x v="0"/>
    <x v="5"/>
    <x v="0"/>
  </r>
  <r>
    <x v="169"/>
    <x v="3"/>
    <n v="-2237"/>
    <x v="3"/>
    <x v="3"/>
    <x v="0"/>
    <x v="5"/>
    <x v="0"/>
  </r>
  <r>
    <x v="169"/>
    <x v="23"/>
    <n v="-2179"/>
    <x v="3"/>
    <x v="5"/>
    <x v="0"/>
    <x v="5"/>
    <x v="0"/>
  </r>
  <r>
    <x v="169"/>
    <x v="22"/>
    <n v="-1226"/>
    <x v="3"/>
    <x v="11"/>
    <x v="0"/>
    <x v="5"/>
    <x v="0"/>
  </r>
  <r>
    <x v="169"/>
    <x v="5"/>
    <n v="13335"/>
    <x v="2"/>
    <x v="2"/>
    <x v="1"/>
    <x v="5"/>
    <x v="0"/>
  </r>
  <r>
    <x v="169"/>
    <x v="1"/>
    <n v="-1948"/>
    <x v="1"/>
    <x v="1"/>
    <x v="0"/>
    <x v="5"/>
    <x v="0"/>
  </r>
  <r>
    <x v="169"/>
    <x v="1"/>
    <n v="-1630"/>
    <x v="1"/>
    <x v="1"/>
    <x v="0"/>
    <x v="5"/>
    <x v="0"/>
  </r>
  <r>
    <x v="169"/>
    <x v="6"/>
    <n v="-1416"/>
    <x v="1"/>
    <x v="4"/>
    <x v="0"/>
    <x v="5"/>
    <x v="0"/>
  </r>
  <r>
    <x v="169"/>
    <x v="0"/>
    <n v="-4684"/>
    <x v="0"/>
    <x v="0"/>
    <x v="0"/>
    <x v="5"/>
    <x v="0"/>
  </r>
  <r>
    <x v="169"/>
    <x v="25"/>
    <n v="-1034"/>
    <x v="3"/>
    <x v="9"/>
    <x v="0"/>
    <x v="5"/>
    <x v="0"/>
  </r>
  <r>
    <x v="169"/>
    <x v="2"/>
    <n v="10519"/>
    <x v="2"/>
    <x v="2"/>
    <x v="1"/>
    <x v="5"/>
    <x v="0"/>
  </r>
  <r>
    <x v="170"/>
    <x v="55"/>
    <n v="-2498"/>
    <x v="3"/>
    <x v="5"/>
    <x v="0"/>
    <x v="5"/>
    <x v="0"/>
  </r>
  <r>
    <x v="170"/>
    <x v="1"/>
    <n v="-2053"/>
    <x v="1"/>
    <x v="1"/>
    <x v="0"/>
    <x v="5"/>
    <x v="0"/>
  </r>
  <r>
    <x v="170"/>
    <x v="48"/>
    <n v="-1636"/>
    <x v="3"/>
    <x v="7"/>
    <x v="0"/>
    <x v="5"/>
    <x v="0"/>
  </r>
  <r>
    <x v="170"/>
    <x v="4"/>
    <n v="-2096"/>
    <x v="1"/>
    <x v="1"/>
    <x v="0"/>
    <x v="5"/>
    <x v="0"/>
  </r>
  <r>
    <x v="170"/>
    <x v="0"/>
    <n v="-3287"/>
    <x v="0"/>
    <x v="0"/>
    <x v="0"/>
    <x v="5"/>
    <x v="0"/>
  </r>
  <r>
    <x v="170"/>
    <x v="28"/>
    <n v="-1175"/>
    <x v="4"/>
    <x v="12"/>
    <x v="0"/>
    <x v="5"/>
    <x v="0"/>
  </r>
  <r>
    <x v="170"/>
    <x v="21"/>
    <n v="-2345"/>
    <x v="1"/>
    <x v="1"/>
    <x v="0"/>
    <x v="5"/>
    <x v="0"/>
  </r>
  <r>
    <x v="170"/>
    <x v="5"/>
    <n v="13485"/>
    <x v="2"/>
    <x v="2"/>
    <x v="1"/>
    <x v="5"/>
    <x v="0"/>
  </r>
  <r>
    <x v="170"/>
    <x v="21"/>
    <n v="-1655"/>
    <x v="1"/>
    <x v="1"/>
    <x v="0"/>
    <x v="5"/>
    <x v="0"/>
  </r>
  <r>
    <x v="170"/>
    <x v="2"/>
    <n v="10715"/>
    <x v="2"/>
    <x v="2"/>
    <x v="1"/>
    <x v="5"/>
    <x v="0"/>
  </r>
  <r>
    <x v="170"/>
    <x v="57"/>
    <n v="-2073"/>
    <x v="3"/>
    <x v="5"/>
    <x v="0"/>
    <x v="5"/>
    <x v="0"/>
  </r>
  <r>
    <x v="170"/>
    <x v="6"/>
    <n v="-1999"/>
    <x v="1"/>
    <x v="4"/>
    <x v="0"/>
    <x v="5"/>
    <x v="0"/>
  </r>
  <r>
    <x v="170"/>
    <x v="34"/>
    <n v="-2385"/>
    <x v="3"/>
    <x v="3"/>
    <x v="0"/>
    <x v="5"/>
    <x v="0"/>
  </r>
  <r>
    <x v="170"/>
    <x v="4"/>
    <n v="-1460"/>
    <x v="1"/>
    <x v="1"/>
    <x v="0"/>
    <x v="5"/>
    <x v="0"/>
  </r>
  <r>
    <x v="171"/>
    <x v="52"/>
    <n v="-2006"/>
    <x v="3"/>
    <x v="3"/>
    <x v="0"/>
    <x v="5"/>
    <x v="0"/>
  </r>
  <r>
    <x v="171"/>
    <x v="20"/>
    <n v="-2297"/>
    <x v="3"/>
    <x v="10"/>
    <x v="0"/>
    <x v="5"/>
    <x v="0"/>
  </r>
  <r>
    <x v="171"/>
    <x v="5"/>
    <n v="13293"/>
    <x v="2"/>
    <x v="2"/>
    <x v="1"/>
    <x v="5"/>
    <x v="0"/>
  </r>
  <r>
    <x v="171"/>
    <x v="2"/>
    <n v="13629"/>
    <x v="2"/>
    <x v="2"/>
    <x v="1"/>
    <x v="5"/>
    <x v="0"/>
  </r>
  <r>
    <x v="171"/>
    <x v="39"/>
    <n v="-1398"/>
    <x v="3"/>
    <x v="5"/>
    <x v="0"/>
    <x v="5"/>
    <x v="0"/>
  </r>
  <r>
    <x v="171"/>
    <x v="21"/>
    <n v="-1882"/>
    <x v="1"/>
    <x v="1"/>
    <x v="0"/>
    <x v="5"/>
    <x v="0"/>
  </r>
  <r>
    <x v="171"/>
    <x v="2"/>
    <n v="10749"/>
    <x v="2"/>
    <x v="2"/>
    <x v="1"/>
    <x v="5"/>
    <x v="0"/>
  </r>
  <r>
    <x v="171"/>
    <x v="2"/>
    <n v="10573"/>
    <x v="2"/>
    <x v="2"/>
    <x v="1"/>
    <x v="5"/>
    <x v="0"/>
  </r>
  <r>
    <x v="171"/>
    <x v="27"/>
    <n v="-1090"/>
    <x v="3"/>
    <x v="5"/>
    <x v="0"/>
    <x v="5"/>
    <x v="0"/>
  </r>
  <r>
    <x v="171"/>
    <x v="1"/>
    <n v="-1222"/>
    <x v="1"/>
    <x v="1"/>
    <x v="0"/>
    <x v="5"/>
    <x v="0"/>
  </r>
  <r>
    <x v="171"/>
    <x v="50"/>
    <n v="-1870"/>
    <x v="3"/>
    <x v="3"/>
    <x v="0"/>
    <x v="5"/>
    <x v="0"/>
  </r>
  <r>
    <x v="171"/>
    <x v="41"/>
    <n v="-2011"/>
    <x v="3"/>
    <x v="3"/>
    <x v="0"/>
    <x v="5"/>
    <x v="0"/>
  </r>
  <r>
    <x v="171"/>
    <x v="15"/>
    <n v="-2320"/>
    <x v="3"/>
    <x v="6"/>
    <x v="0"/>
    <x v="5"/>
    <x v="0"/>
  </r>
  <r>
    <x v="171"/>
    <x v="44"/>
    <n v="-2255"/>
    <x v="5"/>
    <x v="14"/>
    <x v="0"/>
    <x v="5"/>
    <x v="0"/>
  </r>
  <r>
    <x v="171"/>
    <x v="0"/>
    <n v="-4371"/>
    <x v="0"/>
    <x v="0"/>
    <x v="0"/>
    <x v="5"/>
    <x v="0"/>
  </r>
  <r>
    <x v="171"/>
    <x v="4"/>
    <n v="-2246"/>
    <x v="1"/>
    <x v="1"/>
    <x v="0"/>
    <x v="5"/>
    <x v="0"/>
  </r>
  <r>
    <x v="171"/>
    <x v="21"/>
    <n v="-1558"/>
    <x v="1"/>
    <x v="1"/>
    <x v="0"/>
    <x v="5"/>
    <x v="0"/>
  </r>
  <r>
    <x v="171"/>
    <x v="4"/>
    <n v="-1853"/>
    <x v="1"/>
    <x v="1"/>
    <x v="0"/>
    <x v="5"/>
    <x v="0"/>
  </r>
  <r>
    <x v="171"/>
    <x v="0"/>
    <n v="-4619"/>
    <x v="0"/>
    <x v="0"/>
    <x v="0"/>
    <x v="5"/>
    <x v="0"/>
  </r>
  <r>
    <x v="171"/>
    <x v="5"/>
    <n v="11312"/>
    <x v="2"/>
    <x v="2"/>
    <x v="1"/>
    <x v="5"/>
    <x v="0"/>
  </r>
  <r>
    <x v="171"/>
    <x v="4"/>
    <n v="-1078"/>
    <x v="1"/>
    <x v="1"/>
    <x v="0"/>
    <x v="5"/>
    <x v="0"/>
  </r>
  <r>
    <x v="171"/>
    <x v="4"/>
    <n v="-1731"/>
    <x v="1"/>
    <x v="1"/>
    <x v="0"/>
    <x v="5"/>
    <x v="0"/>
  </r>
  <r>
    <x v="171"/>
    <x v="8"/>
    <n v="-1058"/>
    <x v="3"/>
    <x v="6"/>
    <x v="0"/>
    <x v="5"/>
    <x v="0"/>
  </r>
  <r>
    <x v="171"/>
    <x v="3"/>
    <n v="-1616"/>
    <x v="3"/>
    <x v="3"/>
    <x v="0"/>
    <x v="5"/>
    <x v="0"/>
  </r>
  <r>
    <x v="171"/>
    <x v="5"/>
    <n v="11951"/>
    <x v="2"/>
    <x v="2"/>
    <x v="1"/>
    <x v="5"/>
    <x v="0"/>
  </r>
  <r>
    <x v="171"/>
    <x v="21"/>
    <n v="-1302"/>
    <x v="1"/>
    <x v="1"/>
    <x v="0"/>
    <x v="5"/>
    <x v="0"/>
  </r>
  <r>
    <x v="171"/>
    <x v="5"/>
    <n v="13322"/>
    <x v="2"/>
    <x v="2"/>
    <x v="1"/>
    <x v="5"/>
    <x v="0"/>
  </r>
  <r>
    <x v="171"/>
    <x v="9"/>
    <n v="-2386"/>
    <x v="3"/>
    <x v="5"/>
    <x v="0"/>
    <x v="5"/>
    <x v="0"/>
  </r>
  <r>
    <x v="172"/>
    <x v="4"/>
    <n v="-1543"/>
    <x v="1"/>
    <x v="1"/>
    <x v="0"/>
    <x v="5"/>
    <x v="0"/>
  </r>
  <r>
    <x v="172"/>
    <x v="4"/>
    <n v="-1400"/>
    <x v="1"/>
    <x v="1"/>
    <x v="0"/>
    <x v="5"/>
    <x v="0"/>
  </r>
  <r>
    <x v="172"/>
    <x v="2"/>
    <n v="11797"/>
    <x v="2"/>
    <x v="2"/>
    <x v="1"/>
    <x v="5"/>
    <x v="0"/>
  </r>
  <r>
    <x v="172"/>
    <x v="41"/>
    <n v="-1878"/>
    <x v="3"/>
    <x v="3"/>
    <x v="0"/>
    <x v="5"/>
    <x v="0"/>
  </r>
  <r>
    <x v="172"/>
    <x v="35"/>
    <n v="-2468"/>
    <x v="3"/>
    <x v="10"/>
    <x v="0"/>
    <x v="5"/>
    <x v="0"/>
  </r>
  <r>
    <x v="172"/>
    <x v="2"/>
    <n v="10308"/>
    <x v="2"/>
    <x v="2"/>
    <x v="1"/>
    <x v="5"/>
    <x v="0"/>
  </r>
  <r>
    <x v="172"/>
    <x v="0"/>
    <n v="-3752"/>
    <x v="0"/>
    <x v="0"/>
    <x v="0"/>
    <x v="5"/>
    <x v="0"/>
  </r>
  <r>
    <x v="172"/>
    <x v="0"/>
    <n v="-3628"/>
    <x v="0"/>
    <x v="0"/>
    <x v="0"/>
    <x v="5"/>
    <x v="0"/>
  </r>
  <r>
    <x v="172"/>
    <x v="28"/>
    <n v="-1160"/>
    <x v="4"/>
    <x v="12"/>
    <x v="0"/>
    <x v="5"/>
    <x v="0"/>
  </r>
  <r>
    <x v="172"/>
    <x v="5"/>
    <n v="10518"/>
    <x v="2"/>
    <x v="2"/>
    <x v="1"/>
    <x v="5"/>
    <x v="0"/>
  </r>
  <r>
    <x v="172"/>
    <x v="6"/>
    <n v="-1357"/>
    <x v="1"/>
    <x v="4"/>
    <x v="0"/>
    <x v="5"/>
    <x v="0"/>
  </r>
  <r>
    <x v="172"/>
    <x v="47"/>
    <n v="-1857"/>
    <x v="3"/>
    <x v="8"/>
    <x v="0"/>
    <x v="5"/>
    <x v="0"/>
  </r>
  <r>
    <x v="172"/>
    <x v="6"/>
    <n v="-1145"/>
    <x v="1"/>
    <x v="4"/>
    <x v="0"/>
    <x v="5"/>
    <x v="0"/>
  </r>
  <r>
    <x v="172"/>
    <x v="2"/>
    <n v="14074"/>
    <x v="2"/>
    <x v="2"/>
    <x v="1"/>
    <x v="5"/>
    <x v="0"/>
  </r>
  <r>
    <x v="173"/>
    <x v="25"/>
    <n v="-2156"/>
    <x v="3"/>
    <x v="9"/>
    <x v="0"/>
    <x v="5"/>
    <x v="0"/>
  </r>
  <r>
    <x v="173"/>
    <x v="0"/>
    <n v="-3444"/>
    <x v="0"/>
    <x v="0"/>
    <x v="0"/>
    <x v="5"/>
    <x v="0"/>
  </r>
  <r>
    <x v="173"/>
    <x v="6"/>
    <n v="-1846"/>
    <x v="1"/>
    <x v="4"/>
    <x v="0"/>
    <x v="5"/>
    <x v="0"/>
  </r>
  <r>
    <x v="173"/>
    <x v="2"/>
    <n v="13480"/>
    <x v="2"/>
    <x v="2"/>
    <x v="1"/>
    <x v="5"/>
    <x v="0"/>
  </r>
  <r>
    <x v="173"/>
    <x v="4"/>
    <n v="-2432"/>
    <x v="1"/>
    <x v="1"/>
    <x v="0"/>
    <x v="5"/>
    <x v="0"/>
  </r>
  <r>
    <x v="173"/>
    <x v="0"/>
    <n v="-4456"/>
    <x v="0"/>
    <x v="0"/>
    <x v="0"/>
    <x v="5"/>
    <x v="0"/>
  </r>
  <r>
    <x v="173"/>
    <x v="56"/>
    <n v="1245"/>
    <x v="4"/>
    <x v="15"/>
    <x v="0"/>
    <x v="5"/>
    <x v="0"/>
  </r>
  <r>
    <x v="173"/>
    <x v="21"/>
    <n v="-1435"/>
    <x v="1"/>
    <x v="1"/>
    <x v="0"/>
    <x v="5"/>
    <x v="0"/>
  </r>
  <r>
    <x v="173"/>
    <x v="6"/>
    <n v="-1777"/>
    <x v="1"/>
    <x v="4"/>
    <x v="0"/>
    <x v="5"/>
    <x v="0"/>
  </r>
  <r>
    <x v="173"/>
    <x v="1"/>
    <n v="-1558"/>
    <x v="1"/>
    <x v="1"/>
    <x v="0"/>
    <x v="5"/>
    <x v="0"/>
  </r>
  <r>
    <x v="173"/>
    <x v="0"/>
    <n v="-4197"/>
    <x v="0"/>
    <x v="0"/>
    <x v="0"/>
    <x v="5"/>
    <x v="0"/>
  </r>
  <r>
    <x v="173"/>
    <x v="2"/>
    <n v="14844"/>
    <x v="2"/>
    <x v="2"/>
    <x v="1"/>
    <x v="5"/>
    <x v="0"/>
  </r>
  <r>
    <x v="173"/>
    <x v="5"/>
    <n v="13025"/>
    <x v="2"/>
    <x v="2"/>
    <x v="1"/>
    <x v="5"/>
    <x v="0"/>
  </r>
  <r>
    <x v="173"/>
    <x v="31"/>
    <n v="-1428"/>
    <x v="3"/>
    <x v="11"/>
    <x v="0"/>
    <x v="5"/>
    <x v="0"/>
  </r>
  <r>
    <x v="173"/>
    <x v="1"/>
    <n v="-1001"/>
    <x v="1"/>
    <x v="1"/>
    <x v="0"/>
    <x v="5"/>
    <x v="0"/>
  </r>
  <r>
    <x v="173"/>
    <x v="23"/>
    <n v="-1516"/>
    <x v="3"/>
    <x v="5"/>
    <x v="0"/>
    <x v="5"/>
    <x v="0"/>
  </r>
  <r>
    <x v="173"/>
    <x v="5"/>
    <n v="13220"/>
    <x v="2"/>
    <x v="2"/>
    <x v="1"/>
    <x v="5"/>
    <x v="0"/>
  </r>
  <r>
    <x v="173"/>
    <x v="0"/>
    <n v="-4148"/>
    <x v="0"/>
    <x v="0"/>
    <x v="0"/>
    <x v="5"/>
    <x v="0"/>
  </r>
  <r>
    <x v="174"/>
    <x v="15"/>
    <n v="-2474"/>
    <x v="3"/>
    <x v="6"/>
    <x v="0"/>
    <x v="5"/>
    <x v="0"/>
  </r>
  <r>
    <x v="174"/>
    <x v="21"/>
    <n v="-1742"/>
    <x v="1"/>
    <x v="1"/>
    <x v="0"/>
    <x v="5"/>
    <x v="0"/>
  </r>
  <r>
    <x v="174"/>
    <x v="4"/>
    <n v="-1962"/>
    <x v="1"/>
    <x v="1"/>
    <x v="0"/>
    <x v="5"/>
    <x v="0"/>
  </r>
  <r>
    <x v="174"/>
    <x v="21"/>
    <n v="-1130"/>
    <x v="1"/>
    <x v="1"/>
    <x v="0"/>
    <x v="5"/>
    <x v="0"/>
  </r>
  <r>
    <x v="174"/>
    <x v="1"/>
    <n v="-1900"/>
    <x v="1"/>
    <x v="1"/>
    <x v="0"/>
    <x v="5"/>
    <x v="0"/>
  </r>
  <r>
    <x v="174"/>
    <x v="48"/>
    <n v="-1173"/>
    <x v="3"/>
    <x v="7"/>
    <x v="0"/>
    <x v="5"/>
    <x v="0"/>
  </r>
  <r>
    <x v="174"/>
    <x v="6"/>
    <n v="-2396"/>
    <x v="1"/>
    <x v="4"/>
    <x v="0"/>
    <x v="5"/>
    <x v="0"/>
  </r>
  <r>
    <x v="174"/>
    <x v="5"/>
    <n v="10999"/>
    <x v="2"/>
    <x v="2"/>
    <x v="1"/>
    <x v="5"/>
    <x v="0"/>
  </r>
  <r>
    <x v="175"/>
    <x v="41"/>
    <n v="-1826"/>
    <x v="3"/>
    <x v="3"/>
    <x v="0"/>
    <x v="5"/>
    <x v="0"/>
  </r>
  <r>
    <x v="175"/>
    <x v="5"/>
    <n v="14240"/>
    <x v="2"/>
    <x v="2"/>
    <x v="1"/>
    <x v="5"/>
    <x v="0"/>
  </r>
  <r>
    <x v="175"/>
    <x v="53"/>
    <n v="-1160"/>
    <x v="3"/>
    <x v="5"/>
    <x v="0"/>
    <x v="5"/>
    <x v="0"/>
  </r>
  <r>
    <x v="175"/>
    <x v="62"/>
    <n v="-1691"/>
    <x v="3"/>
    <x v="11"/>
    <x v="0"/>
    <x v="5"/>
    <x v="0"/>
  </r>
  <r>
    <x v="175"/>
    <x v="6"/>
    <n v="-1417"/>
    <x v="1"/>
    <x v="4"/>
    <x v="0"/>
    <x v="5"/>
    <x v="0"/>
  </r>
  <r>
    <x v="175"/>
    <x v="4"/>
    <n v="-2309"/>
    <x v="1"/>
    <x v="1"/>
    <x v="0"/>
    <x v="5"/>
    <x v="0"/>
  </r>
  <r>
    <x v="175"/>
    <x v="1"/>
    <n v="-1157"/>
    <x v="1"/>
    <x v="1"/>
    <x v="0"/>
    <x v="5"/>
    <x v="0"/>
  </r>
  <r>
    <x v="175"/>
    <x v="4"/>
    <n v="-1747"/>
    <x v="1"/>
    <x v="1"/>
    <x v="0"/>
    <x v="5"/>
    <x v="0"/>
  </r>
  <r>
    <x v="175"/>
    <x v="0"/>
    <n v="-2661"/>
    <x v="0"/>
    <x v="0"/>
    <x v="0"/>
    <x v="5"/>
    <x v="0"/>
  </r>
  <r>
    <x v="175"/>
    <x v="5"/>
    <n v="11203"/>
    <x v="2"/>
    <x v="2"/>
    <x v="1"/>
    <x v="5"/>
    <x v="0"/>
  </r>
  <r>
    <x v="175"/>
    <x v="22"/>
    <n v="-1011"/>
    <x v="3"/>
    <x v="11"/>
    <x v="0"/>
    <x v="5"/>
    <x v="0"/>
  </r>
  <r>
    <x v="175"/>
    <x v="2"/>
    <n v="14703"/>
    <x v="2"/>
    <x v="2"/>
    <x v="1"/>
    <x v="5"/>
    <x v="0"/>
  </r>
  <r>
    <x v="175"/>
    <x v="2"/>
    <n v="12660"/>
    <x v="2"/>
    <x v="2"/>
    <x v="1"/>
    <x v="5"/>
    <x v="0"/>
  </r>
  <r>
    <x v="175"/>
    <x v="28"/>
    <n v="-2237"/>
    <x v="4"/>
    <x v="12"/>
    <x v="0"/>
    <x v="5"/>
    <x v="0"/>
  </r>
  <r>
    <x v="175"/>
    <x v="1"/>
    <n v="-1189"/>
    <x v="1"/>
    <x v="1"/>
    <x v="0"/>
    <x v="5"/>
    <x v="0"/>
  </r>
  <r>
    <x v="175"/>
    <x v="2"/>
    <n v="13814"/>
    <x v="2"/>
    <x v="2"/>
    <x v="1"/>
    <x v="5"/>
    <x v="0"/>
  </r>
  <r>
    <x v="175"/>
    <x v="4"/>
    <n v="-1743"/>
    <x v="1"/>
    <x v="1"/>
    <x v="0"/>
    <x v="5"/>
    <x v="0"/>
  </r>
  <r>
    <x v="175"/>
    <x v="3"/>
    <n v="-1387"/>
    <x v="3"/>
    <x v="3"/>
    <x v="0"/>
    <x v="5"/>
    <x v="0"/>
  </r>
  <r>
    <x v="175"/>
    <x v="2"/>
    <n v="10466"/>
    <x v="2"/>
    <x v="2"/>
    <x v="1"/>
    <x v="5"/>
    <x v="0"/>
  </r>
  <r>
    <x v="175"/>
    <x v="54"/>
    <n v="-1858"/>
    <x v="3"/>
    <x v="8"/>
    <x v="0"/>
    <x v="5"/>
    <x v="0"/>
  </r>
  <r>
    <x v="176"/>
    <x v="51"/>
    <n v="-1100"/>
    <x v="3"/>
    <x v="5"/>
    <x v="0"/>
    <x v="5"/>
    <x v="0"/>
  </r>
  <r>
    <x v="176"/>
    <x v="6"/>
    <n v="-1563"/>
    <x v="1"/>
    <x v="4"/>
    <x v="0"/>
    <x v="5"/>
    <x v="0"/>
  </r>
  <r>
    <x v="176"/>
    <x v="6"/>
    <n v="-1524"/>
    <x v="1"/>
    <x v="4"/>
    <x v="0"/>
    <x v="5"/>
    <x v="0"/>
  </r>
  <r>
    <x v="176"/>
    <x v="51"/>
    <n v="-1256"/>
    <x v="3"/>
    <x v="5"/>
    <x v="0"/>
    <x v="5"/>
    <x v="0"/>
  </r>
  <r>
    <x v="176"/>
    <x v="4"/>
    <n v="-2432"/>
    <x v="1"/>
    <x v="1"/>
    <x v="0"/>
    <x v="5"/>
    <x v="0"/>
  </r>
  <r>
    <x v="176"/>
    <x v="2"/>
    <n v="14605"/>
    <x v="2"/>
    <x v="2"/>
    <x v="1"/>
    <x v="5"/>
    <x v="0"/>
  </r>
  <r>
    <x v="176"/>
    <x v="42"/>
    <n v="-1574"/>
    <x v="3"/>
    <x v="5"/>
    <x v="0"/>
    <x v="5"/>
    <x v="0"/>
  </r>
  <r>
    <x v="176"/>
    <x v="1"/>
    <n v="-2161"/>
    <x v="1"/>
    <x v="1"/>
    <x v="0"/>
    <x v="5"/>
    <x v="0"/>
  </r>
  <r>
    <x v="176"/>
    <x v="43"/>
    <n v="-2436"/>
    <x v="3"/>
    <x v="5"/>
    <x v="0"/>
    <x v="5"/>
    <x v="0"/>
  </r>
  <r>
    <x v="176"/>
    <x v="61"/>
    <n v="-1171"/>
    <x v="3"/>
    <x v="10"/>
    <x v="0"/>
    <x v="5"/>
    <x v="0"/>
  </r>
  <r>
    <x v="176"/>
    <x v="23"/>
    <n v="-1206"/>
    <x v="3"/>
    <x v="5"/>
    <x v="0"/>
    <x v="5"/>
    <x v="0"/>
  </r>
  <r>
    <x v="176"/>
    <x v="4"/>
    <n v="-1795"/>
    <x v="1"/>
    <x v="1"/>
    <x v="0"/>
    <x v="5"/>
    <x v="0"/>
  </r>
  <r>
    <x v="176"/>
    <x v="5"/>
    <n v="10835"/>
    <x v="2"/>
    <x v="2"/>
    <x v="1"/>
    <x v="5"/>
    <x v="0"/>
  </r>
  <r>
    <x v="176"/>
    <x v="54"/>
    <n v="-2101"/>
    <x v="3"/>
    <x v="8"/>
    <x v="0"/>
    <x v="5"/>
    <x v="0"/>
  </r>
  <r>
    <x v="176"/>
    <x v="1"/>
    <n v="-1271"/>
    <x v="1"/>
    <x v="1"/>
    <x v="0"/>
    <x v="5"/>
    <x v="0"/>
  </r>
  <r>
    <x v="176"/>
    <x v="21"/>
    <n v="-1316"/>
    <x v="1"/>
    <x v="1"/>
    <x v="0"/>
    <x v="5"/>
    <x v="0"/>
  </r>
  <r>
    <x v="176"/>
    <x v="5"/>
    <n v="11464"/>
    <x v="2"/>
    <x v="2"/>
    <x v="1"/>
    <x v="5"/>
    <x v="0"/>
  </r>
  <r>
    <x v="176"/>
    <x v="1"/>
    <n v="-1304"/>
    <x v="1"/>
    <x v="1"/>
    <x v="0"/>
    <x v="5"/>
    <x v="0"/>
  </r>
  <r>
    <x v="176"/>
    <x v="1"/>
    <n v="-1437"/>
    <x v="1"/>
    <x v="1"/>
    <x v="0"/>
    <x v="5"/>
    <x v="0"/>
  </r>
  <r>
    <x v="176"/>
    <x v="5"/>
    <n v="11979"/>
    <x v="2"/>
    <x v="2"/>
    <x v="1"/>
    <x v="5"/>
    <x v="0"/>
  </r>
  <r>
    <x v="176"/>
    <x v="37"/>
    <n v="-1891"/>
    <x v="3"/>
    <x v="3"/>
    <x v="0"/>
    <x v="5"/>
    <x v="0"/>
  </r>
  <r>
    <x v="176"/>
    <x v="1"/>
    <n v="-1174"/>
    <x v="1"/>
    <x v="1"/>
    <x v="0"/>
    <x v="5"/>
    <x v="0"/>
  </r>
  <r>
    <x v="176"/>
    <x v="6"/>
    <n v="-1424"/>
    <x v="1"/>
    <x v="4"/>
    <x v="0"/>
    <x v="5"/>
    <x v="0"/>
  </r>
  <r>
    <x v="176"/>
    <x v="2"/>
    <n v="12644"/>
    <x v="2"/>
    <x v="2"/>
    <x v="1"/>
    <x v="5"/>
    <x v="0"/>
  </r>
  <r>
    <x v="176"/>
    <x v="24"/>
    <n v="-1828"/>
    <x v="3"/>
    <x v="6"/>
    <x v="0"/>
    <x v="5"/>
    <x v="0"/>
  </r>
  <r>
    <x v="176"/>
    <x v="1"/>
    <n v="-1785"/>
    <x v="1"/>
    <x v="1"/>
    <x v="0"/>
    <x v="5"/>
    <x v="0"/>
  </r>
  <r>
    <x v="177"/>
    <x v="0"/>
    <n v="-3520"/>
    <x v="0"/>
    <x v="0"/>
    <x v="0"/>
    <x v="5"/>
    <x v="0"/>
  </r>
  <r>
    <x v="177"/>
    <x v="0"/>
    <n v="-3913"/>
    <x v="0"/>
    <x v="0"/>
    <x v="0"/>
    <x v="5"/>
    <x v="0"/>
  </r>
  <r>
    <x v="177"/>
    <x v="5"/>
    <n v="14710"/>
    <x v="2"/>
    <x v="2"/>
    <x v="1"/>
    <x v="5"/>
    <x v="0"/>
  </r>
  <r>
    <x v="177"/>
    <x v="21"/>
    <n v="-1593"/>
    <x v="1"/>
    <x v="1"/>
    <x v="0"/>
    <x v="5"/>
    <x v="0"/>
  </r>
  <r>
    <x v="177"/>
    <x v="33"/>
    <n v="-2325"/>
    <x v="3"/>
    <x v="3"/>
    <x v="0"/>
    <x v="5"/>
    <x v="0"/>
  </r>
  <r>
    <x v="177"/>
    <x v="45"/>
    <n v="-1255"/>
    <x v="3"/>
    <x v="5"/>
    <x v="0"/>
    <x v="5"/>
    <x v="0"/>
  </r>
  <r>
    <x v="177"/>
    <x v="12"/>
    <n v="-1331"/>
    <x v="3"/>
    <x v="3"/>
    <x v="0"/>
    <x v="5"/>
    <x v="0"/>
  </r>
  <r>
    <x v="177"/>
    <x v="1"/>
    <n v="-2325"/>
    <x v="1"/>
    <x v="1"/>
    <x v="0"/>
    <x v="5"/>
    <x v="0"/>
  </r>
  <r>
    <x v="177"/>
    <x v="6"/>
    <n v="-2268"/>
    <x v="1"/>
    <x v="4"/>
    <x v="0"/>
    <x v="5"/>
    <x v="0"/>
  </r>
  <r>
    <x v="177"/>
    <x v="0"/>
    <n v="-4785"/>
    <x v="0"/>
    <x v="0"/>
    <x v="0"/>
    <x v="5"/>
    <x v="0"/>
  </r>
  <r>
    <x v="177"/>
    <x v="51"/>
    <n v="-1256"/>
    <x v="3"/>
    <x v="5"/>
    <x v="0"/>
    <x v="5"/>
    <x v="0"/>
  </r>
  <r>
    <x v="177"/>
    <x v="5"/>
    <n v="10702"/>
    <x v="2"/>
    <x v="2"/>
    <x v="1"/>
    <x v="5"/>
    <x v="0"/>
  </r>
  <r>
    <x v="177"/>
    <x v="4"/>
    <n v="-1510"/>
    <x v="1"/>
    <x v="1"/>
    <x v="0"/>
    <x v="5"/>
    <x v="0"/>
  </r>
  <r>
    <x v="177"/>
    <x v="14"/>
    <n v="-1323"/>
    <x v="3"/>
    <x v="8"/>
    <x v="0"/>
    <x v="5"/>
    <x v="0"/>
  </r>
  <r>
    <x v="178"/>
    <x v="6"/>
    <n v="-1983"/>
    <x v="1"/>
    <x v="4"/>
    <x v="0"/>
    <x v="5"/>
    <x v="0"/>
  </r>
  <r>
    <x v="178"/>
    <x v="5"/>
    <n v="14788"/>
    <x v="2"/>
    <x v="2"/>
    <x v="1"/>
    <x v="5"/>
    <x v="0"/>
  </r>
  <r>
    <x v="178"/>
    <x v="2"/>
    <n v="13146"/>
    <x v="2"/>
    <x v="2"/>
    <x v="1"/>
    <x v="5"/>
    <x v="0"/>
  </r>
  <r>
    <x v="178"/>
    <x v="20"/>
    <n v="-2236"/>
    <x v="3"/>
    <x v="10"/>
    <x v="0"/>
    <x v="5"/>
    <x v="0"/>
  </r>
  <r>
    <x v="178"/>
    <x v="59"/>
    <n v="-1349"/>
    <x v="3"/>
    <x v="5"/>
    <x v="0"/>
    <x v="5"/>
    <x v="0"/>
  </r>
  <r>
    <x v="178"/>
    <x v="5"/>
    <n v="14202"/>
    <x v="2"/>
    <x v="2"/>
    <x v="1"/>
    <x v="5"/>
    <x v="0"/>
  </r>
  <r>
    <x v="178"/>
    <x v="2"/>
    <n v="14280"/>
    <x v="2"/>
    <x v="2"/>
    <x v="1"/>
    <x v="5"/>
    <x v="0"/>
  </r>
  <r>
    <x v="178"/>
    <x v="12"/>
    <n v="-2259"/>
    <x v="3"/>
    <x v="3"/>
    <x v="0"/>
    <x v="5"/>
    <x v="0"/>
  </r>
  <r>
    <x v="178"/>
    <x v="4"/>
    <n v="-2049"/>
    <x v="1"/>
    <x v="1"/>
    <x v="0"/>
    <x v="5"/>
    <x v="0"/>
  </r>
  <r>
    <x v="178"/>
    <x v="5"/>
    <n v="13551"/>
    <x v="2"/>
    <x v="2"/>
    <x v="1"/>
    <x v="5"/>
    <x v="0"/>
  </r>
  <r>
    <x v="179"/>
    <x v="5"/>
    <n v="14398"/>
    <x v="2"/>
    <x v="2"/>
    <x v="1"/>
    <x v="5"/>
    <x v="0"/>
  </r>
  <r>
    <x v="179"/>
    <x v="41"/>
    <n v="-2225"/>
    <x v="3"/>
    <x v="3"/>
    <x v="0"/>
    <x v="5"/>
    <x v="0"/>
  </r>
  <r>
    <x v="179"/>
    <x v="2"/>
    <n v="13378"/>
    <x v="2"/>
    <x v="2"/>
    <x v="1"/>
    <x v="5"/>
    <x v="0"/>
  </r>
  <r>
    <x v="179"/>
    <x v="5"/>
    <n v="12519"/>
    <x v="2"/>
    <x v="2"/>
    <x v="1"/>
    <x v="5"/>
    <x v="0"/>
  </r>
  <r>
    <x v="179"/>
    <x v="2"/>
    <n v="12030"/>
    <x v="2"/>
    <x v="2"/>
    <x v="1"/>
    <x v="5"/>
    <x v="0"/>
  </r>
  <r>
    <x v="179"/>
    <x v="21"/>
    <n v="-2486"/>
    <x v="1"/>
    <x v="1"/>
    <x v="0"/>
    <x v="5"/>
    <x v="0"/>
  </r>
  <r>
    <x v="179"/>
    <x v="21"/>
    <n v="-1633"/>
    <x v="1"/>
    <x v="1"/>
    <x v="0"/>
    <x v="5"/>
    <x v="0"/>
  </r>
  <r>
    <x v="179"/>
    <x v="0"/>
    <n v="-3606"/>
    <x v="0"/>
    <x v="0"/>
    <x v="0"/>
    <x v="5"/>
    <x v="0"/>
  </r>
  <r>
    <x v="179"/>
    <x v="35"/>
    <n v="-2178"/>
    <x v="3"/>
    <x v="10"/>
    <x v="0"/>
    <x v="5"/>
    <x v="0"/>
  </r>
  <r>
    <x v="179"/>
    <x v="46"/>
    <n v="-1540"/>
    <x v="3"/>
    <x v="11"/>
    <x v="0"/>
    <x v="5"/>
    <x v="0"/>
  </r>
  <r>
    <x v="179"/>
    <x v="6"/>
    <n v="-1865"/>
    <x v="1"/>
    <x v="4"/>
    <x v="0"/>
    <x v="5"/>
    <x v="0"/>
  </r>
  <r>
    <x v="179"/>
    <x v="2"/>
    <n v="13659"/>
    <x v="2"/>
    <x v="2"/>
    <x v="1"/>
    <x v="5"/>
    <x v="0"/>
  </r>
  <r>
    <x v="179"/>
    <x v="5"/>
    <n v="14683"/>
    <x v="2"/>
    <x v="2"/>
    <x v="1"/>
    <x v="5"/>
    <x v="0"/>
  </r>
  <r>
    <x v="179"/>
    <x v="0"/>
    <n v="-4009"/>
    <x v="0"/>
    <x v="0"/>
    <x v="0"/>
    <x v="5"/>
    <x v="0"/>
  </r>
  <r>
    <x v="179"/>
    <x v="21"/>
    <n v="-1370"/>
    <x v="1"/>
    <x v="1"/>
    <x v="0"/>
    <x v="5"/>
    <x v="0"/>
  </r>
  <r>
    <x v="179"/>
    <x v="4"/>
    <n v="-1879"/>
    <x v="1"/>
    <x v="1"/>
    <x v="0"/>
    <x v="5"/>
    <x v="0"/>
  </r>
  <r>
    <x v="179"/>
    <x v="2"/>
    <n v="14607"/>
    <x v="2"/>
    <x v="2"/>
    <x v="1"/>
    <x v="5"/>
    <x v="0"/>
  </r>
  <r>
    <x v="179"/>
    <x v="3"/>
    <n v="-1240"/>
    <x v="3"/>
    <x v="3"/>
    <x v="0"/>
    <x v="5"/>
    <x v="0"/>
  </r>
  <r>
    <x v="179"/>
    <x v="5"/>
    <n v="13288"/>
    <x v="2"/>
    <x v="2"/>
    <x v="1"/>
    <x v="5"/>
    <x v="0"/>
  </r>
  <r>
    <x v="179"/>
    <x v="2"/>
    <n v="12100"/>
    <x v="2"/>
    <x v="2"/>
    <x v="1"/>
    <x v="5"/>
    <x v="0"/>
  </r>
  <r>
    <x v="179"/>
    <x v="2"/>
    <n v="11228"/>
    <x v="2"/>
    <x v="2"/>
    <x v="1"/>
    <x v="5"/>
    <x v="0"/>
  </r>
  <r>
    <x v="179"/>
    <x v="6"/>
    <n v="-2036"/>
    <x v="1"/>
    <x v="4"/>
    <x v="0"/>
    <x v="5"/>
    <x v="0"/>
  </r>
  <r>
    <x v="179"/>
    <x v="5"/>
    <n v="10203"/>
    <x v="2"/>
    <x v="2"/>
    <x v="1"/>
    <x v="5"/>
    <x v="0"/>
  </r>
  <r>
    <x v="179"/>
    <x v="0"/>
    <n v="-3773"/>
    <x v="0"/>
    <x v="0"/>
    <x v="0"/>
    <x v="5"/>
    <x v="0"/>
  </r>
  <r>
    <x v="179"/>
    <x v="43"/>
    <n v="-1353"/>
    <x v="3"/>
    <x v="5"/>
    <x v="0"/>
    <x v="5"/>
    <x v="0"/>
  </r>
  <r>
    <x v="179"/>
    <x v="0"/>
    <n v="-3882"/>
    <x v="0"/>
    <x v="0"/>
    <x v="0"/>
    <x v="5"/>
    <x v="0"/>
  </r>
  <r>
    <x v="180"/>
    <x v="16"/>
    <n v="-2391"/>
    <x v="3"/>
    <x v="9"/>
    <x v="0"/>
    <x v="5"/>
    <x v="0"/>
  </r>
  <r>
    <x v="180"/>
    <x v="61"/>
    <n v="-2049"/>
    <x v="3"/>
    <x v="10"/>
    <x v="0"/>
    <x v="5"/>
    <x v="0"/>
  </r>
  <r>
    <x v="180"/>
    <x v="4"/>
    <n v="-1946"/>
    <x v="1"/>
    <x v="1"/>
    <x v="0"/>
    <x v="5"/>
    <x v="0"/>
  </r>
  <r>
    <x v="180"/>
    <x v="2"/>
    <n v="14151"/>
    <x v="2"/>
    <x v="2"/>
    <x v="1"/>
    <x v="5"/>
    <x v="0"/>
  </r>
  <r>
    <x v="180"/>
    <x v="8"/>
    <n v="-2431"/>
    <x v="3"/>
    <x v="6"/>
    <x v="0"/>
    <x v="5"/>
    <x v="0"/>
  </r>
  <r>
    <x v="180"/>
    <x v="6"/>
    <n v="-1631"/>
    <x v="1"/>
    <x v="4"/>
    <x v="0"/>
    <x v="5"/>
    <x v="0"/>
  </r>
  <r>
    <x v="180"/>
    <x v="5"/>
    <n v="13012"/>
    <x v="2"/>
    <x v="2"/>
    <x v="1"/>
    <x v="5"/>
    <x v="0"/>
  </r>
  <r>
    <x v="180"/>
    <x v="57"/>
    <n v="-1503"/>
    <x v="3"/>
    <x v="5"/>
    <x v="0"/>
    <x v="5"/>
    <x v="0"/>
  </r>
  <r>
    <x v="180"/>
    <x v="37"/>
    <n v="-1652"/>
    <x v="3"/>
    <x v="3"/>
    <x v="0"/>
    <x v="5"/>
    <x v="0"/>
  </r>
  <r>
    <x v="180"/>
    <x v="5"/>
    <n v="13252"/>
    <x v="2"/>
    <x v="2"/>
    <x v="1"/>
    <x v="5"/>
    <x v="0"/>
  </r>
  <r>
    <x v="180"/>
    <x v="51"/>
    <n v="-1145"/>
    <x v="3"/>
    <x v="5"/>
    <x v="0"/>
    <x v="5"/>
    <x v="0"/>
  </r>
  <r>
    <x v="180"/>
    <x v="21"/>
    <n v="-1391"/>
    <x v="1"/>
    <x v="1"/>
    <x v="0"/>
    <x v="5"/>
    <x v="0"/>
  </r>
  <r>
    <x v="180"/>
    <x v="1"/>
    <n v="-2287"/>
    <x v="1"/>
    <x v="1"/>
    <x v="0"/>
    <x v="5"/>
    <x v="0"/>
  </r>
  <r>
    <x v="180"/>
    <x v="1"/>
    <n v="-2258"/>
    <x v="1"/>
    <x v="1"/>
    <x v="0"/>
    <x v="5"/>
    <x v="0"/>
  </r>
  <r>
    <x v="181"/>
    <x v="1"/>
    <n v="-2371"/>
    <x v="1"/>
    <x v="1"/>
    <x v="0"/>
    <x v="6"/>
    <x v="0"/>
  </r>
  <r>
    <x v="181"/>
    <x v="0"/>
    <n v="-2676"/>
    <x v="0"/>
    <x v="0"/>
    <x v="0"/>
    <x v="6"/>
    <x v="0"/>
  </r>
  <r>
    <x v="181"/>
    <x v="6"/>
    <n v="-1113"/>
    <x v="1"/>
    <x v="4"/>
    <x v="0"/>
    <x v="6"/>
    <x v="0"/>
  </r>
  <r>
    <x v="181"/>
    <x v="2"/>
    <n v="13069"/>
    <x v="2"/>
    <x v="2"/>
    <x v="1"/>
    <x v="6"/>
    <x v="0"/>
  </r>
  <r>
    <x v="181"/>
    <x v="17"/>
    <n v="-1042"/>
    <x v="3"/>
    <x v="5"/>
    <x v="0"/>
    <x v="6"/>
    <x v="0"/>
  </r>
  <r>
    <x v="181"/>
    <x v="16"/>
    <n v="-1411"/>
    <x v="3"/>
    <x v="9"/>
    <x v="0"/>
    <x v="6"/>
    <x v="0"/>
  </r>
  <r>
    <x v="181"/>
    <x v="6"/>
    <n v="-1968"/>
    <x v="1"/>
    <x v="4"/>
    <x v="0"/>
    <x v="6"/>
    <x v="0"/>
  </r>
  <r>
    <x v="181"/>
    <x v="5"/>
    <n v="11315"/>
    <x v="2"/>
    <x v="2"/>
    <x v="1"/>
    <x v="6"/>
    <x v="0"/>
  </r>
  <r>
    <x v="181"/>
    <x v="0"/>
    <n v="-3379"/>
    <x v="0"/>
    <x v="0"/>
    <x v="0"/>
    <x v="6"/>
    <x v="0"/>
  </r>
  <r>
    <x v="181"/>
    <x v="0"/>
    <n v="-2699"/>
    <x v="0"/>
    <x v="0"/>
    <x v="0"/>
    <x v="6"/>
    <x v="0"/>
  </r>
  <r>
    <x v="181"/>
    <x v="0"/>
    <n v="-3526"/>
    <x v="0"/>
    <x v="0"/>
    <x v="0"/>
    <x v="6"/>
    <x v="0"/>
  </r>
  <r>
    <x v="181"/>
    <x v="21"/>
    <n v="-2411"/>
    <x v="1"/>
    <x v="1"/>
    <x v="0"/>
    <x v="6"/>
    <x v="0"/>
  </r>
  <r>
    <x v="181"/>
    <x v="6"/>
    <n v="-1532"/>
    <x v="1"/>
    <x v="4"/>
    <x v="0"/>
    <x v="6"/>
    <x v="0"/>
  </r>
  <r>
    <x v="181"/>
    <x v="4"/>
    <n v="-1624"/>
    <x v="1"/>
    <x v="1"/>
    <x v="0"/>
    <x v="6"/>
    <x v="0"/>
  </r>
  <r>
    <x v="181"/>
    <x v="6"/>
    <n v="-1814"/>
    <x v="1"/>
    <x v="4"/>
    <x v="0"/>
    <x v="6"/>
    <x v="0"/>
  </r>
  <r>
    <x v="181"/>
    <x v="1"/>
    <n v="-2479"/>
    <x v="1"/>
    <x v="1"/>
    <x v="0"/>
    <x v="6"/>
    <x v="0"/>
  </r>
  <r>
    <x v="181"/>
    <x v="4"/>
    <n v="-1498"/>
    <x v="1"/>
    <x v="1"/>
    <x v="0"/>
    <x v="6"/>
    <x v="0"/>
  </r>
  <r>
    <x v="181"/>
    <x v="25"/>
    <n v="-2432"/>
    <x v="3"/>
    <x v="9"/>
    <x v="0"/>
    <x v="6"/>
    <x v="0"/>
  </r>
  <r>
    <x v="181"/>
    <x v="2"/>
    <n v="14862"/>
    <x v="2"/>
    <x v="2"/>
    <x v="1"/>
    <x v="6"/>
    <x v="0"/>
  </r>
  <r>
    <x v="181"/>
    <x v="47"/>
    <n v="-1400"/>
    <x v="3"/>
    <x v="8"/>
    <x v="0"/>
    <x v="6"/>
    <x v="0"/>
  </r>
  <r>
    <x v="181"/>
    <x v="1"/>
    <n v="-1983"/>
    <x v="1"/>
    <x v="1"/>
    <x v="0"/>
    <x v="6"/>
    <x v="0"/>
  </r>
  <r>
    <x v="181"/>
    <x v="2"/>
    <n v="11710"/>
    <x v="2"/>
    <x v="2"/>
    <x v="1"/>
    <x v="6"/>
    <x v="0"/>
  </r>
  <r>
    <x v="182"/>
    <x v="0"/>
    <n v="-2931"/>
    <x v="0"/>
    <x v="0"/>
    <x v="0"/>
    <x v="6"/>
    <x v="0"/>
  </r>
  <r>
    <x v="182"/>
    <x v="0"/>
    <n v="-4979"/>
    <x v="0"/>
    <x v="0"/>
    <x v="0"/>
    <x v="6"/>
    <x v="0"/>
  </r>
  <r>
    <x v="182"/>
    <x v="1"/>
    <n v="-1980"/>
    <x v="1"/>
    <x v="1"/>
    <x v="0"/>
    <x v="6"/>
    <x v="0"/>
  </r>
  <r>
    <x v="182"/>
    <x v="0"/>
    <n v="-2984"/>
    <x v="0"/>
    <x v="0"/>
    <x v="0"/>
    <x v="6"/>
    <x v="0"/>
  </r>
  <r>
    <x v="182"/>
    <x v="0"/>
    <n v="-4175"/>
    <x v="0"/>
    <x v="0"/>
    <x v="0"/>
    <x v="6"/>
    <x v="0"/>
  </r>
  <r>
    <x v="182"/>
    <x v="1"/>
    <n v="-1594"/>
    <x v="1"/>
    <x v="1"/>
    <x v="0"/>
    <x v="6"/>
    <x v="0"/>
  </r>
  <r>
    <x v="182"/>
    <x v="5"/>
    <n v="14453"/>
    <x v="2"/>
    <x v="2"/>
    <x v="1"/>
    <x v="6"/>
    <x v="0"/>
  </r>
  <r>
    <x v="182"/>
    <x v="43"/>
    <n v="-2166"/>
    <x v="3"/>
    <x v="5"/>
    <x v="0"/>
    <x v="6"/>
    <x v="0"/>
  </r>
  <r>
    <x v="182"/>
    <x v="21"/>
    <n v="-2037"/>
    <x v="1"/>
    <x v="1"/>
    <x v="0"/>
    <x v="6"/>
    <x v="0"/>
  </r>
  <r>
    <x v="182"/>
    <x v="4"/>
    <n v="-1462"/>
    <x v="1"/>
    <x v="1"/>
    <x v="0"/>
    <x v="6"/>
    <x v="0"/>
  </r>
  <r>
    <x v="182"/>
    <x v="6"/>
    <n v="-1874"/>
    <x v="1"/>
    <x v="4"/>
    <x v="0"/>
    <x v="6"/>
    <x v="0"/>
  </r>
  <r>
    <x v="182"/>
    <x v="34"/>
    <n v="-1912"/>
    <x v="3"/>
    <x v="3"/>
    <x v="0"/>
    <x v="6"/>
    <x v="0"/>
  </r>
  <r>
    <x v="182"/>
    <x v="23"/>
    <n v="-1521"/>
    <x v="3"/>
    <x v="5"/>
    <x v="0"/>
    <x v="6"/>
    <x v="0"/>
  </r>
  <r>
    <x v="182"/>
    <x v="4"/>
    <n v="-2068"/>
    <x v="1"/>
    <x v="1"/>
    <x v="0"/>
    <x v="6"/>
    <x v="0"/>
  </r>
  <r>
    <x v="182"/>
    <x v="2"/>
    <n v="14101"/>
    <x v="2"/>
    <x v="2"/>
    <x v="1"/>
    <x v="6"/>
    <x v="0"/>
  </r>
  <r>
    <x v="182"/>
    <x v="1"/>
    <n v="-1811"/>
    <x v="1"/>
    <x v="1"/>
    <x v="0"/>
    <x v="6"/>
    <x v="0"/>
  </r>
  <r>
    <x v="182"/>
    <x v="6"/>
    <n v="-1532"/>
    <x v="1"/>
    <x v="4"/>
    <x v="0"/>
    <x v="6"/>
    <x v="0"/>
  </r>
  <r>
    <x v="182"/>
    <x v="2"/>
    <n v="11950"/>
    <x v="2"/>
    <x v="2"/>
    <x v="1"/>
    <x v="6"/>
    <x v="0"/>
  </r>
  <r>
    <x v="182"/>
    <x v="2"/>
    <n v="12121"/>
    <x v="2"/>
    <x v="2"/>
    <x v="1"/>
    <x v="6"/>
    <x v="0"/>
  </r>
  <r>
    <x v="182"/>
    <x v="21"/>
    <n v="-1082"/>
    <x v="1"/>
    <x v="1"/>
    <x v="0"/>
    <x v="6"/>
    <x v="0"/>
  </r>
  <r>
    <x v="183"/>
    <x v="21"/>
    <n v="-1536"/>
    <x v="1"/>
    <x v="1"/>
    <x v="0"/>
    <x v="6"/>
    <x v="0"/>
  </r>
  <r>
    <x v="183"/>
    <x v="21"/>
    <n v="-1636"/>
    <x v="1"/>
    <x v="1"/>
    <x v="0"/>
    <x v="6"/>
    <x v="0"/>
  </r>
  <r>
    <x v="183"/>
    <x v="6"/>
    <n v="-2181"/>
    <x v="1"/>
    <x v="4"/>
    <x v="0"/>
    <x v="6"/>
    <x v="0"/>
  </r>
  <r>
    <x v="183"/>
    <x v="45"/>
    <n v="-2468"/>
    <x v="3"/>
    <x v="5"/>
    <x v="0"/>
    <x v="6"/>
    <x v="0"/>
  </r>
  <r>
    <x v="183"/>
    <x v="56"/>
    <n v="2277"/>
    <x v="4"/>
    <x v="15"/>
    <x v="0"/>
    <x v="6"/>
    <x v="0"/>
  </r>
  <r>
    <x v="183"/>
    <x v="1"/>
    <n v="-1594"/>
    <x v="1"/>
    <x v="1"/>
    <x v="0"/>
    <x v="6"/>
    <x v="0"/>
  </r>
  <r>
    <x v="183"/>
    <x v="6"/>
    <n v="-2003"/>
    <x v="1"/>
    <x v="4"/>
    <x v="0"/>
    <x v="6"/>
    <x v="0"/>
  </r>
  <r>
    <x v="183"/>
    <x v="6"/>
    <n v="-1275"/>
    <x v="1"/>
    <x v="4"/>
    <x v="0"/>
    <x v="6"/>
    <x v="0"/>
  </r>
  <r>
    <x v="183"/>
    <x v="37"/>
    <n v="-1818"/>
    <x v="3"/>
    <x v="3"/>
    <x v="0"/>
    <x v="6"/>
    <x v="0"/>
  </r>
  <r>
    <x v="183"/>
    <x v="15"/>
    <n v="-1804"/>
    <x v="3"/>
    <x v="6"/>
    <x v="0"/>
    <x v="6"/>
    <x v="0"/>
  </r>
  <r>
    <x v="183"/>
    <x v="5"/>
    <n v="10701"/>
    <x v="2"/>
    <x v="2"/>
    <x v="1"/>
    <x v="6"/>
    <x v="0"/>
  </r>
  <r>
    <x v="183"/>
    <x v="2"/>
    <n v="10019"/>
    <x v="2"/>
    <x v="2"/>
    <x v="1"/>
    <x v="6"/>
    <x v="0"/>
  </r>
  <r>
    <x v="184"/>
    <x v="11"/>
    <n v="-1762"/>
    <x v="3"/>
    <x v="5"/>
    <x v="0"/>
    <x v="6"/>
    <x v="0"/>
  </r>
  <r>
    <x v="184"/>
    <x v="5"/>
    <n v="11139"/>
    <x v="2"/>
    <x v="2"/>
    <x v="1"/>
    <x v="6"/>
    <x v="0"/>
  </r>
  <r>
    <x v="184"/>
    <x v="6"/>
    <n v="-1686"/>
    <x v="1"/>
    <x v="4"/>
    <x v="0"/>
    <x v="6"/>
    <x v="0"/>
  </r>
  <r>
    <x v="184"/>
    <x v="5"/>
    <n v="12784"/>
    <x v="2"/>
    <x v="2"/>
    <x v="1"/>
    <x v="6"/>
    <x v="0"/>
  </r>
  <r>
    <x v="184"/>
    <x v="2"/>
    <n v="14155"/>
    <x v="2"/>
    <x v="2"/>
    <x v="1"/>
    <x v="6"/>
    <x v="0"/>
  </r>
  <r>
    <x v="184"/>
    <x v="4"/>
    <n v="-1753"/>
    <x v="1"/>
    <x v="1"/>
    <x v="0"/>
    <x v="6"/>
    <x v="0"/>
  </r>
  <r>
    <x v="184"/>
    <x v="2"/>
    <n v="14203"/>
    <x v="2"/>
    <x v="2"/>
    <x v="1"/>
    <x v="6"/>
    <x v="0"/>
  </r>
  <r>
    <x v="184"/>
    <x v="39"/>
    <n v="-1898"/>
    <x v="3"/>
    <x v="5"/>
    <x v="0"/>
    <x v="6"/>
    <x v="0"/>
  </r>
  <r>
    <x v="184"/>
    <x v="6"/>
    <n v="-1952"/>
    <x v="1"/>
    <x v="4"/>
    <x v="0"/>
    <x v="6"/>
    <x v="0"/>
  </r>
  <r>
    <x v="184"/>
    <x v="51"/>
    <n v="-1338"/>
    <x v="3"/>
    <x v="5"/>
    <x v="0"/>
    <x v="6"/>
    <x v="0"/>
  </r>
  <r>
    <x v="184"/>
    <x v="6"/>
    <n v="-1960"/>
    <x v="1"/>
    <x v="4"/>
    <x v="0"/>
    <x v="6"/>
    <x v="0"/>
  </r>
  <r>
    <x v="184"/>
    <x v="7"/>
    <n v="-1180"/>
    <x v="3"/>
    <x v="5"/>
    <x v="0"/>
    <x v="6"/>
    <x v="0"/>
  </r>
  <r>
    <x v="184"/>
    <x v="21"/>
    <n v="-1339"/>
    <x v="1"/>
    <x v="1"/>
    <x v="0"/>
    <x v="6"/>
    <x v="0"/>
  </r>
  <r>
    <x v="184"/>
    <x v="1"/>
    <n v="-1529"/>
    <x v="1"/>
    <x v="1"/>
    <x v="0"/>
    <x v="6"/>
    <x v="0"/>
  </r>
  <r>
    <x v="184"/>
    <x v="6"/>
    <n v="-1787"/>
    <x v="1"/>
    <x v="4"/>
    <x v="0"/>
    <x v="6"/>
    <x v="0"/>
  </r>
  <r>
    <x v="184"/>
    <x v="21"/>
    <n v="-1682"/>
    <x v="1"/>
    <x v="1"/>
    <x v="0"/>
    <x v="6"/>
    <x v="0"/>
  </r>
  <r>
    <x v="184"/>
    <x v="21"/>
    <n v="-1154"/>
    <x v="1"/>
    <x v="1"/>
    <x v="0"/>
    <x v="6"/>
    <x v="0"/>
  </r>
  <r>
    <x v="184"/>
    <x v="5"/>
    <n v="11635"/>
    <x v="2"/>
    <x v="2"/>
    <x v="1"/>
    <x v="6"/>
    <x v="0"/>
  </r>
  <r>
    <x v="185"/>
    <x v="5"/>
    <n v="13825"/>
    <x v="2"/>
    <x v="2"/>
    <x v="1"/>
    <x v="6"/>
    <x v="0"/>
  </r>
  <r>
    <x v="185"/>
    <x v="5"/>
    <n v="10026"/>
    <x v="2"/>
    <x v="2"/>
    <x v="1"/>
    <x v="6"/>
    <x v="0"/>
  </r>
  <r>
    <x v="185"/>
    <x v="4"/>
    <n v="-1874"/>
    <x v="1"/>
    <x v="1"/>
    <x v="0"/>
    <x v="6"/>
    <x v="0"/>
  </r>
  <r>
    <x v="185"/>
    <x v="5"/>
    <n v="13328"/>
    <x v="2"/>
    <x v="2"/>
    <x v="1"/>
    <x v="6"/>
    <x v="0"/>
  </r>
  <r>
    <x v="185"/>
    <x v="18"/>
    <n v="-1025"/>
    <x v="3"/>
    <x v="5"/>
    <x v="0"/>
    <x v="6"/>
    <x v="0"/>
  </r>
  <r>
    <x v="185"/>
    <x v="1"/>
    <n v="-1085"/>
    <x v="1"/>
    <x v="1"/>
    <x v="0"/>
    <x v="6"/>
    <x v="0"/>
  </r>
  <r>
    <x v="185"/>
    <x v="21"/>
    <n v="-1375"/>
    <x v="1"/>
    <x v="1"/>
    <x v="0"/>
    <x v="6"/>
    <x v="0"/>
  </r>
  <r>
    <x v="185"/>
    <x v="4"/>
    <n v="-2162"/>
    <x v="1"/>
    <x v="1"/>
    <x v="0"/>
    <x v="6"/>
    <x v="0"/>
  </r>
  <r>
    <x v="185"/>
    <x v="1"/>
    <n v="-2236"/>
    <x v="1"/>
    <x v="1"/>
    <x v="0"/>
    <x v="6"/>
    <x v="0"/>
  </r>
  <r>
    <x v="185"/>
    <x v="21"/>
    <n v="-2474"/>
    <x v="1"/>
    <x v="1"/>
    <x v="0"/>
    <x v="6"/>
    <x v="0"/>
  </r>
  <r>
    <x v="185"/>
    <x v="57"/>
    <n v="-1084"/>
    <x v="3"/>
    <x v="5"/>
    <x v="0"/>
    <x v="6"/>
    <x v="0"/>
  </r>
  <r>
    <x v="185"/>
    <x v="2"/>
    <n v="11501"/>
    <x v="2"/>
    <x v="2"/>
    <x v="1"/>
    <x v="6"/>
    <x v="0"/>
  </r>
  <r>
    <x v="185"/>
    <x v="4"/>
    <n v="-1190"/>
    <x v="1"/>
    <x v="1"/>
    <x v="0"/>
    <x v="6"/>
    <x v="0"/>
  </r>
  <r>
    <x v="185"/>
    <x v="5"/>
    <n v="11713"/>
    <x v="2"/>
    <x v="2"/>
    <x v="1"/>
    <x v="6"/>
    <x v="0"/>
  </r>
  <r>
    <x v="185"/>
    <x v="5"/>
    <n v="14935"/>
    <x v="2"/>
    <x v="2"/>
    <x v="1"/>
    <x v="6"/>
    <x v="0"/>
  </r>
  <r>
    <x v="185"/>
    <x v="1"/>
    <n v="-2113"/>
    <x v="1"/>
    <x v="1"/>
    <x v="0"/>
    <x v="6"/>
    <x v="0"/>
  </r>
  <r>
    <x v="186"/>
    <x v="12"/>
    <n v="-2288"/>
    <x v="3"/>
    <x v="3"/>
    <x v="0"/>
    <x v="6"/>
    <x v="0"/>
  </r>
  <r>
    <x v="186"/>
    <x v="2"/>
    <n v="11898"/>
    <x v="2"/>
    <x v="2"/>
    <x v="1"/>
    <x v="6"/>
    <x v="0"/>
  </r>
  <r>
    <x v="186"/>
    <x v="2"/>
    <n v="12185"/>
    <x v="2"/>
    <x v="2"/>
    <x v="1"/>
    <x v="6"/>
    <x v="0"/>
  </r>
  <r>
    <x v="186"/>
    <x v="2"/>
    <n v="11496"/>
    <x v="2"/>
    <x v="2"/>
    <x v="1"/>
    <x v="6"/>
    <x v="0"/>
  </r>
  <r>
    <x v="186"/>
    <x v="5"/>
    <n v="14981"/>
    <x v="2"/>
    <x v="2"/>
    <x v="1"/>
    <x v="6"/>
    <x v="0"/>
  </r>
  <r>
    <x v="186"/>
    <x v="0"/>
    <n v="-2741"/>
    <x v="0"/>
    <x v="0"/>
    <x v="0"/>
    <x v="6"/>
    <x v="0"/>
  </r>
  <r>
    <x v="186"/>
    <x v="6"/>
    <n v="-1813"/>
    <x v="1"/>
    <x v="4"/>
    <x v="0"/>
    <x v="6"/>
    <x v="0"/>
  </r>
  <r>
    <x v="186"/>
    <x v="21"/>
    <n v="-1536"/>
    <x v="1"/>
    <x v="1"/>
    <x v="0"/>
    <x v="6"/>
    <x v="0"/>
  </r>
  <r>
    <x v="187"/>
    <x v="5"/>
    <n v="12410"/>
    <x v="2"/>
    <x v="2"/>
    <x v="1"/>
    <x v="6"/>
    <x v="0"/>
  </r>
  <r>
    <x v="187"/>
    <x v="33"/>
    <n v="-1600"/>
    <x v="3"/>
    <x v="3"/>
    <x v="0"/>
    <x v="6"/>
    <x v="0"/>
  </r>
  <r>
    <x v="187"/>
    <x v="28"/>
    <n v="-1628"/>
    <x v="4"/>
    <x v="12"/>
    <x v="0"/>
    <x v="6"/>
    <x v="0"/>
  </r>
  <r>
    <x v="187"/>
    <x v="21"/>
    <n v="-2489"/>
    <x v="1"/>
    <x v="1"/>
    <x v="0"/>
    <x v="6"/>
    <x v="0"/>
  </r>
  <r>
    <x v="187"/>
    <x v="55"/>
    <n v="-1748"/>
    <x v="3"/>
    <x v="5"/>
    <x v="0"/>
    <x v="6"/>
    <x v="0"/>
  </r>
  <r>
    <x v="187"/>
    <x v="0"/>
    <n v="-4398"/>
    <x v="0"/>
    <x v="0"/>
    <x v="0"/>
    <x v="6"/>
    <x v="0"/>
  </r>
  <r>
    <x v="187"/>
    <x v="4"/>
    <n v="-1120"/>
    <x v="1"/>
    <x v="1"/>
    <x v="0"/>
    <x v="6"/>
    <x v="0"/>
  </r>
  <r>
    <x v="187"/>
    <x v="0"/>
    <n v="-3745"/>
    <x v="0"/>
    <x v="0"/>
    <x v="0"/>
    <x v="6"/>
    <x v="0"/>
  </r>
  <r>
    <x v="187"/>
    <x v="21"/>
    <n v="-1523"/>
    <x v="1"/>
    <x v="1"/>
    <x v="0"/>
    <x v="6"/>
    <x v="0"/>
  </r>
  <r>
    <x v="187"/>
    <x v="6"/>
    <n v="-2314"/>
    <x v="1"/>
    <x v="4"/>
    <x v="0"/>
    <x v="6"/>
    <x v="0"/>
  </r>
  <r>
    <x v="187"/>
    <x v="4"/>
    <n v="-1199"/>
    <x v="1"/>
    <x v="1"/>
    <x v="0"/>
    <x v="6"/>
    <x v="0"/>
  </r>
  <r>
    <x v="187"/>
    <x v="0"/>
    <n v="-4109"/>
    <x v="0"/>
    <x v="0"/>
    <x v="0"/>
    <x v="6"/>
    <x v="0"/>
  </r>
  <r>
    <x v="188"/>
    <x v="4"/>
    <n v="-2466"/>
    <x v="1"/>
    <x v="1"/>
    <x v="0"/>
    <x v="6"/>
    <x v="0"/>
  </r>
  <r>
    <x v="188"/>
    <x v="23"/>
    <n v="-2165"/>
    <x v="3"/>
    <x v="5"/>
    <x v="0"/>
    <x v="6"/>
    <x v="0"/>
  </r>
  <r>
    <x v="188"/>
    <x v="6"/>
    <n v="-2358"/>
    <x v="1"/>
    <x v="4"/>
    <x v="0"/>
    <x v="6"/>
    <x v="0"/>
  </r>
  <r>
    <x v="188"/>
    <x v="2"/>
    <n v="11923"/>
    <x v="2"/>
    <x v="2"/>
    <x v="1"/>
    <x v="6"/>
    <x v="0"/>
  </r>
  <r>
    <x v="188"/>
    <x v="55"/>
    <n v="-1792"/>
    <x v="3"/>
    <x v="5"/>
    <x v="0"/>
    <x v="6"/>
    <x v="0"/>
  </r>
  <r>
    <x v="188"/>
    <x v="32"/>
    <n v="-1776"/>
    <x v="3"/>
    <x v="9"/>
    <x v="0"/>
    <x v="6"/>
    <x v="0"/>
  </r>
  <r>
    <x v="188"/>
    <x v="21"/>
    <n v="-2471"/>
    <x v="1"/>
    <x v="1"/>
    <x v="0"/>
    <x v="6"/>
    <x v="0"/>
  </r>
  <r>
    <x v="188"/>
    <x v="10"/>
    <n v="-1480"/>
    <x v="3"/>
    <x v="6"/>
    <x v="0"/>
    <x v="6"/>
    <x v="0"/>
  </r>
  <r>
    <x v="188"/>
    <x v="5"/>
    <n v="12603"/>
    <x v="2"/>
    <x v="2"/>
    <x v="1"/>
    <x v="6"/>
    <x v="0"/>
  </r>
  <r>
    <x v="188"/>
    <x v="5"/>
    <n v="14979"/>
    <x v="2"/>
    <x v="2"/>
    <x v="1"/>
    <x v="6"/>
    <x v="0"/>
  </r>
  <r>
    <x v="188"/>
    <x v="4"/>
    <n v="-2368"/>
    <x v="1"/>
    <x v="1"/>
    <x v="0"/>
    <x v="6"/>
    <x v="0"/>
  </r>
  <r>
    <x v="188"/>
    <x v="55"/>
    <n v="-1219"/>
    <x v="3"/>
    <x v="5"/>
    <x v="0"/>
    <x v="6"/>
    <x v="0"/>
  </r>
  <r>
    <x v="188"/>
    <x v="21"/>
    <n v="-2192"/>
    <x v="1"/>
    <x v="1"/>
    <x v="0"/>
    <x v="6"/>
    <x v="0"/>
  </r>
  <r>
    <x v="188"/>
    <x v="4"/>
    <n v="-1362"/>
    <x v="1"/>
    <x v="1"/>
    <x v="0"/>
    <x v="6"/>
    <x v="0"/>
  </r>
  <r>
    <x v="188"/>
    <x v="52"/>
    <n v="-1358"/>
    <x v="3"/>
    <x v="3"/>
    <x v="0"/>
    <x v="6"/>
    <x v="0"/>
  </r>
  <r>
    <x v="188"/>
    <x v="2"/>
    <n v="13134"/>
    <x v="2"/>
    <x v="2"/>
    <x v="1"/>
    <x v="6"/>
    <x v="0"/>
  </r>
  <r>
    <x v="188"/>
    <x v="15"/>
    <n v="-2255"/>
    <x v="3"/>
    <x v="6"/>
    <x v="0"/>
    <x v="6"/>
    <x v="0"/>
  </r>
  <r>
    <x v="188"/>
    <x v="4"/>
    <n v="-1506"/>
    <x v="1"/>
    <x v="1"/>
    <x v="0"/>
    <x v="6"/>
    <x v="0"/>
  </r>
  <r>
    <x v="188"/>
    <x v="35"/>
    <n v="-1172"/>
    <x v="3"/>
    <x v="10"/>
    <x v="0"/>
    <x v="6"/>
    <x v="0"/>
  </r>
  <r>
    <x v="188"/>
    <x v="21"/>
    <n v="-2305"/>
    <x v="1"/>
    <x v="1"/>
    <x v="0"/>
    <x v="6"/>
    <x v="0"/>
  </r>
  <r>
    <x v="188"/>
    <x v="2"/>
    <n v="11504"/>
    <x v="2"/>
    <x v="2"/>
    <x v="1"/>
    <x v="6"/>
    <x v="0"/>
  </r>
  <r>
    <x v="188"/>
    <x v="1"/>
    <n v="-1263"/>
    <x v="1"/>
    <x v="1"/>
    <x v="0"/>
    <x v="6"/>
    <x v="0"/>
  </r>
  <r>
    <x v="189"/>
    <x v="4"/>
    <n v="-1056"/>
    <x v="1"/>
    <x v="1"/>
    <x v="0"/>
    <x v="6"/>
    <x v="0"/>
  </r>
  <r>
    <x v="189"/>
    <x v="2"/>
    <n v="11215"/>
    <x v="2"/>
    <x v="2"/>
    <x v="1"/>
    <x v="6"/>
    <x v="0"/>
  </r>
  <r>
    <x v="189"/>
    <x v="14"/>
    <n v="-1504"/>
    <x v="3"/>
    <x v="8"/>
    <x v="0"/>
    <x v="6"/>
    <x v="0"/>
  </r>
  <r>
    <x v="189"/>
    <x v="21"/>
    <n v="-1977"/>
    <x v="1"/>
    <x v="1"/>
    <x v="0"/>
    <x v="6"/>
    <x v="0"/>
  </r>
  <r>
    <x v="189"/>
    <x v="4"/>
    <n v="-2255"/>
    <x v="1"/>
    <x v="1"/>
    <x v="0"/>
    <x v="6"/>
    <x v="0"/>
  </r>
  <r>
    <x v="189"/>
    <x v="4"/>
    <n v="-2286"/>
    <x v="1"/>
    <x v="1"/>
    <x v="0"/>
    <x v="6"/>
    <x v="0"/>
  </r>
  <r>
    <x v="189"/>
    <x v="4"/>
    <n v="-2405"/>
    <x v="1"/>
    <x v="1"/>
    <x v="0"/>
    <x v="6"/>
    <x v="0"/>
  </r>
  <r>
    <x v="189"/>
    <x v="27"/>
    <n v="-2268"/>
    <x v="3"/>
    <x v="5"/>
    <x v="0"/>
    <x v="6"/>
    <x v="0"/>
  </r>
  <r>
    <x v="189"/>
    <x v="6"/>
    <n v="-1542"/>
    <x v="1"/>
    <x v="4"/>
    <x v="0"/>
    <x v="6"/>
    <x v="0"/>
  </r>
  <r>
    <x v="189"/>
    <x v="0"/>
    <n v="-3128"/>
    <x v="0"/>
    <x v="0"/>
    <x v="0"/>
    <x v="6"/>
    <x v="0"/>
  </r>
  <r>
    <x v="189"/>
    <x v="1"/>
    <n v="-1910"/>
    <x v="1"/>
    <x v="1"/>
    <x v="0"/>
    <x v="6"/>
    <x v="0"/>
  </r>
  <r>
    <x v="189"/>
    <x v="3"/>
    <n v="-2059"/>
    <x v="3"/>
    <x v="3"/>
    <x v="0"/>
    <x v="6"/>
    <x v="0"/>
  </r>
  <r>
    <x v="189"/>
    <x v="1"/>
    <n v="-2063"/>
    <x v="1"/>
    <x v="1"/>
    <x v="0"/>
    <x v="6"/>
    <x v="0"/>
  </r>
  <r>
    <x v="189"/>
    <x v="5"/>
    <n v="13491"/>
    <x v="2"/>
    <x v="2"/>
    <x v="1"/>
    <x v="6"/>
    <x v="0"/>
  </r>
  <r>
    <x v="189"/>
    <x v="5"/>
    <n v="12299"/>
    <x v="2"/>
    <x v="2"/>
    <x v="1"/>
    <x v="6"/>
    <x v="0"/>
  </r>
  <r>
    <x v="189"/>
    <x v="0"/>
    <n v="-3430"/>
    <x v="0"/>
    <x v="0"/>
    <x v="0"/>
    <x v="6"/>
    <x v="0"/>
  </r>
  <r>
    <x v="189"/>
    <x v="24"/>
    <n v="-2137"/>
    <x v="3"/>
    <x v="6"/>
    <x v="0"/>
    <x v="6"/>
    <x v="0"/>
  </r>
  <r>
    <x v="189"/>
    <x v="28"/>
    <n v="-1593"/>
    <x v="4"/>
    <x v="12"/>
    <x v="0"/>
    <x v="6"/>
    <x v="0"/>
  </r>
  <r>
    <x v="189"/>
    <x v="0"/>
    <n v="-4905"/>
    <x v="0"/>
    <x v="0"/>
    <x v="0"/>
    <x v="6"/>
    <x v="0"/>
  </r>
  <r>
    <x v="189"/>
    <x v="2"/>
    <n v="12139"/>
    <x v="2"/>
    <x v="2"/>
    <x v="1"/>
    <x v="6"/>
    <x v="0"/>
  </r>
  <r>
    <x v="190"/>
    <x v="55"/>
    <n v="-2128"/>
    <x v="3"/>
    <x v="5"/>
    <x v="0"/>
    <x v="6"/>
    <x v="0"/>
  </r>
  <r>
    <x v="190"/>
    <x v="1"/>
    <n v="-2302"/>
    <x v="1"/>
    <x v="1"/>
    <x v="0"/>
    <x v="6"/>
    <x v="0"/>
  </r>
  <r>
    <x v="190"/>
    <x v="35"/>
    <n v="-1944"/>
    <x v="3"/>
    <x v="10"/>
    <x v="0"/>
    <x v="6"/>
    <x v="0"/>
  </r>
  <r>
    <x v="190"/>
    <x v="2"/>
    <n v="11510"/>
    <x v="2"/>
    <x v="2"/>
    <x v="1"/>
    <x v="6"/>
    <x v="0"/>
  </r>
  <r>
    <x v="190"/>
    <x v="53"/>
    <n v="-2187"/>
    <x v="3"/>
    <x v="5"/>
    <x v="0"/>
    <x v="6"/>
    <x v="0"/>
  </r>
  <r>
    <x v="190"/>
    <x v="6"/>
    <n v="-1101"/>
    <x v="1"/>
    <x v="4"/>
    <x v="0"/>
    <x v="6"/>
    <x v="0"/>
  </r>
  <r>
    <x v="190"/>
    <x v="2"/>
    <n v="12633"/>
    <x v="2"/>
    <x v="2"/>
    <x v="1"/>
    <x v="6"/>
    <x v="0"/>
  </r>
  <r>
    <x v="190"/>
    <x v="26"/>
    <n v="-1691"/>
    <x v="3"/>
    <x v="11"/>
    <x v="0"/>
    <x v="6"/>
    <x v="0"/>
  </r>
  <r>
    <x v="190"/>
    <x v="55"/>
    <n v="-2360"/>
    <x v="3"/>
    <x v="5"/>
    <x v="0"/>
    <x v="6"/>
    <x v="0"/>
  </r>
  <r>
    <x v="190"/>
    <x v="6"/>
    <n v="-1811"/>
    <x v="1"/>
    <x v="4"/>
    <x v="0"/>
    <x v="6"/>
    <x v="0"/>
  </r>
  <r>
    <x v="190"/>
    <x v="1"/>
    <n v="-1936"/>
    <x v="1"/>
    <x v="1"/>
    <x v="0"/>
    <x v="6"/>
    <x v="0"/>
  </r>
  <r>
    <x v="190"/>
    <x v="1"/>
    <n v="-1969"/>
    <x v="1"/>
    <x v="1"/>
    <x v="0"/>
    <x v="6"/>
    <x v="0"/>
  </r>
  <r>
    <x v="190"/>
    <x v="5"/>
    <n v="14859"/>
    <x v="2"/>
    <x v="2"/>
    <x v="1"/>
    <x v="6"/>
    <x v="0"/>
  </r>
  <r>
    <x v="190"/>
    <x v="5"/>
    <n v="14465"/>
    <x v="2"/>
    <x v="2"/>
    <x v="1"/>
    <x v="6"/>
    <x v="0"/>
  </r>
  <r>
    <x v="190"/>
    <x v="58"/>
    <n v="-1090"/>
    <x v="3"/>
    <x v="11"/>
    <x v="0"/>
    <x v="6"/>
    <x v="0"/>
  </r>
  <r>
    <x v="190"/>
    <x v="2"/>
    <n v="13355"/>
    <x v="2"/>
    <x v="2"/>
    <x v="1"/>
    <x v="6"/>
    <x v="0"/>
  </r>
  <r>
    <x v="190"/>
    <x v="42"/>
    <n v="-1482"/>
    <x v="3"/>
    <x v="5"/>
    <x v="0"/>
    <x v="6"/>
    <x v="0"/>
  </r>
  <r>
    <x v="190"/>
    <x v="0"/>
    <n v="-3550"/>
    <x v="0"/>
    <x v="0"/>
    <x v="0"/>
    <x v="6"/>
    <x v="0"/>
  </r>
  <r>
    <x v="190"/>
    <x v="4"/>
    <n v="-2326"/>
    <x v="1"/>
    <x v="1"/>
    <x v="0"/>
    <x v="6"/>
    <x v="0"/>
  </r>
  <r>
    <x v="190"/>
    <x v="40"/>
    <n v="-1317"/>
    <x v="3"/>
    <x v="9"/>
    <x v="0"/>
    <x v="6"/>
    <x v="0"/>
  </r>
  <r>
    <x v="190"/>
    <x v="27"/>
    <n v="-1621"/>
    <x v="3"/>
    <x v="5"/>
    <x v="0"/>
    <x v="6"/>
    <x v="0"/>
  </r>
  <r>
    <x v="190"/>
    <x v="2"/>
    <n v="12572"/>
    <x v="2"/>
    <x v="2"/>
    <x v="1"/>
    <x v="6"/>
    <x v="0"/>
  </r>
  <r>
    <x v="191"/>
    <x v="4"/>
    <n v="-1736"/>
    <x v="1"/>
    <x v="1"/>
    <x v="0"/>
    <x v="6"/>
    <x v="0"/>
  </r>
  <r>
    <x v="191"/>
    <x v="5"/>
    <n v="13235"/>
    <x v="2"/>
    <x v="2"/>
    <x v="1"/>
    <x v="6"/>
    <x v="0"/>
  </r>
  <r>
    <x v="191"/>
    <x v="50"/>
    <n v="-2316"/>
    <x v="3"/>
    <x v="3"/>
    <x v="0"/>
    <x v="6"/>
    <x v="0"/>
  </r>
  <r>
    <x v="191"/>
    <x v="5"/>
    <n v="13487"/>
    <x v="2"/>
    <x v="2"/>
    <x v="1"/>
    <x v="6"/>
    <x v="0"/>
  </r>
  <r>
    <x v="191"/>
    <x v="5"/>
    <n v="10098"/>
    <x v="2"/>
    <x v="2"/>
    <x v="1"/>
    <x v="6"/>
    <x v="0"/>
  </r>
  <r>
    <x v="191"/>
    <x v="25"/>
    <n v="-1264"/>
    <x v="3"/>
    <x v="9"/>
    <x v="0"/>
    <x v="6"/>
    <x v="0"/>
  </r>
  <r>
    <x v="191"/>
    <x v="61"/>
    <n v="-1081"/>
    <x v="3"/>
    <x v="10"/>
    <x v="0"/>
    <x v="6"/>
    <x v="0"/>
  </r>
  <r>
    <x v="191"/>
    <x v="2"/>
    <n v="11612"/>
    <x v="2"/>
    <x v="2"/>
    <x v="1"/>
    <x v="6"/>
    <x v="0"/>
  </r>
  <r>
    <x v="191"/>
    <x v="5"/>
    <n v="14064"/>
    <x v="2"/>
    <x v="2"/>
    <x v="1"/>
    <x v="6"/>
    <x v="0"/>
  </r>
  <r>
    <x v="191"/>
    <x v="2"/>
    <n v="11094"/>
    <x v="2"/>
    <x v="2"/>
    <x v="1"/>
    <x v="6"/>
    <x v="0"/>
  </r>
  <r>
    <x v="191"/>
    <x v="1"/>
    <n v="-1409"/>
    <x v="1"/>
    <x v="1"/>
    <x v="0"/>
    <x v="6"/>
    <x v="0"/>
  </r>
  <r>
    <x v="191"/>
    <x v="6"/>
    <n v="-1455"/>
    <x v="1"/>
    <x v="4"/>
    <x v="0"/>
    <x v="6"/>
    <x v="0"/>
  </r>
  <r>
    <x v="191"/>
    <x v="4"/>
    <n v="-1345"/>
    <x v="1"/>
    <x v="1"/>
    <x v="0"/>
    <x v="6"/>
    <x v="0"/>
  </r>
  <r>
    <x v="191"/>
    <x v="1"/>
    <n v="-1002"/>
    <x v="1"/>
    <x v="1"/>
    <x v="0"/>
    <x v="6"/>
    <x v="0"/>
  </r>
  <r>
    <x v="191"/>
    <x v="0"/>
    <n v="-2890"/>
    <x v="0"/>
    <x v="0"/>
    <x v="0"/>
    <x v="6"/>
    <x v="0"/>
  </r>
  <r>
    <x v="191"/>
    <x v="0"/>
    <n v="-3511"/>
    <x v="0"/>
    <x v="0"/>
    <x v="0"/>
    <x v="6"/>
    <x v="0"/>
  </r>
  <r>
    <x v="192"/>
    <x v="4"/>
    <n v="-2438"/>
    <x v="1"/>
    <x v="1"/>
    <x v="0"/>
    <x v="6"/>
    <x v="0"/>
  </r>
  <r>
    <x v="192"/>
    <x v="60"/>
    <n v="-1730"/>
    <x v="3"/>
    <x v="6"/>
    <x v="0"/>
    <x v="6"/>
    <x v="0"/>
  </r>
  <r>
    <x v="192"/>
    <x v="47"/>
    <n v="-1778"/>
    <x v="3"/>
    <x v="8"/>
    <x v="0"/>
    <x v="6"/>
    <x v="0"/>
  </r>
  <r>
    <x v="192"/>
    <x v="5"/>
    <n v="11255"/>
    <x v="2"/>
    <x v="2"/>
    <x v="1"/>
    <x v="6"/>
    <x v="0"/>
  </r>
  <r>
    <x v="192"/>
    <x v="1"/>
    <n v="-1756"/>
    <x v="1"/>
    <x v="1"/>
    <x v="0"/>
    <x v="6"/>
    <x v="0"/>
  </r>
  <r>
    <x v="192"/>
    <x v="4"/>
    <n v="-2247"/>
    <x v="1"/>
    <x v="1"/>
    <x v="0"/>
    <x v="6"/>
    <x v="0"/>
  </r>
  <r>
    <x v="192"/>
    <x v="0"/>
    <n v="-3094"/>
    <x v="0"/>
    <x v="0"/>
    <x v="0"/>
    <x v="6"/>
    <x v="0"/>
  </r>
  <r>
    <x v="192"/>
    <x v="5"/>
    <n v="12653"/>
    <x v="2"/>
    <x v="2"/>
    <x v="1"/>
    <x v="6"/>
    <x v="0"/>
  </r>
  <r>
    <x v="192"/>
    <x v="49"/>
    <n v="-2300"/>
    <x v="3"/>
    <x v="5"/>
    <x v="0"/>
    <x v="6"/>
    <x v="0"/>
  </r>
  <r>
    <x v="192"/>
    <x v="29"/>
    <n v="-1160"/>
    <x v="3"/>
    <x v="7"/>
    <x v="0"/>
    <x v="6"/>
    <x v="0"/>
  </r>
  <r>
    <x v="192"/>
    <x v="6"/>
    <n v="-2061"/>
    <x v="1"/>
    <x v="4"/>
    <x v="0"/>
    <x v="6"/>
    <x v="0"/>
  </r>
  <r>
    <x v="192"/>
    <x v="0"/>
    <n v="-3389"/>
    <x v="0"/>
    <x v="0"/>
    <x v="0"/>
    <x v="6"/>
    <x v="0"/>
  </r>
  <r>
    <x v="192"/>
    <x v="2"/>
    <n v="12343"/>
    <x v="2"/>
    <x v="2"/>
    <x v="1"/>
    <x v="6"/>
    <x v="0"/>
  </r>
  <r>
    <x v="192"/>
    <x v="45"/>
    <n v="-2459"/>
    <x v="3"/>
    <x v="5"/>
    <x v="0"/>
    <x v="6"/>
    <x v="0"/>
  </r>
  <r>
    <x v="192"/>
    <x v="47"/>
    <n v="-1356"/>
    <x v="3"/>
    <x v="8"/>
    <x v="0"/>
    <x v="6"/>
    <x v="0"/>
  </r>
  <r>
    <x v="192"/>
    <x v="0"/>
    <n v="-3486"/>
    <x v="0"/>
    <x v="0"/>
    <x v="0"/>
    <x v="6"/>
    <x v="0"/>
  </r>
  <r>
    <x v="192"/>
    <x v="1"/>
    <n v="-2089"/>
    <x v="1"/>
    <x v="1"/>
    <x v="0"/>
    <x v="6"/>
    <x v="0"/>
  </r>
  <r>
    <x v="192"/>
    <x v="4"/>
    <n v="-1670"/>
    <x v="1"/>
    <x v="1"/>
    <x v="0"/>
    <x v="6"/>
    <x v="0"/>
  </r>
  <r>
    <x v="192"/>
    <x v="15"/>
    <n v="-1055"/>
    <x v="3"/>
    <x v="6"/>
    <x v="0"/>
    <x v="6"/>
    <x v="0"/>
  </r>
  <r>
    <x v="192"/>
    <x v="21"/>
    <n v="-1322"/>
    <x v="1"/>
    <x v="1"/>
    <x v="0"/>
    <x v="6"/>
    <x v="0"/>
  </r>
  <r>
    <x v="193"/>
    <x v="0"/>
    <n v="-4394"/>
    <x v="0"/>
    <x v="0"/>
    <x v="0"/>
    <x v="6"/>
    <x v="0"/>
  </r>
  <r>
    <x v="193"/>
    <x v="2"/>
    <n v="12536"/>
    <x v="2"/>
    <x v="2"/>
    <x v="1"/>
    <x v="6"/>
    <x v="0"/>
  </r>
  <r>
    <x v="193"/>
    <x v="30"/>
    <n v="-1858"/>
    <x v="4"/>
    <x v="13"/>
    <x v="0"/>
    <x v="6"/>
    <x v="0"/>
  </r>
  <r>
    <x v="193"/>
    <x v="0"/>
    <n v="-4350"/>
    <x v="0"/>
    <x v="0"/>
    <x v="0"/>
    <x v="6"/>
    <x v="0"/>
  </r>
  <r>
    <x v="193"/>
    <x v="46"/>
    <n v="-2207"/>
    <x v="3"/>
    <x v="11"/>
    <x v="0"/>
    <x v="6"/>
    <x v="0"/>
  </r>
  <r>
    <x v="193"/>
    <x v="0"/>
    <n v="-4708"/>
    <x v="0"/>
    <x v="0"/>
    <x v="0"/>
    <x v="6"/>
    <x v="0"/>
  </r>
  <r>
    <x v="193"/>
    <x v="20"/>
    <n v="-1599"/>
    <x v="3"/>
    <x v="10"/>
    <x v="0"/>
    <x v="6"/>
    <x v="0"/>
  </r>
  <r>
    <x v="193"/>
    <x v="37"/>
    <n v="-1855"/>
    <x v="3"/>
    <x v="3"/>
    <x v="0"/>
    <x v="6"/>
    <x v="0"/>
  </r>
  <r>
    <x v="193"/>
    <x v="21"/>
    <n v="-1512"/>
    <x v="1"/>
    <x v="1"/>
    <x v="0"/>
    <x v="6"/>
    <x v="0"/>
  </r>
  <r>
    <x v="193"/>
    <x v="4"/>
    <n v="-1770"/>
    <x v="1"/>
    <x v="1"/>
    <x v="0"/>
    <x v="6"/>
    <x v="0"/>
  </r>
  <r>
    <x v="193"/>
    <x v="44"/>
    <n v="-2040"/>
    <x v="5"/>
    <x v="14"/>
    <x v="0"/>
    <x v="6"/>
    <x v="0"/>
  </r>
  <r>
    <x v="193"/>
    <x v="4"/>
    <n v="-1920"/>
    <x v="1"/>
    <x v="1"/>
    <x v="0"/>
    <x v="6"/>
    <x v="0"/>
  </r>
  <r>
    <x v="193"/>
    <x v="29"/>
    <n v="-1516"/>
    <x v="3"/>
    <x v="7"/>
    <x v="0"/>
    <x v="6"/>
    <x v="0"/>
  </r>
  <r>
    <x v="193"/>
    <x v="13"/>
    <n v="-1194"/>
    <x v="3"/>
    <x v="7"/>
    <x v="0"/>
    <x v="6"/>
    <x v="0"/>
  </r>
  <r>
    <x v="193"/>
    <x v="4"/>
    <n v="-1620"/>
    <x v="1"/>
    <x v="1"/>
    <x v="0"/>
    <x v="6"/>
    <x v="0"/>
  </r>
  <r>
    <x v="193"/>
    <x v="5"/>
    <n v="14927"/>
    <x v="2"/>
    <x v="2"/>
    <x v="1"/>
    <x v="6"/>
    <x v="0"/>
  </r>
  <r>
    <x v="193"/>
    <x v="0"/>
    <n v="-3107"/>
    <x v="0"/>
    <x v="0"/>
    <x v="0"/>
    <x v="6"/>
    <x v="0"/>
  </r>
  <r>
    <x v="193"/>
    <x v="1"/>
    <n v="-1130"/>
    <x v="1"/>
    <x v="1"/>
    <x v="0"/>
    <x v="6"/>
    <x v="0"/>
  </r>
  <r>
    <x v="194"/>
    <x v="10"/>
    <n v="-1110"/>
    <x v="3"/>
    <x v="6"/>
    <x v="0"/>
    <x v="6"/>
    <x v="0"/>
  </r>
  <r>
    <x v="194"/>
    <x v="4"/>
    <n v="-1044"/>
    <x v="1"/>
    <x v="1"/>
    <x v="0"/>
    <x v="6"/>
    <x v="0"/>
  </r>
  <r>
    <x v="194"/>
    <x v="61"/>
    <n v="-2398"/>
    <x v="3"/>
    <x v="10"/>
    <x v="0"/>
    <x v="6"/>
    <x v="0"/>
  </r>
  <r>
    <x v="194"/>
    <x v="63"/>
    <n v="-2274"/>
    <x v="3"/>
    <x v="5"/>
    <x v="0"/>
    <x v="6"/>
    <x v="0"/>
  </r>
  <r>
    <x v="194"/>
    <x v="1"/>
    <n v="-1950"/>
    <x v="1"/>
    <x v="1"/>
    <x v="0"/>
    <x v="6"/>
    <x v="0"/>
  </r>
  <r>
    <x v="194"/>
    <x v="35"/>
    <n v="-2007"/>
    <x v="3"/>
    <x v="10"/>
    <x v="0"/>
    <x v="6"/>
    <x v="0"/>
  </r>
  <r>
    <x v="194"/>
    <x v="4"/>
    <n v="-2133"/>
    <x v="1"/>
    <x v="1"/>
    <x v="0"/>
    <x v="6"/>
    <x v="0"/>
  </r>
  <r>
    <x v="194"/>
    <x v="12"/>
    <n v="-1114"/>
    <x v="3"/>
    <x v="3"/>
    <x v="0"/>
    <x v="6"/>
    <x v="0"/>
  </r>
  <r>
    <x v="194"/>
    <x v="0"/>
    <n v="-4759"/>
    <x v="0"/>
    <x v="0"/>
    <x v="0"/>
    <x v="6"/>
    <x v="0"/>
  </r>
  <r>
    <x v="194"/>
    <x v="32"/>
    <n v="-1458"/>
    <x v="3"/>
    <x v="9"/>
    <x v="0"/>
    <x v="6"/>
    <x v="0"/>
  </r>
  <r>
    <x v="194"/>
    <x v="19"/>
    <n v="-1520"/>
    <x v="3"/>
    <x v="8"/>
    <x v="0"/>
    <x v="6"/>
    <x v="0"/>
  </r>
  <r>
    <x v="194"/>
    <x v="21"/>
    <n v="-2046"/>
    <x v="1"/>
    <x v="1"/>
    <x v="0"/>
    <x v="6"/>
    <x v="0"/>
  </r>
  <r>
    <x v="195"/>
    <x v="0"/>
    <n v="-3645"/>
    <x v="0"/>
    <x v="0"/>
    <x v="0"/>
    <x v="6"/>
    <x v="0"/>
  </r>
  <r>
    <x v="195"/>
    <x v="15"/>
    <n v="-2011"/>
    <x v="3"/>
    <x v="6"/>
    <x v="0"/>
    <x v="6"/>
    <x v="0"/>
  </r>
  <r>
    <x v="195"/>
    <x v="5"/>
    <n v="12686"/>
    <x v="2"/>
    <x v="2"/>
    <x v="1"/>
    <x v="6"/>
    <x v="0"/>
  </r>
  <r>
    <x v="195"/>
    <x v="2"/>
    <n v="13665"/>
    <x v="2"/>
    <x v="2"/>
    <x v="1"/>
    <x v="6"/>
    <x v="0"/>
  </r>
  <r>
    <x v="195"/>
    <x v="11"/>
    <n v="-1261"/>
    <x v="3"/>
    <x v="5"/>
    <x v="0"/>
    <x v="6"/>
    <x v="0"/>
  </r>
  <r>
    <x v="195"/>
    <x v="39"/>
    <n v="-1627"/>
    <x v="3"/>
    <x v="5"/>
    <x v="0"/>
    <x v="6"/>
    <x v="0"/>
  </r>
  <r>
    <x v="195"/>
    <x v="1"/>
    <n v="-2255"/>
    <x v="1"/>
    <x v="1"/>
    <x v="0"/>
    <x v="6"/>
    <x v="0"/>
  </r>
  <r>
    <x v="195"/>
    <x v="1"/>
    <n v="-1852"/>
    <x v="1"/>
    <x v="1"/>
    <x v="0"/>
    <x v="6"/>
    <x v="0"/>
  </r>
  <r>
    <x v="195"/>
    <x v="0"/>
    <n v="-4896"/>
    <x v="0"/>
    <x v="0"/>
    <x v="0"/>
    <x v="6"/>
    <x v="0"/>
  </r>
  <r>
    <x v="195"/>
    <x v="59"/>
    <n v="-2007"/>
    <x v="3"/>
    <x v="5"/>
    <x v="0"/>
    <x v="6"/>
    <x v="0"/>
  </r>
  <r>
    <x v="195"/>
    <x v="2"/>
    <n v="10587"/>
    <x v="2"/>
    <x v="2"/>
    <x v="1"/>
    <x v="6"/>
    <x v="0"/>
  </r>
  <r>
    <x v="195"/>
    <x v="2"/>
    <n v="12704"/>
    <x v="2"/>
    <x v="2"/>
    <x v="1"/>
    <x v="6"/>
    <x v="0"/>
  </r>
  <r>
    <x v="196"/>
    <x v="0"/>
    <n v="-2585"/>
    <x v="0"/>
    <x v="0"/>
    <x v="0"/>
    <x v="6"/>
    <x v="0"/>
  </r>
  <r>
    <x v="196"/>
    <x v="4"/>
    <n v="-1220"/>
    <x v="1"/>
    <x v="1"/>
    <x v="0"/>
    <x v="6"/>
    <x v="0"/>
  </r>
  <r>
    <x v="196"/>
    <x v="23"/>
    <n v="-1397"/>
    <x v="3"/>
    <x v="5"/>
    <x v="0"/>
    <x v="6"/>
    <x v="0"/>
  </r>
  <r>
    <x v="196"/>
    <x v="2"/>
    <n v="12720"/>
    <x v="2"/>
    <x v="2"/>
    <x v="1"/>
    <x v="6"/>
    <x v="0"/>
  </r>
  <r>
    <x v="196"/>
    <x v="22"/>
    <n v="-1922"/>
    <x v="3"/>
    <x v="11"/>
    <x v="0"/>
    <x v="6"/>
    <x v="0"/>
  </r>
  <r>
    <x v="196"/>
    <x v="0"/>
    <n v="-2506"/>
    <x v="0"/>
    <x v="0"/>
    <x v="0"/>
    <x v="6"/>
    <x v="0"/>
  </r>
  <r>
    <x v="196"/>
    <x v="2"/>
    <n v="12930"/>
    <x v="2"/>
    <x v="2"/>
    <x v="1"/>
    <x v="6"/>
    <x v="0"/>
  </r>
  <r>
    <x v="196"/>
    <x v="25"/>
    <n v="-1877"/>
    <x v="3"/>
    <x v="9"/>
    <x v="0"/>
    <x v="6"/>
    <x v="0"/>
  </r>
  <r>
    <x v="196"/>
    <x v="1"/>
    <n v="-2124"/>
    <x v="1"/>
    <x v="1"/>
    <x v="0"/>
    <x v="6"/>
    <x v="0"/>
  </r>
  <r>
    <x v="196"/>
    <x v="51"/>
    <n v="-1060"/>
    <x v="3"/>
    <x v="5"/>
    <x v="0"/>
    <x v="6"/>
    <x v="0"/>
  </r>
  <r>
    <x v="196"/>
    <x v="1"/>
    <n v="-1625"/>
    <x v="1"/>
    <x v="1"/>
    <x v="0"/>
    <x v="6"/>
    <x v="0"/>
  </r>
  <r>
    <x v="196"/>
    <x v="21"/>
    <n v="-1458"/>
    <x v="1"/>
    <x v="1"/>
    <x v="0"/>
    <x v="6"/>
    <x v="0"/>
  </r>
  <r>
    <x v="196"/>
    <x v="1"/>
    <n v="-1773"/>
    <x v="1"/>
    <x v="1"/>
    <x v="0"/>
    <x v="6"/>
    <x v="0"/>
  </r>
  <r>
    <x v="196"/>
    <x v="28"/>
    <n v="-1127"/>
    <x v="4"/>
    <x v="12"/>
    <x v="0"/>
    <x v="6"/>
    <x v="0"/>
  </r>
  <r>
    <x v="196"/>
    <x v="41"/>
    <n v="-2435"/>
    <x v="3"/>
    <x v="3"/>
    <x v="0"/>
    <x v="6"/>
    <x v="0"/>
  </r>
  <r>
    <x v="196"/>
    <x v="12"/>
    <n v="-1002"/>
    <x v="3"/>
    <x v="3"/>
    <x v="0"/>
    <x v="6"/>
    <x v="0"/>
  </r>
  <r>
    <x v="196"/>
    <x v="5"/>
    <n v="11063"/>
    <x v="2"/>
    <x v="2"/>
    <x v="1"/>
    <x v="6"/>
    <x v="0"/>
  </r>
  <r>
    <x v="196"/>
    <x v="6"/>
    <n v="-1573"/>
    <x v="1"/>
    <x v="4"/>
    <x v="0"/>
    <x v="6"/>
    <x v="0"/>
  </r>
  <r>
    <x v="196"/>
    <x v="1"/>
    <n v="-1115"/>
    <x v="1"/>
    <x v="1"/>
    <x v="0"/>
    <x v="6"/>
    <x v="0"/>
  </r>
  <r>
    <x v="196"/>
    <x v="0"/>
    <n v="-4545"/>
    <x v="0"/>
    <x v="0"/>
    <x v="0"/>
    <x v="6"/>
    <x v="0"/>
  </r>
  <r>
    <x v="197"/>
    <x v="1"/>
    <n v="-1975"/>
    <x v="1"/>
    <x v="1"/>
    <x v="0"/>
    <x v="6"/>
    <x v="0"/>
  </r>
  <r>
    <x v="197"/>
    <x v="0"/>
    <n v="-4984"/>
    <x v="0"/>
    <x v="0"/>
    <x v="0"/>
    <x v="6"/>
    <x v="0"/>
  </r>
  <r>
    <x v="197"/>
    <x v="21"/>
    <n v="-1553"/>
    <x v="1"/>
    <x v="1"/>
    <x v="0"/>
    <x v="6"/>
    <x v="0"/>
  </r>
  <r>
    <x v="197"/>
    <x v="1"/>
    <n v="-1412"/>
    <x v="1"/>
    <x v="1"/>
    <x v="0"/>
    <x v="6"/>
    <x v="0"/>
  </r>
  <r>
    <x v="197"/>
    <x v="1"/>
    <n v="-2285"/>
    <x v="1"/>
    <x v="1"/>
    <x v="0"/>
    <x v="6"/>
    <x v="0"/>
  </r>
  <r>
    <x v="197"/>
    <x v="2"/>
    <n v="11766"/>
    <x v="2"/>
    <x v="2"/>
    <x v="1"/>
    <x v="6"/>
    <x v="0"/>
  </r>
  <r>
    <x v="197"/>
    <x v="1"/>
    <n v="-1795"/>
    <x v="1"/>
    <x v="1"/>
    <x v="0"/>
    <x v="6"/>
    <x v="0"/>
  </r>
  <r>
    <x v="197"/>
    <x v="15"/>
    <n v="-1432"/>
    <x v="3"/>
    <x v="6"/>
    <x v="0"/>
    <x v="6"/>
    <x v="0"/>
  </r>
  <r>
    <x v="197"/>
    <x v="5"/>
    <n v="13439"/>
    <x v="2"/>
    <x v="2"/>
    <x v="1"/>
    <x v="6"/>
    <x v="0"/>
  </r>
  <r>
    <x v="197"/>
    <x v="6"/>
    <n v="-1482"/>
    <x v="1"/>
    <x v="4"/>
    <x v="0"/>
    <x v="6"/>
    <x v="0"/>
  </r>
  <r>
    <x v="197"/>
    <x v="4"/>
    <n v="-1539"/>
    <x v="1"/>
    <x v="1"/>
    <x v="0"/>
    <x v="6"/>
    <x v="0"/>
  </r>
  <r>
    <x v="197"/>
    <x v="44"/>
    <n v="-2118"/>
    <x v="5"/>
    <x v="14"/>
    <x v="0"/>
    <x v="6"/>
    <x v="0"/>
  </r>
  <r>
    <x v="198"/>
    <x v="6"/>
    <n v="-1913"/>
    <x v="1"/>
    <x v="4"/>
    <x v="0"/>
    <x v="6"/>
    <x v="0"/>
  </r>
  <r>
    <x v="198"/>
    <x v="21"/>
    <n v="-2482"/>
    <x v="1"/>
    <x v="1"/>
    <x v="0"/>
    <x v="6"/>
    <x v="0"/>
  </r>
  <r>
    <x v="198"/>
    <x v="5"/>
    <n v="10707"/>
    <x v="2"/>
    <x v="2"/>
    <x v="1"/>
    <x v="6"/>
    <x v="0"/>
  </r>
  <r>
    <x v="198"/>
    <x v="21"/>
    <n v="-1621"/>
    <x v="1"/>
    <x v="1"/>
    <x v="0"/>
    <x v="6"/>
    <x v="0"/>
  </r>
  <r>
    <x v="198"/>
    <x v="46"/>
    <n v="-1669"/>
    <x v="3"/>
    <x v="11"/>
    <x v="0"/>
    <x v="6"/>
    <x v="0"/>
  </r>
  <r>
    <x v="198"/>
    <x v="6"/>
    <n v="-1683"/>
    <x v="1"/>
    <x v="4"/>
    <x v="0"/>
    <x v="6"/>
    <x v="0"/>
  </r>
  <r>
    <x v="198"/>
    <x v="2"/>
    <n v="13511"/>
    <x v="2"/>
    <x v="2"/>
    <x v="1"/>
    <x v="6"/>
    <x v="0"/>
  </r>
  <r>
    <x v="198"/>
    <x v="0"/>
    <n v="-4814"/>
    <x v="0"/>
    <x v="0"/>
    <x v="0"/>
    <x v="6"/>
    <x v="0"/>
  </r>
  <r>
    <x v="198"/>
    <x v="57"/>
    <n v="-2120"/>
    <x v="3"/>
    <x v="5"/>
    <x v="0"/>
    <x v="6"/>
    <x v="0"/>
  </r>
  <r>
    <x v="198"/>
    <x v="0"/>
    <n v="-2788"/>
    <x v="0"/>
    <x v="0"/>
    <x v="0"/>
    <x v="6"/>
    <x v="0"/>
  </r>
  <r>
    <x v="198"/>
    <x v="5"/>
    <n v="11061"/>
    <x v="2"/>
    <x v="2"/>
    <x v="1"/>
    <x v="6"/>
    <x v="0"/>
  </r>
  <r>
    <x v="198"/>
    <x v="5"/>
    <n v="10940"/>
    <x v="2"/>
    <x v="2"/>
    <x v="1"/>
    <x v="6"/>
    <x v="0"/>
  </r>
  <r>
    <x v="198"/>
    <x v="6"/>
    <n v="-2043"/>
    <x v="1"/>
    <x v="4"/>
    <x v="0"/>
    <x v="6"/>
    <x v="0"/>
  </r>
  <r>
    <x v="198"/>
    <x v="1"/>
    <n v="-1584"/>
    <x v="1"/>
    <x v="1"/>
    <x v="0"/>
    <x v="6"/>
    <x v="0"/>
  </r>
  <r>
    <x v="198"/>
    <x v="24"/>
    <n v="-1795"/>
    <x v="3"/>
    <x v="6"/>
    <x v="0"/>
    <x v="6"/>
    <x v="0"/>
  </r>
  <r>
    <x v="198"/>
    <x v="9"/>
    <n v="-1675"/>
    <x v="3"/>
    <x v="5"/>
    <x v="0"/>
    <x v="6"/>
    <x v="0"/>
  </r>
  <r>
    <x v="199"/>
    <x v="1"/>
    <n v="-1241"/>
    <x v="1"/>
    <x v="1"/>
    <x v="0"/>
    <x v="6"/>
    <x v="0"/>
  </r>
  <r>
    <x v="199"/>
    <x v="21"/>
    <n v="-1911"/>
    <x v="1"/>
    <x v="1"/>
    <x v="0"/>
    <x v="6"/>
    <x v="0"/>
  </r>
  <r>
    <x v="199"/>
    <x v="4"/>
    <n v="-1809"/>
    <x v="1"/>
    <x v="1"/>
    <x v="0"/>
    <x v="6"/>
    <x v="0"/>
  </r>
  <r>
    <x v="199"/>
    <x v="17"/>
    <n v="-2088"/>
    <x v="3"/>
    <x v="5"/>
    <x v="0"/>
    <x v="6"/>
    <x v="0"/>
  </r>
  <r>
    <x v="199"/>
    <x v="17"/>
    <n v="-1527"/>
    <x v="3"/>
    <x v="5"/>
    <x v="0"/>
    <x v="6"/>
    <x v="0"/>
  </r>
  <r>
    <x v="199"/>
    <x v="30"/>
    <n v="-1717"/>
    <x v="4"/>
    <x v="13"/>
    <x v="0"/>
    <x v="6"/>
    <x v="0"/>
  </r>
  <r>
    <x v="199"/>
    <x v="5"/>
    <n v="11557"/>
    <x v="2"/>
    <x v="2"/>
    <x v="1"/>
    <x v="6"/>
    <x v="0"/>
  </r>
  <r>
    <x v="199"/>
    <x v="2"/>
    <n v="14917"/>
    <x v="2"/>
    <x v="2"/>
    <x v="1"/>
    <x v="6"/>
    <x v="0"/>
  </r>
  <r>
    <x v="199"/>
    <x v="5"/>
    <n v="14489"/>
    <x v="2"/>
    <x v="2"/>
    <x v="1"/>
    <x v="6"/>
    <x v="0"/>
  </r>
  <r>
    <x v="199"/>
    <x v="41"/>
    <n v="-1548"/>
    <x v="3"/>
    <x v="3"/>
    <x v="0"/>
    <x v="6"/>
    <x v="0"/>
  </r>
  <r>
    <x v="199"/>
    <x v="19"/>
    <n v="-1346"/>
    <x v="3"/>
    <x v="8"/>
    <x v="0"/>
    <x v="6"/>
    <x v="0"/>
  </r>
  <r>
    <x v="199"/>
    <x v="4"/>
    <n v="-2071"/>
    <x v="1"/>
    <x v="1"/>
    <x v="0"/>
    <x v="6"/>
    <x v="0"/>
  </r>
  <r>
    <x v="199"/>
    <x v="0"/>
    <n v="-4602"/>
    <x v="0"/>
    <x v="0"/>
    <x v="0"/>
    <x v="6"/>
    <x v="0"/>
  </r>
  <r>
    <x v="199"/>
    <x v="0"/>
    <n v="-4829"/>
    <x v="0"/>
    <x v="0"/>
    <x v="0"/>
    <x v="6"/>
    <x v="0"/>
  </r>
  <r>
    <x v="200"/>
    <x v="4"/>
    <n v="-1123"/>
    <x v="1"/>
    <x v="1"/>
    <x v="0"/>
    <x v="6"/>
    <x v="0"/>
  </r>
  <r>
    <x v="200"/>
    <x v="11"/>
    <n v="-2035"/>
    <x v="3"/>
    <x v="5"/>
    <x v="0"/>
    <x v="6"/>
    <x v="0"/>
  </r>
  <r>
    <x v="200"/>
    <x v="4"/>
    <n v="-2338"/>
    <x v="1"/>
    <x v="1"/>
    <x v="0"/>
    <x v="6"/>
    <x v="0"/>
  </r>
  <r>
    <x v="200"/>
    <x v="4"/>
    <n v="-2312"/>
    <x v="1"/>
    <x v="1"/>
    <x v="0"/>
    <x v="6"/>
    <x v="0"/>
  </r>
  <r>
    <x v="200"/>
    <x v="2"/>
    <n v="14741"/>
    <x v="2"/>
    <x v="2"/>
    <x v="1"/>
    <x v="6"/>
    <x v="0"/>
  </r>
  <r>
    <x v="200"/>
    <x v="6"/>
    <n v="-1257"/>
    <x v="1"/>
    <x v="4"/>
    <x v="0"/>
    <x v="6"/>
    <x v="0"/>
  </r>
  <r>
    <x v="200"/>
    <x v="5"/>
    <n v="13892"/>
    <x v="2"/>
    <x v="2"/>
    <x v="1"/>
    <x v="6"/>
    <x v="0"/>
  </r>
  <r>
    <x v="200"/>
    <x v="2"/>
    <n v="14536"/>
    <x v="2"/>
    <x v="2"/>
    <x v="1"/>
    <x v="6"/>
    <x v="0"/>
  </r>
  <r>
    <x v="200"/>
    <x v="33"/>
    <n v="-2172"/>
    <x v="3"/>
    <x v="3"/>
    <x v="0"/>
    <x v="6"/>
    <x v="0"/>
  </r>
  <r>
    <x v="200"/>
    <x v="2"/>
    <n v="11558"/>
    <x v="2"/>
    <x v="2"/>
    <x v="1"/>
    <x v="6"/>
    <x v="0"/>
  </r>
  <r>
    <x v="200"/>
    <x v="4"/>
    <n v="-1881"/>
    <x v="1"/>
    <x v="1"/>
    <x v="0"/>
    <x v="6"/>
    <x v="0"/>
  </r>
  <r>
    <x v="200"/>
    <x v="1"/>
    <n v="-1925"/>
    <x v="1"/>
    <x v="1"/>
    <x v="0"/>
    <x v="6"/>
    <x v="0"/>
  </r>
  <r>
    <x v="200"/>
    <x v="5"/>
    <n v="14701"/>
    <x v="2"/>
    <x v="2"/>
    <x v="1"/>
    <x v="6"/>
    <x v="0"/>
  </r>
  <r>
    <x v="200"/>
    <x v="47"/>
    <n v="-2056"/>
    <x v="3"/>
    <x v="8"/>
    <x v="0"/>
    <x v="6"/>
    <x v="0"/>
  </r>
  <r>
    <x v="200"/>
    <x v="2"/>
    <n v="14089"/>
    <x v="2"/>
    <x v="2"/>
    <x v="1"/>
    <x v="6"/>
    <x v="0"/>
  </r>
  <r>
    <x v="200"/>
    <x v="59"/>
    <n v="-1090"/>
    <x v="3"/>
    <x v="5"/>
    <x v="0"/>
    <x v="6"/>
    <x v="0"/>
  </r>
  <r>
    <x v="200"/>
    <x v="5"/>
    <n v="14159"/>
    <x v="2"/>
    <x v="2"/>
    <x v="1"/>
    <x v="6"/>
    <x v="0"/>
  </r>
  <r>
    <x v="200"/>
    <x v="2"/>
    <n v="10305"/>
    <x v="2"/>
    <x v="2"/>
    <x v="1"/>
    <x v="6"/>
    <x v="0"/>
  </r>
  <r>
    <x v="200"/>
    <x v="21"/>
    <n v="-1225"/>
    <x v="1"/>
    <x v="1"/>
    <x v="0"/>
    <x v="6"/>
    <x v="0"/>
  </r>
  <r>
    <x v="200"/>
    <x v="30"/>
    <n v="-1813"/>
    <x v="4"/>
    <x v="13"/>
    <x v="0"/>
    <x v="6"/>
    <x v="0"/>
  </r>
  <r>
    <x v="201"/>
    <x v="4"/>
    <n v="-1495"/>
    <x v="1"/>
    <x v="1"/>
    <x v="0"/>
    <x v="6"/>
    <x v="0"/>
  </r>
  <r>
    <x v="201"/>
    <x v="21"/>
    <n v="-2427"/>
    <x v="1"/>
    <x v="1"/>
    <x v="0"/>
    <x v="6"/>
    <x v="0"/>
  </r>
  <r>
    <x v="201"/>
    <x v="1"/>
    <n v="-1367"/>
    <x v="1"/>
    <x v="1"/>
    <x v="0"/>
    <x v="6"/>
    <x v="0"/>
  </r>
  <r>
    <x v="201"/>
    <x v="0"/>
    <n v="-3717"/>
    <x v="0"/>
    <x v="0"/>
    <x v="0"/>
    <x v="6"/>
    <x v="0"/>
  </r>
  <r>
    <x v="201"/>
    <x v="43"/>
    <n v="-2055"/>
    <x v="3"/>
    <x v="5"/>
    <x v="0"/>
    <x v="6"/>
    <x v="0"/>
  </r>
  <r>
    <x v="201"/>
    <x v="0"/>
    <n v="-2509"/>
    <x v="0"/>
    <x v="0"/>
    <x v="0"/>
    <x v="6"/>
    <x v="0"/>
  </r>
  <r>
    <x v="201"/>
    <x v="5"/>
    <n v="10437"/>
    <x v="2"/>
    <x v="2"/>
    <x v="1"/>
    <x v="6"/>
    <x v="0"/>
  </r>
  <r>
    <x v="201"/>
    <x v="2"/>
    <n v="13800"/>
    <x v="2"/>
    <x v="2"/>
    <x v="1"/>
    <x v="6"/>
    <x v="0"/>
  </r>
  <r>
    <x v="201"/>
    <x v="1"/>
    <n v="-2469"/>
    <x v="1"/>
    <x v="1"/>
    <x v="0"/>
    <x v="6"/>
    <x v="0"/>
  </r>
  <r>
    <x v="201"/>
    <x v="2"/>
    <n v="14614"/>
    <x v="2"/>
    <x v="2"/>
    <x v="1"/>
    <x v="6"/>
    <x v="0"/>
  </r>
  <r>
    <x v="202"/>
    <x v="2"/>
    <n v="12866"/>
    <x v="2"/>
    <x v="2"/>
    <x v="1"/>
    <x v="6"/>
    <x v="0"/>
  </r>
  <r>
    <x v="202"/>
    <x v="54"/>
    <n v="-1694"/>
    <x v="3"/>
    <x v="8"/>
    <x v="0"/>
    <x v="6"/>
    <x v="0"/>
  </r>
  <r>
    <x v="202"/>
    <x v="2"/>
    <n v="14587"/>
    <x v="2"/>
    <x v="2"/>
    <x v="1"/>
    <x v="6"/>
    <x v="0"/>
  </r>
  <r>
    <x v="202"/>
    <x v="21"/>
    <n v="-1807"/>
    <x v="1"/>
    <x v="1"/>
    <x v="0"/>
    <x v="6"/>
    <x v="0"/>
  </r>
  <r>
    <x v="202"/>
    <x v="6"/>
    <n v="-2177"/>
    <x v="1"/>
    <x v="4"/>
    <x v="0"/>
    <x v="6"/>
    <x v="0"/>
  </r>
  <r>
    <x v="202"/>
    <x v="5"/>
    <n v="13479"/>
    <x v="2"/>
    <x v="2"/>
    <x v="1"/>
    <x v="6"/>
    <x v="0"/>
  </r>
  <r>
    <x v="202"/>
    <x v="0"/>
    <n v="-3893"/>
    <x v="0"/>
    <x v="0"/>
    <x v="0"/>
    <x v="6"/>
    <x v="0"/>
  </r>
  <r>
    <x v="202"/>
    <x v="4"/>
    <n v="-1565"/>
    <x v="1"/>
    <x v="1"/>
    <x v="0"/>
    <x v="6"/>
    <x v="0"/>
  </r>
  <r>
    <x v="203"/>
    <x v="28"/>
    <n v="-1062"/>
    <x v="4"/>
    <x v="12"/>
    <x v="0"/>
    <x v="6"/>
    <x v="0"/>
  </r>
  <r>
    <x v="203"/>
    <x v="53"/>
    <n v="-1532"/>
    <x v="3"/>
    <x v="5"/>
    <x v="0"/>
    <x v="6"/>
    <x v="0"/>
  </r>
  <r>
    <x v="203"/>
    <x v="0"/>
    <n v="-3889"/>
    <x v="0"/>
    <x v="0"/>
    <x v="0"/>
    <x v="6"/>
    <x v="0"/>
  </r>
  <r>
    <x v="203"/>
    <x v="42"/>
    <n v="-1123"/>
    <x v="3"/>
    <x v="5"/>
    <x v="0"/>
    <x v="6"/>
    <x v="0"/>
  </r>
  <r>
    <x v="203"/>
    <x v="5"/>
    <n v="14201"/>
    <x v="2"/>
    <x v="2"/>
    <x v="1"/>
    <x v="6"/>
    <x v="0"/>
  </r>
  <r>
    <x v="203"/>
    <x v="1"/>
    <n v="-1505"/>
    <x v="1"/>
    <x v="1"/>
    <x v="0"/>
    <x v="6"/>
    <x v="0"/>
  </r>
  <r>
    <x v="203"/>
    <x v="27"/>
    <n v="-1688"/>
    <x v="3"/>
    <x v="5"/>
    <x v="0"/>
    <x v="6"/>
    <x v="0"/>
  </r>
  <r>
    <x v="203"/>
    <x v="1"/>
    <n v="-1115"/>
    <x v="1"/>
    <x v="1"/>
    <x v="0"/>
    <x v="6"/>
    <x v="0"/>
  </r>
  <r>
    <x v="203"/>
    <x v="47"/>
    <n v="-1271"/>
    <x v="3"/>
    <x v="8"/>
    <x v="0"/>
    <x v="6"/>
    <x v="0"/>
  </r>
  <r>
    <x v="203"/>
    <x v="29"/>
    <n v="-1040"/>
    <x v="3"/>
    <x v="7"/>
    <x v="0"/>
    <x v="6"/>
    <x v="0"/>
  </r>
  <r>
    <x v="203"/>
    <x v="57"/>
    <n v="-1582"/>
    <x v="3"/>
    <x v="5"/>
    <x v="0"/>
    <x v="6"/>
    <x v="0"/>
  </r>
  <r>
    <x v="203"/>
    <x v="2"/>
    <n v="13108"/>
    <x v="2"/>
    <x v="2"/>
    <x v="1"/>
    <x v="6"/>
    <x v="0"/>
  </r>
  <r>
    <x v="203"/>
    <x v="0"/>
    <n v="-4374"/>
    <x v="0"/>
    <x v="0"/>
    <x v="0"/>
    <x v="6"/>
    <x v="0"/>
  </r>
  <r>
    <x v="203"/>
    <x v="5"/>
    <n v="10248"/>
    <x v="2"/>
    <x v="2"/>
    <x v="1"/>
    <x v="6"/>
    <x v="0"/>
  </r>
  <r>
    <x v="203"/>
    <x v="0"/>
    <n v="-2821"/>
    <x v="0"/>
    <x v="0"/>
    <x v="0"/>
    <x v="6"/>
    <x v="0"/>
  </r>
  <r>
    <x v="203"/>
    <x v="44"/>
    <n v="-1806"/>
    <x v="5"/>
    <x v="14"/>
    <x v="0"/>
    <x v="6"/>
    <x v="0"/>
  </r>
  <r>
    <x v="203"/>
    <x v="35"/>
    <n v="-1863"/>
    <x v="3"/>
    <x v="10"/>
    <x v="0"/>
    <x v="6"/>
    <x v="0"/>
  </r>
  <r>
    <x v="203"/>
    <x v="6"/>
    <n v="-1937"/>
    <x v="1"/>
    <x v="4"/>
    <x v="0"/>
    <x v="6"/>
    <x v="0"/>
  </r>
  <r>
    <x v="203"/>
    <x v="38"/>
    <n v="-1342"/>
    <x v="3"/>
    <x v="5"/>
    <x v="0"/>
    <x v="6"/>
    <x v="0"/>
  </r>
  <r>
    <x v="203"/>
    <x v="2"/>
    <n v="13882"/>
    <x v="2"/>
    <x v="2"/>
    <x v="1"/>
    <x v="6"/>
    <x v="0"/>
  </r>
  <r>
    <x v="204"/>
    <x v="0"/>
    <n v="-4384"/>
    <x v="0"/>
    <x v="0"/>
    <x v="0"/>
    <x v="6"/>
    <x v="0"/>
  </r>
  <r>
    <x v="204"/>
    <x v="38"/>
    <n v="-1585"/>
    <x v="3"/>
    <x v="5"/>
    <x v="0"/>
    <x v="6"/>
    <x v="0"/>
  </r>
  <r>
    <x v="204"/>
    <x v="21"/>
    <n v="-2447"/>
    <x v="1"/>
    <x v="1"/>
    <x v="0"/>
    <x v="6"/>
    <x v="0"/>
  </r>
  <r>
    <x v="204"/>
    <x v="6"/>
    <n v="-1373"/>
    <x v="1"/>
    <x v="4"/>
    <x v="0"/>
    <x v="6"/>
    <x v="0"/>
  </r>
  <r>
    <x v="204"/>
    <x v="54"/>
    <n v="-1906"/>
    <x v="3"/>
    <x v="8"/>
    <x v="0"/>
    <x v="6"/>
    <x v="0"/>
  </r>
  <r>
    <x v="204"/>
    <x v="21"/>
    <n v="-2042"/>
    <x v="1"/>
    <x v="1"/>
    <x v="0"/>
    <x v="6"/>
    <x v="0"/>
  </r>
  <r>
    <x v="204"/>
    <x v="36"/>
    <n v="-2253"/>
    <x v="3"/>
    <x v="7"/>
    <x v="0"/>
    <x v="6"/>
    <x v="0"/>
  </r>
  <r>
    <x v="204"/>
    <x v="51"/>
    <n v="-1081"/>
    <x v="3"/>
    <x v="5"/>
    <x v="0"/>
    <x v="6"/>
    <x v="0"/>
  </r>
  <r>
    <x v="204"/>
    <x v="35"/>
    <n v="-1473"/>
    <x v="3"/>
    <x v="10"/>
    <x v="0"/>
    <x v="6"/>
    <x v="0"/>
  </r>
  <r>
    <x v="204"/>
    <x v="21"/>
    <n v="-1537"/>
    <x v="1"/>
    <x v="1"/>
    <x v="0"/>
    <x v="6"/>
    <x v="0"/>
  </r>
  <r>
    <x v="204"/>
    <x v="1"/>
    <n v="-1013"/>
    <x v="1"/>
    <x v="1"/>
    <x v="0"/>
    <x v="6"/>
    <x v="0"/>
  </r>
  <r>
    <x v="204"/>
    <x v="0"/>
    <n v="-4453"/>
    <x v="0"/>
    <x v="0"/>
    <x v="0"/>
    <x v="6"/>
    <x v="0"/>
  </r>
  <r>
    <x v="204"/>
    <x v="0"/>
    <n v="-4564"/>
    <x v="0"/>
    <x v="0"/>
    <x v="0"/>
    <x v="6"/>
    <x v="0"/>
  </r>
  <r>
    <x v="204"/>
    <x v="5"/>
    <n v="13795"/>
    <x v="2"/>
    <x v="2"/>
    <x v="1"/>
    <x v="6"/>
    <x v="0"/>
  </r>
  <r>
    <x v="205"/>
    <x v="5"/>
    <n v="10711"/>
    <x v="2"/>
    <x v="2"/>
    <x v="1"/>
    <x v="6"/>
    <x v="0"/>
  </r>
  <r>
    <x v="205"/>
    <x v="28"/>
    <n v="-1435"/>
    <x v="4"/>
    <x v="12"/>
    <x v="0"/>
    <x v="6"/>
    <x v="0"/>
  </r>
  <r>
    <x v="205"/>
    <x v="56"/>
    <n v="1949"/>
    <x v="4"/>
    <x v="15"/>
    <x v="0"/>
    <x v="6"/>
    <x v="0"/>
  </r>
  <r>
    <x v="205"/>
    <x v="1"/>
    <n v="-2049"/>
    <x v="1"/>
    <x v="1"/>
    <x v="0"/>
    <x v="6"/>
    <x v="0"/>
  </r>
  <r>
    <x v="205"/>
    <x v="5"/>
    <n v="10592"/>
    <x v="2"/>
    <x v="2"/>
    <x v="1"/>
    <x v="6"/>
    <x v="0"/>
  </r>
  <r>
    <x v="205"/>
    <x v="5"/>
    <n v="10523"/>
    <x v="2"/>
    <x v="2"/>
    <x v="1"/>
    <x v="6"/>
    <x v="0"/>
  </r>
  <r>
    <x v="205"/>
    <x v="2"/>
    <n v="11279"/>
    <x v="2"/>
    <x v="2"/>
    <x v="1"/>
    <x v="6"/>
    <x v="0"/>
  </r>
  <r>
    <x v="205"/>
    <x v="6"/>
    <n v="-1518"/>
    <x v="1"/>
    <x v="4"/>
    <x v="0"/>
    <x v="6"/>
    <x v="0"/>
  </r>
  <r>
    <x v="205"/>
    <x v="2"/>
    <n v="10674"/>
    <x v="2"/>
    <x v="2"/>
    <x v="1"/>
    <x v="6"/>
    <x v="0"/>
  </r>
  <r>
    <x v="205"/>
    <x v="4"/>
    <n v="-1146"/>
    <x v="1"/>
    <x v="1"/>
    <x v="0"/>
    <x v="6"/>
    <x v="0"/>
  </r>
  <r>
    <x v="205"/>
    <x v="27"/>
    <n v="-2438"/>
    <x v="3"/>
    <x v="5"/>
    <x v="0"/>
    <x v="6"/>
    <x v="0"/>
  </r>
  <r>
    <x v="205"/>
    <x v="3"/>
    <n v="-1449"/>
    <x v="3"/>
    <x v="3"/>
    <x v="0"/>
    <x v="6"/>
    <x v="0"/>
  </r>
  <r>
    <x v="205"/>
    <x v="21"/>
    <n v="-1358"/>
    <x v="1"/>
    <x v="1"/>
    <x v="0"/>
    <x v="6"/>
    <x v="0"/>
  </r>
  <r>
    <x v="205"/>
    <x v="0"/>
    <n v="-3702"/>
    <x v="0"/>
    <x v="0"/>
    <x v="0"/>
    <x v="6"/>
    <x v="0"/>
  </r>
  <r>
    <x v="205"/>
    <x v="0"/>
    <n v="-4742"/>
    <x v="0"/>
    <x v="0"/>
    <x v="0"/>
    <x v="6"/>
    <x v="0"/>
  </r>
  <r>
    <x v="205"/>
    <x v="6"/>
    <n v="-2403"/>
    <x v="1"/>
    <x v="4"/>
    <x v="0"/>
    <x v="6"/>
    <x v="0"/>
  </r>
  <r>
    <x v="206"/>
    <x v="2"/>
    <n v="13563"/>
    <x v="2"/>
    <x v="2"/>
    <x v="1"/>
    <x v="6"/>
    <x v="0"/>
  </r>
  <r>
    <x v="206"/>
    <x v="63"/>
    <n v="-1271"/>
    <x v="3"/>
    <x v="5"/>
    <x v="0"/>
    <x v="6"/>
    <x v="0"/>
  </r>
  <r>
    <x v="206"/>
    <x v="0"/>
    <n v="-4804"/>
    <x v="0"/>
    <x v="0"/>
    <x v="0"/>
    <x v="6"/>
    <x v="0"/>
  </r>
  <r>
    <x v="206"/>
    <x v="39"/>
    <n v="-2332"/>
    <x v="3"/>
    <x v="5"/>
    <x v="0"/>
    <x v="6"/>
    <x v="0"/>
  </r>
  <r>
    <x v="206"/>
    <x v="2"/>
    <n v="12408"/>
    <x v="2"/>
    <x v="2"/>
    <x v="1"/>
    <x v="6"/>
    <x v="0"/>
  </r>
  <r>
    <x v="206"/>
    <x v="0"/>
    <n v="-2646"/>
    <x v="0"/>
    <x v="0"/>
    <x v="0"/>
    <x v="6"/>
    <x v="0"/>
  </r>
  <r>
    <x v="206"/>
    <x v="58"/>
    <n v="-1530"/>
    <x v="3"/>
    <x v="11"/>
    <x v="0"/>
    <x v="6"/>
    <x v="0"/>
  </r>
  <r>
    <x v="206"/>
    <x v="21"/>
    <n v="-1309"/>
    <x v="1"/>
    <x v="1"/>
    <x v="0"/>
    <x v="6"/>
    <x v="0"/>
  </r>
  <r>
    <x v="206"/>
    <x v="5"/>
    <n v="13069"/>
    <x v="2"/>
    <x v="2"/>
    <x v="1"/>
    <x v="6"/>
    <x v="0"/>
  </r>
  <r>
    <x v="206"/>
    <x v="6"/>
    <n v="-1920"/>
    <x v="1"/>
    <x v="4"/>
    <x v="0"/>
    <x v="6"/>
    <x v="0"/>
  </r>
  <r>
    <x v="206"/>
    <x v="5"/>
    <n v="13565"/>
    <x v="2"/>
    <x v="2"/>
    <x v="1"/>
    <x v="6"/>
    <x v="0"/>
  </r>
  <r>
    <x v="206"/>
    <x v="41"/>
    <n v="-1137"/>
    <x v="3"/>
    <x v="3"/>
    <x v="0"/>
    <x v="6"/>
    <x v="0"/>
  </r>
  <r>
    <x v="206"/>
    <x v="0"/>
    <n v="-3353"/>
    <x v="0"/>
    <x v="0"/>
    <x v="0"/>
    <x v="6"/>
    <x v="0"/>
  </r>
  <r>
    <x v="206"/>
    <x v="2"/>
    <n v="14452"/>
    <x v="2"/>
    <x v="2"/>
    <x v="1"/>
    <x v="6"/>
    <x v="0"/>
  </r>
  <r>
    <x v="206"/>
    <x v="7"/>
    <n v="-2386"/>
    <x v="3"/>
    <x v="5"/>
    <x v="0"/>
    <x v="6"/>
    <x v="0"/>
  </r>
  <r>
    <x v="206"/>
    <x v="46"/>
    <n v="-1430"/>
    <x v="3"/>
    <x v="11"/>
    <x v="0"/>
    <x v="6"/>
    <x v="0"/>
  </r>
  <r>
    <x v="206"/>
    <x v="1"/>
    <n v="-1208"/>
    <x v="1"/>
    <x v="1"/>
    <x v="0"/>
    <x v="6"/>
    <x v="0"/>
  </r>
  <r>
    <x v="206"/>
    <x v="1"/>
    <n v="-1586"/>
    <x v="1"/>
    <x v="1"/>
    <x v="0"/>
    <x v="6"/>
    <x v="0"/>
  </r>
  <r>
    <x v="207"/>
    <x v="52"/>
    <n v="-2011"/>
    <x v="3"/>
    <x v="3"/>
    <x v="0"/>
    <x v="6"/>
    <x v="0"/>
  </r>
  <r>
    <x v="207"/>
    <x v="51"/>
    <n v="-1058"/>
    <x v="3"/>
    <x v="5"/>
    <x v="0"/>
    <x v="6"/>
    <x v="0"/>
  </r>
  <r>
    <x v="207"/>
    <x v="28"/>
    <n v="-1768"/>
    <x v="4"/>
    <x v="12"/>
    <x v="0"/>
    <x v="6"/>
    <x v="0"/>
  </r>
  <r>
    <x v="207"/>
    <x v="1"/>
    <n v="-2393"/>
    <x v="1"/>
    <x v="1"/>
    <x v="0"/>
    <x v="6"/>
    <x v="0"/>
  </r>
  <r>
    <x v="207"/>
    <x v="21"/>
    <n v="-1738"/>
    <x v="1"/>
    <x v="1"/>
    <x v="0"/>
    <x v="6"/>
    <x v="0"/>
  </r>
  <r>
    <x v="207"/>
    <x v="0"/>
    <n v="-3309"/>
    <x v="0"/>
    <x v="0"/>
    <x v="0"/>
    <x v="6"/>
    <x v="0"/>
  </r>
  <r>
    <x v="207"/>
    <x v="4"/>
    <n v="-1991"/>
    <x v="1"/>
    <x v="1"/>
    <x v="0"/>
    <x v="6"/>
    <x v="0"/>
  </r>
  <r>
    <x v="207"/>
    <x v="42"/>
    <n v="-2051"/>
    <x v="3"/>
    <x v="5"/>
    <x v="0"/>
    <x v="6"/>
    <x v="0"/>
  </r>
  <r>
    <x v="207"/>
    <x v="22"/>
    <n v="-2054"/>
    <x v="3"/>
    <x v="11"/>
    <x v="0"/>
    <x v="6"/>
    <x v="0"/>
  </r>
  <r>
    <x v="207"/>
    <x v="0"/>
    <n v="-4528"/>
    <x v="0"/>
    <x v="0"/>
    <x v="0"/>
    <x v="6"/>
    <x v="0"/>
  </r>
  <r>
    <x v="207"/>
    <x v="54"/>
    <n v="-1293"/>
    <x v="3"/>
    <x v="8"/>
    <x v="0"/>
    <x v="6"/>
    <x v="0"/>
  </r>
  <r>
    <x v="207"/>
    <x v="5"/>
    <n v="14991"/>
    <x v="2"/>
    <x v="2"/>
    <x v="1"/>
    <x v="6"/>
    <x v="0"/>
  </r>
  <r>
    <x v="207"/>
    <x v="21"/>
    <n v="-2199"/>
    <x v="1"/>
    <x v="1"/>
    <x v="0"/>
    <x v="6"/>
    <x v="0"/>
  </r>
  <r>
    <x v="207"/>
    <x v="5"/>
    <n v="12745"/>
    <x v="2"/>
    <x v="2"/>
    <x v="1"/>
    <x v="6"/>
    <x v="0"/>
  </r>
  <r>
    <x v="207"/>
    <x v="13"/>
    <n v="-2450"/>
    <x v="3"/>
    <x v="7"/>
    <x v="0"/>
    <x v="6"/>
    <x v="0"/>
  </r>
  <r>
    <x v="207"/>
    <x v="16"/>
    <n v="-2163"/>
    <x v="3"/>
    <x v="9"/>
    <x v="0"/>
    <x v="6"/>
    <x v="0"/>
  </r>
  <r>
    <x v="207"/>
    <x v="0"/>
    <n v="-2798"/>
    <x v="0"/>
    <x v="0"/>
    <x v="0"/>
    <x v="6"/>
    <x v="0"/>
  </r>
  <r>
    <x v="207"/>
    <x v="62"/>
    <n v="-2217"/>
    <x v="3"/>
    <x v="11"/>
    <x v="0"/>
    <x v="6"/>
    <x v="0"/>
  </r>
  <r>
    <x v="207"/>
    <x v="47"/>
    <n v="-1703"/>
    <x v="3"/>
    <x v="8"/>
    <x v="0"/>
    <x v="6"/>
    <x v="0"/>
  </r>
  <r>
    <x v="207"/>
    <x v="1"/>
    <n v="-1179"/>
    <x v="1"/>
    <x v="1"/>
    <x v="0"/>
    <x v="6"/>
    <x v="0"/>
  </r>
  <r>
    <x v="208"/>
    <x v="6"/>
    <n v="-1836"/>
    <x v="1"/>
    <x v="4"/>
    <x v="0"/>
    <x v="6"/>
    <x v="0"/>
  </r>
  <r>
    <x v="208"/>
    <x v="5"/>
    <n v="12058"/>
    <x v="2"/>
    <x v="2"/>
    <x v="1"/>
    <x v="6"/>
    <x v="0"/>
  </r>
  <r>
    <x v="208"/>
    <x v="0"/>
    <n v="-4941"/>
    <x v="0"/>
    <x v="0"/>
    <x v="0"/>
    <x v="6"/>
    <x v="0"/>
  </r>
  <r>
    <x v="208"/>
    <x v="35"/>
    <n v="-1032"/>
    <x v="3"/>
    <x v="10"/>
    <x v="0"/>
    <x v="6"/>
    <x v="0"/>
  </r>
  <r>
    <x v="208"/>
    <x v="4"/>
    <n v="-2282"/>
    <x v="1"/>
    <x v="1"/>
    <x v="0"/>
    <x v="6"/>
    <x v="0"/>
  </r>
  <r>
    <x v="208"/>
    <x v="0"/>
    <n v="-3274"/>
    <x v="0"/>
    <x v="0"/>
    <x v="0"/>
    <x v="6"/>
    <x v="0"/>
  </r>
  <r>
    <x v="208"/>
    <x v="55"/>
    <n v="-1006"/>
    <x v="3"/>
    <x v="5"/>
    <x v="0"/>
    <x v="6"/>
    <x v="0"/>
  </r>
  <r>
    <x v="208"/>
    <x v="35"/>
    <n v="-1075"/>
    <x v="3"/>
    <x v="10"/>
    <x v="0"/>
    <x v="6"/>
    <x v="0"/>
  </r>
  <r>
    <x v="208"/>
    <x v="21"/>
    <n v="-1975"/>
    <x v="1"/>
    <x v="1"/>
    <x v="0"/>
    <x v="6"/>
    <x v="0"/>
  </r>
  <r>
    <x v="208"/>
    <x v="35"/>
    <n v="-1183"/>
    <x v="3"/>
    <x v="10"/>
    <x v="0"/>
    <x v="6"/>
    <x v="0"/>
  </r>
  <r>
    <x v="208"/>
    <x v="21"/>
    <n v="-1590"/>
    <x v="1"/>
    <x v="1"/>
    <x v="0"/>
    <x v="6"/>
    <x v="0"/>
  </r>
  <r>
    <x v="208"/>
    <x v="2"/>
    <n v="10196"/>
    <x v="2"/>
    <x v="2"/>
    <x v="1"/>
    <x v="6"/>
    <x v="0"/>
  </r>
  <r>
    <x v="209"/>
    <x v="4"/>
    <n v="-1205"/>
    <x v="1"/>
    <x v="1"/>
    <x v="0"/>
    <x v="6"/>
    <x v="0"/>
  </r>
  <r>
    <x v="209"/>
    <x v="52"/>
    <n v="-1079"/>
    <x v="3"/>
    <x v="3"/>
    <x v="0"/>
    <x v="6"/>
    <x v="0"/>
  </r>
  <r>
    <x v="209"/>
    <x v="39"/>
    <n v="-2178"/>
    <x v="3"/>
    <x v="5"/>
    <x v="0"/>
    <x v="6"/>
    <x v="0"/>
  </r>
  <r>
    <x v="209"/>
    <x v="52"/>
    <n v="-1067"/>
    <x v="3"/>
    <x v="3"/>
    <x v="0"/>
    <x v="6"/>
    <x v="0"/>
  </r>
  <r>
    <x v="209"/>
    <x v="49"/>
    <n v="-2031"/>
    <x v="3"/>
    <x v="5"/>
    <x v="0"/>
    <x v="6"/>
    <x v="0"/>
  </r>
  <r>
    <x v="209"/>
    <x v="48"/>
    <n v="-1548"/>
    <x v="3"/>
    <x v="7"/>
    <x v="0"/>
    <x v="6"/>
    <x v="0"/>
  </r>
  <r>
    <x v="209"/>
    <x v="5"/>
    <n v="14003"/>
    <x v="2"/>
    <x v="2"/>
    <x v="1"/>
    <x v="6"/>
    <x v="0"/>
  </r>
  <r>
    <x v="209"/>
    <x v="49"/>
    <n v="-1603"/>
    <x v="3"/>
    <x v="5"/>
    <x v="0"/>
    <x v="6"/>
    <x v="0"/>
  </r>
  <r>
    <x v="209"/>
    <x v="1"/>
    <n v="-1694"/>
    <x v="1"/>
    <x v="1"/>
    <x v="0"/>
    <x v="6"/>
    <x v="0"/>
  </r>
  <r>
    <x v="209"/>
    <x v="1"/>
    <n v="-2038"/>
    <x v="1"/>
    <x v="1"/>
    <x v="0"/>
    <x v="6"/>
    <x v="0"/>
  </r>
  <r>
    <x v="209"/>
    <x v="6"/>
    <n v="-1879"/>
    <x v="1"/>
    <x v="4"/>
    <x v="0"/>
    <x v="6"/>
    <x v="0"/>
  </r>
  <r>
    <x v="209"/>
    <x v="1"/>
    <n v="-1152"/>
    <x v="1"/>
    <x v="1"/>
    <x v="0"/>
    <x v="6"/>
    <x v="0"/>
  </r>
  <r>
    <x v="209"/>
    <x v="45"/>
    <n v="-1609"/>
    <x v="3"/>
    <x v="5"/>
    <x v="0"/>
    <x v="6"/>
    <x v="0"/>
  </r>
  <r>
    <x v="209"/>
    <x v="48"/>
    <n v="-1004"/>
    <x v="3"/>
    <x v="7"/>
    <x v="0"/>
    <x v="6"/>
    <x v="0"/>
  </r>
  <r>
    <x v="209"/>
    <x v="2"/>
    <n v="12565"/>
    <x v="2"/>
    <x v="2"/>
    <x v="1"/>
    <x v="6"/>
    <x v="0"/>
  </r>
  <r>
    <x v="209"/>
    <x v="4"/>
    <n v="-1054"/>
    <x v="1"/>
    <x v="1"/>
    <x v="0"/>
    <x v="6"/>
    <x v="0"/>
  </r>
  <r>
    <x v="209"/>
    <x v="21"/>
    <n v="-1994"/>
    <x v="1"/>
    <x v="1"/>
    <x v="0"/>
    <x v="6"/>
    <x v="0"/>
  </r>
  <r>
    <x v="209"/>
    <x v="1"/>
    <n v="-1982"/>
    <x v="1"/>
    <x v="1"/>
    <x v="0"/>
    <x v="6"/>
    <x v="0"/>
  </r>
  <r>
    <x v="209"/>
    <x v="6"/>
    <n v="-1532"/>
    <x v="1"/>
    <x v="4"/>
    <x v="0"/>
    <x v="6"/>
    <x v="0"/>
  </r>
  <r>
    <x v="209"/>
    <x v="21"/>
    <n v="-2429"/>
    <x v="1"/>
    <x v="1"/>
    <x v="0"/>
    <x v="6"/>
    <x v="0"/>
  </r>
  <r>
    <x v="209"/>
    <x v="1"/>
    <n v="-1471"/>
    <x v="1"/>
    <x v="1"/>
    <x v="0"/>
    <x v="6"/>
    <x v="0"/>
  </r>
  <r>
    <x v="209"/>
    <x v="42"/>
    <n v="-1860"/>
    <x v="3"/>
    <x v="5"/>
    <x v="0"/>
    <x v="6"/>
    <x v="0"/>
  </r>
  <r>
    <x v="210"/>
    <x v="11"/>
    <n v="-1592"/>
    <x v="3"/>
    <x v="5"/>
    <x v="0"/>
    <x v="6"/>
    <x v="0"/>
  </r>
  <r>
    <x v="210"/>
    <x v="14"/>
    <n v="-2205"/>
    <x v="3"/>
    <x v="8"/>
    <x v="0"/>
    <x v="6"/>
    <x v="0"/>
  </r>
  <r>
    <x v="210"/>
    <x v="4"/>
    <n v="-1740"/>
    <x v="1"/>
    <x v="1"/>
    <x v="0"/>
    <x v="6"/>
    <x v="0"/>
  </r>
  <r>
    <x v="210"/>
    <x v="25"/>
    <n v="-2159"/>
    <x v="3"/>
    <x v="9"/>
    <x v="0"/>
    <x v="6"/>
    <x v="0"/>
  </r>
  <r>
    <x v="210"/>
    <x v="22"/>
    <n v="-1136"/>
    <x v="3"/>
    <x v="11"/>
    <x v="0"/>
    <x v="6"/>
    <x v="0"/>
  </r>
  <r>
    <x v="210"/>
    <x v="5"/>
    <n v="12116"/>
    <x v="2"/>
    <x v="2"/>
    <x v="1"/>
    <x v="6"/>
    <x v="0"/>
  </r>
  <r>
    <x v="210"/>
    <x v="0"/>
    <n v="-3932"/>
    <x v="0"/>
    <x v="0"/>
    <x v="0"/>
    <x v="6"/>
    <x v="0"/>
  </r>
  <r>
    <x v="210"/>
    <x v="5"/>
    <n v="14812"/>
    <x v="2"/>
    <x v="2"/>
    <x v="1"/>
    <x v="6"/>
    <x v="0"/>
  </r>
  <r>
    <x v="210"/>
    <x v="41"/>
    <n v="-1319"/>
    <x v="3"/>
    <x v="3"/>
    <x v="0"/>
    <x v="6"/>
    <x v="0"/>
  </r>
  <r>
    <x v="210"/>
    <x v="50"/>
    <n v="-1537"/>
    <x v="3"/>
    <x v="3"/>
    <x v="0"/>
    <x v="6"/>
    <x v="0"/>
  </r>
  <r>
    <x v="210"/>
    <x v="21"/>
    <n v="-2438"/>
    <x v="1"/>
    <x v="1"/>
    <x v="0"/>
    <x v="6"/>
    <x v="0"/>
  </r>
  <r>
    <x v="210"/>
    <x v="2"/>
    <n v="11206"/>
    <x v="2"/>
    <x v="2"/>
    <x v="1"/>
    <x v="6"/>
    <x v="0"/>
  </r>
  <r>
    <x v="210"/>
    <x v="4"/>
    <n v="-1834"/>
    <x v="1"/>
    <x v="1"/>
    <x v="0"/>
    <x v="6"/>
    <x v="0"/>
  </r>
  <r>
    <x v="210"/>
    <x v="48"/>
    <n v="-1131"/>
    <x v="3"/>
    <x v="7"/>
    <x v="0"/>
    <x v="6"/>
    <x v="0"/>
  </r>
  <r>
    <x v="210"/>
    <x v="5"/>
    <n v="13419"/>
    <x v="2"/>
    <x v="2"/>
    <x v="1"/>
    <x v="6"/>
    <x v="0"/>
  </r>
  <r>
    <x v="210"/>
    <x v="4"/>
    <n v="-2266"/>
    <x v="1"/>
    <x v="1"/>
    <x v="0"/>
    <x v="6"/>
    <x v="0"/>
  </r>
  <r>
    <x v="210"/>
    <x v="2"/>
    <n v="13968"/>
    <x v="2"/>
    <x v="2"/>
    <x v="1"/>
    <x v="6"/>
    <x v="0"/>
  </r>
  <r>
    <x v="210"/>
    <x v="6"/>
    <n v="-1036"/>
    <x v="1"/>
    <x v="4"/>
    <x v="0"/>
    <x v="6"/>
    <x v="0"/>
  </r>
  <r>
    <x v="210"/>
    <x v="17"/>
    <n v="-2046"/>
    <x v="3"/>
    <x v="5"/>
    <x v="0"/>
    <x v="6"/>
    <x v="0"/>
  </r>
  <r>
    <x v="210"/>
    <x v="31"/>
    <n v="-2184"/>
    <x v="3"/>
    <x v="11"/>
    <x v="0"/>
    <x v="6"/>
    <x v="0"/>
  </r>
  <r>
    <x v="210"/>
    <x v="4"/>
    <n v="-1178"/>
    <x v="1"/>
    <x v="1"/>
    <x v="0"/>
    <x v="6"/>
    <x v="0"/>
  </r>
  <r>
    <x v="210"/>
    <x v="2"/>
    <n v="11105"/>
    <x v="2"/>
    <x v="2"/>
    <x v="1"/>
    <x v="6"/>
    <x v="0"/>
  </r>
  <r>
    <x v="210"/>
    <x v="35"/>
    <n v="-1389"/>
    <x v="3"/>
    <x v="10"/>
    <x v="0"/>
    <x v="6"/>
    <x v="0"/>
  </r>
  <r>
    <x v="210"/>
    <x v="6"/>
    <n v="-2132"/>
    <x v="1"/>
    <x v="4"/>
    <x v="0"/>
    <x v="6"/>
    <x v="0"/>
  </r>
  <r>
    <x v="211"/>
    <x v="6"/>
    <n v="-1535"/>
    <x v="1"/>
    <x v="4"/>
    <x v="0"/>
    <x v="6"/>
    <x v="0"/>
  </r>
  <r>
    <x v="211"/>
    <x v="25"/>
    <n v="-1376"/>
    <x v="3"/>
    <x v="9"/>
    <x v="0"/>
    <x v="6"/>
    <x v="0"/>
  </r>
  <r>
    <x v="211"/>
    <x v="1"/>
    <n v="-1770"/>
    <x v="1"/>
    <x v="1"/>
    <x v="0"/>
    <x v="6"/>
    <x v="0"/>
  </r>
  <r>
    <x v="211"/>
    <x v="21"/>
    <n v="-1877"/>
    <x v="1"/>
    <x v="1"/>
    <x v="0"/>
    <x v="6"/>
    <x v="0"/>
  </r>
  <r>
    <x v="211"/>
    <x v="28"/>
    <n v="-1922"/>
    <x v="4"/>
    <x v="12"/>
    <x v="0"/>
    <x v="6"/>
    <x v="0"/>
  </r>
  <r>
    <x v="211"/>
    <x v="5"/>
    <n v="14405"/>
    <x v="2"/>
    <x v="2"/>
    <x v="1"/>
    <x v="6"/>
    <x v="0"/>
  </r>
  <r>
    <x v="211"/>
    <x v="8"/>
    <n v="-1944"/>
    <x v="3"/>
    <x v="6"/>
    <x v="0"/>
    <x v="6"/>
    <x v="0"/>
  </r>
  <r>
    <x v="211"/>
    <x v="41"/>
    <n v="-2288"/>
    <x v="3"/>
    <x v="3"/>
    <x v="0"/>
    <x v="6"/>
    <x v="0"/>
  </r>
  <r>
    <x v="211"/>
    <x v="1"/>
    <n v="-1203"/>
    <x v="1"/>
    <x v="1"/>
    <x v="0"/>
    <x v="6"/>
    <x v="0"/>
  </r>
  <r>
    <x v="211"/>
    <x v="6"/>
    <n v="-1408"/>
    <x v="1"/>
    <x v="4"/>
    <x v="0"/>
    <x v="6"/>
    <x v="0"/>
  </r>
  <r>
    <x v="211"/>
    <x v="1"/>
    <n v="-2368"/>
    <x v="1"/>
    <x v="1"/>
    <x v="0"/>
    <x v="6"/>
    <x v="0"/>
  </r>
  <r>
    <x v="211"/>
    <x v="4"/>
    <n v="-1283"/>
    <x v="1"/>
    <x v="1"/>
    <x v="0"/>
    <x v="6"/>
    <x v="0"/>
  </r>
  <r>
    <x v="211"/>
    <x v="2"/>
    <n v="13665"/>
    <x v="2"/>
    <x v="2"/>
    <x v="1"/>
    <x v="6"/>
    <x v="0"/>
  </r>
  <r>
    <x v="211"/>
    <x v="1"/>
    <n v="-2418"/>
    <x v="1"/>
    <x v="1"/>
    <x v="0"/>
    <x v="6"/>
    <x v="0"/>
  </r>
  <r>
    <x v="211"/>
    <x v="2"/>
    <n v="10516"/>
    <x v="2"/>
    <x v="2"/>
    <x v="1"/>
    <x v="6"/>
    <x v="0"/>
  </r>
  <r>
    <x v="211"/>
    <x v="21"/>
    <n v="-2448"/>
    <x v="1"/>
    <x v="1"/>
    <x v="0"/>
    <x v="6"/>
    <x v="0"/>
  </r>
  <r>
    <x v="211"/>
    <x v="4"/>
    <n v="-1344"/>
    <x v="1"/>
    <x v="1"/>
    <x v="0"/>
    <x v="6"/>
    <x v="0"/>
  </r>
  <r>
    <x v="211"/>
    <x v="2"/>
    <n v="12147"/>
    <x v="2"/>
    <x v="2"/>
    <x v="1"/>
    <x v="6"/>
    <x v="0"/>
  </r>
  <r>
    <x v="211"/>
    <x v="5"/>
    <n v="10941"/>
    <x v="2"/>
    <x v="2"/>
    <x v="1"/>
    <x v="6"/>
    <x v="0"/>
  </r>
  <r>
    <x v="211"/>
    <x v="6"/>
    <n v="-2278"/>
    <x v="1"/>
    <x v="4"/>
    <x v="0"/>
    <x v="6"/>
    <x v="0"/>
  </r>
  <r>
    <x v="211"/>
    <x v="21"/>
    <n v="-2047"/>
    <x v="1"/>
    <x v="1"/>
    <x v="0"/>
    <x v="6"/>
    <x v="0"/>
  </r>
  <r>
    <x v="211"/>
    <x v="1"/>
    <n v="-1765"/>
    <x v="1"/>
    <x v="1"/>
    <x v="0"/>
    <x v="6"/>
    <x v="0"/>
  </r>
  <r>
    <x v="212"/>
    <x v="44"/>
    <n v="-1731"/>
    <x v="5"/>
    <x v="14"/>
    <x v="0"/>
    <x v="7"/>
    <x v="0"/>
  </r>
  <r>
    <x v="212"/>
    <x v="4"/>
    <n v="-1252"/>
    <x v="1"/>
    <x v="1"/>
    <x v="0"/>
    <x v="7"/>
    <x v="0"/>
  </r>
  <r>
    <x v="212"/>
    <x v="45"/>
    <n v="-1448"/>
    <x v="3"/>
    <x v="5"/>
    <x v="0"/>
    <x v="7"/>
    <x v="0"/>
  </r>
  <r>
    <x v="212"/>
    <x v="42"/>
    <n v="-1547"/>
    <x v="3"/>
    <x v="5"/>
    <x v="0"/>
    <x v="7"/>
    <x v="0"/>
  </r>
  <r>
    <x v="212"/>
    <x v="9"/>
    <n v="-1340"/>
    <x v="3"/>
    <x v="5"/>
    <x v="0"/>
    <x v="7"/>
    <x v="0"/>
  </r>
  <r>
    <x v="212"/>
    <x v="0"/>
    <n v="-4175"/>
    <x v="0"/>
    <x v="0"/>
    <x v="0"/>
    <x v="7"/>
    <x v="0"/>
  </r>
  <r>
    <x v="212"/>
    <x v="23"/>
    <n v="-1510"/>
    <x v="3"/>
    <x v="5"/>
    <x v="0"/>
    <x v="7"/>
    <x v="0"/>
  </r>
  <r>
    <x v="212"/>
    <x v="1"/>
    <n v="-2222"/>
    <x v="1"/>
    <x v="1"/>
    <x v="0"/>
    <x v="7"/>
    <x v="0"/>
  </r>
  <r>
    <x v="212"/>
    <x v="2"/>
    <n v="13422"/>
    <x v="2"/>
    <x v="2"/>
    <x v="1"/>
    <x v="7"/>
    <x v="0"/>
  </r>
  <r>
    <x v="212"/>
    <x v="2"/>
    <n v="13761"/>
    <x v="2"/>
    <x v="2"/>
    <x v="1"/>
    <x v="7"/>
    <x v="0"/>
  </r>
  <r>
    <x v="212"/>
    <x v="2"/>
    <n v="13758"/>
    <x v="2"/>
    <x v="2"/>
    <x v="1"/>
    <x v="7"/>
    <x v="0"/>
  </r>
  <r>
    <x v="212"/>
    <x v="4"/>
    <n v="-2459"/>
    <x v="1"/>
    <x v="1"/>
    <x v="0"/>
    <x v="7"/>
    <x v="0"/>
  </r>
  <r>
    <x v="212"/>
    <x v="2"/>
    <n v="11515"/>
    <x v="2"/>
    <x v="2"/>
    <x v="1"/>
    <x v="7"/>
    <x v="0"/>
  </r>
  <r>
    <x v="212"/>
    <x v="21"/>
    <n v="-1651"/>
    <x v="1"/>
    <x v="1"/>
    <x v="0"/>
    <x v="7"/>
    <x v="0"/>
  </r>
  <r>
    <x v="212"/>
    <x v="2"/>
    <n v="10582"/>
    <x v="2"/>
    <x v="2"/>
    <x v="1"/>
    <x v="7"/>
    <x v="0"/>
  </r>
  <r>
    <x v="212"/>
    <x v="6"/>
    <n v="-1200"/>
    <x v="1"/>
    <x v="4"/>
    <x v="0"/>
    <x v="7"/>
    <x v="0"/>
  </r>
  <r>
    <x v="212"/>
    <x v="8"/>
    <n v="-2304"/>
    <x v="3"/>
    <x v="6"/>
    <x v="0"/>
    <x v="7"/>
    <x v="0"/>
  </r>
  <r>
    <x v="212"/>
    <x v="6"/>
    <n v="-2201"/>
    <x v="1"/>
    <x v="4"/>
    <x v="0"/>
    <x v="7"/>
    <x v="0"/>
  </r>
  <r>
    <x v="212"/>
    <x v="4"/>
    <n v="-1617"/>
    <x v="1"/>
    <x v="1"/>
    <x v="0"/>
    <x v="7"/>
    <x v="0"/>
  </r>
  <r>
    <x v="212"/>
    <x v="44"/>
    <n v="-2478"/>
    <x v="5"/>
    <x v="14"/>
    <x v="0"/>
    <x v="7"/>
    <x v="0"/>
  </r>
  <r>
    <x v="213"/>
    <x v="4"/>
    <n v="-1358"/>
    <x v="1"/>
    <x v="1"/>
    <x v="0"/>
    <x v="7"/>
    <x v="0"/>
  </r>
  <r>
    <x v="213"/>
    <x v="2"/>
    <n v="10775"/>
    <x v="2"/>
    <x v="2"/>
    <x v="1"/>
    <x v="7"/>
    <x v="0"/>
  </r>
  <r>
    <x v="213"/>
    <x v="44"/>
    <n v="-1532"/>
    <x v="5"/>
    <x v="14"/>
    <x v="0"/>
    <x v="7"/>
    <x v="0"/>
  </r>
  <r>
    <x v="213"/>
    <x v="23"/>
    <n v="-1929"/>
    <x v="3"/>
    <x v="5"/>
    <x v="0"/>
    <x v="7"/>
    <x v="0"/>
  </r>
  <r>
    <x v="213"/>
    <x v="6"/>
    <n v="-2285"/>
    <x v="1"/>
    <x v="4"/>
    <x v="0"/>
    <x v="7"/>
    <x v="0"/>
  </r>
  <r>
    <x v="213"/>
    <x v="36"/>
    <n v="-1280"/>
    <x v="3"/>
    <x v="7"/>
    <x v="0"/>
    <x v="7"/>
    <x v="0"/>
  </r>
  <r>
    <x v="213"/>
    <x v="2"/>
    <n v="11907"/>
    <x v="2"/>
    <x v="2"/>
    <x v="1"/>
    <x v="7"/>
    <x v="0"/>
  </r>
  <r>
    <x v="213"/>
    <x v="42"/>
    <n v="-2250"/>
    <x v="3"/>
    <x v="5"/>
    <x v="0"/>
    <x v="7"/>
    <x v="0"/>
  </r>
  <r>
    <x v="213"/>
    <x v="4"/>
    <n v="-1775"/>
    <x v="1"/>
    <x v="1"/>
    <x v="0"/>
    <x v="7"/>
    <x v="0"/>
  </r>
  <r>
    <x v="213"/>
    <x v="5"/>
    <n v="11040"/>
    <x v="2"/>
    <x v="2"/>
    <x v="1"/>
    <x v="7"/>
    <x v="0"/>
  </r>
  <r>
    <x v="213"/>
    <x v="4"/>
    <n v="-2106"/>
    <x v="1"/>
    <x v="1"/>
    <x v="0"/>
    <x v="7"/>
    <x v="0"/>
  </r>
  <r>
    <x v="213"/>
    <x v="0"/>
    <n v="-4555"/>
    <x v="0"/>
    <x v="0"/>
    <x v="0"/>
    <x v="7"/>
    <x v="0"/>
  </r>
  <r>
    <x v="213"/>
    <x v="37"/>
    <n v="-1052"/>
    <x v="3"/>
    <x v="3"/>
    <x v="0"/>
    <x v="7"/>
    <x v="0"/>
  </r>
  <r>
    <x v="213"/>
    <x v="4"/>
    <n v="-2492"/>
    <x v="1"/>
    <x v="1"/>
    <x v="0"/>
    <x v="7"/>
    <x v="0"/>
  </r>
  <r>
    <x v="213"/>
    <x v="0"/>
    <n v="-4192"/>
    <x v="0"/>
    <x v="0"/>
    <x v="0"/>
    <x v="7"/>
    <x v="0"/>
  </r>
  <r>
    <x v="213"/>
    <x v="21"/>
    <n v="-1300"/>
    <x v="1"/>
    <x v="1"/>
    <x v="0"/>
    <x v="7"/>
    <x v="0"/>
  </r>
  <r>
    <x v="213"/>
    <x v="1"/>
    <n v="-2222"/>
    <x v="1"/>
    <x v="1"/>
    <x v="0"/>
    <x v="7"/>
    <x v="0"/>
  </r>
  <r>
    <x v="213"/>
    <x v="5"/>
    <n v="12439"/>
    <x v="2"/>
    <x v="2"/>
    <x v="1"/>
    <x v="7"/>
    <x v="0"/>
  </r>
  <r>
    <x v="213"/>
    <x v="2"/>
    <n v="13769"/>
    <x v="2"/>
    <x v="2"/>
    <x v="1"/>
    <x v="7"/>
    <x v="0"/>
  </r>
  <r>
    <x v="213"/>
    <x v="2"/>
    <n v="11971"/>
    <x v="2"/>
    <x v="2"/>
    <x v="1"/>
    <x v="7"/>
    <x v="0"/>
  </r>
  <r>
    <x v="213"/>
    <x v="21"/>
    <n v="-1072"/>
    <x v="1"/>
    <x v="1"/>
    <x v="0"/>
    <x v="7"/>
    <x v="0"/>
  </r>
  <r>
    <x v="213"/>
    <x v="2"/>
    <n v="12032"/>
    <x v="2"/>
    <x v="2"/>
    <x v="1"/>
    <x v="7"/>
    <x v="0"/>
  </r>
  <r>
    <x v="214"/>
    <x v="6"/>
    <n v="-2468"/>
    <x v="1"/>
    <x v="4"/>
    <x v="0"/>
    <x v="7"/>
    <x v="0"/>
  </r>
  <r>
    <x v="214"/>
    <x v="0"/>
    <n v="-3014"/>
    <x v="0"/>
    <x v="0"/>
    <x v="0"/>
    <x v="7"/>
    <x v="0"/>
  </r>
  <r>
    <x v="214"/>
    <x v="5"/>
    <n v="13163"/>
    <x v="2"/>
    <x v="2"/>
    <x v="1"/>
    <x v="7"/>
    <x v="0"/>
  </r>
  <r>
    <x v="214"/>
    <x v="4"/>
    <n v="-2027"/>
    <x v="1"/>
    <x v="1"/>
    <x v="0"/>
    <x v="7"/>
    <x v="0"/>
  </r>
  <r>
    <x v="214"/>
    <x v="21"/>
    <n v="-1975"/>
    <x v="1"/>
    <x v="1"/>
    <x v="0"/>
    <x v="7"/>
    <x v="0"/>
  </r>
  <r>
    <x v="214"/>
    <x v="21"/>
    <n v="-2152"/>
    <x v="1"/>
    <x v="1"/>
    <x v="0"/>
    <x v="7"/>
    <x v="0"/>
  </r>
  <r>
    <x v="214"/>
    <x v="2"/>
    <n v="11619"/>
    <x v="2"/>
    <x v="2"/>
    <x v="1"/>
    <x v="7"/>
    <x v="0"/>
  </r>
  <r>
    <x v="214"/>
    <x v="8"/>
    <n v="-1705"/>
    <x v="3"/>
    <x v="6"/>
    <x v="0"/>
    <x v="7"/>
    <x v="0"/>
  </r>
  <r>
    <x v="214"/>
    <x v="1"/>
    <n v="-1371"/>
    <x v="1"/>
    <x v="1"/>
    <x v="0"/>
    <x v="7"/>
    <x v="0"/>
  </r>
  <r>
    <x v="214"/>
    <x v="0"/>
    <n v="-3568"/>
    <x v="0"/>
    <x v="0"/>
    <x v="0"/>
    <x v="7"/>
    <x v="0"/>
  </r>
  <r>
    <x v="214"/>
    <x v="21"/>
    <n v="-1383"/>
    <x v="1"/>
    <x v="1"/>
    <x v="0"/>
    <x v="7"/>
    <x v="0"/>
  </r>
  <r>
    <x v="214"/>
    <x v="16"/>
    <n v="-1854"/>
    <x v="3"/>
    <x v="9"/>
    <x v="0"/>
    <x v="7"/>
    <x v="0"/>
  </r>
  <r>
    <x v="214"/>
    <x v="1"/>
    <n v="-1992"/>
    <x v="1"/>
    <x v="1"/>
    <x v="0"/>
    <x v="7"/>
    <x v="0"/>
  </r>
  <r>
    <x v="214"/>
    <x v="8"/>
    <n v="-1785"/>
    <x v="3"/>
    <x v="6"/>
    <x v="0"/>
    <x v="7"/>
    <x v="0"/>
  </r>
  <r>
    <x v="215"/>
    <x v="2"/>
    <n v="13609"/>
    <x v="2"/>
    <x v="2"/>
    <x v="1"/>
    <x v="7"/>
    <x v="0"/>
  </r>
  <r>
    <x v="215"/>
    <x v="2"/>
    <n v="12681"/>
    <x v="2"/>
    <x v="2"/>
    <x v="1"/>
    <x v="7"/>
    <x v="0"/>
  </r>
  <r>
    <x v="215"/>
    <x v="43"/>
    <n v="-1532"/>
    <x v="3"/>
    <x v="5"/>
    <x v="0"/>
    <x v="7"/>
    <x v="0"/>
  </r>
  <r>
    <x v="215"/>
    <x v="1"/>
    <n v="-1992"/>
    <x v="1"/>
    <x v="1"/>
    <x v="0"/>
    <x v="7"/>
    <x v="0"/>
  </r>
  <r>
    <x v="215"/>
    <x v="0"/>
    <n v="-4243"/>
    <x v="0"/>
    <x v="0"/>
    <x v="0"/>
    <x v="7"/>
    <x v="0"/>
  </r>
  <r>
    <x v="215"/>
    <x v="6"/>
    <n v="-1203"/>
    <x v="1"/>
    <x v="4"/>
    <x v="0"/>
    <x v="7"/>
    <x v="0"/>
  </r>
  <r>
    <x v="215"/>
    <x v="2"/>
    <n v="10907"/>
    <x v="2"/>
    <x v="2"/>
    <x v="1"/>
    <x v="7"/>
    <x v="0"/>
  </r>
  <r>
    <x v="215"/>
    <x v="0"/>
    <n v="-2751"/>
    <x v="0"/>
    <x v="0"/>
    <x v="0"/>
    <x v="7"/>
    <x v="0"/>
  </r>
  <r>
    <x v="215"/>
    <x v="2"/>
    <n v="14848"/>
    <x v="2"/>
    <x v="2"/>
    <x v="1"/>
    <x v="7"/>
    <x v="0"/>
  </r>
  <r>
    <x v="215"/>
    <x v="5"/>
    <n v="11658"/>
    <x v="2"/>
    <x v="2"/>
    <x v="1"/>
    <x v="7"/>
    <x v="0"/>
  </r>
  <r>
    <x v="215"/>
    <x v="5"/>
    <n v="13682"/>
    <x v="2"/>
    <x v="2"/>
    <x v="1"/>
    <x v="7"/>
    <x v="0"/>
  </r>
  <r>
    <x v="215"/>
    <x v="5"/>
    <n v="12820"/>
    <x v="2"/>
    <x v="2"/>
    <x v="1"/>
    <x v="7"/>
    <x v="0"/>
  </r>
  <r>
    <x v="215"/>
    <x v="5"/>
    <n v="11456"/>
    <x v="2"/>
    <x v="2"/>
    <x v="1"/>
    <x v="7"/>
    <x v="0"/>
  </r>
  <r>
    <x v="215"/>
    <x v="2"/>
    <n v="12380"/>
    <x v="2"/>
    <x v="2"/>
    <x v="1"/>
    <x v="7"/>
    <x v="0"/>
  </r>
  <r>
    <x v="215"/>
    <x v="44"/>
    <n v="-1614"/>
    <x v="5"/>
    <x v="14"/>
    <x v="0"/>
    <x v="7"/>
    <x v="0"/>
  </r>
  <r>
    <x v="215"/>
    <x v="6"/>
    <n v="-2289"/>
    <x v="1"/>
    <x v="4"/>
    <x v="0"/>
    <x v="7"/>
    <x v="0"/>
  </r>
  <r>
    <x v="216"/>
    <x v="53"/>
    <n v="-2349"/>
    <x v="3"/>
    <x v="5"/>
    <x v="0"/>
    <x v="7"/>
    <x v="0"/>
  </r>
  <r>
    <x v="216"/>
    <x v="63"/>
    <n v="-1978"/>
    <x v="3"/>
    <x v="5"/>
    <x v="0"/>
    <x v="7"/>
    <x v="0"/>
  </r>
  <r>
    <x v="216"/>
    <x v="57"/>
    <n v="-1922"/>
    <x v="3"/>
    <x v="5"/>
    <x v="0"/>
    <x v="7"/>
    <x v="0"/>
  </r>
  <r>
    <x v="216"/>
    <x v="15"/>
    <n v="-2434"/>
    <x v="3"/>
    <x v="6"/>
    <x v="0"/>
    <x v="7"/>
    <x v="0"/>
  </r>
  <r>
    <x v="216"/>
    <x v="2"/>
    <n v="12823"/>
    <x v="2"/>
    <x v="2"/>
    <x v="1"/>
    <x v="7"/>
    <x v="0"/>
  </r>
  <r>
    <x v="216"/>
    <x v="2"/>
    <n v="13619"/>
    <x v="2"/>
    <x v="2"/>
    <x v="1"/>
    <x v="7"/>
    <x v="0"/>
  </r>
  <r>
    <x v="216"/>
    <x v="22"/>
    <n v="-1714"/>
    <x v="3"/>
    <x v="11"/>
    <x v="0"/>
    <x v="7"/>
    <x v="0"/>
  </r>
  <r>
    <x v="216"/>
    <x v="4"/>
    <n v="-1768"/>
    <x v="1"/>
    <x v="1"/>
    <x v="0"/>
    <x v="7"/>
    <x v="0"/>
  </r>
  <r>
    <x v="216"/>
    <x v="1"/>
    <n v="-2182"/>
    <x v="1"/>
    <x v="1"/>
    <x v="0"/>
    <x v="7"/>
    <x v="0"/>
  </r>
  <r>
    <x v="216"/>
    <x v="39"/>
    <n v="-2050"/>
    <x v="3"/>
    <x v="5"/>
    <x v="0"/>
    <x v="7"/>
    <x v="0"/>
  </r>
  <r>
    <x v="216"/>
    <x v="4"/>
    <n v="-2128"/>
    <x v="1"/>
    <x v="1"/>
    <x v="0"/>
    <x v="7"/>
    <x v="0"/>
  </r>
  <r>
    <x v="216"/>
    <x v="5"/>
    <n v="13461"/>
    <x v="2"/>
    <x v="2"/>
    <x v="1"/>
    <x v="7"/>
    <x v="0"/>
  </r>
  <r>
    <x v="216"/>
    <x v="1"/>
    <n v="-1753"/>
    <x v="1"/>
    <x v="1"/>
    <x v="0"/>
    <x v="7"/>
    <x v="0"/>
  </r>
  <r>
    <x v="216"/>
    <x v="6"/>
    <n v="-1462"/>
    <x v="1"/>
    <x v="4"/>
    <x v="0"/>
    <x v="7"/>
    <x v="0"/>
  </r>
  <r>
    <x v="216"/>
    <x v="1"/>
    <n v="-2443"/>
    <x v="1"/>
    <x v="1"/>
    <x v="0"/>
    <x v="7"/>
    <x v="0"/>
  </r>
  <r>
    <x v="216"/>
    <x v="1"/>
    <n v="-2179"/>
    <x v="1"/>
    <x v="1"/>
    <x v="0"/>
    <x v="7"/>
    <x v="0"/>
  </r>
  <r>
    <x v="216"/>
    <x v="39"/>
    <n v="-2398"/>
    <x v="3"/>
    <x v="5"/>
    <x v="0"/>
    <x v="7"/>
    <x v="0"/>
  </r>
  <r>
    <x v="216"/>
    <x v="1"/>
    <n v="-1026"/>
    <x v="1"/>
    <x v="1"/>
    <x v="0"/>
    <x v="7"/>
    <x v="0"/>
  </r>
  <r>
    <x v="216"/>
    <x v="16"/>
    <n v="-1665"/>
    <x v="3"/>
    <x v="9"/>
    <x v="0"/>
    <x v="7"/>
    <x v="0"/>
  </r>
  <r>
    <x v="216"/>
    <x v="0"/>
    <n v="-3511"/>
    <x v="0"/>
    <x v="0"/>
    <x v="0"/>
    <x v="7"/>
    <x v="0"/>
  </r>
  <r>
    <x v="216"/>
    <x v="5"/>
    <n v="14020"/>
    <x v="2"/>
    <x v="2"/>
    <x v="1"/>
    <x v="7"/>
    <x v="0"/>
  </r>
  <r>
    <x v="216"/>
    <x v="1"/>
    <n v="-1751"/>
    <x v="1"/>
    <x v="1"/>
    <x v="0"/>
    <x v="7"/>
    <x v="0"/>
  </r>
  <r>
    <x v="217"/>
    <x v="4"/>
    <n v="-2470"/>
    <x v="1"/>
    <x v="1"/>
    <x v="0"/>
    <x v="7"/>
    <x v="0"/>
  </r>
  <r>
    <x v="217"/>
    <x v="4"/>
    <n v="-1700"/>
    <x v="1"/>
    <x v="1"/>
    <x v="0"/>
    <x v="7"/>
    <x v="0"/>
  </r>
  <r>
    <x v="217"/>
    <x v="1"/>
    <n v="-1400"/>
    <x v="1"/>
    <x v="1"/>
    <x v="0"/>
    <x v="7"/>
    <x v="0"/>
  </r>
  <r>
    <x v="217"/>
    <x v="25"/>
    <n v="-1038"/>
    <x v="3"/>
    <x v="9"/>
    <x v="0"/>
    <x v="7"/>
    <x v="0"/>
  </r>
  <r>
    <x v="217"/>
    <x v="2"/>
    <n v="14268"/>
    <x v="2"/>
    <x v="2"/>
    <x v="1"/>
    <x v="7"/>
    <x v="0"/>
  </r>
  <r>
    <x v="217"/>
    <x v="6"/>
    <n v="-1625"/>
    <x v="1"/>
    <x v="4"/>
    <x v="0"/>
    <x v="7"/>
    <x v="0"/>
  </r>
  <r>
    <x v="217"/>
    <x v="2"/>
    <n v="10976"/>
    <x v="2"/>
    <x v="2"/>
    <x v="1"/>
    <x v="7"/>
    <x v="0"/>
  </r>
  <r>
    <x v="217"/>
    <x v="0"/>
    <n v="-3941"/>
    <x v="0"/>
    <x v="0"/>
    <x v="0"/>
    <x v="7"/>
    <x v="0"/>
  </r>
  <r>
    <x v="217"/>
    <x v="19"/>
    <n v="-2413"/>
    <x v="3"/>
    <x v="8"/>
    <x v="0"/>
    <x v="7"/>
    <x v="0"/>
  </r>
  <r>
    <x v="217"/>
    <x v="4"/>
    <n v="-1769"/>
    <x v="1"/>
    <x v="1"/>
    <x v="0"/>
    <x v="7"/>
    <x v="0"/>
  </r>
  <r>
    <x v="217"/>
    <x v="1"/>
    <n v="-1700"/>
    <x v="1"/>
    <x v="1"/>
    <x v="0"/>
    <x v="7"/>
    <x v="0"/>
  </r>
  <r>
    <x v="217"/>
    <x v="57"/>
    <n v="-1057"/>
    <x v="3"/>
    <x v="5"/>
    <x v="0"/>
    <x v="7"/>
    <x v="0"/>
  </r>
  <r>
    <x v="217"/>
    <x v="25"/>
    <n v="-1276"/>
    <x v="3"/>
    <x v="9"/>
    <x v="0"/>
    <x v="7"/>
    <x v="0"/>
  </r>
  <r>
    <x v="217"/>
    <x v="7"/>
    <n v="-1106"/>
    <x v="3"/>
    <x v="5"/>
    <x v="0"/>
    <x v="7"/>
    <x v="0"/>
  </r>
  <r>
    <x v="217"/>
    <x v="21"/>
    <n v="-2225"/>
    <x v="1"/>
    <x v="1"/>
    <x v="0"/>
    <x v="7"/>
    <x v="0"/>
  </r>
  <r>
    <x v="217"/>
    <x v="1"/>
    <n v="-1192"/>
    <x v="1"/>
    <x v="1"/>
    <x v="0"/>
    <x v="7"/>
    <x v="0"/>
  </r>
  <r>
    <x v="218"/>
    <x v="4"/>
    <n v="-1485"/>
    <x v="1"/>
    <x v="1"/>
    <x v="0"/>
    <x v="7"/>
    <x v="0"/>
  </r>
  <r>
    <x v="218"/>
    <x v="35"/>
    <n v="-1196"/>
    <x v="3"/>
    <x v="10"/>
    <x v="0"/>
    <x v="7"/>
    <x v="0"/>
  </r>
  <r>
    <x v="218"/>
    <x v="14"/>
    <n v="-1718"/>
    <x v="3"/>
    <x v="8"/>
    <x v="0"/>
    <x v="7"/>
    <x v="0"/>
  </r>
  <r>
    <x v="218"/>
    <x v="41"/>
    <n v="-2491"/>
    <x v="3"/>
    <x v="3"/>
    <x v="0"/>
    <x v="7"/>
    <x v="0"/>
  </r>
  <r>
    <x v="218"/>
    <x v="2"/>
    <n v="14888"/>
    <x v="2"/>
    <x v="2"/>
    <x v="1"/>
    <x v="7"/>
    <x v="0"/>
  </r>
  <r>
    <x v="218"/>
    <x v="29"/>
    <n v="-1570"/>
    <x v="3"/>
    <x v="7"/>
    <x v="0"/>
    <x v="7"/>
    <x v="0"/>
  </r>
  <r>
    <x v="218"/>
    <x v="18"/>
    <n v="-1179"/>
    <x v="3"/>
    <x v="5"/>
    <x v="0"/>
    <x v="7"/>
    <x v="0"/>
  </r>
  <r>
    <x v="218"/>
    <x v="2"/>
    <n v="13088"/>
    <x v="2"/>
    <x v="2"/>
    <x v="1"/>
    <x v="7"/>
    <x v="0"/>
  </r>
  <r>
    <x v="218"/>
    <x v="5"/>
    <n v="13063"/>
    <x v="2"/>
    <x v="2"/>
    <x v="1"/>
    <x v="7"/>
    <x v="0"/>
  </r>
  <r>
    <x v="218"/>
    <x v="11"/>
    <n v="-2373"/>
    <x v="3"/>
    <x v="5"/>
    <x v="0"/>
    <x v="7"/>
    <x v="0"/>
  </r>
  <r>
    <x v="218"/>
    <x v="4"/>
    <n v="-2186"/>
    <x v="1"/>
    <x v="1"/>
    <x v="0"/>
    <x v="7"/>
    <x v="0"/>
  </r>
  <r>
    <x v="218"/>
    <x v="0"/>
    <n v="-2945"/>
    <x v="0"/>
    <x v="0"/>
    <x v="0"/>
    <x v="7"/>
    <x v="0"/>
  </r>
  <r>
    <x v="219"/>
    <x v="6"/>
    <n v="-1968"/>
    <x v="1"/>
    <x v="4"/>
    <x v="0"/>
    <x v="7"/>
    <x v="0"/>
  </r>
  <r>
    <x v="219"/>
    <x v="6"/>
    <n v="-2336"/>
    <x v="1"/>
    <x v="4"/>
    <x v="0"/>
    <x v="7"/>
    <x v="0"/>
  </r>
  <r>
    <x v="219"/>
    <x v="60"/>
    <n v="-1974"/>
    <x v="3"/>
    <x v="6"/>
    <x v="0"/>
    <x v="7"/>
    <x v="0"/>
  </r>
  <r>
    <x v="219"/>
    <x v="20"/>
    <n v="-1780"/>
    <x v="3"/>
    <x v="10"/>
    <x v="0"/>
    <x v="7"/>
    <x v="0"/>
  </r>
  <r>
    <x v="219"/>
    <x v="2"/>
    <n v="14267"/>
    <x v="2"/>
    <x v="2"/>
    <x v="1"/>
    <x v="7"/>
    <x v="0"/>
  </r>
  <r>
    <x v="219"/>
    <x v="2"/>
    <n v="11848"/>
    <x v="2"/>
    <x v="2"/>
    <x v="1"/>
    <x v="7"/>
    <x v="0"/>
  </r>
  <r>
    <x v="219"/>
    <x v="19"/>
    <n v="-1761"/>
    <x v="3"/>
    <x v="8"/>
    <x v="0"/>
    <x v="7"/>
    <x v="0"/>
  </r>
  <r>
    <x v="219"/>
    <x v="1"/>
    <n v="-2171"/>
    <x v="1"/>
    <x v="1"/>
    <x v="0"/>
    <x v="7"/>
    <x v="0"/>
  </r>
  <r>
    <x v="219"/>
    <x v="5"/>
    <n v="10729"/>
    <x v="2"/>
    <x v="2"/>
    <x v="1"/>
    <x v="7"/>
    <x v="0"/>
  </r>
  <r>
    <x v="219"/>
    <x v="4"/>
    <n v="-1415"/>
    <x v="1"/>
    <x v="1"/>
    <x v="0"/>
    <x v="7"/>
    <x v="0"/>
  </r>
  <r>
    <x v="219"/>
    <x v="19"/>
    <n v="-2337"/>
    <x v="3"/>
    <x v="8"/>
    <x v="0"/>
    <x v="7"/>
    <x v="0"/>
  </r>
  <r>
    <x v="219"/>
    <x v="6"/>
    <n v="-1006"/>
    <x v="1"/>
    <x v="4"/>
    <x v="0"/>
    <x v="7"/>
    <x v="0"/>
  </r>
  <r>
    <x v="219"/>
    <x v="5"/>
    <n v="13925"/>
    <x v="2"/>
    <x v="2"/>
    <x v="1"/>
    <x v="7"/>
    <x v="0"/>
  </r>
  <r>
    <x v="219"/>
    <x v="4"/>
    <n v="-1184"/>
    <x v="1"/>
    <x v="1"/>
    <x v="0"/>
    <x v="7"/>
    <x v="0"/>
  </r>
  <r>
    <x v="219"/>
    <x v="2"/>
    <n v="14036"/>
    <x v="2"/>
    <x v="2"/>
    <x v="1"/>
    <x v="7"/>
    <x v="0"/>
  </r>
  <r>
    <x v="219"/>
    <x v="1"/>
    <n v="-1709"/>
    <x v="1"/>
    <x v="1"/>
    <x v="0"/>
    <x v="7"/>
    <x v="0"/>
  </r>
  <r>
    <x v="219"/>
    <x v="6"/>
    <n v="-2090"/>
    <x v="1"/>
    <x v="4"/>
    <x v="0"/>
    <x v="7"/>
    <x v="0"/>
  </r>
  <r>
    <x v="219"/>
    <x v="9"/>
    <n v="-1630"/>
    <x v="3"/>
    <x v="5"/>
    <x v="0"/>
    <x v="7"/>
    <x v="0"/>
  </r>
  <r>
    <x v="220"/>
    <x v="2"/>
    <n v="12223"/>
    <x v="2"/>
    <x v="2"/>
    <x v="1"/>
    <x v="7"/>
    <x v="0"/>
  </r>
  <r>
    <x v="220"/>
    <x v="2"/>
    <n v="10514"/>
    <x v="2"/>
    <x v="2"/>
    <x v="1"/>
    <x v="7"/>
    <x v="0"/>
  </r>
  <r>
    <x v="220"/>
    <x v="0"/>
    <n v="-4155"/>
    <x v="0"/>
    <x v="0"/>
    <x v="0"/>
    <x v="7"/>
    <x v="0"/>
  </r>
  <r>
    <x v="220"/>
    <x v="21"/>
    <n v="-2225"/>
    <x v="1"/>
    <x v="1"/>
    <x v="0"/>
    <x v="7"/>
    <x v="0"/>
  </r>
  <r>
    <x v="220"/>
    <x v="63"/>
    <n v="-1501"/>
    <x v="3"/>
    <x v="5"/>
    <x v="0"/>
    <x v="7"/>
    <x v="0"/>
  </r>
  <r>
    <x v="220"/>
    <x v="5"/>
    <n v="13874"/>
    <x v="2"/>
    <x v="2"/>
    <x v="1"/>
    <x v="7"/>
    <x v="0"/>
  </r>
  <r>
    <x v="221"/>
    <x v="48"/>
    <n v="-1061"/>
    <x v="3"/>
    <x v="7"/>
    <x v="0"/>
    <x v="7"/>
    <x v="0"/>
  </r>
  <r>
    <x v="221"/>
    <x v="21"/>
    <n v="-1773"/>
    <x v="1"/>
    <x v="1"/>
    <x v="0"/>
    <x v="7"/>
    <x v="0"/>
  </r>
  <r>
    <x v="221"/>
    <x v="35"/>
    <n v="-2250"/>
    <x v="3"/>
    <x v="10"/>
    <x v="0"/>
    <x v="7"/>
    <x v="0"/>
  </r>
  <r>
    <x v="221"/>
    <x v="63"/>
    <n v="-2015"/>
    <x v="3"/>
    <x v="5"/>
    <x v="0"/>
    <x v="7"/>
    <x v="0"/>
  </r>
  <r>
    <x v="221"/>
    <x v="2"/>
    <n v="10667"/>
    <x v="2"/>
    <x v="2"/>
    <x v="1"/>
    <x v="7"/>
    <x v="0"/>
  </r>
  <r>
    <x v="221"/>
    <x v="24"/>
    <n v="-2380"/>
    <x v="3"/>
    <x v="6"/>
    <x v="0"/>
    <x v="7"/>
    <x v="0"/>
  </r>
  <r>
    <x v="221"/>
    <x v="57"/>
    <n v="-1771"/>
    <x v="3"/>
    <x v="5"/>
    <x v="0"/>
    <x v="7"/>
    <x v="0"/>
  </r>
  <r>
    <x v="221"/>
    <x v="0"/>
    <n v="-4915"/>
    <x v="0"/>
    <x v="0"/>
    <x v="0"/>
    <x v="7"/>
    <x v="0"/>
  </r>
  <r>
    <x v="221"/>
    <x v="6"/>
    <n v="-1939"/>
    <x v="1"/>
    <x v="4"/>
    <x v="0"/>
    <x v="7"/>
    <x v="0"/>
  </r>
  <r>
    <x v="221"/>
    <x v="6"/>
    <n v="-1087"/>
    <x v="1"/>
    <x v="4"/>
    <x v="0"/>
    <x v="7"/>
    <x v="0"/>
  </r>
  <r>
    <x v="221"/>
    <x v="4"/>
    <n v="-2039"/>
    <x v="1"/>
    <x v="1"/>
    <x v="0"/>
    <x v="7"/>
    <x v="0"/>
  </r>
  <r>
    <x v="221"/>
    <x v="1"/>
    <n v="-2284"/>
    <x v="1"/>
    <x v="1"/>
    <x v="0"/>
    <x v="7"/>
    <x v="0"/>
  </r>
  <r>
    <x v="221"/>
    <x v="4"/>
    <n v="-2448"/>
    <x v="1"/>
    <x v="1"/>
    <x v="0"/>
    <x v="7"/>
    <x v="0"/>
  </r>
  <r>
    <x v="221"/>
    <x v="5"/>
    <n v="10929"/>
    <x v="2"/>
    <x v="2"/>
    <x v="1"/>
    <x v="7"/>
    <x v="0"/>
  </r>
  <r>
    <x v="221"/>
    <x v="6"/>
    <n v="-2281"/>
    <x v="1"/>
    <x v="4"/>
    <x v="0"/>
    <x v="7"/>
    <x v="0"/>
  </r>
  <r>
    <x v="221"/>
    <x v="59"/>
    <n v="-2000"/>
    <x v="3"/>
    <x v="5"/>
    <x v="0"/>
    <x v="7"/>
    <x v="0"/>
  </r>
  <r>
    <x v="221"/>
    <x v="2"/>
    <n v="12039"/>
    <x v="2"/>
    <x v="2"/>
    <x v="1"/>
    <x v="7"/>
    <x v="0"/>
  </r>
  <r>
    <x v="221"/>
    <x v="9"/>
    <n v="-1288"/>
    <x v="3"/>
    <x v="5"/>
    <x v="0"/>
    <x v="7"/>
    <x v="0"/>
  </r>
  <r>
    <x v="221"/>
    <x v="0"/>
    <n v="-3704"/>
    <x v="0"/>
    <x v="0"/>
    <x v="0"/>
    <x v="7"/>
    <x v="0"/>
  </r>
  <r>
    <x v="221"/>
    <x v="19"/>
    <n v="-2067"/>
    <x v="3"/>
    <x v="8"/>
    <x v="0"/>
    <x v="7"/>
    <x v="0"/>
  </r>
  <r>
    <x v="221"/>
    <x v="6"/>
    <n v="-1886"/>
    <x v="1"/>
    <x v="4"/>
    <x v="0"/>
    <x v="7"/>
    <x v="0"/>
  </r>
  <r>
    <x v="221"/>
    <x v="5"/>
    <n v="13503"/>
    <x v="2"/>
    <x v="2"/>
    <x v="1"/>
    <x v="7"/>
    <x v="0"/>
  </r>
  <r>
    <x v="221"/>
    <x v="2"/>
    <n v="12302"/>
    <x v="2"/>
    <x v="2"/>
    <x v="1"/>
    <x v="7"/>
    <x v="0"/>
  </r>
  <r>
    <x v="221"/>
    <x v="4"/>
    <n v="-1447"/>
    <x v="1"/>
    <x v="1"/>
    <x v="0"/>
    <x v="7"/>
    <x v="0"/>
  </r>
  <r>
    <x v="221"/>
    <x v="7"/>
    <n v="-1588"/>
    <x v="3"/>
    <x v="5"/>
    <x v="0"/>
    <x v="7"/>
    <x v="0"/>
  </r>
  <r>
    <x v="221"/>
    <x v="4"/>
    <n v="-1264"/>
    <x v="1"/>
    <x v="1"/>
    <x v="0"/>
    <x v="7"/>
    <x v="0"/>
  </r>
  <r>
    <x v="221"/>
    <x v="17"/>
    <n v="-1680"/>
    <x v="3"/>
    <x v="5"/>
    <x v="0"/>
    <x v="7"/>
    <x v="0"/>
  </r>
  <r>
    <x v="221"/>
    <x v="4"/>
    <n v="-2223"/>
    <x v="1"/>
    <x v="1"/>
    <x v="0"/>
    <x v="7"/>
    <x v="0"/>
  </r>
  <r>
    <x v="221"/>
    <x v="0"/>
    <n v="-2901"/>
    <x v="0"/>
    <x v="0"/>
    <x v="0"/>
    <x v="7"/>
    <x v="0"/>
  </r>
  <r>
    <x v="221"/>
    <x v="2"/>
    <n v="10537"/>
    <x v="2"/>
    <x v="2"/>
    <x v="1"/>
    <x v="7"/>
    <x v="0"/>
  </r>
  <r>
    <x v="221"/>
    <x v="5"/>
    <n v="10532"/>
    <x v="2"/>
    <x v="2"/>
    <x v="1"/>
    <x v="7"/>
    <x v="0"/>
  </r>
  <r>
    <x v="221"/>
    <x v="4"/>
    <n v="-1262"/>
    <x v="1"/>
    <x v="1"/>
    <x v="0"/>
    <x v="7"/>
    <x v="0"/>
  </r>
  <r>
    <x v="222"/>
    <x v="4"/>
    <n v="-2439"/>
    <x v="1"/>
    <x v="1"/>
    <x v="0"/>
    <x v="7"/>
    <x v="0"/>
  </r>
  <r>
    <x v="222"/>
    <x v="5"/>
    <n v="10907"/>
    <x v="2"/>
    <x v="2"/>
    <x v="1"/>
    <x v="7"/>
    <x v="0"/>
  </r>
  <r>
    <x v="222"/>
    <x v="2"/>
    <n v="11846"/>
    <x v="2"/>
    <x v="2"/>
    <x v="1"/>
    <x v="7"/>
    <x v="0"/>
  </r>
  <r>
    <x v="222"/>
    <x v="60"/>
    <n v="-2151"/>
    <x v="3"/>
    <x v="6"/>
    <x v="0"/>
    <x v="7"/>
    <x v="0"/>
  </r>
  <r>
    <x v="222"/>
    <x v="35"/>
    <n v="-1636"/>
    <x v="3"/>
    <x v="10"/>
    <x v="0"/>
    <x v="7"/>
    <x v="0"/>
  </r>
  <r>
    <x v="222"/>
    <x v="33"/>
    <n v="-1781"/>
    <x v="3"/>
    <x v="3"/>
    <x v="0"/>
    <x v="7"/>
    <x v="0"/>
  </r>
  <r>
    <x v="222"/>
    <x v="47"/>
    <n v="-2295"/>
    <x v="3"/>
    <x v="8"/>
    <x v="0"/>
    <x v="7"/>
    <x v="0"/>
  </r>
  <r>
    <x v="222"/>
    <x v="5"/>
    <n v="11982"/>
    <x v="2"/>
    <x v="2"/>
    <x v="1"/>
    <x v="7"/>
    <x v="0"/>
  </r>
  <r>
    <x v="222"/>
    <x v="21"/>
    <n v="-1592"/>
    <x v="1"/>
    <x v="1"/>
    <x v="0"/>
    <x v="7"/>
    <x v="0"/>
  </r>
  <r>
    <x v="222"/>
    <x v="2"/>
    <n v="10792"/>
    <x v="2"/>
    <x v="2"/>
    <x v="1"/>
    <x v="7"/>
    <x v="0"/>
  </r>
  <r>
    <x v="223"/>
    <x v="2"/>
    <n v="10501"/>
    <x v="2"/>
    <x v="2"/>
    <x v="1"/>
    <x v="7"/>
    <x v="0"/>
  </r>
  <r>
    <x v="223"/>
    <x v="0"/>
    <n v="-2534"/>
    <x v="0"/>
    <x v="0"/>
    <x v="0"/>
    <x v="7"/>
    <x v="0"/>
  </r>
  <r>
    <x v="223"/>
    <x v="6"/>
    <n v="-1444"/>
    <x v="1"/>
    <x v="4"/>
    <x v="0"/>
    <x v="7"/>
    <x v="0"/>
  </r>
  <r>
    <x v="223"/>
    <x v="21"/>
    <n v="-1564"/>
    <x v="1"/>
    <x v="1"/>
    <x v="0"/>
    <x v="7"/>
    <x v="0"/>
  </r>
  <r>
    <x v="223"/>
    <x v="6"/>
    <n v="-2149"/>
    <x v="1"/>
    <x v="4"/>
    <x v="0"/>
    <x v="7"/>
    <x v="0"/>
  </r>
  <r>
    <x v="223"/>
    <x v="5"/>
    <n v="12514"/>
    <x v="2"/>
    <x v="2"/>
    <x v="1"/>
    <x v="7"/>
    <x v="0"/>
  </r>
  <r>
    <x v="223"/>
    <x v="2"/>
    <n v="14755"/>
    <x v="2"/>
    <x v="2"/>
    <x v="1"/>
    <x v="7"/>
    <x v="0"/>
  </r>
  <r>
    <x v="223"/>
    <x v="1"/>
    <n v="-1768"/>
    <x v="1"/>
    <x v="1"/>
    <x v="0"/>
    <x v="7"/>
    <x v="0"/>
  </r>
  <r>
    <x v="223"/>
    <x v="5"/>
    <n v="10273"/>
    <x v="2"/>
    <x v="2"/>
    <x v="1"/>
    <x v="7"/>
    <x v="0"/>
  </r>
  <r>
    <x v="223"/>
    <x v="1"/>
    <n v="-1036"/>
    <x v="1"/>
    <x v="1"/>
    <x v="0"/>
    <x v="7"/>
    <x v="0"/>
  </r>
  <r>
    <x v="223"/>
    <x v="45"/>
    <n v="-2488"/>
    <x v="3"/>
    <x v="5"/>
    <x v="0"/>
    <x v="7"/>
    <x v="0"/>
  </r>
  <r>
    <x v="223"/>
    <x v="25"/>
    <n v="-2148"/>
    <x v="3"/>
    <x v="9"/>
    <x v="0"/>
    <x v="7"/>
    <x v="0"/>
  </r>
  <r>
    <x v="223"/>
    <x v="35"/>
    <n v="-1355"/>
    <x v="3"/>
    <x v="10"/>
    <x v="0"/>
    <x v="7"/>
    <x v="0"/>
  </r>
  <r>
    <x v="223"/>
    <x v="35"/>
    <n v="-1015"/>
    <x v="3"/>
    <x v="10"/>
    <x v="0"/>
    <x v="7"/>
    <x v="0"/>
  </r>
  <r>
    <x v="223"/>
    <x v="2"/>
    <n v="14724"/>
    <x v="2"/>
    <x v="2"/>
    <x v="1"/>
    <x v="7"/>
    <x v="0"/>
  </r>
  <r>
    <x v="223"/>
    <x v="5"/>
    <n v="14588"/>
    <x v="2"/>
    <x v="2"/>
    <x v="1"/>
    <x v="7"/>
    <x v="0"/>
  </r>
  <r>
    <x v="223"/>
    <x v="4"/>
    <n v="-1105"/>
    <x v="1"/>
    <x v="1"/>
    <x v="0"/>
    <x v="7"/>
    <x v="0"/>
  </r>
  <r>
    <x v="223"/>
    <x v="5"/>
    <n v="14739"/>
    <x v="2"/>
    <x v="2"/>
    <x v="1"/>
    <x v="7"/>
    <x v="0"/>
  </r>
  <r>
    <x v="224"/>
    <x v="6"/>
    <n v="-2285"/>
    <x v="1"/>
    <x v="4"/>
    <x v="0"/>
    <x v="7"/>
    <x v="0"/>
  </r>
  <r>
    <x v="224"/>
    <x v="45"/>
    <n v="-1648"/>
    <x v="3"/>
    <x v="5"/>
    <x v="0"/>
    <x v="7"/>
    <x v="0"/>
  </r>
  <r>
    <x v="224"/>
    <x v="2"/>
    <n v="13996"/>
    <x v="2"/>
    <x v="2"/>
    <x v="1"/>
    <x v="7"/>
    <x v="0"/>
  </r>
  <r>
    <x v="224"/>
    <x v="4"/>
    <n v="-1471"/>
    <x v="1"/>
    <x v="1"/>
    <x v="0"/>
    <x v="7"/>
    <x v="0"/>
  </r>
  <r>
    <x v="224"/>
    <x v="19"/>
    <n v="-1220"/>
    <x v="3"/>
    <x v="8"/>
    <x v="0"/>
    <x v="7"/>
    <x v="0"/>
  </r>
  <r>
    <x v="224"/>
    <x v="30"/>
    <n v="-1913"/>
    <x v="4"/>
    <x v="13"/>
    <x v="0"/>
    <x v="7"/>
    <x v="0"/>
  </r>
  <r>
    <x v="224"/>
    <x v="12"/>
    <n v="-1279"/>
    <x v="3"/>
    <x v="3"/>
    <x v="0"/>
    <x v="7"/>
    <x v="0"/>
  </r>
  <r>
    <x v="224"/>
    <x v="0"/>
    <n v="-2799"/>
    <x v="0"/>
    <x v="0"/>
    <x v="0"/>
    <x v="7"/>
    <x v="0"/>
  </r>
  <r>
    <x v="224"/>
    <x v="39"/>
    <n v="-1986"/>
    <x v="3"/>
    <x v="5"/>
    <x v="0"/>
    <x v="7"/>
    <x v="0"/>
  </r>
  <r>
    <x v="224"/>
    <x v="5"/>
    <n v="12667"/>
    <x v="2"/>
    <x v="2"/>
    <x v="1"/>
    <x v="7"/>
    <x v="0"/>
  </r>
  <r>
    <x v="224"/>
    <x v="4"/>
    <n v="-1285"/>
    <x v="1"/>
    <x v="1"/>
    <x v="0"/>
    <x v="7"/>
    <x v="0"/>
  </r>
  <r>
    <x v="224"/>
    <x v="49"/>
    <n v="-1224"/>
    <x v="3"/>
    <x v="5"/>
    <x v="0"/>
    <x v="7"/>
    <x v="0"/>
  </r>
  <r>
    <x v="225"/>
    <x v="4"/>
    <n v="-1324"/>
    <x v="1"/>
    <x v="1"/>
    <x v="0"/>
    <x v="7"/>
    <x v="0"/>
  </r>
  <r>
    <x v="225"/>
    <x v="39"/>
    <n v="-1032"/>
    <x v="3"/>
    <x v="5"/>
    <x v="0"/>
    <x v="7"/>
    <x v="0"/>
  </r>
  <r>
    <x v="225"/>
    <x v="54"/>
    <n v="-1211"/>
    <x v="3"/>
    <x v="8"/>
    <x v="0"/>
    <x v="7"/>
    <x v="0"/>
  </r>
  <r>
    <x v="225"/>
    <x v="2"/>
    <n v="11477"/>
    <x v="2"/>
    <x v="2"/>
    <x v="1"/>
    <x v="7"/>
    <x v="0"/>
  </r>
  <r>
    <x v="225"/>
    <x v="4"/>
    <n v="-2414"/>
    <x v="1"/>
    <x v="1"/>
    <x v="0"/>
    <x v="7"/>
    <x v="0"/>
  </r>
  <r>
    <x v="225"/>
    <x v="2"/>
    <n v="12600"/>
    <x v="2"/>
    <x v="2"/>
    <x v="1"/>
    <x v="7"/>
    <x v="0"/>
  </r>
  <r>
    <x v="225"/>
    <x v="21"/>
    <n v="-1683"/>
    <x v="1"/>
    <x v="1"/>
    <x v="0"/>
    <x v="7"/>
    <x v="0"/>
  </r>
  <r>
    <x v="225"/>
    <x v="6"/>
    <n v="-1820"/>
    <x v="1"/>
    <x v="4"/>
    <x v="0"/>
    <x v="7"/>
    <x v="0"/>
  </r>
  <r>
    <x v="225"/>
    <x v="4"/>
    <n v="-1617"/>
    <x v="1"/>
    <x v="1"/>
    <x v="0"/>
    <x v="7"/>
    <x v="0"/>
  </r>
  <r>
    <x v="225"/>
    <x v="4"/>
    <n v="-1734"/>
    <x v="1"/>
    <x v="1"/>
    <x v="0"/>
    <x v="7"/>
    <x v="0"/>
  </r>
  <r>
    <x v="225"/>
    <x v="0"/>
    <n v="-3276"/>
    <x v="0"/>
    <x v="0"/>
    <x v="0"/>
    <x v="7"/>
    <x v="0"/>
  </r>
  <r>
    <x v="225"/>
    <x v="20"/>
    <n v="-1957"/>
    <x v="3"/>
    <x v="10"/>
    <x v="0"/>
    <x v="7"/>
    <x v="0"/>
  </r>
  <r>
    <x v="226"/>
    <x v="6"/>
    <n v="-1422"/>
    <x v="1"/>
    <x v="4"/>
    <x v="0"/>
    <x v="7"/>
    <x v="0"/>
  </r>
  <r>
    <x v="226"/>
    <x v="2"/>
    <n v="11803"/>
    <x v="2"/>
    <x v="2"/>
    <x v="1"/>
    <x v="7"/>
    <x v="0"/>
  </r>
  <r>
    <x v="226"/>
    <x v="2"/>
    <n v="12290"/>
    <x v="2"/>
    <x v="2"/>
    <x v="1"/>
    <x v="7"/>
    <x v="0"/>
  </r>
  <r>
    <x v="226"/>
    <x v="41"/>
    <n v="-1621"/>
    <x v="3"/>
    <x v="3"/>
    <x v="0"/>
    <x v="7"/>
    <x v="0"/>
  </r>
  <r>
    <x v="226"/>
    <x v="11"/>
    <n v="-1868"/>
    <x v="3"/>
    <x v="5"/>
    <x v="0"/>
    <x v="7"/>
    <x v="0"/>
  </r>
  <r>
    <x v="226"/>
    <x v="35"/>
    <n v="-1787"/>
    <x v="3"/>
    <x v="10"/>
    <x v="0"/>
    <x v="7"/>
    <x v="0"/>
  </r>
  <r>
    <x v="226"/>
    <x v="0"/>
    <n v="-3320"/>
    <x v="0"/>
    <x v="0"/>
    <x v="0"/>
    <x v="7"/>
    <x v="0"/>
  </r>
  <r>
    <x v="226"/>
    <x v="36"/>
    <n v="-1825"/>
    <x v="3"/>
    <x v="7"/>
    <x v="0"/>
    <x v="7"/>
    <x v="0"/>
  </r>
  <r>
    <x v="226"/>
    <x v="2"/>
    <n v="10769"/>
    <x v="2"/>
    <x v="2"/>
    <x v="1"/>
    <x v="7"/>
    <x v="0"/>
  </r>
  <r>
    <x v="226"/>
    <x v="47"/>
    <n v="-2017"/>
    <x v="3"/>
    <x v="8"/>
    <x v="0"/>
    <x v="7"/>
    <x v="0"/>
  </r>
  <r>
    <x v="226"/>
    <x v="0"/>
    <n v="-3173"/>
    <x v="0"/>
    <x v="0"/>
    <x v="0"/>
    <x v="7"/>
    <x v="0"/>
  </r>
  <r>
    <x v="226"/>
    <x v="1"/>
    <n v="-2105"/>
    <x v="1"/>
    <x v="1"/>
    <x v="0"/>
    <x v="7"/>
    <x v="0"/>
  </r>
  <r>
    <x v="226"/>
    <x v="10"/>
    <n v="-2407"/>
    <x v="3"/>
    <x v="6"/>
    <x v="0"/>
    <x v="7"/>
    <x v="0"/>
  </r>
  <r>
    <x v="226"/>
    <x v="52"/>
    <n v="-1351"/>
    <x v="3"/>
    <x v="3"/>
    <x v="0"/>
    <x v="7"/>
    <x v="0"/>
  </r>
  <r>
    <x v="226"/>
    <x v="5"/>
    <n v="14343"/>
    <x v="2"/>
    <x v="2"/>
    <x v="1"/>
    <x v="7"/>
    <x v="0"/>
  </r>
  <r>
    <x v="226"/>
    <x v="5"/>
    <n v="10516"/>
    <x v="2"/>
    <x v="2"/>
    <x v="1"/>
    <x v="7"/>
    <x v="0"/>
  </r>
  <r>
    <x v="227"/>
    <x v="3"/>
    <n v="-2313"/>
    <x v="3"/>
    <x v="3"/>
    <x v="0"/>
    <x v="7"/>
    <x v="0"/>
  </r>
  <r>
    <x v="227"/>
    <x v="5"/>
    <n v="10238"/>
    <x v="2"/>
    <x v="2"/>
    <x v="1"/>
    <x v="7"/>
    <x v="0"/>
  </r>
  <r>
    <x v="227"/>
    <x v="4"/>
    <n v="-2477"/>
    <x v="1"/>
    <x v="1"/>
    <x v="0"/>
    <x v="7"/>
    <x v="0"/>
  </r>
  <r>
    <x v="227"/>
    <x v="23"/>
    <n v="-1205"/>
    <x v="3"/>
    <x v="5"/>
    <x v="0"/>
    <x v="7"/>
    <x v="0"/>
  </r>
  <r>
    <x v="227"/>
    <x v="0"/>
    <n v="-3447"/>
    <x v="0"/>
    <x v="0"/>
    <x v="0"/>
    <x v="7"/>
    <x v="0"/>
  </r>
  <r>
    <x v="227"/>
    <x v="6"/>
    <n v="-2278"/>
    <x v="1"/>
    <x v="4"/>
    <x v="0"/>
    <x v="7"/>
    <x v="0"/>
  </r>
  <r>
    <x v="227"/>
    <x v="5"/>
    <n v="14761"/>
    <x v="2"/>
    <x v="2"/>
    <x v="1"/>
    <x v="7"/>
    <x v="0"/>
  </r>
  <r>
    <x v="227"/>
    <x v="4"/>
    <n v="-1150"/>
    <x v="1"/>
    <x v="1"/>
    <x v="0"/>
    <x v="7"/>
    <x v="0"/>
  </r>
  <r>
    <x v="227"/>
    <x v="6"/>
    <n v="-2217"/>
    <x v="1"/>
    <x v="4"/>
    <x v="0"/>
    <x v="7"/>
    <x v="0"/>
  </r>
  <r>
    <x v="227"/>
    <x v="5"/>
    <n v="13571"/>
    <x v="2"/>
    <x v="2"/>
    <x v="1"/>
    <x v="7"/>
    <x v="0"/>
  </r>
  <r>
    <x v="227"/>
    <x v="23"/>
    <n v="-1424"/>
    <x v="3"/>
    <x v="5"/>
    <x v="0"/>
    <x v="7"/>
    <x v="0"/>
  </r>
  <r>
    <x v="227"/>
    <x v="31"/>
    <n v="-2434"/>
    <x v="3"/>
    <x v="11"/>
    <x v="0"/>
    <x v="7"/>
    <x v="0"/>
  </r>
  <r>
    <x v="228"/>
    <x v="17"/>
    <n v="-1040"/>
    <x v="3"/>
    <x v="5"/>
    <x v="0"/>
    <x v="7"/>
    <x v="0"/>
  </r>
  <r>
    <x v="228"/>
    <x v="6"/>
    <n v="-1829"/>
    <x v="1"/>
    <x v="4"/>
    <x v="0"/>
    <x v="7"/>
    <x v="0"/>
  </r>
  <r>
    <x v="228"/>
    <x v="34"/>
    <n v="-1676"/>
    <x v="3"/>
    <x v="3"/>
    <x v="0"/>
    <x v="7"/>
    <x v="0"/>
  </r>
  <r>
    <x v="228"/>
    <x v="35"/>
    <n v="-1515"/>
    <x v="3"/>
    <x v="10"/>
    <x v="0"/>
    <x v="7"/>
    <x v="0"/>
  </r>
  <r>
    <x v="228"/>
    <x v="2"/>
    <n v="10865"/>
    <x v="2"/>
    <x v="2"/>
    <x v="1"/>
    <x v="7"/>
    <x v="0"/>
  </r>
  <r>
    <x v="228"/>
    <x v="41"/>
    <n v="-1201"/>
    <x v="3"/>
    <x v="3"/>
    <x v="0"/>
    <x v="7"/>
    <x v="0"/>
  </r>
  <r>
    <x v="228"/>
    <x v="1"/>
    <n v="-1072"/>
    <x v="1"/>
    <x v="1"/>
    <x v="0"/>
    <x v="7"/>
    <x v="0"/>
  </r>
  <r>
    <x v="228"/>
    <x v="58"/>
    <n v="-1175"/>
    <x v="3"/>
    <x v="11"/>
    <x v="0"/>
    <x v="7"/>
    <x v="0"/>
  </r>
  <r>
    <x v="229"/>
    <x v="2"/>
    <n v="12916"/>
    <x v="2"/>
    <x v="2"/>
    <x v="1"/>
    <x v="7"/>
    <x v="0"/>
  </r>
  <r>
    <x v="229"/>
    <x v="21"/>
    <n v="-1424"/>
    <x v="1"/>
    <x v="1"/>
    <x v="0"/>
    <x v="7"/>
    <x v="0"/>
  </r>
  <r>
    <x v="229"/>
    <x v="0"/>
    <n v="-3158"/>
    <x v="0"/>
    <x v="0"/>
    <x v="0"/>
    <x v="7"/>
    <x v="0"/>
  </r>
  <r>
    <x v="229"/>
    <x v="0"/>
    <n v="-4712"/>
    <x v="0"/>
    <x v="0"/>
    <x v="0"/>
    <x v="7"/>
    <x v="0"/>
  </r>
  <r>
    <x v="229"/>
    <x v="1"/>
    <n v="-2276"/>
    <x v="1"/>
    <x v="1"/>
    <x v="0"/>
    <x v="7"/>
    <x v="0"/>
  </r>
  <r>
    <x v="229"/>
    <x v="50"/>
    <n v="-1767"/>
    <x v="3"/>
    <x v="3"/>
    <x v="0"/>
    <x v="7"/>
    <x v="0"/>
  </r>
  <r>
    <x v="229"/>
    <x v="11"/>
    <n v="-1040"/>
    <x v="3"/>
    <x v="5"/>
    <x v="0"/>
    <x v="7"/>
    <x v="0"/>
  </r>
  <r>
    <x v="229"/>
    <x v="6"/>
    <n v="-1196"/>
    <x v="1"/>
    <x v="4"/>
    <x v="0"/>
    <x v="7"/>
    <x v="0"/>
  </r>
  <r>
    <x v="229"/>
    <x v="6"/>
    <n v="-1207"/>
    <x v="1"/>
    <x v="4"/>
    <x v="0"/>
    <x v="7"/>
    <x v="0"/>
  </r>
  <r>
    <x v="229"/>
    <x v="4"/>
    <n v="-1567"/>
    <x v="1"/>
    <x v="1"/>
    <x v="0"/>
    <x v="7"/>
    <x v="0"/>
  </r>
  <r>
    <x v="230"/>
    <x v="2"/>
    <n v="12867"/>
    <x v="2"/>
    <x v="2"/>
    <x v="1"/>
    <x v="7"/>
    <x v="0"/>
  </r>
  <r>
    <x v="230"/>
    <x v="11"/>
    <n v="-2373"/>
    <x v="3"/>
    <x v="5"/>
    <x v="0"/>
    <x v="7"/>
    <x v="0"/>
  </r>
  <r>
    <x v="230"/>
    <x v="19"/>
    <n v="-2483"/>
    <x v="3"/>
    <x v="8"/>
    <x v="0"/>
    <x v="7"/>
    <x v="0"/>
  </r>
  <r>
    <x v="230"/>
    <x v="29"/>
    <n v="-2059"/>
    <x v="3"/>
    <x v="7"/>
    <x v="0"/>
    <x v="7"/>
    <x v="0"/>
  </r>
  <r>
    <x v="230"/>
    <x v="6"/>
    <n v="-1116"/>
    <x v="1"/>
    <x v="4"/>
    <x v="0"/>
    <x v="7"/>
    <x v="0"/>
  </r>
  <r>
    <x v="230"/>
    <x v="52"/>
    <n v="-2302"/>
    <x v="3"/>
    <x v="3"/>
    <x v="0"/>
    <x v="7"/>
    <x v="0"/>
  </r>
  <r>
    <x v="230"/>
    <x v="4"/>
    <n v="-2018"/>
    <x v="1"/>
    <x v="1"/>
    <x v="0"/>
    <x v="7"/>
    <x v="0"/>
  </r>
  <r>
    <x v="230"/>
    <x v="41"/>
    <n v="-1260"/>
    <x v="3"/>
    <x v="3"/>
    <x v="0"/>
    <x v="7"/>
    <x v="0"/>
  </r>
  <r>
    <x v="230"/>
    <x v="61"/>
    <n v="-2423"/>
    <x v="3"/>
    <x v="10"/>
    <x v="0"/>
    <x v="7"/>
    <x v="0"/>
  </r>
  <r>
    <x v="230"/>
    <x v="60"/>
    <n v="-2124"/>
    <x v="3"/>
    <x v="6"/>
    <x v="0"/>
    <x v="7"/>
    <x v="0"/>
  </r>
  <r>
    <x v="230"/>
    <x v="4"/>
    <n v="-2485"/>
    <x v="1"/>
    <x v="1"/>
    <x v="0"/>
    <x v="7"/>
    <x v="0"/>
  </r>
  <r>
    <x v="230"/>
    <x v="51"/>
    <n v="-1215"/>
    <x v="3"/>
    <x v="5"/>
    <x v="0"/>
    <x v="7"/>
    <x v="0"/>
  </r>
  <r>
    <x v="230"/>
    <x v="21"/>
    <n v="-2484"/>
    <x v="1"/>
    <x v="1"/>
    <x v="0"/>
    <x v="7"/>
    <x v="0"/>
  </r>
  <r>
    <x v="230"/>
    <x v="6"/>
    <n v="-1699"/>
    <x v="1"/>
    <x v="4"/>
    <x v="0"/>
    <x v="7"/>
    <x v="0"/>
  </r>
  <r>
    <x v="230"/>
    <x v="2"/>
    <n v="10657"/>
    <x v="2"/>
    <x v="2"/>
    <x v="1"/>
    <x v="7"/>
    <x v="0"/>
  </r>
  <r>
    <x v="230"/>
    <x v="62"/>
    <n v="-1337"/>
    <x v="3"/>
    <x v="11"/>
    <x v="0"/>
    <x v="7"/>
    <x v="0"/>
  </r>
  <r>
    <x v="230"/>
    <x v="57"/>
    <n v="-1049"/>
    <x v="3"/>
    <x v="5"/>
    <x v="0"/>
    <x v="7"/>
    <x v="0"/>
  </r>
  <r>
    <x v="230"/>
    <x v="4"/>
    <n v="-2176"/>
    <x v="1"/>
    <x v="1"/>
    <x v="0"/>
    <x v="7"/>
    <x v="0"/>
  </r>
  <r>
    <x v="230"/>
    <x v="3"/>
    <n v="-2004"/>
    <x v="3"/>
    <x v="3"/>
    <x v="0"/>
    <x v="7"/>
    <x v="0"/>
  </r>
  <r>
    <x v="230"/>
    <x v="0"/>
    <n v="-3354"/>
    <x v="0"/>
    <x v="0"/>
    <x v="0"/>
    <x v="7"/>
    <x v="0"/>
  </r>
  <r>
    <x v="230"/>
    <x v="9"/>
    <n v="-2260"/>
    <x v="3"/>
    <x v="5"/>
    <x v="0"/>
    <x v="7"/>
    <x v="0"/>
  </r>
  <r>
    <x v="230"/>
    <x v="30"/>
    <n v="-1779"/>
    <x v="4"/>
    <x v="13"/>
    <x v="0"/>
    <x v="7"/>
    <x v="0"/>
  </r>
  <r>
    <x v="231"/>
    <x v="46"/>
    <n v="-1212"/>
    <x v="3"/>
    <x v="11"/>
    <x v="0"/>
    <x v="7"/>
    <x v="0"/>
  </r>
  <r>
    <x v="231"/>
    <x v="21"/>
    <n v="-1056"/>
    <x v="1"/>
    <x v="1"/>
    <x v="0"/>
    <x v="7"/>
    <x v="0"/>
  </r>
  <r>
    <x v="231"/>
    <x v="4"/>
    <n v="-1758"/>
    <x v="1"/>
    <x v="1"/>
    <x v="0"/>
    <x v="7"/>
    <x v="0"/>
  </r>
  <r>
    <x v="231"/>
    <x v="0"/>
    <n v="-4459"/>
    <x v="0"/>
    <x v="0"/>
    <x v="0"/>
    <x v="7"/>
    <x v="0"/>
  </r>
  <r>
    <x v="231"/>
    <x v="6"/>
    <n v="-1623"/>
    <x v="1"/>
    <x v="4"/>
    <x v="0"/>
    <x v="7"/>
    <x v="0"/>
  </r>
  <r>
    <x v="231"/>
    <x v="4"/>
    <n v="-1370"/>
    <x v="1"/>
    <x v="1"/>
    <x v="0"/>
    <x v="7"/>
    <x v="0"/>
  </r>
  <r>
    <x v="231"/>
    <x v="2"/>
    <n v="10382"/>
    <x v="2"/>
    <x v="2"/>
    <x v="1"/>
    <x v="7"/>
    <x v="0"/>
  </r>
  <r>
    <x v="231"/>
    <x v="57"/>
    <n v="-1707"/>
    <x v="3"/>
    <x v="5"/>
    <x v="0"/>
    <x v="7"/>
    <x v="0"/>
  </r>
  <r>
    <x v="231"/>
    <x v="22"/>
    <n v="-1036"/>
    <x v="3"/>
    <x v="11"/>
    <x v="0"/>
    <x v="7"/>
    <x v="0"/>
  </r>
  <r>
    <x v="231"/>
    <x v="0"/>
    <n v="-4324"/>
    <x v="0"/>
    <x v="0"/>
    <x v="0"/>
    <x v="7"/>
    <x v="0"/>
  </r>
  <r>
    <x v="231"/>
    <x v="0"/>
    <n v="-3962"/>
    <x v="0"/>
    <x v="0"/>
    <x v="0"/>
    <x v="7"/>
    <x v="0"/>
  </r>
  <r>
    <x v="231"/>
    <x v="8"/>
    <n v="-1546"/>
    <x v="3"/>
    <x v="6"/>
    <x v="0"/>
    <x v="7"/>
    <x v="0"/>
  </r>
  <r>
    <x v="231"/>
    <x v="3"/>
    <n v="-1336"/>
    <x v="3"/>
    <x v="3"/>
    <x v="0"/>
    <x v="7"/>
    <x v="0"/>
  </r>
  <r>
    <x v="231"/>
    <x v="5"/>
    <n v="10726"/>
    <x v="2"/>
    <x v="2"/>
    <x v="1"/>
    <x v="7"/>
    <x v="0"/>
  </r>
  <r>
    <x v="231"/>
    <x v="48"/>
    <n v="-2187"/>
    <x v="3"/>
    <x v="7"/>
    <x v="0"/>
    <x v="7"/>
    <x v="0"/>
  </r>
  <r>
    <x v="231"/>
    <x v="5"/>
    <n v="13101"/>
    <x v="2"/>
    <x v="2"/>
    <x v="1"/>
    <x v="7"/>
    <x v="0"/>
  </r>
  <r>
    <x v="231"/>
    <x v="5"/>
    <n v="10515"/>
    <x v="2"/>
    <x v="2"/>
    <x v="1"/>
    <x v="7"/>
    <x v="0"/>
  </r>
  <r>
    <x v="231"/>
    <x v="5"/>
    <n v="14614"/>
    <x v="2"/>
    <x v="2"/>
    <x v="1"/>
    <x v="7"/>
    <x v="0"/>
  </r>
  <r>
    <x v="231"/>
    <x v="6"/>
    <n v="-2500"/>
    <x v="1"/>
    <x v="4"/>
    <x v="0"/>
    <x v="7"/>
    <x v="0"/>
  </r>
  <r>
    <x v="231"/>
    <x v="0"/>
    <n v="-3352"/>
    <x v="0"/>
    <x v="0"/>
    <x v="0"/>
    <x v="7"/>
    <x v="0"/>
  </r>
  <r>
    <x v="231"/>
    <x v="5"/>
    <n v="14569"/>
    <x v="2"/>
    <x v="2"/>
    <x v="1"/>
    <x v="7"/>
    <x v="0"/>
  </r>
  <r>
    <x v="231"/>
    <x v="0"/>
    <n v="-2875"/>
    <x v="0"/>
    <x v="0"/>
    <x v="0"/>
    <x v="7"/>
    <x v="0"/>
  </r>
  <r>
    <x v="231"/>
    <x v="0"/>
    <n v="-2872"/>
    <x v="0"/>
    <x v="0"/>
    <x v="0"/>
    <x v="7"/>
    <x v="0"/>
  </r>
  <r>
    <x v="231"/>
    <x v="57"/>
    <n v="-1394"/>
    <x v="3"/>
    <x v="5"/>
    <x v="0"/>
    <x v="7"/>
    <x v="0"/>
  </r>
  <r>
    <x v="231"/>
    <x v="5"/>
    <n v="13911"/>
    <x v="2"/>
    <x v="2"/>
    <x v="1"/>
    <x v="7"/>
    <x v="0"/>
  </r>
  <r>
    <x v="231"/>
    <x v="10"/>
    <n v="-1753"/>
    <x v="3"/>
    <x v="6"/>
    <x v="0"/>
    <x v="7"/>
    <x v="0"/>
  </r>
  <r>
    <x v="232"/>
    <x v="5"/>
    <n v="11785"/>
    <x v="2"/>
    <x v="2"/>
    <x v="1"/>
    <x v="7"/>
    <x v="0"/>
  </r>
  <r>
    <x v="232"/>
    <x v="4"/>
    <n v="-2183"/>
    <x v="1"/>
    <x v="1"/>
    <x v="0"/>
    <x v="7"/>
    <x v="0"/>
  </r>
  <r>
    <x v="232"/>
    <x v="5"/>
    <n v="14590"/>
    <x v="2"/>
    <x v="2"/>
    <x v="1"/>
    <x v="7"/>
    <x v="0"/>
  </r>
  <r>
    <x v="232"/>
    <x v="1"/>
    <n v="-1417"/>
    <x v="1"/>
    <x v="1"/>
    <x v="0"/>
    <x v="7"/>
    <x v="0"/>
  </r>
  <r>
    <x v="232"/>
    <x v="6"/>
    <n v="-2429"/>
    <x v="1"/>
    <x v="4"/>
    <x v="0"/>
    <x v="7"/>
    <x v="0"/>
  </r>
  <r>
    <x v="232"/>
    <x v="60"/>
    <n v="-1810"/>
    <x v="3"/>
    <x v="6"/>
    <x v="0"/>
    <x v="7"/>
    <x v="0"/>
  </r>
  <r>
    <x v="232"/>
    <x v="58"/>
    <n v="-1582"/>
    <x v="3"/>
    <x v="11"/>
    <x v="0"/>
    <x v="7"/>
    <x v="0"/>
  </r>
  <r>
    <x v="232"/>
    <x v="21"/>
    <n v="-1962"/>
    <x v="1"/>
    <x v="1"/>
    <x v="0"/>
    <x v="7"/>
    <x v="0"/>
  </r>
  <r>
    <x v="232"/>
    <x v="1"/>
    <n v="-1486"/>
    <x v="1"/>
    <x v="1"/>
    <x v="0"/>
    <x v="7"/>
    <x v="0"/>
  </r>
  <r>
    <x v="232"/>
    <x v="37"/>
    <n v="-1727"/>
    <x v="3"/>
    <x v="3"/>
    <x v="0"/>
    <x v="7"/>
    <x v="0"/>
  </r>
  <r>
    <x v="232"/>
    <x v="0"/>
    <n v="-2613"/>
    <x v="0"/>
    <x v="0"/>
    <x v="0"/>
    <x v="7"/>
    <x v="0"/>
  </r>
  <r>
    <x v="232"/>
    <x v="2"/>
    <n v="12323"/>
    <x v="2"/>
    <x v="2"/>
    <x v="1"/>
    <x v="7"/>
    <x v="0"/>
  </r>
  <r>
    <x v="232"/>
    <x v="11"/>
    <n v="-1784"/>
    <x v="3"/>
    <x v="5"/>
    <x v="0"/>
    <x v="7"/>
    <x v="0"/>
  </r>
  <r>
    <x v="232"/>
    <x v="2"/>
    <n v="13118"/>
    <x v="2"/>
    <x v="2"/>
    <x v="1"/>
    <x v="7"/>
    <x v="0"/>
  </r>
  <r>
    <x v="232"/>
    <x v="21"/>
    <n v="-1272"/>
    <x v="1"/>
    <x v="1"/>
    <x v="0"/>
    <x v="7"/>
    <x v="0"/>
  </r>
  <r>
    <x v="232"/>
    <x v="5"/>
    <n v="13512"/>
    <x v="2"/>
    <x v="2"/>
    <x v="1"/>
    <x v="7"/>
    <x v="0"/>
  </r>
  <r>
    <x v="232"/>
    <x v="55"/>
    <n v="-2393"/>
    <x v="3"/>
    <x v="5"/>
    <x v="0"/>
    <x v="7"/>
    <x v="0"/>
  </r>
  <r>
    <x v="232"/>
    <x v="15"/>
    <n v="-2055"/>
    <x v="3"/>
    <x v="6"/>
    <x v="0"/>
    <x v="7"/>
    <x v="0"/>
  </r>
  <r>
    <x v="232"/>
    <x v="40"/>
    <n v="-2425"/>
    <x v="3"/>
    <x v="9"/>
    <x v="0"/>
    <x v="7"/>
    <x v="0"/>
  </r>
  <r>
    <x v="232"/>
    <x v="6"/>
    <n v="-1066"/>
    <x v="1"/>
    <x v="4"/>
    <x v="0"/>
    <x v="7"/>
    <x v="0"/>
  </r>
  <r>
    <x v="233"/>
    <x v="1"/>
    <n v="-1875"/>
    <x v="1"/>
    <x v="1"/>
    <x v="0"/>
    <x v="7"/>
    <x v="0"/>
  </r>
  <r>
    <x v="233"/>
    <x v="0"/>
    <n v="-3631"/>
    <x v="0"/>
    <x v="0"/>
    <x v="0"/>
    <x v="7"/>
    <x v="0"/>
  </r>
  <r>
    <x v="233"/>
    <x v="10"/>
    <n v="-1352"/>
    <x v="3"/>
    <x v="6"/>
    <x v="0"/>
    <x v="7"/>
    <x v="0"/>
  </r>
  <r>
    <x v="233"/>
    <x v="4"/>
    <n v="-2205"/>
    <x v="1"/>
    <x v="1"/>
    <x v="0"/>
    <x v="7"/>
    <x v="0"/>
  </r>
  <r>
    <x v="233"/>
    <x v="0"/>
    <n v="-2685"/>
    <x v="0"/>
    <x v="0"/>
    <x v="0"/>
    <x v="7"/>
    <x v="0"/>
  </r>
  <r>
    <x v="233"/>
    <x v="5"/>
    <n v="13787"/>
    <x v="2"/>
    <x v="2"/>
    <x v="1"/>
    <x v="7"/>
    <x v="0"/>
  </r>
  <r>
    <x v="233"/>
    <x v="1"/>
    <n v="-1403"/>
    <x v="1"/>
    <x v="1"/>
    <x v="0"/>
    <x v="7"/>
    <x v="0"/>
  </r>
  <r>
    <x v="233"/>
    <x v="4"/>
    <n v="-1157"/>
    <x v="1"/>
    <x v="1"/>
    <x v="0"/>
    <x v="7"/>
    <x v="0"/>
  </r>
  <r>
    <x v="233"/>
    <x v="5"/>
    <n v="10136"/>
    <x v="2"/>
    <x v="2"/>
    <x v="1"/>
    <x v="7"/>
    <x v="0"/>
  </r>
  <r>
    <x v="233"/>
    <x v="6"/>
    <n v="-2287"/>
    <x v="1"/>
    <x v="4"/>
    <x v="0"/>
    <x v="7"/>
    <x v="0"/>
  </r>
  <r>
    <x v="233"/>
    <x v="5"/>
    <n v="13740"/>
    <x v="2"/>
    <x v="2"/>
    <x v="1"/>
    <x v="7"/>
    <x v="0"/>
  </r>
  <r>
    <x v="233"/>
    <x v="0"/>
    <n v="-2885"/>
    <x v="0"/>
    <x v="0"/>
    <x v="0"/>
    <x v="7"/>
    <x v="0"/>
  </r>
  <r>
    <x v="233"/>
    <x v="5"/>
    <n v="13320"/>
    <x v="2"/>
    <x v="2"/>
    <x v="1"/>
    <x v="7"/>
    <x v="0"/>
  </r>
  <r>
    <x v="233"/>
    <x v="50"/>
    <n v="-1252"/>
    <x v="3"/>
    <x v="3"/>
    <x v="0"/>
    <x v="7"/>
    <x v="0"/>
  </r>
  <r>
    <x v="233"/>
    <x v="2"/>
    <n v="11334"/>
    <x v="2"/>
    <x v="2"/>
    <x v="1"/>
    <x v="7"/>
    <x v="0"/>
  </r>
  <r>
    <x v="233"/>
    <x v="5"/>
    <n v="14052"/>
    <x v="2"/>
    <x v="2"/>
    <x v="1"/>
    <x v="7"/>
    <x v="0"/>
  </r>
  <r>
    <x v="233"/>
    <x v="13"/>
    <n v="-1889"/>
    <x v="3"/>
    <x v="7"/>
    <x v="0"/>
    <x v="7"/>
    <x v="0"/>
  </r>
  <r>
    <x v="233"/>
    <x v="55"/>
    <n v="-2449"/>
    <x v="3"/>
    <x v="5"/>
    <x v="0"/>
    <x v="7"/>
    <x v="0"/>
  </r>
  <r>
    <x v="233"/>
    <x v="21"/>
    <n v="-1784"/>
    <x v="1"/>
    <x v="1"/>
    <x v="0"/>
    <x v="7"/>
    <x v="0"/>
  </r>
  <r>
    <x v="233"/>
    <x v="5"/>
    <n v="12396"/>
    <x v="2"/>
    <x v="2"/>
    <x v="1"/>
    <x v="7"/>
    <x v="0"/>
  </r>
  <r>
    <x v="233"/>
    <x v="48"/>
    <n v="-1909"/>
    <x v="3"/>
    <x v="7"/>
    <x v="0"/>
    <x v="7"/>
    <x v="0"/>
  </r>
  <r>
    <x v="233"/>
    <x v="5"/>
    <n v="12703"/>
    <x v="2"/>
    <x v="2"/>
    <x v="1"/>
    <x v="7"/>
    <x v="0"/>
  </r>
  <r>
    <x v="233"/>
    <x v="21"/>
    <n v="-1313"/>
    <x v="1"/>
    <x v="1"/>
    <x v="0"/>
    <x v="7"/>
    <x v="0"/>
  </r>
  <r>
    <x v="233"/>
    <x v="36"/>
    <n v="-1038"/>
    <x v="3"/>
    <x v="7"/>
    <x v="0"/>
    <x v="7"/>
    <x v="0"/>
  </r>
  <r>
    <x v="234"/>
    <x v="21"/>
    <n v="-1435"/>
    <x v="1"/>
    <x v="1"/>
    <x v="0"/>
    <x v="7"/>
    <x v="0"/>
  </r>
  <r>
    <x v="234"/>
    <x v="29"/>
    <n v="-1618"/>
    <x v="3"/>
    <x v="7"/>
    <x v="0"/>
    <x v="7"/>
    <x v="0"/>
  </r>
  <r>
    <x v="234"/>
    <x v="13"/>
    <n v="-1128"/>
    <x v="3"/>
    <x v="7"/>
    <x v="0"/>
    <x v="7"/>
    <x v="0"/>
  </r>
  <r>
    <x v="234"/>
    <x v="36"/>
    <n v="-1241"/>
    <x v="3"/>
    <x v="7"/>
    <x v="0"/>
    <x v="7"/>
    <x v="0"/>
  </r>
  <r>
    <x v="234"/>
    <x v="39"/>
    <n v="-1674"/>
    <x v="3"/>
    <x v="5"/>
    <x v="0"/>
    <x v="7"/>
    <x v="0"/>
  </r>
  <r>
    <x v="234"/>
    <x v="2"/>
    <n v="14288"/>
    <x v="2"/>
    <x v="2"/>
    <x v="1"/>
    <x v="7"/>
    <x v="0"/>
  </r>
  <r>
    <x v="234"/>
    <x v="0"/>
    <n v="-3254"/>
    <x v="0"/>
    <x v="0"/>
    <x v="0"/>
    <x v="7"/>
    <x v="0"/>
  </r>
  <r>
    <x v="234"/>
    <x v="2"/>
    <n v="14033"/>
    <x v="2"/>
    <x v="2"/>
    <x v="1"/>
    <x v="7"/>
    <x v="0"/>
  </r>
  <r>
    <x v="234"/>
    <x v="2"/>
    <n v="10103"/>
    <x v="2"/>
    <x v="2"/>
    <x v="1"/>
    <x v="7"/>
    <x v="0"/>
  </r>
  <r>
    <x v="234"/>
    <x v="53"/>
    <n v="-1138"/>
    <x v="3"/>
    <x v="5"/>
    <x v="0"/>
    <x v="7"/>
    <x v="0"/>
  </r>
  <r>
    <x v="234"/>
    <x v="2"/>
    <n v="14244"/>
    <x v="2"/>
    <x v="2"/>
    <x v="1"/>
    <x v="7"/>
    <x v="0"/>
  </r>
  <r>
    <x v="234"/>
    <x v="2"/>
    <n v="14444"/>
    <x v="2"/>
    <x v="2"/>
    <x v="1"/>
    <x v="7"/>
    <x v="0"/>
  </r>
  <r>
    <x v="234"/>
    <x v="5"/>
    <n v="12461"/>
    <x v="2"/>
    <x v="2"/>
    <x v="1"/>
    <x v="7"/>
    <x v="0"/>
  </r>
  <r>
    <x v="234"/>
    <x v="4"/>
    <n v="-2067"/>
    <x v="1"/>
    <x v="1"/>
    <x v="0"/>
    <x v="7"/>
    <x v="0"/>
  </r>
  <r>
    <x v="235"/>
    <x v="6"/>
    <n v="-1228"/>
    <x v="1"/>
    <x v="4"/>
    <x v="0"/>
    <x v="7"/>
    <x v="0"/>
  </r>
  <r>
    <x v="235"/>
    <x v="21"/>
    <n v="-1817"/>
    <x v="1"/>
    <x v="1"/>
    <x v="0"/>
    <x v="7"/>
    <x v="0"/>
  </r>
  <r>
    <x v="235"/>
    <x v="6"/>
    <n v="-1034"/>
    <x v="1"/>
    <x v="4"/>
    <x v="0"/>
    <x v="7"/>
    <x v="0"/>
  </r>
  <r>
    <x v="235"/>
    <x v="49"/>
    <n v="-1058"/>
    <x v="3"/>
    <x v="5"/>
    <x v="0"/>
    <x v="7"/>
    <x v="0"/>
  </r>
  <r>
    <x v="235"/>
    <x v="35"/>
    <n v="-2069"/>
    <x v="3"/>
    <x v="10"/>
    <x v="0"/>
    <x v="7"/>
    <x v="0"/>
  </r>
  <r>
    <x v="235"/>
    <x v="2"/>
    <n v="11100"/>
    <x v="2"/>
    <x v="2"/>
    <x v="1"/>
    <x v="7"/>
    <x v="0"/>
  </r>
  <r>
    <x v="235"/>
    <x v="6"/>
    <n v="-1086"/>
    <x v="1"/>
    <x v="4"/>
    <x v="0"/>
    <x v="7"/>
    <x v="0"/>
  </r>
  <r>
    <x v="235"/>
    <x v="4"/>
    <n v="-2491"/>
    <x v="1"/>
    <x v="1"/>
    <x v="0"/>
    <x v="7"/>
    <x v="0"/>
  </r>
  <r>
    <x v="235"/>
    <x v="49"/>
    <n v="-1158"/>
    <x v="3"/>
    <x v="5"/>
    <x v="0"/>
    <x v="7"/>
    <x v="0"/>
  </r>
  <r>
    <x v="235"/>
    <x v="6"/>
    <n v="-1370"/>
    <x v="1"/>
    <x v="4"/>
    <x v="0"/>
    <x v="7"/>
    <x v="0"/>
  </r>
  <r>
    <x v="235"/>
    <x v="5"/>
    <n v="10194"/>
    <x v="2"/>
    <x v="2"/>
    <x v="1"/>
    <x v="7"/>
    <x v="0"/>
  </r>
  <r>
    <x v="235"/>
    <x v="47"/>
    <n v="-1950"/>
    <x v="3"/>
    <x v="8"/>
    <x v="0"/>
    <x v="7"/>
    <x v="0"/>
  </r>
  <r>
    <x v="235"/>
    <x v="31"/>
    <n v="-1528"/>
    <x v="3"/>
    <x v="11"/>
    <x v="0"/>
    <x v="7"/>
    <x v="0"/>
  </r>
  <r>
    <x v="235"/>
    <x v="4"/>
    <n v="-2110"/>
    <x v="1"/>
    <x v="1"/>
    <x v="0"/>
    <x v="7"/>
    <x v="0"/>
  </r>
  <r>
    <x v="235"/>
    <x v="31"/>
    <n v="-1113"/>
    <x v="3"/>
    <x v="11"/>
    <x v="0"/>
    <x v="7"/>
    <x v="0"/>
  </r>
  <r>
    <x v="235"/>
    <x v="21"/>
    <n v="-1939"/>
    <x v="1"/>
    <x v="1"/>
    <x v="0"/>
    <x v="7"/>
    <x v="0"/>
  </r>
  <r>
    <x v="236"/>
    <x v="18"/>
    <n v="-1847"/>
    <x v="3"/>
    <x v="5"/>
    <x v="0"/>
    <x v="7"/>
    <x v="0"/>
  </r>
  <r>
    <x v="236"/>
    <x v="0"/>
    <n v="-2618"/>
    <x v="0"/>
    <x v="0"/>
    <x v="0"/>
    <x v="7"/>
    <x v="0"/>
  </r>
  <r>
    <x v="236"/>
    <x v="0"/>
    <n v="-3221"/>
    <x v="0"/>
    <x v="0"/>
    <x v="0"/>
    <x v="7"/>
    <x v="0"/>
  </r>
  <r>
    <x v="236"/>
    <x v="5"/>
    <n v="10406"/>
    <x v="2"/>
    <x v="2"/>
    <x v="1"/>
    <x v="7"/>
    <x v="0"/>
  </r>
  <r>
    <x v="236"/>
    <x v="5"/>
    <n v="14726"/>
    <x v="2"/>
    <x v="2"/>
    <x v="1"/>
    <x v="7"/>
    <x v="0"/>
  </r>
  <r>
    <x v="236"/>
    <x v="6"/>
    <n v="-2311"/>
    <x v="1"/>
    <x v="4"/>
    <x v="0"/>
    <x v="7"/>
    <x v="0"/>
  </r>
  <r>
    <x v="236"/>
    <x v="1"/>
    <n v="-2156"/>
    <x v="1"/>
    <x v="1"/>
    <x v="0"/>
    <x v="7"/>
    <x v="0"/>
  </r>
  <r>
    <x v="236"/>
    <x v="5"/>
    <n v="13806"/>
    <x v="2"/>
    <x v="2"/>
    <x v="1"/>
    <x v="7"/>
    <x v="0"/>
  </r>
  <r>
    <x v="236"/>
    <x v="1"/>
    <n v="-1606"/>
    <x v="1"/>
    <x v="1"/>
    <x v="0"/>
    <x v="7"/>
    <x v="0"/>
  </r>
  <r>
    <x v="236"/>
    <x v="2"/>
    <n v="13861"/>
    <x v="2"/>
    <x v="2"/>
    <x v="1"/>
    <x v="7"/>
    <x v="0"/>
  </r>
  <r>
    <x v="237"/>
    <x v="6"/>
    <n v="-2426"/>
    <x v="1"/>
    <x v="4"/>
    <x v="0"/>
    <x v="7"/>
    <x v="0"/>
  </r>
  <r>
    <x v="237"/>
    <x v="2"/>
    <n v="13796"/>
    <x v="2"/>
    <x v="2"/>
    <x v="1"/>
    <x v="7"/>
    <x v="0"/>
  </r>
  <r>
    <x v="237"/>
    <x v="58"/>
    <n v="-1957"/>
    <x v="3"/>
    <x v="11"/>
    <x v="0"/>
    <x v="7"/>
    <x v="0"/>
  </r>
  <r>
    <x v="237"/>
    <x v="0"/>
    <n v="-3502"/>
    <x v="0"/>
    <x v="0"/>
    <x v="0"/>
    <x v="7"/>
    <x v="0"/>
  </r>
  <r>
    <x v="237"/>
    <x v="4"/>
    <n v="-1593"/>
    <x v="1"/>
    <x v="1"/>
    <x v="0"/>
    <x v="7"/>
    <x v="0"/>
  </r>
  <r>
    <x v="237"/>
    <x v="2"/>
    <n v="14501"/>
    <x v="2"/>
    <x v="2"/>
    <x v="1"/>
    <x v="7"/>
    <x v="0"/>
  </r>
  <r>
    <x v="237"/>
    <x v="5"/>
    <n v="11780"/>
    <x v="2"/>
    <x v="2"/>
    <x v="1"/>
    <x v="7"/>
    <x v="0"/>
  </r>
  <r>
    <x v="237"/>
    <x v="24"/>
    <n v="-1275"/>
    <x v="3"/>
    <x v="6"/>
    <x v="0"/>
    <x v="7"/>
    <x v="0"/>
  </r>
  <r>
    <x v="237"/>
    <x v="2"/>
    <n v="11272"/>
    <x v="2"/>
    <x v="2"/>
    <x v="1"/>
    <x v="7"/>
    <x v="0"/>
  </r>
  <r>
    <x v="237"/>
    <x v="13"/>
    <n v="-1954"/>
    <x v="3"/>
    <x v="7"/>
    <x v="0"/>
    <x v="7"/>
    <x v="0"/>
  </r>
  <r>
    <x v="237"/>
    <x v="57"/>
    <n v="-2437"/>
    <x v="3"/>
    <x v="5"/>
    <x v="0"/>
    <x v="7"/>
    <x v="0"/>
  </r>
  <r>
    <x v="237"/>
    <x v="2"/>
    <n v="11648"/>
    <x v="2"/>
    <x v="2"/>
    <x v="1"/>
    <x v="7"/>
    <x v="0"/>
  </r>
  <r>
    <x v="237"/>
    <x v="23"/>
    <n v="-1549"/>
    <x v="3"/>
    <x v="5"/>
    <x v="0"/>
    <x v="7"/>
    <x v="0"/>
  </r>
  <r>
    <x v="237"/>
    <x v="1"/>
    <n v="-1242"/>
    <x v="1"/>
    <x v="1"/>
    <x v="0"/>
    <x v="7"/>
    <x v="0"/>
  </r>
  <r>
    <x v="237"/>
    <x v="5"/>
    <n v="13970"/>
    <x v="2"/>
    <x v="2"/>
    <x v="1"/>
    <x v="7"/>
    <x v="0"/>
  </r>
  <r>
    <x v="237"/>
    <x v="2"/>
    <n v="10324"/>
    <x v="2"/>
    <x v="2"/>
    <x v="1"/>
    <x v="7"/>
    <x v="0"/>
  </r>
  <r>
    <x v="237"/>
    <x v="7"/>
    <n v="-2453"/>
    <x v="3"/>
    <x v="5"/>
    <x v="0"/>
    <x v="7"/>
    <x v="0"/>
  </r>
  <r>
    <x v="237"/>
    <x v="1"/>
    <n v="-1282"/>
    <x v="1"/>
    <x v="1"/>
    <x v="0"/>
    <x v="7"/>
    <x v="0"/>
  </r>
  <r>
    <x v="237"/>
    <x v="1"/>
    <n v="-1225"/>
    <x v="1"/>
    <x v="1"/>
    <x v="0"/>
    <x v="7"/>
    <x v="0"/>
  </r>
  <r>
    <x v="237"/>
    <x v="6"/>
    <n v="-1531"/>
    <x v="1"/>
    <x v="4"/>
    <x v="0"/>
    <x v="7"/>
    <x v="0"/>
  </r>
  <r>
    <x v="237"/>
    <x v="1"/>
    <n v="-1042"/>
    <x v="1"/>
    <x v="1"/>
    <x v="0"/>
    <x v="7"/>
    <x v="0"/>
  </r>
  <r>
    <x v="237"/>
    <x v="21"/>
    <n v="-1523"/>
    <x v="1"/>
    <x v="1"/>
    <x v="0"/>
    <x v="7"/>
    <x v="0"/>
  </r>
  <r>
    <x v="237"/>
    <x v="1"/>
    <n v="-1750"/>
    <x v="1"/>
    <x v="1"/>
    <x v="0"/>
    <x v="7"/>
    <x v="0"/>
  </r>
  <r>
    <x v="237"/>
    <x v="1"/>
    <n v="-1357"/>
    <x v="1"/>
    <x v="1"/>
    <x v="0"/>
    <x v="7"/>
    <x v="0"/>
  </r>
  <r>
    <x v="238"/>
    <x v="12"/>
    <n v="-1108"/>
    <x v="3"/>
    <x v="3"/>
    <x v="0"/>
    <x v="7"/>
    <x v="0"/>
  </r>
  <r>
    <x v="238"/>
    <x v="2"/>
    <n v="10299"/>
    <x v="2"/>
    <x v="2"/>
    <x v="1"/>
    <x v="7"/>
    <x v="0"/>
  </r>
  <r>
    <x v="238"/>
    <x v="2"/>
    <n v="13060"/>
    <x v="2"/>
    <x v="2"/>
    <x v="1"/>
    <x v="7"/>
    <x v="0"/>
  </r>
  <r>
    <x v="238"/>
    <x v="5"/>
    <n v="13298"/>
    <x v="2"/>
    <x v="2"/>
    <x v="1"/>
    <x v="7"/>
    <x v="0"/>
  </r>
  <r>
    <x v="238"/>
    <x v="1"/>
    <n v="-1658"/>
    <x v="1"/>
    <x v="1"/>
    <x v="0"/>
    <x v="7"/>
    <x v="0"/>
  </r>
  <r>
    <x v="238"/>
    <x v="44"/>
    <n v="-1200"/>
    <x v="5"/>
    <x v="14"/>
    <x v="0"/>
    <x v="7"/>
    <x v="0"/>
  </r>
  <r>
    <x v="238"/>
    <x v="51"/>
    <n v="-2178"/>
    <x v="3"/>
    <x v="5"/>
    <x v="0"/>
    <x v="7"/>
    <x v="0"/>
  </r>
  <r>
    <x v="238"/>
    <x v="2"/>
    <n v="12047"/>
    <x v="2"/>
    <x v="2"/>
    <x v="1"/>
    <x v="7"/>
    <x v="0"/>
  </r>
  <r>
    <x v="238"/>
    <x v="0"/>
    <n v="-2816"/>
    <x v="0"/>
    <x v="0"/>
    <x v="0"/>
    <x v="7"/>
    <x v="0"/>
  </r>
  <r>
    <x v="238"/>
    <x v="5"/>
    <n v="12001"/>
    <x v="2"/>
    <x v="2"/>
    <x v="1"/>
    <x v="7"/>
    <x v="0"/>
  </r>
  <r>
    <x v="238"/>
    <x v="6"/>
    <n v="-1269"/>
    <x v="1"/>
    <x v="4"/>
    <x v="0"/>
    <x v="7"/>
    <x v="0"/>
  </r>
  <r>
    <x v="238"/>
    <x v="13"/>
    <n v="-2226"/>
    <x v="3"/>
    <x v="7"/>
    <x v="0"/>
    <x v="7"/>
    <x v="0"/>
  </r>
  <r>
    <x v="238"/>
    <x v="21"/>
    <n v="-2286"/>
    <x v="1"/>
    <x v="1"/>
    <x v="0"/>
    <x v="7"/>
    <x v="0"/>
  </r>
  <r>
    <x v="238"/>
    <x v="5"/>
    <n v="12073"/>
    <x v="2"/>
    <x v="2"/>
    <x v="1"/>
    <x v="7"/>
    <x v="0"/>
  </r>
  <r>
    <x v="239"/>
    <x v="4"/>
    <n v="-2362"/>
    <x v="1"/>
    <x v="1"/>
    <x v="0"/>
    <x v="7"/>
    <x v="0"/>
  </r>
  <r>
    <x v="239"/>
    <x v="21"/>
    <n v="-1152"/>
    <x v="1"/>
    <x v="1"/>
    <x v="0"/>
    <x v="7"/>
    <x v="0"/>
  </r>
  <r>
    <x v="239"/>
    <x v="5"/>
    <n v="10981"/>
    <x v="2"/>
    <x v="2"/>
    <x v="1"/>
    <x v="7"/>
    <x v="0"/>
  </r>
  <r>
    <x v="239"/>
    <x v="17"/>
    <n v="-1444"/>
    <x v="3"/>
    <x v="5"/>
    <x v="0"/>
    <x v="7"/>
    <x v="0"/>
  </r>
  <r>
    <x v="239"/>
    <x v="2"/>
    <n v="10931"/>
    <x v="2"/>
    <x v="2"/>
    <x v="1"/>
    <x v="7"/>
    <x v="0"/>
  </r>
  <r>
    <x v="239"/>
    <x v="20"/>
    <n v="-1523"/>
    <x v="3"/>
    <x v="10"/>
    <x v="0"/>
    <x v="7"/>
    <x v="0"/>
  </r>
  <r>
    <x v="239"/>
    <x v="0"/>
    <n v="-4650"/>
    <x v="0"/>
    <x v="0"/>
    <x v="0"/>
    <x v="7"/>
    <x v="0"/>
  </r>
  <r>
    <x v="239"/>
    <x v="55"/>
    <n v="-2132"/>
    <x v="3"/>
    <x v="5"/>
    <x v="0"/>
    <x v="7"/>
    <x v="0"/>
  </r>
  <r>
    <x v="239"/>
    <x v="21"/>
    <n v="-2038"/>
    <x v="1"/>
    <x v="1"/>
    <x v="0"/>
    <x v="7"/>
    <x v="0"/>
  </r>
  <r>
    <x v="239"/>
    <x v="44"/>
    <n v="-1513"/>
    <x v="5"/>
    <x v="14"/>
    <x v="0"/>
    <x v="7"/>
    <x v="0"/>
  </r>
  <r>
    <x v="239"/>
    <x v="54"/>
    <n v="-2297"/>
    <x v="3"/>
    <x v="8"/>
    <x v="0"/>
    <x v="7"/>
    <x v="0"/>
  </r>
  <r>
    <x v="239"/>
    <x v="39"/>
    <n v="-2418"/>
    <x v="3"/>
    <x v="5"/>
    <x v="0"/>
    <x v="7"/>
    <x v="0"/>
  </r>
  <r>
    <x v="239"/>
    <x v="6"/>
    <n v="-1599"/>
    <x v="1"/>
    <x v="4"/>
    <x v="0"/>
    <x v="7"/>
    <x v="0"/>
  </r>
  <r>
    <x v="239"/>
    <x v="25"/>
    <n v="-2243"/>
    <x v="3"/>
    <x v="9"/>
    <x v="0"/>
    <x v="7"/>
    <x v="0"/>
  </r>
  <r>
    <x v="239"/>
    <x v="10"/>
    <n v="-1251"/>
    <x v="3"/>
    <x v="6"/>
    <x v="0"/>
    <x v="7"/>
    <x v="0"/>
  </r>
  <r>
    <x v="239"/>
    <x v="6"/>
    <n v="-1920"/>
    <x v="1"/>
    <x v="4"/>
    <x v="0"/>
    <x v="7"/>
    <x v="0"/>
  </r>
  <r>
    <x v="240"/>
    <x v="0"/>
    <n v="-4105"/>
    <x v="0"/>
    <x v="0"/>
    <x v="0"/>
    <x v="7"/>
    <x v="0"/>
  </r>
  <r>
    <x v="240"/>
    <x v="59"/>
    <n v="-1284"/>
    <x v="3"/>
    <x v="5"/>
    <x v="0"/>
    <x v="7"/>
    <x v="0"/>
  </r>
  <r>
    <x v="240"/>
    <x v="5"/>
    <n v="11103"/>
    <x v="2"/>
    <x v="2"/>
    <x v="1"/>
    <x v="7"/>
    <x v="0"/>
  </r>
  <r>
    <x v="240"/>
    <x v="5"/>
    <n v="14762"/>
    <x v="2"/>
    <x v="2"/>
    <x v="1"/>
    <x v="7"/>
    <x v="0"/>
  </r>
  <r>
    <x v="240"/>
    <x v="1"/>
    <n v="-1514"/>
    <x v="1"/>
    <x v="1"/>
    <x v="0"/>
    <x v="7"/>
    <x v="0"/>
  </r>
  <r>
    <x v="240"/>
    <x v="6"/>
    <n v="-1716"/>
    <x v="1"/>
    <x v="4"/>
    <x v="0"/>
    <x v="7"/>
    <x v="0"/>
  </r>
  <r>
    <x v="240"/>
    <x v="0"/>
    <n v="-2525"/>
    <x v="0"/>
    <x v="0"/>
    <x v="0"/>
    <x v="7"/>
    <x v="0"/>
  </r>
  <r>
    <x v="240"/>
    <x v="45"/>
    <n v="-2112"/>
    <x v="3"/>
    <x v="5"/>
    <x v="0"/>
    <x v="7"/>
    <x v="0"/>
  </r>
  <r>
    <x v="240"/>
    <x v="5"/>
    <n v="11480"/>
    <x v="2"/>
    <x v="2"/>
    <x v="1"/>
    <x v="7"/>
    <x v="0"/>
  </r>
  <r>
    <x v="240"/>
    <x v="6"/>
    <n v="-1155"/>
    <x v="1"/>
    <x v="4"/>
    <x v="0"/>
    <x v="7"/>
    <x v="0"/>
  </r>
  <r>
    <x v="240"/>
    <x v="6"/>
    <n v="-1684"/>
    <x v="1"/>
    <x v="4"/>
    <x v="0"/>
    <x v="7"/>
    <x v="0"/>
  </r>
  <r>
    <x v="240"/>
    <x v="21"/>
    <n v="-1959"/>
    <x v="1"/>
    <x v="1"/>
    <x v="0"/>
    <x v="7"/>
    <x v="0"/>
  </r>
  <r>
    <x v="240"/>
    <x v="31"/>
    <n v="-1267"/>
    <x v="3"/>
    <x v="11"/>
    <x v="0"/>
    <x v="7"/>
    <x v="0"/>
  </r>
  <r>
    <x v="240"/>
    <x v="4"/>
    <n v="-1258"/>
    <x v="1"/>
    <x v="1"/>
    <x v="0"/>
    <x v="7"/>
    <x v="0"/>
  </r>
  <r>
    <x v="240"/>
    <x v="58"/>
    <n v="-2480"/>
    <x v="3"/>
    <x v="11"/>
    <x v="0"/>
    <x v="7"/>
    <x v="0"/>
  </r>
  <r>
    <x v="240"/>
    <x v="1"/>
    <n v="-1557"/>
    <x v="1"/>
    <x v="1"/>
    <x v="0"/>
    <x v="7"/>
    <x v="0"/>
  </r>
  <r>
    <x v="240"/>
    <x v="4"/>
    <n v="-2436"/>
    <x v="1"/>
    <x v="1"/>
    <x v="0"/>
    <x v="7"/>
    <x v="0"/>
  </r>
  <r>
    <x v="240"/>
    <x v="6"/>
    <n v="-1863"/>
    <x v="1"/>
    <x v="4"/>
    <x v="0"/>
    <x v="7"/>
    <x v="0"/>
  </r>
  <r>
    <x v="240"/>
    <x v="21"/>
    <n v="-1853"/>
    <x v="1"/>
    <x v="1"/>
    <x v="0"/>
    <x v="7"/>
    <x v="0"/>
  </r>
  <r>
    <x v="240"/>
    <x v="20"/>
    <n v="-1437"/>
    <x v="3"/>
    <x v="10"/>
    <x v="0"/>
    <x v="7"/>
    <x v="0"/>
  </r>
  <r>
    <x v="240"/>
    <x v="47"/>
    <n v="-2408"/>
    <x v="3"/>
    <x v="8"/>
    <x v="0"/>
    <x v="7"/>
    <x v="0"/>
  </r>
  <r>
    <x v="240"/>
    <x v="6"/>
    <n v="-1109"/>
    <x v="1"/>
    <x v="4"/>
    <x v="0"/>
    <x v="7"/>
    <x v="0"/>
  </r>
  <r>
    <x v="240"/>
    <x v="45"/>
    <n v="-1924"/>
    <x v="3"/>
    <x v="5"/>
    <x v="0"/>
    <x v="7"/>
    <x v="0"/>
  </r>
  <r>
    <x v="240"/>
    <x v="4"/>
    <n v="-1773"/>
    <x v="1"/>
    <x v="1"/>
    <x v="0"/>
    <x v="7"/>
    <x v="0"/>
  </r>
  <r>
    <x v="241"/>
    <x v="4"/>
    <n v="-1205"/>
    <x v="1"/>
    <x v="1"/>
    <x v="0"/>
    <x v="7"/>
    <x v="0"/>
  </r>
  <r>
    <x v="241"/>
    <x v="0"/>
    <n v="-3061"/>
    <x v="0"/>
    <x v="0"/>
    <x v="0"/>
    <x v="7"/>
    <x v="0"/>
  </r>
  <r>
    <x v="241"/>
    <x v="2"/>
    <n v="11564"/>
    <x v="2"/>
    <x v="2"/>
    <x v="1"/>
    <x v="7"/>
    <x v="0"/>
  </r>
  <r>
    <x v="241"/>
    <x v="1"/>
    <n v="-1835"/>
    <x v="1"/>
    <x v="1"/>
    <x v="0"/>
    <x v="7"/>
    <x v="0"/>
  </r>
  <r>
    <x v="242"/>
    <x v="4"/>
    <n v="-2322"/>
    <x v="1"/>
    <x v="1"/>
    <x v="0"/>
    <x v="7"/>
    <x v="0"/>
  </r>
  <r>
    <x v="242"/>
    <x v="0"/>
    <n v="-2645"/>
    <x v="0"/>
    <x v="0"/>
    <x v="0"/>
    <x v="7"/>
    <x v="0"/>
  </r>
  <r>
    <x v="242"/>
    <x v="41"/>
    <n v="-2143"/>
    <x v="3"/>
    <x v="3"/>
    <x v="0"/>
    <x v="7"/>
    <x v="0"/>
  </r>
  <r>
    <x v="242"/>
    <x v="37"/>
    <n v="-1107"/>
    <x v="3"/>
    <x v="3"/>
    <x v="0"/>
    <x v="7"/>
    <x v="0"/>
  </r>
  <r>
    <x v="242"/>
    <x v="21"/>
    <n v="-1028"/>
    <x v="1"/>
    <x v="1"/>
    <x v="0"/>
    <x v="7"/>
    <x v="0"/>
  </r>
  <r>
    <x v="242"/>
    <x v="21"/>
    <n v="-1493"/>
    <x v="1"/>
    <x v="1"/>
    <x v="0"/>
    <x v="7"/>
    <x v="0"/>
  </r>
  <r>
    <x v="242"/>
    <x v="6"/>
    <n v="-2225"/>
    <x v="1"/>
    <x v="4"/>
    <x v="0"/>
    <x v="7"/>
    <x v="0"/>
  </r>
  <r>
    <x v="242"/>
    <x v="4"/>
    <n v="-1131"/>
    <x v="1"/>
    <x v="1"/>
    <x v="0"/>
    <x v="7"/>
    <x v="0"/>
  </r>
  <r>
    <x v="242"/>
    <x v="6"/>
    <n v="-1775"/>
    <x v="1"/>
    <x v="4"/>
    <x v="0"/>
    <x v="7"/>
    <x v="0"/>
  </r>
  <r>
    <x v="242"/>
    <x v="5"/>
    <n v="14358"/>
    <x v="2"/>
    <x v="2"/>
    <x v="1"/>
    <x v="7"/>
    <x v="0"/>
  </r>
  <r>
    <x v="242"/>
    <x v="5"/>
    <n v="12359"/>
    <x v="2"/>
    <x v="2"/>
    <x v="1"/>
    <x v="7"/>
    <x v="0"/>
  </r>
  <r>
    <x v="242"/>
    <x v="0"/>
    <n v="-4838"/>
    <x v="0"/>
    <x v="0"/>
    <x v="0"/>
    <x v="7"/>
    <x v="0"/>
  </r>
  <r>
    <x v="243"/>
    <x v="35"/>
    <n v="-2489"/>
    <x v="3"/>
    <x v="10"/>
    <x v="0"/>
    <x v="8"/>
    <x v="0"/>
  </r>
  <r>
    <x v="243"/>
    <x v="51"/>
    <n v="-2322"/>
    <x v="3"/>
    <x v="5"/>
    <x v="0"/>
    <x v="8"/>
    <x v="0"/>
  </r>
  <r>
    <x v="243"/>
    <x v="5"/>
    <n v="13794"/>
    <x v="2"/>
    <x v="2"/>
    <x v="1"/>
    <x v="8"/>
    <x v="0"/>
  </r>
  <r>
    <x v="243"/>
    <x v="40"/>
    <n v="-1424"/>
    <x v="3"/>
    <x v="9"/>
    <x v="0"/>
    <x v="8"/>
    <x v="0"/>
  </r>
  <r>
    <x v="243"/>
    <x v="2"/>
    <n v="13276"/>
    <x v="2"/>
    <x v="2"/>
    <x v="1"/>
    <x v="8"/>
    <x v="0"/>
  </r>
  <r>
    <x v="243"/>
    <x v="0"/>
    <n v="-2618"/>
    <x v="0"/>
    <x v="0"/>
    <x v="0"/>
    <x v="8"/>
    <x v="0"/>
  </r>
  <r>
    <x v="243"/>
    <x v="5"/>
    <n v="12463"/>
    <x v="2"/>
    <x v="2"/>
    <x v="1"/>
    <x v="8"/>
    <x v="0"/>
  </r>
  <r>
    <x v="243"/>
    <x v="0"/>
    <n v="-2622"/>
    <x v="0"/>
    <x v="0"/>
    <x v="0"/>
    <x v="8"/>
    <x v="0"/>
  </r>
  <r>
    <x v="243"/>
    <x v="10"/>
    <n v="-2478"/>
    <x v="3"/>
    <x v="6"/>
    <x v="0"/>
    <x v="8"/>
    <x v="0"/>
  </r>
  <r>
    <x v="243"/>
    <x v="1"/>
    <n v="-1979"/>
    <x v="1"/>
    <x v="1"/>
    <x v="0"/>
    <x v="8"/>
    <x v="0"/>
  </r>
  <r>
    <x v="243"/>
    <x v="42"/>
    <n v="-1469"/>
    <x v="3"/>
    <x v="5"/>
    <x v="0"/>
    <x v="8"/>
    <x v="0"/>
  </r>
  <r>
    <x v="243"/>
    <x v="6"/>
    <n v="-2204"/>
    <x v="1"/>
    <x v="4"/>
    <x v="0"/>
    <x v="8"/>
    <x v="0"/>
  </r>
  <r>
    <x v="243"/>
    <x v="5"/>
    <n v="14168"/>
    <x v="2"/>
    <x v="2"/>
    <x v="1"/>
    <x v="8"/>
    <x v="0"/>
  </r>
  <r>
    <x v="243"/>
    <x v="46"/>
    <n v="-2405"/>
    <x v="3"/>
    <x v="11"/>
    <x v="0"/>
    <x v="8"/>
    <x v="0"/>
  </r>
  <r>
    <x v="243"/>
    <x v="2"/>
    <n v="12599"/>
    <x v="2"/>
    <x v="2"/>
    <x v="1"/>
    <x v="8"/>
    <x v="0"/>
  </r>
  <r>
    <x v="243"/>
    <x v="34"/>
    <n v="-2184"/>
    <x v="3"/>
    <x v="3"/>
    <x v="0"/>
    <x v="8"/>
    <x v="0"/>
  </r>
  <r>
    <x v="243"/>
    <x v="0"/>
    <n v="-3864"/>
    <x v="0"/>
    <x v="0"/>
    <x v="0"/>
    <x v="8"/>
    <x v="0"/>
  </r>
  <r>
    <x v="243"/>
    <x v="5"/>
    <n v="10127"/>
    <x v="2"/>
    <x v="2"/>
    <x v="1"/>
    <x v="8"/>
    <x v="0"/>
  </r>
  <r>
    <x v="243"/>
    <x v="54"/>
    <n v="-1639"/>
    <x v="3"/>
    <x v="8"/>
    <x v="0"/>
    <x v="8"/>
    <x v="0"/>
  </r>
  <r>
    <x v="243"/>
    <x v="5"/>
    <n v="12559"/>
    <x v="2"/>
    <x v="2"/>
    <x v="1"/>
    <x v="8"/>
    <x v="0"/>
  </r>
  <r>
    <x v="243"/>
    <x v="4"/>
    <n v="-1819"/>
    <x v="1"/>
    <x v="1"/>
    <x v="0"/>
    <x v="8"/>
    <x v="0"/>
  </r>
  <r>
    <x v="243"/>
    <x v="4"/>
    <n v="-2422"/>
    <x v="1"/>
    <x v="1"/>
    <x v="0"/>
    <x v="8"/>
    <x v="0"/>
  </r>
  <r>
    <x v="243"/>
    <x v="2"/>
    <n v="14939"/>
    <x v="2"/>
    <x v="2"/>
    <x v="1"/>
    <x v="8"/>
    <x v="0"/>
  </r>
  <r>
    <x v="243"/>
    <x v="5"/>
    <n v="12686"/>
    <x v="2"/>
    <x v="2"/>
    <x v="1"/>
    <x v="8"/>
    <x v="0"/>
  </r>
  <r>
    <x v="243"/>
    <x v="0"/>
    <n v="-3366"/>
    <x v="0"/>
    <x v="0"/>
    <x v="0"/>
    <x v="8"/>
    <x v="0"/>
  </r>
  <r>
    <x v="243"/>
    <x v="0"/>
    <n v="-3511"/>
    <x v="0"/>
    <x v="0"/>
    <x v="0"/>
    <x v="8"/>
    <x v="0"/>
  </r>
  <r>
    <x v="244"/>
    <x v="44"/>
    <n v="-2007"/>
    <x v="5"/>
    <x v="14"/>
    <x v="0"/>
    <x v="8"/>
    <x v="0"/>
  </r>
  <r>
    <x v="244"/>
    <x v="2"/>
    <n v="13683"/>
    <x v="2"/>
    <x v="2"/>
    <x v="1"/>
    <x v="8"/>
    <x v="0"/>
  </r>
  <r>
    <x v="244"/>
    <x v="35"/>
    <n v="-1850"/>
    <x v="3"/>
    <x v="10"/>
    <x v="0"/>
    <x v="8"/>
    <x v="0"/>
  </r>
  <r>
    <x v="244"/>
    <x v="5"/>
    <n v="12503"/>
    <x v="2"/>
    <x v="2"/>
    <x v="1"/>
    <x v="8"/>
    <x v="0"/>
  </r>
  <r>
    <x v="244"/>
    <x v="6"/>
    <n v="-1876"/>
    <x v="1"/>
    <x v="4"/>
    <x v="0"/>
    <x v="8"/>
    <x v="0"/>
  </r>
  <r>
    <x v="244"/>
    <x v="6"/>
    <n v="-1004"/>
    <x v="1"/>
    <x v="4"/>
    <x v="0"/>
    <x v="8"/>
    <x v="0"/>
  </r>
  <r>
    <x v="244"/>
    <x v="4"/>
    <n v="-1259"/>
    <x v="1"/>
    <x v="1"/>
    <x v="0"/>
    <x v="8"/>
    <x v="0"/>
  </r>
  <r>
    <x v="244"/>
    <x v="5"/>
    <n v="13659"/>
    <x v="2"/>
    <x v="2"/>
    <x v="1"/>
    <x v="8"/>
    <x v="0"/>
  </r>
  <r>
    <x v="244"/>
    <x v="57"/>
    <n v="-1463"/>
    <x v="3"/>
    <x v="5"/>
    <x v="0"/>
    <x v="8"/>
    <x v="0"/>
  </r>
  <r>
    <x v="244"/>
    <x v="4"/>
    <n v="-2399"/>
    <x v="1"/>
    <x v="1"/>
    <x v="0"/>
    <x v="8"/>
    <x v="0"/>
  </r>
  <r>
    <x v="245"/>
    <x v="21"/>
    <n v="-1008"/>
    <x v="1"/>
    <x v="1"/>
    <x v="0"/>
    <x v="8"/>
    <x v="0"/>
  </r>
  <r>
    <x v="245"/>
    <x v="7"/>
    <n v="-1049"/>
    <x v="3"/>
    <x v="5"/>
    <x v="0"/>
    <x v="8"/>
    <x v="0"/>
  </r>
  <r>
    <x v="245"/>
    <x v="6"/>
    <n v="-1421"/>
    <x v="1"/>
    <x v="4"/>
    <x v="0"/>
    <x v="8"/>
    <x v="0"/>
  </r>
  <r>
    <x v="245"/>
    <x v="56"/>
    <n v="2257"/>
    <x v="4"/>
    <x v="15"/>
    <x v="0"/>
    <x v="8"/>
    <x v="0"/>
  </r>
  <r>
    <x v="245"/>
    <x v="6"/>
    <n v="-1706"/>
    <x v="1"/>
    <x v="4"/>
    <x v="0"/>
    <x v="8"/>
    <x v="0"/>
  </r>
  <r>
    <x v="245"/>
    <x v="0"/>
    <n v="-2971"/>
    <x v="0"/>
    <x v="0"/>
    <x v="0"/>
    <x v="8"/>
    <x v="0"/>
  </r>
  <r>
    <x v="245"/>
    <x v="4"/>
    <n v="-2139"/>
    <x v="1"/>
    <x v="1"/>
    <x v="0"/>
    <x v="8"/>
    <x v="0"/>
  </r>
  <r>
    <x v="245"/>
    <x v="21"/>
    <n v="-1240"/>
    <x v="1"/>
    <x v="1"/>
    <x v="0"/>
    <x v="8"/>
    <x v="0"/>
  </r>
  <r>
    <x v="245"/>
    <x v="4"/>
    <n v="-1787"/>
    <x v="1"/>
    <x v="1"/>
    <x v="0"/>
    <x v="8"/>
    <x v="0"/>
  </r>
  <r>
    <x v="245"/>
    <x v="2"/>
    <n v="14247"/>
    <x v="2"/>
    <x v="2"/>
    <x v="1"/>
    <x v="8"/>
    <x v="0"/>
  </r>
  <r>
    <x v="246"/>
    <x v="29"/>
    <n v="-2497"/>
    <x v="3"/>
    <x v="7"/>
    <x v="0"/>
    <x v="8"/>
    <x v="0"/>
  </r>
  <r>
    <x v="246"/>
    <x v="29"/>
    <n v="-1173"/>
    <x v="3"/>
    <x v="7"/>
    <x v="0"/>
    <x v="8"/>
    <x v="0"/>
  </r>
  <r>
    <x v="246"/>
    <x v="0"/>
    <n v="-2946"/>
    <x v="0"/>
    <x v="0"/>
    <x v="0"/>
    <x v="8"/>
    <x v="0"/>
  </r>
  <r>
    <x v="246"/>
    <x v="16"/>
    <n v="-1198"/>
    <x v="3"/>
    <x v="9"/>
    <x v="0"/>
    <x v="8"/>
    <x v="0"/>
  </r>
  <r>
    <x v="246"/>
    <x v="21"/>
    <n v="-2448"/>
    <x v="1"/>
    <x v="1"/>
    <x v="0"/>
    <x v="8"/>
    <x v="0"/>
  </r>
  <r>
    <x v="246"/>
    <x v="5"/>
    <n v="10360"/>
    <x v="2"/>
    <x v="2"/>
    <x v="1"/>
    <x v="8"/>
    <x v="0"/>
  </r>
  <r>
    <x v="246"/>
    <x v="1"/>
    <n v="-1431"/>
    <x v="1"/>
    <x v="1"/>
    <x v="0"/>
    <x v="8"/>
    <x v="0"/>
  </r>
  <r>
    <x v="246"/>
    <x v="32"/>
    <n v="-1790"/>
    <x v="3"/>
    <x v="9"/>
    <x v="0"/>
    <x v="8"/>
    <x v="0"/>
  </r>
  <r>
    <x v="246"/>
    <x v="0"/>
    <n v="-4050"/>
    <x v="0"/>
    <x v="0"/>
    <x v="0"/>
    <x v="8"/>
    <x v="0"/>
  </r>
  <r>
    <x v="246"/>
    <x v="5"/>
    <n v="13074"/>
    <x v="2"/>
    <x v="2"/>
    <x v="1"/>
    <x v="8"/>
    <x v="0"/>
  </r>
  <r>
    <x v="246"/>
    <x v="7"/>
    <n v="-1765"/>
    <x v="3"/>
    <x v="5"/>
    <x v="0"/>
    <x v="8"/>
    <x v="0"/>
  </r>
  <r>
    <x v="246"/>
    <x v="5"/>
    <n v="13877"/>
    <x v="2"/>
    <x v="2"/>
    <x v="1"/>
    <x v="8"/>
    <x v="0"/>
  </r>
  <r>
    <x v="246"/>
    <x v="0"/>
    <n v="-4081"/>
    <x v="0"/>
    <x v="0"/>
    <x v="0"/>
    <x v="8"/>
    <x v="0"/>
  </r>
  <r>
    <x v="246"/>
    <x v="0"/>
    <n v="-4951"/>
    <x v="0"/>
    <x v="0"/>
    <x v="0"/>
    <x v="8"/>
    <x v="0"/>
  </r>
  <r>
    <x v="247"/>
    <x v="56"/>
    <n v="1164"/>
    <x v="4"/>
    <x v="15"/>
    <x v="0"/>
    <x v="8"/>
    <x v="0"/>
  </r>
  <r>
    <x v="247"/>
    <x v="5"/>
    <n v="13475"/>
    <x v="2"/>
    <x v="2"/>
    <x v="1"/>
    <x v="8"/>
    <x v="0"/>
  </r>
  <r>
    <x v="247"/>
    <x v="2"/>
    <n v="10214"/>
    <x v="2"/>
    <x v="2"/>
    <x v="1"/>
    <x v="8"/>
    <x v="0"/>
  </r>
  <r>
    <x v="247"/>
    <x v="5"/>
    <n v="13672"/>
    <x v="2"/>
    <x v="2"/>
    <x v="1"/>
    <x v="8"/>
    <x v="0"/>
  </r>
  <r>
    <x v="247"/>
    <x v="4"/>
    <n v="-1174"/>
    <x v="1"/>
    <x v="1"/>
    <x v="0"/>
    <x v="8"/>
    <x v="0"/>
  </r>
  <r>
    <x v="247"/>
    <x v="6"/>
    <n v="-1393"/>
    <x v="1"/>
    <x v="4"/>
    <x v="0"/>
    <x v="8"/>
    <x v="0"/>
  </r>
  <r>
    <x v="247"/>
    <x v="6"/>
    <n v="-1103"/>
    <x v="1"/>
    <x v="4"/>
    <x v="0"/>
    <x v="8"/>
    <x v="0"/>
  </r>
  <r>
    <x v="247"/>
    <x v="0"/>
    <n v="-3306"/>
    <x v="0"/>
    <x v="0"/>
    <x v="0"/>
    <x v="8"/>
    <x v="0"/>
  </r>
  <r>
    <x v="247"/>
    <x v="4"/>
    <n v="-1403"/>
    <x v="1"/>
    <x v="1"/>
    <x v="0"/>
    <x v="8"/>
    <x v="0"/>
  </r>
  <r>
    <x v="247"/>
    <x v="21"/>
    <n v="-2141"/>
    <x v="1"/>
    <x v="1"/>
    <x v="0"/>
    <x v="8"/>
    <x v="0"/>
  </r>
  <r>
    <x v="247"/>
    <x v="0"/>
    <n v="-4308"/>
    <x v="0"/>
    <x v="0"/>
    <x v="0"/>
    <x v="8"/>
    <x v="0"/>
  </r>
  <r>
    <x v="247"/>
    <x v="2"/>
    <n v="13354"/>
    <x v="2"/>
    <x v="2"/>
    <x v="1"/>
    <x v="8"/>
    <x v="0"/>
  </r>
  <r>
    <x v="247"/>
    <x v="32"/>
    <n v="-1810"/>
    <x v="3"/>
    <x v="9"/>
    <x v="0"/>
    <x v="8"/>
    <x v="0"/>
  </r>
  <r>
    <x v="247"/>
    <x v="0"/>
    <n v="-2883"/>
    <x v="0"/>
    <x v="0"/>
    <x v="0"/>
    <x v="8"/>
    <x v="0"/>
  </r>
  <r>
    <x v="248"/>
    <x v="1"/>
    <n v="-2327"/>
    <x v="1"/>
    <x v="1"/>
    <x v="0"/>
    <x v="8"/>
    <x v="0"/>
  </r>
  <r>
    <x v="248"/>
    <x v="13"/>
    <n v="-2359"/>
    <x v="3"/>
    <x v="7"/>
    <x v="0"/>
    <x v="8"/>
    <x v="0"/>
  </r>
  <r>
    <x v="248"/>
    <x v="6"/>
    <n v="-2025"/>
    <x v="1"/>
    <x v="4"/>
    <x v="0"/>
    <x v="8"/>
    <x v="0"/>
  </r>
  <r>
    <x v="248"/>
    <x v="33"/>
    <n v="-2466"/>
    <x v="3"/>
    <x v="3"/>
    <x v="0"/>
    <x v="8"/>
    <x v="0"/>
  </r>
  <r>
    <x v="248"/>
    <x v="21"/>
    <n v="-2332"/>
    <x v="1"/>
    <x v="1"/>
    <x v="0"/>
    <x v="8"/>
    <x v="0"/>
  </r>
  <r>
    <x v="248"/>
    <x v="49"/>
    <n v="-1673"/>
    <x v="3"/>
    <x v="5"/>
    <x v="0"/>
    <x v="8"/>
    <x v="0"/>
  </r>
  <r>
    <x v="248"/>
    <x v="51"/>
    <n v="-1086"/>
    <x v="3"/>
    <x v="5"/>
    <x v="0"/>
    <x v="8"/>
    <x v="0"/>
  </r>
  <r>
    <x v="248"/>
    <x v="29"/>
    <n v="-1086"/>
    <x v="3"/>
    <x v="7"/>
    <x v="0"/>
    <x v="8"/>
    <x v="0"/>
  </r>
  <r>
    <x v="248"/>
    <x v="16"/>
    <n v="-1674"/>
    <x v="3"/>
    <x v="9"/>
    <x v="0"/>
    <x v="8"/>
    <x v="0"/>
  </r>
  <r>
    <x v="248"/>
    <x v="21"/>
    <n v="-1930"/>
    <x v="1"/>
    <x v="1"/>
    <x v="0"/>
    <x v="8"/>
    <x v="0"/>
  </r>
  <r>
    <x v="248"/>
    <x v="6"/>
    <n v="-1267"/>
    <x v="1"/>
    <x v="4"/>
    <x v="0"/>
    <x v="8"/>
    <x v="0"/>
  </r>
  <r>
    <x v="248"/>
    <x v="35"/>
    <n v="-1269"/>
    <x v="3"/>
    <x v="10"/>
    <x v="0"/>
    <x v="8"/>
    <x v="0"/>
  </r>
  <r>
    <x v="248"/>
    <x v="4"/>
    <n v="-1133"/>
    <x v="1"/>
    <x v="1"/>
    <x v="0"/>
    <x v="8"/>
    <x v="0"/>
  </r>
  <r>
    <x v="248"/>
    <x v="6"/>
    <n v="-1970"/>
    <x v="1"/>
    <x v="4"/>
    <x v="0"/>
    <x v="8"/>
    <x v="0"/>
  </r>
  <r>
    <x v="249"/>
    <x v="36"/>
    <n v="-1380"/>
    <x v="3"/>
    <x v="7"/>
    <x v="0"/>
    <x v="8"/>
    <x v="0"/>
  </r>
  <r>
    <x v="249"/>
    <x v="39"/>
    <n v="-2355"/>
    <x v="3"/>
    <x v="5"/>
    <x v="0"/>
    <x v="8"/>
    <x v="0"/>
  </r>
  <r>
    <x v="249"/>
    <x v="2"/>
    <n v="14998"/>
    <x v="2"/>
    <x v="2"/>
    <x v="1"/>
    <x v="8"/>
    <x v="0"/>
  </r>
  <r>
    <x v="249"/>
    <x v="2"/>
    <n v="10242"/>
    <x v="2"/>
    <x v="2"/>
    <x v="1"/>
    <x v="8"/>
    <x v="0"/>
  </r>
  <r>
    <x v="249"/>
    <x v="2"/>
    <n v="10165"/>
    <x v="2"/>
    <x v="2"/>
    <x v="1"/>
    <x v="8"/>
    <x v="0"/>
  </r>
  <r>
    <x v="249"/>
    <x v="0"/>
    <n v="-3719"/>
    <x v="0"/>
    <x v="0"/>
    <x v="0"/>
    <x v="8"/>
    <x v="0"/>
  </r>
  <r>
    <x v="249"/>
    <x v="0"/>
    <n v="-4489"/>
    <x v="0"/>
    <x v="0"/>
    <x v="0"/>
    <x v="8"/>
    <x v="0"/>
  </r>
  <r>
    <x v="249"/>
    <x v="4"/>
    <n v="-1615"/>
    <x v="1"/>
    <x v="1"/>
    <x v="0"/>
    <x v="8"/>
    <x v="0"/>
  </r>
  <r>
    <x v="249"/>
    <x v="37"/>
    <n v="-1704"/>
    <x v="3"/>
    <x v="3"/>
    <x v="0"/>
    <x v="8"/>
    <x v="0"/>
  </r>
  <r>
    <x v="249"/>
    <x v="4"/>
    <n v="-1035"/>
    <x v="1"/>
    <x v="1"/>
    <x v="0"/>
    <x v="8"/>
    <x v="0"/>
  </r>
  <r>
    <x v="249"/>
    <x v="1"/>
    <n v="-1682"/>
    <x v="1"/>
    <x v="1"/>
    <x v="0"/>
    <x v="8"/>
    <x v="0"/>
  </r>
  <r>
    <x v="249"/>
    <x v="2"/>
    <n v="12531"/>
    <x v="2"/>
    <x v="2"/>
    <x v="1"/>
    <x v="8"/>
    <x v="0"/>
  </r>
  <r>
    <x v="250"/>
    <x v="20"/>
    <n v="-2082"/>
    <x v="3"/>
    <x v="10"/>
    <x v="0"/>
    <x v="8"/>
    <x v="0"/>
  </r>
  <r>
    <x v="250"/>
    <x v="34"/>
    <n v="-1953"/>
    <x v="3"/>
    <x v="3"/>
    <x v="0"/>
    <x v="8"/>
    <x v="0"/>
  </r>
  <r>
    <x v="250"/>
    <x v="21"/>
    <n v="-2282"/>
    <x v="1"/>
    <x v="1"/>
    <x v="0"/>
    <x v="8"/>
    <x v="0"/>
  </r>
  <r>
    <x v="250"/>
    <x v="5"/>
    <n v="14715"/>
    <x v="2"/>
    <x v="2"/>
    <x v="1"/>
    <x v="8"/>
    <x v="0"/>
  </r>
  <r>
    <x v="250"/>
    <x v="6"/>
    <n v="-2180"/>
    <x v="1"/>
    <x v="4"/>
    <x v="0"/>
    <x v="8"/>
    <x v="0"/>
  </r>
  <r>
    <x v="250"/>
    <x v="44"/>
    <n v="-2008"/>
    <x v="5"/>
    <x v="14"/>
    <x v="0"/>
    <x v="8"/>
    <x v="0"/>
  </r>
  <r>
    <x v="250"/>
    <x v="5"/>
    <n v="14037"/>
    <x v="2"/>
    <x v="2"/>
    <x v="1"/>
    <x v="8"/>
    <x v="0"/>
  </r>
  <r>
    <x v="250"/>
    <x v="59"/>
    <n v="-1319"/>
    <x v="3"/>
    <x v="5"/>
    <x v="0"/>
    <x v="8"/>
    <x v="0"/>
  </r>
  <r>
    <x v="250"/>
    <x v="0"/>
    <n v="-2837"/>
    <x v="0"/>
    <x v="0"/>
    <x v="0"/>
    <x v="8"/>
    <x v="0"/>
  </r>
  <r>
    <x v="250"/>
    <x v="2"/>
    <n v="13775"/>
    <x v="2"/>
    <x v="2"/>
    <x v="1"/>
    <x v="8"/>
    <x v="0"/>
  </r>
  <r>
    <x v="250"/>
    <x v="5"/>
    <n v="13370"/>
    <x v="2"/>
    <x v="2"/>
    <x v="1"/>
    <x v="8"/>
    <x v="0"/>
  </r>
  <r>
    <x v="250"/>
    <x v="16"/>
    <n v="-1234"/>
    <x v="3"/>
    <x v="9"/>
    <x v="0"/>
    <x v="8"/>
    <x v="0"/>
  </r>
  <r>
    <x v="250"/>
    <x v="6"/>
    <n v="-1728"/>
    <x v="1"/>
    <x v="4"/>
    <x v="0"/>
    <x v="8"/>
    <x v="0"/>
  </r>
  <r>
    <x v="250"/>
    <x v="9"/>
    <n v="-2301"/>
    <x v="3"/>
    <x v="5"/>
    <x v="0"/>
    <x v="8"/>
    <x v="0"/>
  </r>
  <r>
    <x v="250"/>
    <x v="0"/>
    <n v="-3083"/>
    <x v="0"/>
    <x v="0"/>
    <x v="0"/>
    <x v="8"/>
    <x v="0"/>
  </r>
  <r>
    <x v="250"/>
    <x v="41"/>
    <n v="-1330"/>
    <x v="3"/>
    <x v="3"/>
    <x v="0"/>
    <x v="8"/>
    <x v="0"/>
  </r>
  <r>
    <x v="251"/>
    <x v="21"/>
    <n v="-1229"/>
    <x v="1"/>
    <x v="1"/>
    <x v="0"/>
    <x v="8"/>
    <x v="0"/>
  </r>
  <r>
    <x v="251"/>
    <x v="1"/>
    <n v="-1640"/>
    <x v="1"/>
    <x v="1"/>
    <x v="0"/>
    <x v="8"/>
    <x v="0"/>
  </r>
  <r>
    <x v="251"/>
    <x v="6"/>
    <n v="-2101"/>
    <x v="1"/>
    <x v="4"/>
    <x v="0"/>
    <x v="8"/>
    <x v="0"/>
  </r>
  <r>
    <x v="251"/>
    <x v="27"/>
    <n v="-1960"/>
    <x v="3"/>
    <x v="5"/>
    <x v="0"/>
    <x v="8"/>
    <x v="0"/>
  </r>
  <r>
    <x v="251"/>
    <x v="4"/>
    <n v="-1625"/>
    <x v="1"/>
    <x v="1"/>
    <x v="0"/>
    <x v="8"/>
    <x v="0"/>
  </r>
  <r>
    <x v="251"/>
    <x v="16"/>
    <n v="-1255"/>
    <x v="3"/>
    <x v="9"/>
    <x v="0"/>
    <x v="8"/>
    <x v="0"/>
  </r>
  <r>
    <x v="251"/>
    <x v="48"/>
    <n v="-2203"/>
    <x v="3"/>
    <x v="7"/>
    <x v="0"/>
    <x v="8"/>
    <x v="0"/>
  </r>
  <r>
    <x v="251"/>
    <x v="5"/>
    <n v="11666"/>
    <x v="2"/>
    <x v="2"/>
    <x v="1"/>
    <x v="8"/>
    <x v="0"/>
  </r>
  <r>
    <x v="252"/>
    <x v="7"/>
    <n v="-2283"/>
    <x v="3"/>
    <x v="5"/>
    <x v="0"/>
    <x v="8"/>
    <x v="0"/>
  </r>
  <r>
    <x v="252"/>
    <x v="0"/>
    <n v="-4736"/>
    <x v="0"/>
    <x v="0"/>
    <x v="0"/>
    <x v="8"/>
    <x v="0"/>
  </r>
  <r>
    <x v="252"/>
    <x v="5"/>
    <n v="11483"/>
    <x v="2"/>
    <x v="2"/>
    <x v="1"/>
    <x v="8"/>
    <x v="0"/>
  </r>
  <r>
    <x v="252"/>
    <x v="6"/>
    <n v="-2001"/>
    <x v="1"/>
    <x v="4"/>
    <x v="0"/>
    <x v="8"/>
    <x v="0"/>
  </r>
  <r>
    <x v="252"/>
    <x v="49"/>
    <n v="-1994"/>
    <x v="3"/>
    <x v="5"/>
    <x v="0"/>
    <x v="8"/>
    <x v="0"/>
  </r>
  <r>
    <x v="252"/>
    <x v="2"/>
    <n v="13975"/>
    <x v="2"/>
    <x v="2"/>
    <x v="1"/>
    <x v="8"/>
    <x v="0"/>
  </r>
  <r>
    <x v="252"/>
    <x v="57"/>
    <n v="-1231"/>
    <x v="3"/>
    <x v="5"/>
    <x v="0"/>
    <x v="8"/>
    <x v="0"/>
  </r>
  <r>
    <x v="252"/>
    <x v="5"/>
    <n v="13448"/>
    <x v="2"/>
    <x v="2"/>
    <x v="1"/>
    <x v="8"/>
    <x v="0"/>
  </r>
  <r>
    <x v="252"/>
    <x v="5"/>
    <n v="12566"/>
    <x v="2"/>
    <x v="2"/>
    <x v="1"/>
    <x v="8"/>
    <x v="0"/>
  </r>
  <r>
    <x v="252"/>
    <x v="1"/>
    <n v="-1401"/>
    <x v="1"/>
    <x v="1"/>
    <x v="0"/>
    <x v="8"/>
    <x v="0"/>
  </r>
  <r>
    <x v="252"/>
    <x v="63"/>
    <n v="-2500"/>
    <x v="3"/>
    <x v="5"/>
    <x v="0"/>
    <x v="8"/>
    <x v="0"/>
  </r>
  <r>
    <x v="252"/>
    <x v="2"/>
    <n v="11499"/>
    <x v="2"/>
    <x v="2"/>
    <x v="1"/>
    <x v="8"/>
    <x v="0"/>
  </r>
  <r>
    <x v="252"/>
    <x v="8"/>
    <n v="-2271"/>
    <x v="3"/>
    <x v="6"/>
    <x v="0"/>
    <x v="8"/>
    <x v="0"/>
  </r>
  <r>
    <x v="252"/>
    <x v="35"/>
    <n v="-1415"/>
    <x v="3"/>
    <x v="10"/>
    <x v="0"/>
    <x v="8"/>
    <x v="0"/>
  </r>
  <r>
    <x v="252"/>
    <x v="28"/>
    <n v="-1877"/>
    <x v="4"/>
    <x v="12"/>
    <x v="0"/>
    <x v="8"/>
    <x v="0"/>
  </r>
  <r>
    <x v="252"/>
    <x v="5"/>
    <n v="14546"/>
    <x v="2"/>
    <x v="2"/>
    <x v="1"/>
    <x v="8"/>
    <x v="0"/>
  </r>
  <r>
    <x v="252"/>
    <x v="4"/>
    <n v="-1525"/>
    <x v="1"/>
    <x v="1"/>
    <x v="0"/>
    <x v="8"/>
    <x v="0"/>
  </r>
  <r>
    <x v="252"/>
    <x v="21"/>
    <n v="-1952"/>
    <x v="1"/>
    <x v="1"/>
    <x v="0"/>
    <x v="8"/>
    <x v="0"/>
  </r>
  <r>
    <x v="253"/>
    <x v="6"/>
    <n v="-2432"/>
    <x v="1"/>
    <x v="4"/>
    <x v="0"/>
    <x v="8"/>
    <x v="0"/>
  </r>
  <r>
    <x v="253"/>
    <x v="1"/>
    <n v="-1817"/>
    <x v="1"/>
    <x v="1"/>
    <x v="0"/>
    <x v="8"/>
    <x v="0"/>
  </r>
  <r>
    <x v="253"/>
    <x v="0"/>
    <n v="-3781"/>
    <x v="0"/>
    <x v="0"/>
    <x v="0"/>
    <x v="8"/>
    <x v="0"/>
  </r>
  <r>
    <x v="253"/>
    <x v="4"/>
    <n v="-1779"/>
    <x v="1"/>
    <x v="1"/>
    <x v="0"/>
    <x v="8"/>
    <x v="0"/>
  </r>
  <r>
    <x v="253"/>
    <x v="21"/>
    <n v="-2431"/>
    <x v="1"/>
    <x v="1"/>
    <x v="0"/>
    <x v="8"/>
    <x v="0"/>
  </r>
  <r>
    <x v="253"/>
    <x v="39"/>
    <n v="-2171"/>
    <x v="3"/>
    <x v="5"/>
    <x v="0"/>
    <x v="8"/>
    <x v="0"/>
  </r>
  <r>
    <x v="253"/>
    <x v="3"/>
    <n v="-1586"/>
    <x v="3"/>
    <x v="3"/>
    <x v="0"/>
    <x v="8"/>
    <x v="0"/>
  </r>
  <r>
    <x v="253"/>
    <x v="19"/>
    <n v="-2223"/>
    <x v="3"/>
    <x v="8"/>
    <x v="0"/>
    <x v="8"/>
    <x v="0"/>
  </r>
  <r>
    <x v="253"/>
    <x v="55"/>
    <n v="-2308"/>
    <x v="3"/>
    <x v="5"/>
    <x v="0"/>
    <x v="8"/>
    <x v="0"/>
  </r>
  <r>
    <x v="253"/>
    <x v="35"/>
    <n v="-1866"/>
    <x v="3"/>
    <x v="10"/>
    <x v="0"/>
    <x v="8"/>
    <x v="0"/>
  </r>
  <r>
    <x v="253"/>
    <x v="5"/>
    <n v="11852"/>
    <x v="2"/>
    <x v="2"/>
    <x v="1"/>
    <x v="8"/>
    <x v="0"/>
  </r>
  <r>
    <x v="253"/>
    <x v="0"/>
    <n v="-2692"/>
    <x v="0"/>
    <x v="0"/>
    <x v="0"/>
    <x v="8"/>
    <x v="0"/>
  </r>
  <r>
    <x v="253"/>
    <x v="5"/>
    <n v="13533"/>
    <x v="2"/>
    <x v="2"/>
    <x v="1"/>
    <x v="8"/>
    <x v="0"/>
  </r>
  <r>
    <x v="253"/>
    <x v="21"/>
    <n v="-1126"/>
    <x v="1"/>
    <x v="1"/>
    <x v="0"/>
    <x v="8"/>
    <x v="0"/>
  </r>
  <r>
    <x v="253"/>
    <x v="38"/>
    <n v="-1369"/>
    <x v="3"/>
    <x v="5"/>
    <x v="0"/>
    <x v="8"/>
    <x v="0"/>
  </r>
  <r>
    <x v="253"/>
    <x v="4"/>
    <n v="-2110"/>
    <x v="1"/>
    <x v="1"/>
    <x v="0"/>
    <x v="8"/>
    <x v="0"/>
  </r>
  <r>
    <x v="253"/>
    <x v="15"/>
    <n v="-2252"/>
    <x v="3"/>
    <x v="6"/>
    <x v="0"/>
    <x v="8"/>
    <x v="0"/>
  </r>
  <r>
    <x v="253"/>
    <x v="4"/>
    <n v="-2307"/>
    <x v="1"/>
    <x v="1"/>
    <x v="0"/>
    <x v="8"/>
    <x v="0"/>
  </r>
  <r>
    <x v="254"/>
    <x v="4"/>
    <n v="-2077"/>
    <x v="1"/>
    <x v="1"/>
    <x v="0"/>
    <x v="8"/>
    <x v="0"/>
  </r>
  <r>
    <x v="254"/>
    <x v="35"/>
    <n v="-2421"/>
    <x v="3"/>
    <x v="10"/>
    <x v="0"/>
    <x v="8"/>
    <x v="0"/>
  </r>
  <r>
    <x v="254"/>
    <x v="0"/>
    <n v="-2651"/>
    <x v="0"/>
    <x v="0"/>
    <x v="0"/>
    <x v="8"/>
    <x v="0"/>
  </r>
  <r>
    <x v="254"/>
    <x v="43"/>
    <n v="-1707"/>
    <x v="3"/>
    <x v="5"/>
    <x v="0"/>
    <x v="8"/>
    <x v="0"/>
  </r>
  <r>
    <x v="254"/>
    <x v="25"/>
    <n v="-1736"/>
    <x v="3"/>
    <x v="9"/>
    <x v="0"/>
    <x v="8"/>
    <x v="0"/>
  </r>
  <r>
    <x v="254"/>
    <x v="21"/>
    <n v="-1425"/>
    <x v="1"/>
    <x v="1"/>
    <x v="0"/>
    <x v="8"/>
    <x v="0"/>
  </r>
  <r>
    <x v="254"/>
    <x v="51"/>
    <n v="-1076"/>
    <x v="3"/>
    <x v="5"/>
    <x v="0"/>
    <x v="8"/>
    <x v="0"/>
  </r>
  <r>
    <x v="254"/>
    <x v="4"/>
    <n v="-2152"/>
    <x v="1"/>
    <x v="1"/>
    <x v="0"/>
    <x v="8"/>
    <x v="0"/>
  </r>
  <r>
    <x v="254"/>
    <x v="29"/>
    <n v="-1759"/>
    <x v="3"/>
    <x v="7"/>
    <x v="0"/>
    <x v="8"/>
    <x v="0"/>
  </r>
  <r>
    <x v="254"/>
    <x v="6"/>
    <n v="-2276"/>
    <x v="1"/>
    <x v="4"/>
    <x v="0"/>
    <x v="8"/>
    <x v="0"/>
  </r>
  <r>
    <x v="254"/>
    <x v="37"/>
    <n v="-2390"/>
    <x v="3"/>
    <x v="3"/>
    <x v="0"/>
    <x v="8"/>
    <x v="0"/>
  </r>
  <r>
    <x v="254"/>
    <x v="37"/>
    <n v="-1528"/>
    <x v="3"/>
    <x v="3"/>
    <x v="0"/>
    <x v="8"/>
    <x v="0"/>
  </r>
  <r>
    <x v="255"/>
    <x v="47"/>
    <n v="-1144"/>
    <x v="3"/>
    <x v="8"/>
    <x v="0"/>
    <x v="8"/>
    <x v="0"/>
  </r>
  <r>
    <x v="255"/>
    <x v="60"/>
    <n v="-1781"/>
    <x v="3"/>
    <x v="6"/>
    <x v="0"/>
    <x v="8"/>
    <x v="0"/>
  </r>
  <r>
    <x v="255"/>
    <x v="7"/>
    <n v="-1135"/>
    <x v="3"/>
    <x v="5"/>
    <x v="0"/>
    <x v="8"/>
    <x v="0"/>
  </r>
  <r>
    <x v="255"/>
    <x v="2"/>
    <n v="14617"/>
    <x v="2"/>
    <x v="2"/>
    <x v="1"/>
    <x v="8"/>
    <x v="0"/>
  </r>
  <r>
    <x v="255"/>
    <x v="0"/>
    <n v="-3240"/>
    <x v="0"/>
    <x v="0"/>
    <x v="0"/>
    <x v="8"/>
    <x v="0"/>
  </r>
  <r>
    <x v="255"/>
    <x v="19"/>
    <n v="-2208"/>
    <x v="3"/>
    <x v="8"/>
    <x v="0"/>
    <x v="8"/>
    <x v="0"/>
  </r>
  <r>
    <x v="255"/>
    <x v="1"/>
    <n v="-2273"/>
    <x v="1"/>
    <x v="1"/>
    <x v="0"/>
    <x v="8"/>
    <x v="0"/>
  </r>
  <r>
    <x v="255"/>
    <x v="15"/>
    <n v="-1650"/>
    <x v="3"/>
    <x v="6"/>
    <x v="0"/>
    <x v="8"/>
    <x v="0"/>
  </r>
  <r>
    <x v="255"/>
    <x v="21"/>
    <n v="-1804"/>
    <x v="1"/>
    <x v="1"/>
    <x v="0"/>
    <x v="8"/>
    <x v="0"/>
  </r>
  <r>
    <x v="255"/>
    <x v="26"/>
    <n v="-2249"/>
    <x v="3"/>
    <x v="11"/>
    <x v="0"/>
    <x v="8"/>
    <x v="0"/>
  </r>
  <r>
    <x v="255"/>
    <x v="24"/>
    <n v="-1118"/>
    <x v="3"/>
    <x v="6"/>
    <x v="0"/>
    <x v="8"/>
    <x v="0"/>
  </r>
  <r>
    <x v="255"/>
    <x v="11"/>
    <n v="-2467"/>
    <x v="3"/>
    <x v="5"/>
    <x v="0"/>
    <x v="8"/>
    <x v="0"/>
  </r>
  <r>
    <x v="255"/>
    <x v="6"/>
    <n v="-2057"/>
    <x v="1"/>
    <x v="4"/>
    <x v="0"/>
    <x v="8"/>
    <x v="0"/>
  </r>
  <r>
    <x v="255"/>
    <x v="53"/>
    <n v="-1406"/>
    <x v="3"/>
    <x v="5"/>
    <x v="0"/>
    <x v="8"/>
    <x v="0"/>
  </r>
  <r>
    <x v="255"/>
    <x v="21"/>
    <n v="-1199"/>
    <x v="1"/>
    <x v="1"/>
    <x v="0"/>
    <x v="8"/>
    <x v="0"/>
  </r>
  <r>
    <x v="255"/>
    <x v="0"/>
    <n v="-4278"/>
    <x v="0"/>
    <x v="0"/>
    <x v="0"/>
    <x v="8"/>
    <x v="0"/>
  </r>
  <r>
    <x v="255"/>
    <x v="5"/>
    <n v="13228"/>
    <x v="2"/>
    <x v="2"/>
    <x v="1"/>
    <x v="8"/>
    <x v="0"/>
  </r>
  <r>
    <x v="255"/>
    <x v="0"/>
    <n v="-3469"/>
    <x v="0"/>
    <x v="0"/>
    <x v="0"/>
    <x v="8"/>
    <x v="0"/>
  </r>
  <r>
    <x v="255"/>
    <x v="50"/>
    <n v="-2210"/>
    <x v="3"/>
    <x v="3"/>
    <x v="0"/>
    <x v="8"/>
    <x v="0"/>
  </r>
  <r>
    <x v="255"/>
    <x v="5"/>
    <n v="10672"/>
    <x v="2"/>
    <x v="2"/>
    <x v="1"/>
    <x v="8"/>
    <x v="0"/>
  </r>
  <r>
    <x v="256"/>
    <x v="5"/>
    <n v="14767"/>
    <x v="2"/>
    <x v="2"/>
    <x v="1"/>
    <x v="8"/>
    <x v="0"/>
  </r>
  <r>
    <x v="256"/>
    <x v="6"/>
    <n v="-1117"/>
    <x v="1"/>
    <x v="4"/>
    <x v="0"/>
    <x v="8"/>
    <x v="0"/>
  </r>
  <r>
    <x v="256"/>
    <x v="0"/>
    <n v="-3208"/>
    <x v="0"/>
    <x v="0"/>
    <x v="0"/>
    <x v="8"/>
    <x v="0"/>
  </r>
  <r>
    <x v="256"/>
    <x v="33"/>
    <n v="-1304"/>
    <x v="3"/>
    <x v="3"/>
    <x v="0"/>
    <x v="8"/>
    <x v="0"/>
  </r>
  <r>
    <x v="256"/>
    <x v="1"/>
    <n v="-2305"/>
    <x v="1"/>
    <x v="1"/>
    <x v="0"/>
    <x v="8"/>
    <x v="0"/>
  </r>
  <r>
    <x v="256"/>
    <x v="62"/>
    <n v="-1594"/>
    <x v="3"/>
    <x v="11"/>
    <x v="0"/>
    <x v="8"/>
    <x v="0"/>
  </r>
  <r>
    <x v="256"/>
    <x v="0"/>
    <n v="-4569"/>
    <x v="0"/>
    <x v="0"/>
    <x v="0"/>
    <x v="8"/>
    <x v="0"/>
  </r>
  <r>
    <x v="256"/>
    <x v="6"/>
    <n v="-1559"/>
    <x v="1"/>
    <x v="4"/>
    <x v="0"/>
    <x v="8"/>
    <x v="0"/>
  </r>
  <r>
    <x v="256"/>
    <x v="61"/>
    <n v="-1765"/>
    <x v="3"/>
    <x v="10"/>
    <x v="0"/>
    <x v="8"/>
    <x v="0"/>
  </r>
  <r>
    <x v="256"/>
    <x v="55"/>
    <n v="-1340"/>
    <x v="3"/>
    <x v="5"/>
    <x v="0"/>
    <x v="8"/>
    <x v="0"/>
  </r>
  <r>
    <x v="256"/>
    <x v="1"/>
    <n v="-1594"/>
    <x v="1"/>
    <x v="1"/>
    <x v="0"/>
    <x v="8"/>
    <x v="0"/>
  </r>
  <r>
    <x v="256"/>
    <x v="2"/>
    <n v="11943"/>
    <x v="2"/>
    <x v="2"/>
    <x v="1"/>
    <x v="8"/>
    <x v="0"/>
  </r>
  <r>
    <x v="256"/>
    <x v="2"/>
    <n v="14941"/>
    <x v="2"/>
    <x v="2"/>
    <x v="1"/>
    <x v="8"/>
    <x v="0"/>
  </r>
  <r>
    <x v="256"/>
    <x v="1"/>
    <n v="-2454"/>
    <x v="1"/>
    <x v="1"/>
    <x v="0"/>
    <x v="8"/>
    <x v="0"/>
  </r>
  <r>
    <x v="257"/>
    <x v="6"/>
    <n v="-1830"/>
    <x v="1"/>
    <x v="4"/>
    <x v="0"/>
    <x v="8"/>
    <x v="0"/>
  </r>
  <r>
    <x v="257"/>
    <x v="6"/>
    <n v="-1080"/>
    <x v="1"/>
    <x v="4"/>
    <x v="0"/>
    <x v="8"/>
    <x v="0"/>
  </r>
  <r>
    <x v="257"/>
    <x v="5"/>
    <n v="11749"/>
    <x v="2"/>
    <x v="2"/>
    <x v="1"/>
    <x v="8"/>
    <x v="0"/>
  </r>
  <r>
    <x v="257"/>
    <x v="49"/>
    <n v="-1900"/>
    <x v="3"/>
    <x v="5"/>
    <x v="0"/>
    <x v="8"/>
    <x v="0"/>
  </r>
  <r>
    <x v="257"/>
    <x v="25"/>
    <n v="-1506"/>
    <x v="3"/>
    <x v="9"/>
    <x v="0"/>
    <x v="8"/>
    <x v="0"/>
  </r>
  <r>
    <x v="257"/>
    <x v="56"/>
    <n v="1381"/>
    <x v="4"/>
    <x v="15"/>
    <x v="0"/>
    <x v="8"/>
    <x v="0"/>
  </r>
  <r>
    <x v="257"/>
    <x v="2"/>
    <n v="10458"/>
    <x v="2"/>
    <x v="2"/>
    <x v="1"/>
    <x v="8"/>
    <x v="0"/>
  </r>
  <r>
    <x v="257"/>
    <x v="59"/>
    <n v="-1846"/>
    <x v="3"/>
    <x v="5"/>
    <x v="0"/>
    <x v="8"/>
    <x v="0"/>
  </r>
  <r>
    <x v="258"/>
    <x v="5"/>
    <n v="10241"/>
    <x v="2"/>
    <x v="2"/>
    <x v="1"/>
    <x v="8"/>
    <x v="0"/>
  </r>
  <r>
    <x v="258"/>
    <x v="7"/>
    <n v="-1298"/>
    <x v="3"/>
    <x v="5"/>
    <x v="0"/>
    <x v="8"/>
    <x v="0"/>
  </r>
  <r>
    <x v="258"/>
    <x v="40"/>
    <n v="-1854"/>
    <x v="3"/>
    <x v="9"/>
    <x v="0"/>
    <x v="8"/>
    <x v="0"/>
  </r>
  <r>
    <x v="258"/>
    <x v="6"/>
    <n v="-1566"/>
    <x v="1"/>
    <x v="4"/>
    <x v="0"/>
    <x v="8"/>
    <x v="0"/>
  </r>
  <r>
    <x v="258"/>
    <x v="6"/>
    <n v="-1985"/>
    <x v="1"/>
    <x v="4"/>
    <x v="0"/>
    <x v="8"/>
    <x v="0"/>
  </r>
  <r>
    <x v="258"/>
    <x v="1"/>
    <n v="-1659"/>
    <x v="1"/>
    <x v="1"/>
    <x v="0"/>
    <x v="8"/>
    <x v="0"/>
  </r>
  <r>
    <x v="258"/>
    <x v="6"/>
    <n v="-1687"/>
    <x v="1"/>
    <x v="4"/>
    <x v="0"/>
    <x v="8"/>
    <x v="0"/>
  </r>
  <r>
    <x v="258"/>
    <x v="5"/>
    <n v="13605"/>
    <x v="2"/>
    <x v="2"/>
    <x v="1"/>
    <x v="8"/>
    <x v="0"/>
  </r>
  <r>
    <x v="259"/>
    <x v="6"/>
    <n v="-2497"/>
    <x v="1"/>
    <x v="4"/>
    <x v="0"/>
    <x v="8"/>
    <x v="0"/>
  </r>
  <r>
    <x v="259"/>
    <x v="2"/>
    <n v="12064"/>
    <x v="2"/>
    <x v="2"/>
    <x v="1"/>
    <x v="8"/>
    <x v="0"/>
  </r>
  <r>
    <x v="259"/>
    <x v="6"/>
    <n v="-2017"/>
    <x v="1"/>
    <x v="4"/>
    <x v="0"/>
    <x v="8"/>
    <x v="0"/>
  </r>
  <r>
    <x v="259"/>
    <x v="24"/>
    <n v="-1833"/>
    <x v="3"/>
    <x v="6"/>
    <x v="0"/>
    <x v="8"/>
    <x v="0"/>
  </r>
  <r>
    <x v="259"/>
    <x v="60"/>
    <n v="-1359"/>
    <x v="3"/>
    <x v="6"/>
    <x v="0"/>
    <x v="8"/>
    <x v="0"/>
  </r>
  <r>
    <x v="259"/>
    <x v="4"/>
    <n v="-2279"/>
    <x v="1"/>
    <x v="1"/>
    <x v="0"/>
    <x v="8"/>
    <x v="0"/>
  </r>
  <r>
    <x v="259"/>
    <x v="21"/>
    <n v="-1499"/>
    <x v="1"/>
    <x v="1"/>
    <x v="0"/>
    <x v="8"/>
    <x v="0"/>
  </r>
  <r>
    <x v="259"/>
    <x v="50"/>
    <n v="-1869"/>
    <x v="3"/>
    <x v="3"/>
    <x v="0"/>
    <x v="8"/>
    <x v="0"/>
  </r>
  <r>
    <x v="259"/>
    <x v="5"/>
    <n v="12035"/>
    <x v="2"/>
    <x v="2"/>
    <x v="1"/>
    <x v="8"/>
    <x v="0"/>
  </r>
  <r>
    <x v="259"/>
    <x v="21"/>
    <n v="-1995"/>
    <x v="1"/>
    <x v="1"/>
    <x v="0"/>
    <x v="8"/>
    <x v="0"/>
  </r>
  <r>
    <x v="259"/>
    <x v="5"/>
    <n v="11413"/>
    <x v="2"/>
    <x v="2"/>
    <x v="1"/>
    <x v="8"/>
    <x v="0"/>
  </r>
  <r>
    <x v="259"/>
    <x v="21"/>
    <n v="-1444"/>
    <x v="1"/>
    <x v="1"/>
    <x v="0"/>
    <x v="8"/>
    <x v="0"/>
  </r>
  <r>
    <x v="259"/>
    <x v="5"/>
    <n v="14273"/>
    <x v="2"/>
    <x v="2"/>
    <x v="1"/>
    <x v="8"/>
    <x v="0"/>
  </r>
  <r>
    <x v="259"/>
    <x v="6"/>
    <n v="-2375"/>
    <x v="1"/>
    <x v="4"/>
    <x v="0"/>
    <x v="8"/>
    <x v="0"/>
  </r>
  <r>
    <x v="259"/>
    <x v="28"/>
    <n v="-1158"/>
    <x v="4"/>
    <x v="12"/>
    <x v="0"/>
    <x v="8"/>
    <x v="0"/>
  </r>
  <r>
    <x v="259"/>
    <x v="6"/>
    <n v="-2365"/>
    <x v="1"/>
    <x v="4"/>
    <x v="0"/>
    <x v="8"/>
    <x v="0"/>
  </r>
  <r>
    <x v="259"/>
    <x v="2"/>
    <n v="14401"/>
    <x v="2"/>
    <x v="2"/>
    <x v="1"/>
    <x v="8"/>
    <x v="0"/>
  </r>
  <r>
    <x v="259"/>
    <x v="2"/>
    <n v="13568"/>
    <x v="2"/>
    <x v="2"/>
    <x v="1"/>
    <x v="8"/>
    <x v="0"/>
  </r>
  <r>
    <x v="259"/>
    <x v="54"/>
    <n v="-2086"/>
    <x v="3"/>
    <x v="8"/>
    <x v="0"/>
    <x v="8"/>
    <x v="0"/>
  </r>
  <r>
    <x v="259"/>
    <x v="27"/>
    <n v="-1993"/>
    <x v="3"/>
    <x v="5"/>
    <x v="0"/>
    <x v="8"/>
    <x v="0"/>
  </r>
  <r>
    <x v="259"/>
    <x v="0"/>
    <n v="-3616"/>
    <x v="0"/>
    <x v="0"/>
    <x v="0"/>
    <x v="8"/>
    <x v="0"/>
  </r>
  <r>
    <x v="259"/>
    <x v="2"/>
    <n v="13461"/>
    <x v="2"/>
    <x v="2"/>
    <x v="1"/>
    <x v="8"/>
    <x v="0"/>
  </r>
  <r>
    <x v="260"/>
    <x v="1"/>
    <n v="-1659"/>
    <x v="1"/>
    <x v="1"/>
    <x v="0"/>
    <x v="8"/>
    <x v="0"/>
  </r>
  <r>
    <x v="260"/>
    <x v="21"/>
    <n v="-1190"/>
    <x v="1"/>
    <x v="1"/>
    <x v="0"/>
    <x v="8"/>
    <x v="0"/>
  </r>
  <r>
    <x v="260"/>
    <x v="39"/>
    <n v="-1956"/>
    <x v="3"/>
    <x v="5"/>
    <x v="0"/>
    <x v="8"/>
    <x v="0"/>
  </r>
  <r>
    <x v="260"/>
    <x v="61"/>
    <n v="-2417"/>
    <x v="3"/>
    <x v="10"/>
    <x v="0"/>
    <x v="8"/>
    <x v="0"/>
  </r>
  <r>
    <x v="260"/>
    <x v="2"/>
    <n v="10957"/>
    <x v="2"/>
    <x v="2"/>
    <x v="1"/>
    <x v="8"/>
    <x v="0"/>
  </r>
  <r>
    <x v="260"/>
    <x v="5"/>
    <n v="11685"/>
    <x v="2"/>
    <x v="2"/>
    <x v="1"/>
    <x v="8"/>
    <x v="0"/>
  </r>
  <r>
    <x v="260"/>
    <x v="31"/>
    <n v="-2344"/>
    <x v="3"/>
    <x v="11"/>
    <x v="0"/>
    <x v="8"/>
    <x v="0"/>
  </r>
  <r>
    <x v="260"/>
    <x v="6"/>
    <n v="-2321"/>
    <x v="1"/>
    <x v="4"/>
    <x v="0"/>
    <x v="8"/>
    <x v="0"/>
  </r>
  <r>
    <x v="260"/>
    <x v="4"/>
    <n v="-2377"/>
    <x v="1"/>
    <x v="1"/>
    <x v="0"/>
    <x v="8"/>
    <x v="0"/>
  </r>
  <r>
    <x v="260"/>
    <x v="42"/>
    <n v="-1053"/>
    <x v="3"/>
    <x v="5"/>
    <x v="0"/>
    <x v="8"/>
    <x v="0"/>
  </r>
  <r>
    <x v="260"/>
    <x v="2"/>
    <n v="10172"/>
    <x v="2"/>
    <x v="2"/>
    <x v="1"/>
    <x v="8"/>
    <x v="0"/>
  </r>
  <r>
    <x v="260"/>
    <x v="4"/>
    <n v="-1373"/>
    <x v="1"/>
    <x v="1"/>
    <x v="0"/>
    <x v="8"/>
    <x v="0"/>
  </r>
  <r>
    <x v="260"/>
    <x v="0"/>
    <n v="-3600"/>
    <x v="0"/>
    <x v="0"/>
    <x v="0"/>
    <x v="8"/>
    <x v="0"/>
  </r>
  <r>
    <x v="260"/>
    <x v="0"/>
    <n v="-2532"/>
    <x v="0"/>
    <x v="0"/>
    <x v="0"/>
    <x v="8"/>
    <x v="0"/>
  </r>
  <r>
    <x v="260"/>
    <x v="21"/>
    <n v="-1402"/>
    <x v="1"/>
    <x v="1"/>
    <x v="0"/>
    <x v="8"/>
    <x v="0"/>
  </r>
  <r>
    <x v="260"/>
    <x v="1"/>
    <n v="-1746"/>
    <x v="1"/>
    <x v="1"/>
    <x v="0"/>
    <x v="8"/>
    <x v="0"/>
  </r>
  <r>
    <x v="260"/>
    <x v="21"/>
    <n v="-2404"/>
    <x v="1"/>
    <x v="1"/>
    <x v="0"/>
    <x v="8"/>
    <x v="0"/>
  </r>
  <r>
    <x v="260"/>
    <x v="61"/>
    <n v="-2244"/>
    <x v="3"/>
    <x v="10"/>
    <x v="0"/>
    <x v="8"/>
    <x v="0"/>
  </r>
  <r>
    <x v="260"/>
    <x v="0"/>
    <n v="-4237"/>
    <x v="0"/>
    <x v="0"/>
    <x v="0"/>
    <x v="8"/>
    <x v="0"/>
  </r>
  <r>
    <x v="260"/>
    <x v="2"/>
    <n v="13956"/>
    <x v="2"/>
    <x v="2"/>
    <x v="1"/>
    <x v="8"/>
    <x v="0"/>
  </r>
  <r>
    <x v="260"/>
    <x v="30"/>
    <n v="-1198"/>
    <x v="4"/>
    <x v="13"/>
    <x v="0"/>
    <x v="8"/>
    <x v="0"/>
  </r>
  <r>
    <x v="260"/>
    <x v="47"/>
    <n v="-1219"/>
    <x v="3"/>
    <x v="8"/>
    <x v="0"/>
    <x v="8"/>
    <x v="0"/>
  </r>
  <r>
    <x v="260"/>
    <x v="0"/>
    <n v="-3893"/>
    <x v="0"/>
    <x v="0"/>
    <x v="0"/>
    <x v="8"/>
    <x v="0"/>
  </r>
  <r>
    <x v="260"/>
    <x v="6"/>
    <n v="-1350"/>
    <x v="1"/>
    <x v="4"/>
    <x v="0"/>
    <x v="8"/>
    <x v="0"/>
  </r>
  <r>
    <x v="261"/>
    <x v="21"/>
    <n v="-1394"/>
    <x v="1"/>
    <x v="1"/>
    <x v="0"/>
    <x v="8"/>
    <x v="0"/>
  </r>
  <r>
    <x v="261"/>
    <x v="0"/>
    <n v="-3347"/>
    <x v="0"/>
    <x v="0"/>
    <x v="0"/>
    <x v="8"/>
    <x v="0"/>
  </r>
  <r>
    <x v="261"/>
    <x v="4"/>
    <n v="-1780"/>
    <x v="1"/>
    <x v="1"/>
    <x v="0"/>
    <x v="8"/>
    <x v="0"/>
  </r>
  <r>
    <x v="261"/>
    <x v="21"/>
    <n v="-1252"/>
    <x v="1"/>
    <x v="1"/>
    <x v="0"/>
    <x v="8"/>
    <x v="0"/>
  </r>
  <r>
    <x v="261"/>
    <x v="4"/>
    <n v="-1572"/>
    <x v="1"/>
    <x v="1"/>
    <x v="0"/>
    <x v="8"/>
    <x v="0"/>
  </r>
  <r>
    <x v="261"/>
    <x v="4"/>
    <n v="-2496"/>
    <x v="1"/>
    <x v="1"/>
    <x v="0"/>
    <x v="8"/>
    <x v="0"/>
  </r>
  <r>
    <x v="261"/>
    <x v="21"/>
    <n v="-2182"/>
    <x v="1"/>
    <x v="1"/>
    <x v="0"/>
    <x v="8"/>
    <x v="0"/>
  </r>
  <r>
    <x v="261"/>
    <x v="13"/>
    <n v="-2492"/>
    <x v="3"/>
    <x v="7"/>
    <x v="0"/>
    <x v="8"/>
    <x v="0"/>
  </r>
  <r>
    <x v="261"/>
    <x v="21"/>
    <n v="-2328"/>
    <x v="1"/>
    <x v="1"/>
    <x v="0"/>
    <x v="8"/>
    <x v="0"/>
  </r>
  <r>
    <x v="261"/>
    <x v="6"/>
    <n v="-2156"/>
    <x v="1"/>
    <x v="4"/>
    <x v="0"/>
    <x v="8"/>
    <x v="0"/>
  </r>
  <r>
    <x v="261"/>
    <x v="0"/>
    <n v="-4632"/>
    <x v="0"/>
    <x v="0"/>
    <x v="0"/>
    <x v="8"/>
    <x v="0"/>
  </r>
  <r>
    <x v="261"/>
    <x v="2"/>
    <n v="10372"/>
    <x v="2"/>
    <x v="2"/>
    <x v="1"/>
    <x v="8"/>
    <x v="0"/>
  </r>
  <r>
    <x v="262"/>
    <x v="21"/>
    <n v="-1396"/>
    <x v="1"/>
    <x v="1"/>
    <x v="0"/>
    <x v="8"/>
    <x v="0"/>
  </r>
  <r>
    <x v="262"/>
    <x v="4"/>
    <n v="-1380"/>
    <x v="1"/>
    <x v="1"/>
    <x v="0"/>
    <x v="8"/>
    <x v="0"/>
  </r>
  <r>
    <x v="262"/>
    <x v="2"/>
    <n v="12121"/>
    <x v="2"/>
    <x v="2"/>
    <x v="1"/>
    <x v="8"/>
    <x v="0"/>
  </r>
  <r>
    <x v="262"/>
    <x v="16"/>
    <n v="-2341"/>
    <x v="3"/>
    <x v="9"/>
    <x v="0"/>
    <x v="8"/>
    <x v="0"/>
  </r>
  <r>
    <x v="262"/>
    <x v="6"/>
    <n v="-1893"/>
    <x v="1"/>
    <x v="4"/>
    <x v="0"/>
    <x v="8"/>
    <x v="0"/>
  </r>
  <r>
    <x v="262"/>
    <x v="4"/>
    <n v="-1447"/>
    <x v="1"/>
    <x v="1"/>
    <x v="0"/>
    <x v="8"/>
    <x v="0"/>
  </r>
  <r>
    <x v="262"/>
    <x v="38"/>
    <n v="-1247"/>
    <x v="3"/>
    <x v="5"/>
    <x v="0"/>
    <x v="8"/>
    <x v="0"/>
  </r>
  <r>
    <x v="262"/>
    <x v="2"/>
    <n v="10185"/>
    <x v="2"/>
    <x v="2"/>
    <x v="1"/>
    <x v="8"/>
    <x v="0"/>
  </r>
  <r>
    <x v="263"/>
    <x v="2"/>
    <n v="13313"/>
    <x v="2"/>
    <x v="2"/>
    <x v="1"/>
    <x v="8"/>
    <x v="0"/>
  </r>
  <r>
    <x v="263"/>
    <x v="12"/>
    <n v="-2017"/>
    <x v="3"/>
    <x v="3"/>
    <x v="0"/>
    <x v="8"/>
    <x v="0"/>
  </r>
  <r>
    <x v="263"/>
    <x v="4"/>
    <n v="-2207"/>
    <x v="1"/>
    <x v="1"/>
    <x v="0"/>
    <x v="8"/>
    <x v="0"/>
  </r>
  <r>
    <x v="263"/>
    <x v="4"/>
    <n v="-1348"/>
    <x v="1"/>
    <x v="1"/>
    <x v="0"/>
    <x v="8"/>
    <x v="0"/>
  </r>
  <r>
    <x v="263"/>
    <x v="26"/>
    <n v="-1340"/>
    <x v="3"/>
    <x v="11"/>
    <x v="0"/>
    <x v="8"/>
    <x v="0"/>
  </r>
  <r>
    <x v="263"/>
    <x v="1"/>
    <n v="-1280"/>
    <x v="1"/>
    <x v="1"/>
    <x v="0"/>
    <x v="8"/>
    <x v="0"/>
  </r>
  <r>
    <x v="263"/>
    <x v="4"/>
    <n v="-1644"/>
    <x v="1"/>
    <x v="1"/>
    <x v="0"/>
    <x v="8"/>
    <x v="0"/>
  </r>
  <r>
    <x v="263"/>
    <x v="6"/>
    <n v="-1303"/>
    <x v="1"/>
    <x v="4"/>
    <x v="0"/>
    <x v="8"/>
    <x v="0"/>
  </r>
  <r>
    <x v="263"/>
    <x v="0"/>
    <n v="-4075"/>
    <x v="0"/>
    <x v="0"/>
    <x v="0"/>
    <x v="8"/>
    <x v="0"/>
  </r>
  <r>
    <x v="263"/>
    <x v="1"/>
    <n v="-1144"/>
    <x v="1"/>
    <x v="1"/>
    <x v="0"/>
    <x v="8"/>
    <x v="0"/>
  </r>
  <r>
    <x v="263"/>
    <x v="0"/>
    <n v="-4835"/>
    <x v="0"/>
    <x v="0"/>
    <x v="0"/>
    <x v="8"/>
    <x v="0"/>
  </r>
  <r>
    <x v="263"/>
    <x v="22"/>
    <n v="-2250"/>
    <x v="3"/>
    <x v="11"/>
    <x v="0"/>
    <x v="8"/>
    <x v="0"/>
  </r>
  <r>
    <x v="264"/>
    <x v="0"/>
    <n v="-4944"/>
    <x v="0"/>
    <x v="0"/>
    <x v="0"/>
    <x v="8"/>
    <x v="0"/>
  </r>
  <r>
    <x v="264"/>
    <x v="6"/>
    <n v="-1030"/>
    <x v="1"/>
    <x v="4"/>
    <x v="0"/>
    <x v="8"/>
    <x v="0"/>
  </r>
  <r>
    <x v="264"/>
    <x v="5"/>
    <n v="13099"/>
    <x v="2"/>
    <x v="2"/>
    <x v="1"/>
    <x v="8"/>
    <x v="0"/>
  </r>
  <r>
    <x v="264"/>
    <x v="5"/>
    <n v="11852"/>
    <x v="2"/>
    <x v="2"/>
    <x v="1"/>
    <x v="8"/>
    <x v="0"/>
  </r>
  <r>
    <x v="264"/>
    <x v="6"/>
    <n v="-1134"/>
    <x v="1"/>
    <x v="4"/>
    <x v="0"/>
    <x v="8"/>
    <x v="0"/>
  </r>
  <r>
    <x v="264"/>
    <x v="2"/>
    <n v="10583"/>
    <x v="2"/>
    <x v="2"/>
    <x v="1"/>
    <x v="8"/>
    <x v="0"/>
  </r>
  <r>
    <x v="264"/>
    <x v="27"/>
    <n v="-1312"/>
    <x v="3"/>
    <x v="5"/>
    <x v="0"/>
    <x v="8"/>
    <x v="0"/>
  </r>
  <r>
    <x v="264"/>
    <x v="7"/>
    <n v="-2158"/>
    <x v="3"/>
    <x v="5"/>
    <x v="0"/>
    <x v="8"/>
    <x v="0"/>
  </r>
  <r>
    <x v="264"/>
    <x v="2"/>
    <n v="12162"/>
    <x v="2"/>
    <x v="2"/>
    <x v="1"/>
    <x v="8"/>
    <x v="0"/>
  </r>
  <r>
    <x v="264"/>
    <x v="6"/>
    <n v="-1287"/>
    <x v="1"/>
    <x v="4"/>
    <x v="0"/>
    <x v="8"/>
    <x v="0"/>
  </r>
  <r>
    <x v="264"/>
    <x v="2"/>
    <n v="13669"/>
    <x v="2"/>
    <x v="2"/>
    <x v="1"/>
    <x v="8"/>
    <x v="0"/>
  </r>
  <r>
    <x v="265"/>
    <x v="0"/>
    <n v="-3100"/>
    <x v="0"/>
    <x v="0"/>
    <x v="0"/>
    <x v="8"/>
    <x v="0"/>
  </r>
  <r>
    <x v="265"/>
    <x v="2"/>
    <n v="10911"/>
    <x v="2"/>
    <x v="2"/>
    <x v="1"/>
    <x v="8"/>
    <x v="0"/>
  </r>
  <r>
    <x v="265"/>
    <x v="2"/>
    <n v="10385"/>
    <x v="2"/>
    <x v="2"/>
    <x v="1"/>
    <x v="8"/>
    <x v="0"/>
  </r>
  <r>
    <x v="265"/>
    <x v="58"/>
    <n v="-2251"/>
    <x v="3"/>
    <x v="11"/>
    <x v="0"/>
    <x v="8"/>
    <x v="0"/>
  </r>
  <r>
    <x v="265"/>
    <x v="5"/>
    <n v="13992"/>
    <x v="2"/>
    <x v="2"/>
    <x v="1"/>
    <x v="8"/>
    <x v="0"/>
  </r>
  <r>
    <x v="265"/>
    <x v="44"/>
    <n v="-1471"/>
    <x v="5"/>
    <x v="14"/>
    <x v="0"/>
    <x v="8"/>
    <x v="0"/>
  </r>
  <r>
    <x v="265"/>
    <x v="40"/>
    <n v="-1873"/>
    <x v="3"/>
    <x v="9"/>
    <x v="0"/>
    <x v="8"/>
    <x v="0"/>
  </r>
  <r>
    <x v="265"/>
    <x v="4"/>
    <n v="-1474"/>
    <x v="1"/>
    <x v="1"/>
    <x v="0"/>
    <x v="8"/>
    <x v="0"/>
  </r>
  <r>
    <x v="265"/>
    <x v="6"/>
    <n v="-1612"/>
    <x v="1"/>
    <x v="4"/>
    <x v="0"/>
    <x v="8"/>
    <x v="0"/>
  </r>
  <r>
    <x v="265"/>
    <x v="55"/>
    <n v="-2347"/>
    <x v="3"/>
    <x v="5"/>
    <x v="0"/>
    <x v="8"/>
    <x v="0"/>
  </r>
  <r>
    <x v="266"/>
    <x v="32"/>
    <n v="-1345"/>
    <x v="3"/>
    <x v="9"/>
    <x v="0"/>
    <x v="8"/>
    <x v="0"/>
  </r>
  <r>
    <x v="266"/>
    <x v="6"/>
    <n v="-1351"/>
    <x v="1"/>
    <x v="4"/>
    <x v="0"/>
    <x v="8"/>
    <x v="0"/>
  </r>
  <r>
    <x v="266"/>
    <x v="2"/>
    <n v="12232"/>
    <x v="2"/>
    <x v="2"/>
    <x v="1"/>
    <x v="8"/>
    <x v="0"/>
  </r>
  <r>
    <x v="266"/>
    <x v="0"/>
    <n v="-2656"/>
    <x v="0"/>
    <x v="0"/>
    <x v="0"/>
    <x v="8"/>
    <x v="0"/>
  </r>
  <r>
    <x v="266"/>
    <x v="63"/>
    <n v="-2057"/>
    <x v="3"/>
    <x v="5"/>
    <x v="0"/>
    <x v="8"/>
    <x v="0"/>
  </r>
  <r>
    <x v="267"/>
    <x v="5"/>
    <n v="10782"/>
    <x v="2"/>
    <x v="2"/>
    <x v="1"/>
    <x v="8"/>
    <x v="0"/>
  </r>
  <r>
    <x v="267"/>
    <x v="5"/>
    <n v="11004"/>
    <x v="2"/>
    <x v="2"/>
    <x v="1"/>
    <x v="8"/>
    <x v="0"/>
  </r>
  <r>
    <x v="267"/>
    <x v="16"/>
    <n v="-1174"/>
    <x v="3"/>
    <x v="9"/>
    <x v="0"/>
    <x v="8"/>
    <x v="0"/>
  </r>
  <r>
    <x v="267"/>
    <x v="21"/>
    <n v="-1722"/>
    <x v="1"/>
    <x v="1"/>
    <x v="0"/>
    <x v="8"/>
    <x v="0"/>
  </r>
  <r>
    <x v="267"/>
    <x v="52"/>
    <n v="-2223"/>
    <x v="3"/>
    <x v="3"/>
    <x v="0"/>
    <x v="8"/>
    <x v="0"/>
  </r>
  <r>
    <x v="267"/>
    <x v="24"/>
    <n v="-1553"/>
    <x v="3"/>
    <x v="6"/>
    <x v="0"/>
    <x v="8"/>
    <x v="0"/>
  </r>
  <r>
    <x v="267"/>
    <x v="5"/>
    <n v="12602"/>
    <x v="2"/>
    <x v="2"/>
    <x v="1"/>
    <x v="8"/>
    <x v="0"/>
  </r>
  <r>
    <x v="268"/>
    <x v="2"/>
    <n v="13190"/>
    <x v="2"/>
    <x v="2"/>
    <x v="1"/>
    <x v="8"/>
    <x v="0"/>
  </r>
  <r>
    <x v="268"/>
    <x v="21"/>
    <n v="-1850"/>
    <x v="1"/>
    <x v="1"/>
    <x v="0"/>
    <x v="8"/>
    <x v="0"/>
  </r>
  <r>
    <x v="268"/>
    <x v="9"/>
    <n v="-1190"/>
    <x v="3"/>
    <x v="5"/>
    <x v="0"/>
    <x v="8"/>
    <x v="0"/>
  </r>
  <r>
    <x v="268"/>
    <x v="1"/>
    <n v="-2186"/>
    <x v="1"/>
    <x v="1"/>
    <x v="0"/>
    <x v="8"/>
    <x v="0"/>
  </r>
  <r>
    <x v="268"/>
    <x v="5"/>
    <n v="14626"/>
    <x v="2"/>
    <x v="2"/>
    <x v="1"/>
    <x v="8"/>
    <x v="0"/>
  </r>
  <r>
    <x v="268"/>
    <x v="34"/>
    <n v="-1776"/>
    <x v="3"/>
    <x v="3"/>
    <x v="0"/>
    <x v="8"/>
    <x v="0"/>
  </r>
  <r>
    <x v="268"/>
    <x v="5"/>
    <n v="11761"/>
    <x v="2"/>
    <x v="2"/>
    <x v="1"/>
    <x v="8"/>
    <x v="0"/>
  </r>
  <r>
    <x v="268"/>
    <x v="21"/>
    <n v="-2129"/>
    <x v="1"/>
    <x v="1"/>
    <x v="0"/>
    <x v="8"/>
    <x v="0"/>
  </r>
  <r>
    <x v="269"/>
    <x v="1"/>
    <n v="-1036"/>
    <x v="1"/>
    <x v="1"/>
    <x v="0"/>
    <x v="8"/>
    <x v="0"/>
  </r>
  <r>
    <x v="269"/>
    <x v="21"/>
    <n v="-2376"/>
    <x v="1"/>
    <x v="1"/>
    <x v="0"/>
    <x v="8"/>
    <x v="0"/>
  </r>
  <r>
    <x v="269"/>
    <x v="0"/>
    <n v="-3565"/>
    <x v="0"/>
    <x v="0"/>
    <x v="0"/>
    <x v="8"/>
    <x v="0"/>
  </r>
  <r>
    <x v="269"/>
    <x v="54"/>
    <n v="-1210"/>
    <x v="3"/>
    <x v="8"/>
    <x v="0"/>
    <x v="8"/>
    <x v="0"/>
  </r>
  <r>
    <x v="269"/>
    <x v="21"/>
    <n v="-1001"/>
    <x v="1"/>
    <x v="1"/>
    <x v="0"/>
    <x v="8"/>
    <x v="0"/>
  </r>
  <r>
    <x v="269"/>
    <x v="2"/>
    <n v="13859"/>
    <x v="2"/>
    <x v="2"/>
    <x v="1"/>
    <x v="8"/>
    <x v="0"/>
  </r>
  <r>
    <x v="269"/>
    <x v="0"/>
    <n v="-4158"/>
    <x v="0"/>
    <x v="0"/>
    <x v="0"/>
    <x v="8"/>
    <x v="0"/>
  </r>
  <r>
    <x v="269"/>
    <x v="4"/>
    <n v="-2333"/>
    <x v="1"/>
    <x v="1"/>
    <x v="0"/>
    <x v="8"/>
    <x v="0"/>
  </r>
  <r>
    <x v="269"/>
    <x v="9"/>
    <n v="-1761"/>
    <x v="3"/>
    <x v="5"/>
    <x v="0"/>
    <x v="8"/>
    <x v="0"/>
  </r>
  <r>
    <x v="270"/>
    <x v="21"/>
    <n v="-1678"/>
    <x v="1"/>
    <x v="1"/>
    <x v="0"/>
    <x v="8"/>
    <x v="0"/>
  </r>
  <r>
    <x v="270"/>
    <x v="5"/>
    <n v="11290"/>
    <x v="2"/>
    <x v="2"/>
    <x v="1"/>
    <x v="8"/>
    <x v="0"/>
  </r>
  <r>
    <x v="270"/>
    <x v="2"/>
    <n v="14807"/>
    <x v="2"/>
    <x v="2"/>
    <x v="1"/>
    <x v="8"/>
    <x v="0"/>
  </r>
  <r>
    <x v="270"/>
    <x v="5"/>
    <n v="13935"/>
    <x v="2"/>
    <x v="2"/>
    <x v="1"/>
    <x v="8"/>
    <x v="0"/>
  </r>
  <r>
    <x v="271"/>
    <x v="15"/>
    <n v="-2453"/>
    <x v="3"/>
    <x v="6"/>
    <x v="0"/>
    <x v="8"/>
    <x v="0"/>
  </r>
  <r>
    <x v="271"/>
    <x v="40"/>
    <n v="-1974"/>
    <x v="3"/>
    <x v="9"/>
    <x v="0"/>
    <x v="8"/>
    <x v="0"/>
  </r>
  <r>
    <x v="271"/>
    <x v="50"/>
    <n v="-2040"/>
    <x v="3"/>
    <x v="3"/>
    <x v="0"/>
    <x v="8"/>
    <x v="0"/>
  </r>
  <r>
    <x v="271"/>
    <x v="6"/>
    <n v="-1685"/>
    <x v="1"/>
    <x v="4"/>
    <x v="0"/>
    <x v="8"/>
    <x v="0"/>
  </r>
  <r>
    <x v="271"/>
    <x v="5"/>
    <n v="13145"/>
    <x v="2"/>
    <x v="2"/>
    <x v="1"/>
    <x v="8"/>
    <x v="0"/>
  </r>
  <r>
    <x v="271"/>
    <x v="6"/>
    <n v="-1659"/>
    <x v="1"/>
    <x v="4"/>
    <x v="0"/>
    <x v="8"/>
    <x v="0"/>
  </r>
  <r>
    <x v="271"/>
    <x v="50"/>
    <n v="-2206"/>
    <x v="3"/>
    <x v="3"/>
    <x v="0"/>
    <x v="8"/>
    <x v="0"/>
  </r>
  <r>
    <x v="272"/>
    <x v="35"/>
    <n v="-1543"/>
    <x v="3"/>
    <x v="10"/>
    <x v="0"/>
    <x v="8"/>
    <x v="0"/>
  </r>
  <r>
    <x v="272"/>
    <x v="2"/>
    <n v="11520"/>
    <x v="2"/>
    <x v="2"/>
    <x v="1"/>
    <x v="8"/>
    <x v="0"/>
  </r>
  <r>
    <x v="272"/>
    <x v="2"/>
    <n v="11497"/>
    <x v="2"/>
    <x v="2"/>
    <x v="1"/>
    <x v="8"/>
    <x v="0"/>
  </r>
  <r>
    <x v="272"/>
    <x v="31"/>
    <n v="-2097"/>
    <x v="3"/>
    <x v="11"/>
    <x v="0"/>
    <x v="8"/>
    <x v="0"/>
  </r>
  <r>
    <x v="272"/>
    <x v="1"/>
    <n v="-1298"/>
    <x v="1"/>
    <x v="1"/>
    <x v="0"/>
    <x v="8"/>
    <x v="0"/>
  </r>
  <r>
    <x v="272"/>
    <x v="10"/>
    <n v="-1328"/>
    <x v="3"/>
    <x v="6"/>
    <x v="0"/>
    <x v="8"/>
    <x v="0"/>
  </r>
  <r>
    <x v="272"/>
    <x v="27"/>
    <n v="-2287"/>
    <x v="3"/>
    <x v="5"/>
    <x v="0"/>
    <x v="8"/>
    <x v="0"/>
  </r>
  <r>
    <x v="272"/>
    <x v="21"/>
    <n v="-1633"/>
    <x v="1"/>
    <x v="1"/>
    <x v="0"/>
    <x v="8"/>
    <x v="0"/>
  </r>
  <r>
    <x v="272"/>
    <x v="6"/>
    <n v="-1306"/>
    <x v="1"/>
    <x v="4"/>
    <x v="0"/>
    <x v="8"/>
    <x v="0"/>
  </r>
  <r>
    <x v="273"/>
    <x v="1"/>
    <n v="-1247"/>
    <x v="1"/>
    <x v="1"/>
    <x v="0"/>
    <x v="9"/>
    <x v="0"/>
  </r>
  <r>
    <x v="273"/>
    <x v="50"/>
    <n v="-1302"/>
    <x v="3"/>
    <x v="3"/>
    <x v="0"/>
    <x v="9"/>
    <x v="0"/>
  </r>
  <r>
    <x v="273"/>
    <x v="0"/>
    <n v="-3306"/>
    <x v="0"/>
    <x v="0"/>
    <x v="0"/>
    <x v="9"/>
    <x v="0"/>
  </r>
  <r>
    <x v="273"/>
    <x v="18"/>
    <n v="-2394"/>
    <x v="3"/>
    <x v="5"/>
    <x v="0"/>
    <x v="9"/>
    <x v="0"/>
  </r>
  <r>
    <x v="273"/>
    <x v="20"/>
    <n v="-1681"/>
    <x v="3"/>
    <x v="10"/>
    <x v="0"/>
    <x v="9"/>
    <x v="0"/>
  </r>
  <r>
    <x v="273"/>
    <x v="44"/>
    <n v="-2209"/>
    <x v="5"/>
    <x v="14"/>
    <x v="0"/>
    <x v="9"/>
    <x v="0"/>
  </r>
  <r>
    <x v="273"/>
    <x v="2"/>
    <n v="11412"/>
    <x v="2"/>
    <x v="2"/>
    <x v="1"/>
    <x v="9"/>
    <x v="0"/>
  </r>
  <r>
    <x v="273"/>
    <x v="13"/>
    <n v="-1899"/>
    <x v="3"/>
    <x v="7"/>
    <x v="0"/>
    <x v="9"/>
    <x v="0"/>
  </r>
  <r>
    <x v="274"/>
    <x v="1"/>
    <n v="-1245"/>
    <x v="1"/>
    <x v="1"/>
    <x v="0"/>
    <x v="9"/>
    <x v="0"/>
  </r>
  <r>
    <x v="274"/>
    <x v="4"/>
    <n v="-2334"/>
    <x v="1"/>
    <x v="1"/>
    <x v="0"/>
    <x v="9"/>
    <x v="0"/>
  </r>
  <r>
    <x v="274"/>
    <x v="31"/>
    <n v="-2176"/>
    <x v="3"/>
    <x v="11"/>
    <x v="0"/>
    <x v="9"/>
    <x v="0"/>
  </r>
  <r>
    <x v="274"/>
    <x v="2"/>
    <n v="14675"/>
    <x v="2"/>
    <x v="2"/>
    <x v="1"/>
    <x v="9"/>
    <x v="0"/>
  </r>
  <r>
    <x v="275"/>
    <x v="59"/>
    <n v="-2389"/>
    <x v="3"/>
    <x v="5"/>
    <x v="0"/>
    <x v="9"/>
    <x v="0"/>
  </r>
  <r>
    <x v="275"/>
    <x v="10"/>
    <n v="-1730"/>
    <x v="3"/>
    <x v="6"/>
    <x v="0"/>
    <x v="9"/>
    <x v="0"/>
  </r>
  <r>
    <x v="275"/>
    <x v="5"/>
    <n v="14698"/>
    <x v="2"/>
    <x v="2"/>
    <x v="1"/>
    <x v="9"/>
    <x v="0"/>
  </r>
  <r>
    <x v="275"/>
    <x v="21"/>
    <n v="-2451"/>
    <x v="1"/>
    <x v="1"/>
    <x v="0"/>
    <x v="9"/>
    <x v="0"/>
  </r>
  <r>
    <x v="275"/>
    <x v="44"/>
    <n v="-1415"/>
    <x v="5"/>
    <x v="14"/>
    <x v="0"/>
    <x v="9"/>
    <x v="0"/>
  </r>
  <r>
    <x v="276"/>
    <x v="5"/>
    <n v="14923"/>
    <x v="2"/>
    <x v="2"/>
    <x v="1"/>
    <x v="9"/>
    <x v="0"/>
  </r>
  <r>
    <x v="276"/>
    <x v="50"/>
    <n v="-2394"/>
    <x v="3"/>
    <x v="3"/>
    <x v="0"/>
    <x v="9"/>
    <x v="0"/>
  </r>
  <r>
    <x v="276"/>
    <x v="1"/>
    <n v="-2287"/>
    <x v="1"/>
    <x v="1"/>
    <x v="0"/>
    <x v="9"/>
    <x v="0"/>
  </r>
  <r>
    <x v="276"/>
    <x v="7"/>
    <n v="-2079"/>
    <x v="3"/>
    <x v="5"/>
    <x v="0"/>
    <x v="9"/>
    <x v="0"/>
  </r>
  <r>
    <x v="276"/>
    <x v="57"/>
    <n v="-2500"/>
    <x v="3"/>
    <x v="5"/>
    <x v="0"/>
    <x v="9"/>
    <x v="0"/>
  </r>
  <r>
    <x v="276"/>
    <x v="11"/>
    <n v="-1127"/>
    <x v="3"/>
    <x v="5"/>
    <x v="0"/>
    <x v="9"/>
    <x v="0"/>
  </r>
  <r>
    <x v="277"/>
    <x v="29"/>
    <n v="-2466"/>
    <x v="3"/>
    <x v="7"/>
    <x v="0"/>
    <x v="9"/>
    <x v="0"/>
  </r>
  <r>
    <x v="277"/>
    <x v="5"/>
    <n v="13900"/>
    <x v="2"/>
    <x v="2"/>
    <x v="1"/>
    <x v="9"/>
    <x v="0"/>
  </r>
  <r>
    <x v="277"/>
    <x v="14"/>
    <n v="-1019"/>
    <x v="3"/>
    <x v="8"/>
    <x v="0"/>
    <x v="9"/>
    <x v="0"/>
  </r>
  <r>
    <x v="277"/>
    <x v="21"/>
    <n v="-1886"/>
    <x v="1"/>
    <x v="1"/>
    <x v="0"/>
    <x v="9"/>
    <x v="0"/>
  </r>
  <r>
    <x v="277"/>
    <x v="11"/>
    <n v="-1020"/>
    <x v="3"/>
    <x v="5"/>
    <x v="0"/>
    <x v="9"/>
    <x v="0"/>
  </r>
  <r>
    <x v="277"/>
    <x v="23"/>
    <n v="-1884"/>
    <x v="3"/>
    <x v="5"/>
    <x v="0"/>
    <x v="9"/>
    <x v="0"/>
  </r>
  <r>
    <x v="277"/>
    <x v="5"/>
    <n v="14394"/>
    <x v="2"/>
    <x v="2"/>
    <x v="1"/>
    <x v="9"/>
    <x v="0"/>
  </r>
  <r>
    <x v="277"/>
    <x v="5"/>
    <n v="12370"/>
    <x v="2"/>
    <x v="2"/>
    <x v="1"/>
    <x v="9"/>
    <x v="0"/>
  </r>
  <r>
    <x v="277"/>
    <x v="40"/>
    <n v="-2188"/>
    <x v="3"/>
    <x v="9"/>
    <x v="0"/>
    <x v="9"/>
    <x v="0"/>
  </r>
  <r>
    <x v="277"/>
    <x v="55"/>
    <n v="-1011"/>
    <x v="3"/>
    <x v="5"/>
    <x v="0"/>
    <x v="9"/>
    <x v="0"/>
  </r>
  <r>
    <x v="278"/>
    <x v="4"/>
    <n v="-2204"/>
    <x v="1"/>
    <x v="1"/>
    <x v="0"/>
    <x v="9"/>
    <x v="0"/>
  </r>
  <r>
    <x v="278"/>
    <x v="4"/>
    <n v="-1570"/>
    <x v="1"/>
    <x v="1"/>
    <x v="0"/>
    <x v="9"/>
    <x v="0"/>
  </r>
  <r>
    <x v="278"/>
    <x v="12"/>
    <n v="-1522"/>
    <x v="3"/>
    <x v="3"/>
    <x v="0"/>
    <x v="9"/>
    <x v="0"/>
  </r>
  <r>
    <x v="278"/>
    <x v="57"/>
    <n v="-2467"/>
    <x v="3"/>
    <x v="5"/>
    <x v="0"/>
    <x v="9"/>
    <x v="0"/>
  </r>
  <r>
    <x v="278"/>
    <x v="5"/>
    <n v="13197"/>
    <x v="2"/>
    <x v="2"/>
    <x v="1"/>
    <x v="9"/>
    <x v="0"/>
  </r>
  <r>
    <x v="278"/>
    <x v="5"/>
    <n v="13967"/>
    <x v="2"/>
    <x v="2"/>
    <x v="1"/>
    <x v="9"/>
    <x v="0"/>
  </r>
  <r>
    <x v="278"/>
    <x v="44"/>
    <n v="-2446"/>
    <x v="5"/>
    <x v="14"/>
    <x v="0"/>
    <x v="9"/>
    <x v="0"/>
  </r>
  <r>
    <x v="279"/>
    <x v="5"/>
    <n v="11225"/>
    <x v="2"/>
    <x v="2"/>
    <x v="1"/>
    <x v="9"/>
    <x v="0"/>
  </r>
  <r>
    <x v="279"/>
    <x v="0"/>
    <n v="-3471"/>
    <x v="0"/>
    <x v="0"/>
    <x v="0"/>
    <x v="9"/>
    <x v="0"/>
  </r>
  <r>
    <x v="279"/>
    <x v="6"/>
    <n v="-1691"/>
    <x v="1"/>
    <x v="4"/>
    <x v="0"/>
    <x v="9"/>
    <x v="0"/>
  </r>
  <r>
    <x v="279"/>
    <x v="1"/>
    <n v="-2018"/>
    <x v="1"/>
    <x v="1"/>
    <x v="0"/>
    <x v="9"/>
    <x v="0"/>
  </r>
  <r>
    <x v="279"/>
    <x v="16"/>
    <n v="-2065"/>
    <x v="3"/>
    <x v="9"/>
    <x v="0"/>
    <x v="9"/>
    <x v="0"/>
  </r>
  <r>
    <x v="279"/>
    <x v="0"/>
    <n v="-3000"/>
    <x v="0"/>
    <x v="0"/>
    <x v="0"/>
    <x v="9"/>
    <x v="0"/>
  </r>
  <r>
    <x v="279"/>
    <x v="44"/>
    <n v="-2207"/>
    <x v="5"/>
    <x v="14"/>
    <x v="0"/>
    <x v="9"/>
    <x v="0"/>
  </r>
  <r>
    <x v="279"/>
    <x v="5"/>
    <n v="11008"/>
    <x v="2"/>
    <x v="2"/>
    <x v="1"/>
    <x v="9"/>
    <x v="0"/>
  </r>
  <r>
    <x v="279"/>
    <x v="6"/>
    <n v="-1332"/>
    <x v="1"/>
    <x v="4"/>
    <x v="0"/>
    <x v="9"/>
    <x v="0"/>
  </r>
  <r>
    <x v="279"/>
    <x v="0"/>
    <n v="-3414"/>
    <x v="0"/>
    <x v="0"/>
    <x v="0"/>
    <x v="9"/>
    <x v="0"/>
  </r>
  <r>
    <x v="279"/>
    <x v="25"/>
    <n v="-1452"/>
    <x v="3"/>
    <x v="9"/>
    <x v="0"/>
    <x v="9"/>
    <x v="0"/>
  </r>
  <r>
    <x v="279"/>
    <x v="21"/>
    <n v="-1066"/>
    <x v="1"/>
    <x v="1"/>
    <x v="0"/>
    <x v="9"/>
    <x v="0"/>
  </r>
  <r>
    <x v="280"/>
    <x v="1"/>
    <n v="-1727"/>
    <x v="1"/>
    <x v="1"/>
    <x v="0"/>
    <x v="9"/>
    <x v="0"/>
  </r>
  <r>
    <x v="280"/>
    <x v="34"/>
    <n v="-1177"/>
    <x v="3"/>
    <x v="3"/>
    <x v="0"/>
    <x v="9"/>
    <x v="0"/>
  </r>
  <r>
    <x v="280"/>
    <x v="61"/>
    <n v="-1310"/>
    <x v="3"/>
    <x v="10"/>
    <x v="0"/>
    <x v="9"/>
    <x v="0"/>
  </r>
  <r>
    <x v="280"/>
    <x v="5"/>
    <n v="11307"/>
    <x v="2"/>
    <x v="2"/>
    <x v="1"/>
    <x v="9"/>
    <x v="0"/>
  </r>
  <r>
    <x v="280"/>
    <x v="5"/>
    <n v="14327"/>
    <x v="2"/>
    <x v="2"/>
    <x v="1"/>
    <x v="9"/>
    <x v="0"/>
  </r>
  <r>
    <x v="281"/>
    <x v="46"/>
    <n v="-1616"/>
    <x v="3"/>
    <x v="11"/>
    <x v="0"/>
    <x v="9"/>
    <x v="0"/>
  </r>
  <r>
    <x v="281"/>
    <x v="47"/>
    <n v="-1116"/>
    <x v="3"/>
    <x v="8"/>
    <x v="0"/>
    <x v="9"/>
    <x v="0"/>
  </r>
  <r>
    <x v="281"/>
    <x v="11"/>
    <n v="-2245"/>
    <x v="3"/>
    <x v="5"/>
    <x v="0"/>
    <x v="9"/>
    <x v="0"/>
  </r>
  <r>
    <x v="281"/>
    <x v="29"/>
    <n v="-2365"/>
    <x v="3"/>
    <x v="7"/>
    <x v="0"/>
    <x v="9"/>
    <x v="0"/>
  </r>
  <r>
    <x v="282"/>
    <x v="12"/>
    <n v="-1064"/>
    <x v="3"/>
    <x v="3"/>
    <x v="0"/>
    <x v="9"/>
    <x v="0"/>
  </r>
  <r>
    <x v="282"/>
    <x v="4"/>
    <n v="-1333"/>
    <x v="1"/>
    <x v="1"/>
    <x v="0"/>
    <x v="9"/>
    <x v="0"/>
  </r>
  <r>
    <x v="282"/>
    <x v="6"/>
    <n v="-2114"/>
    <x v="1"/>
    <x v="4"/>
    <x v="0"/>
    <x v="9"/>
    <x v="0"/>
  </r>
  <r>
    <x v="282"/>
    <x v="6"/>
    <n v="-1924"/>
    <x v="1"/>
    <x v="4"/>
    <x v="0"/>
    <x v="9"/>
    <x v="0"/>
  </r>
  <r>
    <x v="282"/>
    <x v="11"/>
    <n v="-2328"/>
    <x v="3"/>
    <x v="5"/>
    <x v="0"/>
    <x v="9"/>
    <x v="0"/>
  </r>
  <r>
    <x v="282"/>
    <x v="6"/>
    <n v="-1816"/>
    <x v="1"/>
    <x v="4"/>
    <x v="0"/>
    <x v="9"/>
    <x v="0"/>
  </r>
  <r>
    <x v="282"/>
    <x v="15"/>
    <n v="-1262"/>
    <x v="3"/>
    <x v="6"/>
    <x v="0"/>
    <x v="9"/>
    <x v="0"/>
  </r>
  <r>
    <x v="282"/>
    <x v="2"/>
    <n v="12349"/>
    <x v="2"/>
    <x v="2"/>
    <x v="1"/>
    <x v="9"/>
    <x v="0"/>
  </r>
  <r>
    <x v="283"/>
    <x v="4"/>
    <n v="-1301"/>
    <x v="1"/>
    <x v="1"/>
    <x v="0"/>
    <x v="9"/>
    <x v="0"/>
  </r>
  <r>
    <x v="283"/>
    <x v="6"/>
    <n v="-1729"/>
    <x v="1"/>
    <x v="4"/>
    <x v="0"/>
    <x v="9"/>
    <x v="0"/>
  </r>
  <r>
    <x v="283"/>
    <x v="4"/>
    <n v="-1227"/>
    <x v="1"/>
    <x v="1"/>
    <x v="0"/>
    <x v="9"/>
    <x v="0"/>
  </r>
  <r>
    <x v="283"/>
    <x v="49"/>
    <n v="-1024"/>
    <x v="3"/>
    <x v="5"/>
    <x v="0"/>
    <x v="9"/>
    <x v="0"/>
  </r>
  <r>
    <x v="283"/>
    <x v="44"/>
    <n v="-1842"/>
    <x v="5"/>
    <x v="14"/>
    <x v="0"/>
    <x v="9"/>
    <x v="0"/>
  </r>
  <r>
    <x v="283"/>
    <x v="2"/>
    <n v="13567"/>
    <x v="2"/>
    <x v="2"/>
    <x v="1"/>
    <x v="9"/>
    <x v="0"/>
  </r>
  <r>
    <x v="284"/>
    <x v="53"/>
    <n v="-2455"/>
    <x v="3"/>
    <x v="5"/>
    <x v="0"/>
    <x v="9"/>
    <x v="0"/>
  </r>
  <r>
    <x v="284"/>
    <x v="5"/>
    <n v="10582"/>
    <x v="2"/>
    <x v="2"/>
    <x v="1"/>
    <x v="9"/>
    <x v="0"/>
  </r>
  <r>
    <x v="284"/>
    <x v="2"/>
    <n v="10288"/>
    <x v="2"/>
    <x v="2"/>
    <x v="1"/>
    <x v="9"/>
    <x v="0"/>
  </r>
  <r>
    <x v="284"/>
    <x v="6"/>
    <n v="-1232"/>
    <x v="1"/>
    <x v="4"/>
    <x v="0"/>
    <x v="9"/>
    <x v="0"/>
  </r>
  <r>
    <x v="284"/>
    <x v="46"/>
    <n v="-2208"/>
    <x v="3"/>
    <x v="11"/>
    <x v="0"/>
    <x v="9"/>
    <x v="0"/>
  </r>
  <r>
    <x v="284"/>
    <x v="11"/>
    <n v="-1646"/>
    <x v="3"/>
    <x v="5"/>
    <x v="0"/>
    <x v="9"/>
    <x v="0"/>
  </r>
  <r>
    <x v="284"/>
    <x v="8"/>
    <n v="-2449"/>
    <x v="3"/>
    <x v="6"/>
    <x v="0"/>
    <x v="9"/>
    <x v="0"/>
  </r>
  <r>
    <x v="285"/>
    <x v="5"/>
    <n v="11547"/>
    <x v="2"/>
    <x v="2"/>
    <x v="1"/>
    <x v="9"/>
    <x v="0"/>
  </r>
  <r>
    <x v="285"/>
    <x v="6"/>
    <n v="-1620"/>
    <x v="1"/>
    <x v="4"/>
    <x v="0"/>
    <x v="9"/>
    <x v="0"/>
  </r>
  <r>
    <x v="285"/>
    <x v="6"/>
    <n v="-2412"/>
    <x v="1"/>
    <x v="4"/>
    <x v="0"/>
    <x v="9"/>
    <x v="0"/>
  </r>
  <r>
    <x v="285"/>
    <x v="19"/>
    <n v="-1559"/>
    <x v="3"/>
    <x v="8"/>
    <x v="0"/>
    <x v="9"/>
    <x v="0"/>
  </r>
  <r>
    <x v="285"/>
    <x v="0"/>
    <n v="-4418"/>
    <x v="0"/>
    <x v="0"/>
    <x v="0"/>
    <x v="9"/>
    <x v="0"/>
  </r>
  <r>
    <x v="285"/>
    <x v="8"/>
    <n v="-1678"/>
    <x v="3"/>
    <x v="6"/>
    <x v="0"/>
    <x v="9"/>
    <x v="0"/>
  </r>
  <r>
    <x v="285"/>
    <x v="32"/>
    <n v="-1383"/>
    <x v="3"/>
    <x v="9"/>
    <x v="0"/>
    <x v="9"/>
    <x v="0"/>
  </r>
  <r>
    <x v="286"/>
    <x v="5"/>
    <n v="14227"/>
    <x v="2"/>
    <x v="2"/>
    <x v="1"/>
    <x v="9"/>
    <x v="0"/>
  </r>
  <r>
    <x v="286"/>
    <x v="41"/>
    <n v="-1487"/>
    <x v="3"/>
    <x v="3"/>
    <x v="0"/>
    <x v="9"/>
    <x v="0"/>
  </r>
  <r>
    <x v="286"/>
    <x v="6"/>
    <n v="-2108"/>
    <x v="1"/>
    <x v="4"/>
    <x v="0"/>
    <x v="9"/>
    <x v="0"/>
  </r>
  <r>
    <x v="286"/>
    <x v="4"/>
    <n v="-2054"/>
    <x v="1"/>
    <x v="1"/>
    <x v="0"/>
    <x v="9"/>
    <x v="0"/>
  </r>
  <r>
    <x v="286"/>
    <x v="21"/>
    <n v="-1545"/>
    <x v="1"/>
    <x v="1"/>
    <x v="0"/>
    <x v="9"/>
    <x v="0"/>
  </r>
  <r>
    <x v="287"/>
    <x v="58"/>
    <n v="-2313"/>
    <x v="3"/>
    <x v="11"/>
    <x v="0"/>
    <x v="9"/>
    <x v="0"/>
  </r>
  <r>
    <x v="287"/>
    <x v="58"/>
    <n v="-1507"/>
    <x v="3"/>
    <x v="11"/>
    <x v="0"/>
    <x v="9"/>
    <x v="0"/>
  </r>
  <r>
    <x v="287"/>
    <x v="15"/>
    <n v="-1631"/>
    <x v="3"/>
    <x v="6"/>
    <x v="0"/>
    <x v="9"/>
    <x v="0"/>
  </r>
  <r>
    <x v="287"/>
    <x v="2"/>
    <n v="10670"/>
    <x v="2"/>
    <x v="2"/>
    <x v="1"/>
    <x v="9"/>
    <x v="0"/>
  </r>
  <r>
    <x v="287"/>
    <x v="4"/>
    <n v="-1741"/>
    <x v="1"/>
    <x v="1"/>
    <x v="0"/>
    <x v="9"/>
    <x v="0"/>
  </r>
  <r>
    <x v="287"/>
    <x v="6"/>
    <n v="-1257"/>
    <x v="1"/>
    <x v="4"/>
    <x v="0"/>
    <x v="9"/>
    <x v="0"/>
  </r>
  <r>
    <x v="287"/>
    <x v="6"/>
    <n v="-2487"/>
    <x v="1"/>
    <x v="4"/>
    <x v="0"/>
    <x v="9"/>
    <x v="0"/>
  </r>
  <r>
    <x v="287"/>
    <x v="39"/>
    <n v="-2225"/>
    <x v="3"/>
    <x v="5"/>
    <x v="0"/>
    <x v="9"/>
    <x v="0"/>
  </r>
  <r>
    <x v="287"/>
    <x v="5"/>
    <n v="10844"/>
    <x v="2"/>
    <x v="2"/>
    <x v="1"/>
    <x v="9"/>
    <x v="0"/>
  </r>
  <r>
    <x v="287"/>
    <x v="21"/>
    <n v="-2148"/>
    <x v="1"/>
    <x v="1"/>
    <x v="0"/>
    <x v="9"/>
    <x v="0"/>
  </r>
  <r>
    <x v="288"/>
    <x v="53"/>
    <n v="-1578"/>
    <x v="3"/>
    <x v="5"/>
    <x v="0"/>
    <x v="9"/>
    <x v="0"/>
  </r>
  <r>
    <x v="288"/>
    <x v="59"/>
    <n v="-2361"/>
    <x v="3"/>
    <x v="5"/>
    <x v="0"/>
    <x v="9"/>
    <x v="0"/>
  </r>
  <r>
    <x v="288"/>
    <x v="53"/>
    <n v="-2149"/>
    <x v="3"/>
    <x v="5"/>
    <x v="0"/>
    <x v="9"/>
    <x v="0"/>
  </r>
  <r>
    <x v="288"/>
    <x v="0"/>
    <n v="-4203"/>
    <x v="0"/>
    <x v="0"/>
    <x v="0"/>
    <x v="9"/>
    <x v="0"/>
  </r>
  <r>
    <x v="288"/>
    <x v="6"/>
    <n v="-1573"/>
    <x v="1"/>
    <x v="4"/>
    <x v="0"/>
    <x v="9"/>
    <x v="0"/>
  </r>
  <r>
    <x v="288"/>
    <x v="30"/>
    <n v="-2407"/>
    <x v="4"/>
    <x v="13"/>
    <x v="0"/>
    <x v="9"/>
    <x v="0"/>
  </r>
  <r>
    <x v="288"/>
    <x v="2"/>
    <n v="11947"/>
    <x v="2"/>
    <x v="2"/>
    <x v="1"/>
    <x v="9"/>
    <x v="0"/>
  </r>
  <r>
    <x v="288"/>
    <x v="6"/>
    <n v="-2429"/>
    <x v="1"/>
    <x v="4"/>
    <x v="0"/>
    <x v="9"/>
    <x v="0"/>
  </r>
  <r>
    <x v="289"/>
    <x v="0"/>
    <n v="-4120"/>
    <x v="0"/>
    <x v="0"/>
    <x v="0"/>
    <x v="9"/>
    <x v="0"/>
  </r>
  <r>
    <x v="289"/>
    <x v="1"/>
    <n v="-2346"/>
    <x v="1"/>
    <x v="1"/>
    <x v="0"/>
    <x v="9"/>
    <x v="0"/>
  </r>
  <r>
    <x v="289"/>
    <x v="25"/>
    <n v="-2018"/>
    <x v="3"/>
    <x v="9"/>
    <x v="0"/>
    <x v="9"/>
    <x v="0"/>
  </r>
  <r>
    <x v="289"/>
    <x v="5"/>
    <n v="12846"/>
    <x v="2"/>
    <x v="2"/>
    <x v="1"/>
    <x v="9"/>
    <x v="0"/>
  </r>
  <r>
    <x v="289"/>
    <x v="45"/>
    <n v="-1077"/>
    <x v="3"/>
    <x v="5"/>
    <x v="0"/>
    <x v="9"/>
    <x v="0"/>
  </r>
  <r>
    <x v="289"/>
    <x v="2"/>
    <n v="14542"/>
    <x v="2"/>
    <x v="2"/>
    <x v="1"/>
    <x v="9"/>
    <x v="0"/>
  </r>
  <r>
    <x v="289"/>
    <x v="2"/>
    <n v="10325"/>
    <x v="2"/>
    <x v="2"/>
    <x v="1"/>
    <x v="9"/>
    <x v="0"/>
  </r>
  <r>
    <x v="289"/>
    <x v="6"/>
    <n v="-1736"/>
    <x v="1"/>
    <x v="4"/>
    <x v="0"/>
    <x v="9"/>
    <x v="0"/>
  </r>
  <r>
    <x v="289"/>
    <x v="9"/>
    <n v="-2390"/>
    <x v="3"/>
    <x v="5"/>
    <x v="0"/>
    <x v="9"/>
    <x v="0"/>
  </r>
  <r>
    <x v="289"/>
    <x v="0"/>
    <n v="-2907"/>
    <x v="0"/>
    <x v="0"/>
    <x v="0"/>
    <x v="9"/>
    <x v="0"/>
  </r>
  <r>
    <x v="289"/>
    <x v="5"/>
    <n v="11232"/>
    <x v="2"/>
    <x v="2"/>
    <x v="1"/>
    <x v="9"/>
    <x v="0"/>
  </r>
  <r>
    <x v="289"/>
    <x v="21"/>
    <n v="-1064"/>
    <x v="1"/>
    <x v="1"/>
    <x v="0"/>
    <x v="9"/>
    <x v="0"/>
  </r>
  <r>
    <x v="290"/>
    <x v="0"/>
    <n v="-4665"/>
    <x v="0"/>
    <x v="0"/>
    <x v="0"/>
    <x v="9"/>
    <x v="0"/>
  </r>
  <r>
    <x v="290"/>
    <x v="50"/>
    <n v="-1267"/>
    <x v="3"/>
    <x v="3"/>
    <x v="0"/>
    <x v="9"/>
    <x v="0"/>
  </r>
  <r>
    <x v="290"/>
    <x v="2"/>
    <n v="11529"/>
    <x v="2"/>
    <x v="2"/>
    <x v="1"/>
    <x v="9"/>
    <x v="0"/>
  </r>
  <r>
    <x v="291"/>
    <x v="21"/>
    <n v="-2484"/>
    <x v="1"/>
    <x v="1"/>
    <x v="0"/>
    <x v="9"/>
    <x v="0"/>
  </r>
  <r>
    <x v="291"/>
    <x v="2"/>
    <n v="14198"/>
    <x v="2"/>
    <x v="2"/>
    <x v="1"/>
    <x v="9"/>
    <x v="0"/>
  </r>
  <r>
    <x v="291"/>
    <x v="16"/>
    <n v="-2455"/>
    <x v="3"/>
    <x v="9"/>
    <x v="0"/>
    <x v="9"/>
    <x v="0"/>
  </r>
  <r>
    <x v="291"/>
    <x v="4"/>
    <n v="-2425"/>
    <x v="1"/>
    <x v="1"/>
    <x v="0"/>
    <x v="9"/>
    <x v="0"/>
  </r>
  <r>
    <x v="291"/>
    <x v="42"/>
    <n v="-1541"/>
    <x v="3"/>
    <x v="5"/>
    <x v="0"/>
    <x v="9"/>
    <x v="0"/>
  </r>
  <r>
    <x v="291"/>
    <x v="5"/>
    <n v="12918"/>
    <x v="2"/>
    <x v="2"/>
    <x v="1"/>
    <x v="9"/>
    <x v="0"/>
  </r>
  <r>
    <x v="291"/>
    <x v="4"/>
    <n v="-1674"/>
    <x v="1"/>
    <x v="1"/>
    <x v="0"/>
    <x v="9"/>
    <x v="0"/>
  </r>
  <r>
    <x v="291"/>
    <x v="47"/>
    <n v="-2401"/>
    <x v="3"/>
    <x v="8"/>
    <x v="0"/>
    <x v="9"/>
    <x v="0"/>
  </r>
  <r>
    <x v="292"/>
    <x v="6"/>
    <n v="-1442"/>
    <x v="1"/>
    <x v="4"/>
    <x v="0"/>
    <x v="9"/>
    <x v="0"/>
  </r>
  <r>
    <x v="292"/>
    <x v="52"/>
    <n v="-1121"/>
    <x v="3"/>
    <x v="3"/>
    <x v="0"/>
    <x v="9"/>
    <x v="0"/>
  </r>
  <r>
    <x v="292"/>
    <x v="17"/>
    <n v="-1022"/>
    <x v="3"/>
    <x v="5"/>
    <x v="0"/>
    <x v="9"/>
    <x v="0"/>
  </r>
  <r>
    <x v="292"/>
    <x v="0"/>
    <n v="-4202"/>
    <x v="0"/>
    <x v="0"/>
    <x v="0"/>
    <x v="9"/>
    <x v="0"/>
  </r>
  <r>
    <x v="292"/>
    <x v="21"/>
    <n v="-1051"/>
    <x v="1"/>
    <x v="1"/>
    <x v="0"/>
    <x v="9"/>
    <x v="0"/>
  </r>
  <r>
    <x v="292"/>
    <x v="2"/>
    <n v="13905"/>
    <x v="2"/>
    <x v="2"/>
    <x v="1"/>
    <x v="9"/>
    <x v="0"/>
  </r>
  <r>
    <x v="293"/>
    <x v="0"/>
    <n v="-2791"/>
    <x v="0"/>
    <x v="0"/>
    <x v="0"/>
    <x v="9"/>
    <x v="0"/>
  </r>
  <r>
    <x v="293"/>
    <x v="5"/>
    <n v="12239"/>
    <x v="2"/>
    <x v="2"/>
    <x v="1"/>
    <x v="9"/>
    <x v="0"/>
  </r>
  <r>
    <x v="293"/>
    <x v="21"/>
    <n v="-1067"/>
    <x v="1"/>
    <x v="1"/>
    <x v="0"/>
    <x v="9"/>
    <x v="0"/>
  </r>
  <r>
    <x v="293"/>
    <x v="21"/>
    <n v="-1730"/>
    <x v="1"/>
    <x v="1"/>
    <x v="0"/>
    <x v="9"/>
    <x v="0"/>
  </r>
  <r>
    <x v="293"/>
    <x v="2"/>
    <n v="11132"/>
    <x v="2"/>
    <x v="2"/>
    <x v="1"/>
    <x v="9"/>
    <x v="0"/>
  </r>
  <r>
    <x v="294"/>
    <x v="47"/>
    <n v="-2152"/>
    <x v="3"/>
    <x v="8"/>
    <x v="0"/>
    <x v="9"/>
    <x v="0"/>
  </r>
  <r>
    <x v="294"/>
    <x v="0"/>
    <n v="-3984"/>
    <x v="0"/>
    <x v="0"/>
    <x v="0"/>
    <x v="9"/>
    <x v="0"/>
  </r>
  <r>
    <x v="294"/>
    <x v="1"/>
    <n v="-2367"/>
    <x v="1"/>
    <x v="1"/>
    <x v="0"/>
    <x v="9"/>
    <x v="0"/>
  </r>
  <r>
    <x v="294"/>
    <x v="0"/>
    <n v="-3917"/>
    <x v="0"/>
    <x v="0"/>
    <x v="0"/>
    <x v="9"/>
    <x v="0"/>
  </r>
  <r>
    <x v="295"/>
    <x v="21"/>
    <n v="-1695"/>
    <x v="1"/>
    <x v="1"/>
    <x v="0"/>
    <x v="9"/>
    <x v="0"/>
  </r>
  <r>
    <x v="295"/>
    <x v="53"/>
    <n v="-1749"/>
    <x v="3"/>
    <x v="5"/>
    <x v="0"/>
    <x v="9"/>
    <x v="0"/>
  </r>
  <r>
    <x v="295"/>
    <x v="5"/>
    <n v="10445"/>
    <x v="2"/>
    <x v="2"/>
    <x v="1"/>
    <x v="9"/>
    <x v="0"/>
  </r>
  <r>
    <x v="295"/>
    <x v="21"/>
    <n v="-1412"/>
    <x v="1"/>
    <x v="1"/>
    <x v="0"/>
    <x v="9"/>
    <x v="0"/>
  </r>
  <r>
    <x v="295"/>
    <x v="59"/>
    <n v="-2306"/>
    <x v="3"/>
    <x v="5"/>
    <x v="0"/>
    <x v="9"/>
    <x v="0"/>
  </r>
  <r>
    <x v="295"/>
    <x v="19"/>
    <n v="-1989"/>
    <x v="3"/>
    <x v="8"/>
    <x v="0"/>
    <x v="9"/>
    <x v="0"/>
  </r>
  <r>
    <x v="295"/>
    <x v="4"/>
    <n v="-2138"/>
    <x v="1"/>
    <x v="1"/>
    <x v="0"/>
    <x v="9"/>
    <x v="0"/>
  </r>
  <r>
    <x v="295"/>
    <x v="4"/>
    <n v="-1515"/>
    <x v="1"/>
    <x v="1"/>
    <x v="0"/>
    <x v="9"/>
    <x v="0"/>
  </r>
  <r>
    <x v="296"/>
    <x v="55"/>
    <n v="-1374"/>
    <x v="3"/>
    <x v="5"/>
    <x v="0"/>
    <x v="9"/>
    <x v="0"/>
  </r>
  <r>
    <x v="296"/>
    <x v="15"/>
    <n v="-2176"/>
    <x v="3"/>
    <x v="6"/>
    <x v="0"/>
    <x v="9"/>
    <x v="0"/>
  </r>
  <r>
    <x v="296"/>
    <x v="0"/>
    <n v="-2547"/>
    <x v="0"/>
    <x v="0"/>
    <x v="0"/>
    <x v="9"/>
    <x v="0"/>
  </r>
  <r>
    <x v="296"/>
    <x v="0"/>
    <n v="-3951"/>
    <x v="0"/>
    <x v="0"/>
    <x v="0"/>
    <x v="9"/>
    <x v="0"/>
  </r>
  <r>
    <x v="296"/>
    <x v="2"/>
    <n v="13460"/>
    <x v="2"/>
    <x v="2"/>
    <x v="1"/>
    <x v="9"/>
    <x v="0"/>
  </r>
  <r>
    <x v="296"/>
    <x v="0"/>
    <n v="-4790"/>
    <x v="0"/>
    <x v="0"/>
    <x v="0"/>
    <x v="9"/>
    <x v="0"/>
  </r>
  <r>
    <x v="296"/>
    <x v="21"/>
    <n v="-1803"/>
    <x v="1"/>
    <x v="1"/>
    <x v="0"/>
    <x v="9"/>
    <x v="0"/>
  </r>
  <r>
    <x v="297"/>
    <x v="5"/>
    <n v="10589"/>
    <x v="2"/>
    <x v="2"/>
    <x v="1"/>
    <x v="9"/>
    <x v="0"/>
  </r>
  <r>
    <x v="297"/>
    <x v="2"/>
    <n v="12001"/>
    <x v="2"/>
    <x v="2"/>
    <x v="1"/>
    <x v="9"/>
    <x v="0"/>
  </r>
  <r>
    <x v="297"/>
    <x v="0"/>
    <n v="-4495"/>
    <x v="0"/>
    <x v="0"/>
    <x v="0"/>
    <x v="9"/>
    <x v="0"/>
  </r>
  <r>
    <x v="297"/>
    <x v="2"/>
    <n v="10109"/>
    <x v="2"/>
    <x v="2"/>
    <x v="1"/>
    <x v="9"/>
    <x v="0"/>
  </r>
  <r>
    <x v="297"/>
    <x v="6"/>
    <n v="-1798"/>
    <x v="1"/>
    <x v="4"/>
    <x v="0"/>
    <x v="9"/>
    <x v="0"/>
  </r>
  <r>
    <x v="297"/>
    <x v="4"/>
    <n v="-1539"/>
    <x v="1"/>
    <x v="1"/>
    <x v="0"/>
    <x v="9"/>
    <x v="0"/>
  </r>
  <r>
    <x v="297"/>
    <x v="0"/>
    <n v="-3100"/>
    <x v="0"/>
    <x v="0"/>
    <x v="0"/>
    <x v="9"/>
    <x v="0"/>
  </r>
  <r>
    <x v="298"/>
    <x v="2"/>
    <n v="10949"/>
    <x v="2"/>
    <x v="2"/>
    <x v="1"/>
    <x v="9"/>
    <x v="0"/>
  </r>
  <r>
    <x v="298"/>
    <x v="32"/>
    <n v="-2014"/>
    <x v="3"/>
    <x v="9"/>
    <x v="0"/>
    <x v="9"/>
    <x v="0"/>
  </r>
  <r>
    <x v="298"/>
    <x v="4"/>
    <n v="-1895"/>
    <x v="1"/>
    <x v="1"/>
    <x v="0"/>
    <x v="9"/>
    <x v="0"/>
  </r>
  <r>
    <x v="298"/>
    <x v="21"/>
    <n v="-2434"/>
    <x v="1"/>
    <x v="1"/>
    <x v="0"/>
    <x v="9"/>
    <x v="0"/>
  </r>
  <r>
    <x v="298"/>
    <x v="2"/>
    <n v="12799"/>
    <x v="2"/>
    <x v="2"/>
    <x v="1"/>
    <x v="9"/>
    <x v="0"/>
  </r>
  <r>
    <x v="298"/>
    <x v="1"/>
    <n v="-1262"/>
    <x v="1"/>
    <x v="1"/>
    <x v="0"/>
    <x v="9"/>
    <x v="0"/>
  </r>
  <r>
    <x v="298"/>
    <x v="4"/>
    <n v="-1445"/>
    <x v="1"/>
    <x v="1"/>
    <x v="0"/>
    <x v="9"/>
    <x v="0"/>
  </r>
  <r>
    <x v="298"/>
    <x v="21"/>
    <n v="-2299"/>
    <x v="1"/>
    <x v="1"/>
    <x v="0"/>
    <x v="9"/>
    <x v="0"/>
  </r>
  <r>
    <x v="298"/>
    <x v="5"/>
    <n v="10035"/>
    <x v="2"/>
    <x v="2"/>
    <x v="1"/>
    <x v="9"/>
    <x v="0"/>
  </r>
  <r>
    <x v="298"/>
    <x v="36"/>
    <n v="-1126"/>
    <x v="3"/>
    <x v="7"/>
    <x v="0"/>
    <x v="9"/>
    <x v="0"/>
  </r>
  <r>
    <x v="298"/>
    <x v="21"/>
    <n v="-1987"/>
    <x v="1"/>
    <x v="1"/>
    <x v="0"/>
    <x v="9"/>
    <x v="0"/>
  </r>
  <r>
    <x v="298"/>
    <x v="4"/>
    <n v="-1844"/>
    <x v="1"/>
    <x v="1"/>
    <x v="0"/>
    <x v="9"/>
    <x v="0"/>
  </r>
  <r>
    <x v="299"/>
    <x v="4"/>
    <n v="-1754"/>
    <x v="1"/>
    <x v="1"/>
    <x v="0"/>
    <x v="9"/>
    <x v="0"/>
  </r>
  <r>
    <x v="299"/>
    <x v="5"/>
    <n v="14194"/>
    <x v="2"/>
    <x v="2"/>
    <x v="1"/>
    <x v="9"/>
    <x v="0"/>
  </r>
  <r>
    <x v="299"/>
    <x v="1"/>
    <n v="-1018"/>
    <x v="1"/>
    <x v="1"/>
    <x v="0"/>
    <x v="9"/>
    <x v="0"/>
  </r>
  <r>
    <x v="299"/>
    <x v="21"/>
    <n v="-1062"/>
    <x v="1"/>
    <x v="1"/>
    <x v="0"/>
    <x v="9"/>
    <x v="0"/>
  </r>
  <r>
    <x v="300"/>
    <x v="4"/>
    <n v="-1578"/>
    <x v="1"/>
    <x v="1"/>
    <x v="0"/>
    <x v="9"/>
    <x v="0"/>
  </r>
  <r>
    <x v="300"/>
    <x v="5"/>
    <n v="14762"/>
    <x v="2"/>
    <x v="2"/>
    <x v="1"/>
    <x v="9"/>
    <x v="0"/>
  </r>
  <r>
    <x v="300"/>
    <x v="1"/>
    <n v="-1164"/>
    <x v="1"/>
    <x v="1"/>
    <x v="0"/>
    <x v="9"/>
    <x v="0"/>
  </r>
  <r>
    <x v="300"/>
    <x v="5"/>
    <n v="10964"/>
    <x v="2"/>
    <x v="2"/>
    <x v="1"/>
    <x v="9"/>
    <x v="0"/>
  </r>
  <r>
    <x v="300"/>
    <x v="43"/>
    <n v="-1208"/>
    <x v="3"/>
    <x v="5"/>
    <x v="0"/>
    <x v="9"/>
    <x v="0"/>
  </r>
  <r>
    <x v="300"/>
    <x v="4"/>
    <n v="-1057"/>
    <x v="1"/>
    <x v="1"/>
    <x v="0"/>
    <x v="9"/>
    <x v="0"/>
  </r>
  <r>
    <x v="300"/>
    <x v="33"/>
    <n v="-1261"/>
    <x v="3"/>
    <x v="3"/>
    <x v="0"/>
    <x v="9"/>
    <x v="0"/>
  </r>
  <r>
    <x v="300"/>
    <x v="2"/>
    <n v="13553"/>
    <x v="2"/>
    <x v="2"/>
    <x v="1"/>
    <x v="9"/>
    <x v="0"/>
  </r>
  <r>
    <x v="300"/>
    <x v="1"/>
    <n v="-2266"/>
    <x v="1"/>
    <x v="1"/>
    <x v="0"/>
    <x v="9"/>
    <x v="0"/>
  </r>
  <r>
    <x v="300"/>
    <x v="0"/>
    <n v="-4997"/>
    <x v="0"/>
    <x v="0"/>
    <x v="0"/>
    <x v="9"/>
    <x v="0"/>
  </r>
  <r>
    <x v="301"/>
    <x v="24"/>
    <n v="-2013"/>
    <x v="3"/>
    <x v="6"/>
    <x v="0"/>
    <x v="9"/>
    <x v="0"/>
  </r>
  <r>
    <x v="301"/>
    <x v="4"/>
    <n v="-1854"/>
    <x v="1"/>
    <x v="1"/>
    <x v="0"/>
    <x v="9"/>
    <x v="0"/>
  </r>
  <r>
    <x v="301"/>
    <x v="18"/>
    <n v="-1819"/>
    <x v="3"/>
    <x v="5"/>
    <x v="0"/>
    <x v="9"/>
    <x v="0"/>
  </r>
  <r>
    <x v="301"/>
    <x v="25"/>
    <n v="-1158"/>
    <x v="3"/>
    <x v="9"/>
    <x v="0"/>
    <x v="9"/>
    <x v="0"/>
  </r>
  <r>
    <x v="301"/>
    <x v="21"/>
    <n v="-1134"/>
    <x v="1"/>
    <x v="1"/>
    <x v="0"/>
    <x v="9"/>
    <x v="0"/>
  </r>
  <r>
    <x v="302"/>
    <x v="0"/>
    <n v="-4924"/>
    <x v="0"/>
    <x v="0"/>
    <x v="0"/>
    <x v="9"/>
    <x v="0"/>
  </r>
  <r>
    <x v="302"/>
    <x v="21"/>
    <n v="-1992"/>
    <x v="1"/>
    <x v="1"/>
    <x v="0"/>
    <x v="9"/>
    <x v="0"/>
  </r>
  <r>
    <x v="302"/>
    <x v="29"/>
    <n v="-1814"/>
    <x v="3"/>
    <x v="7"/>
    <x v="0"/>
    <x v="9"/>
    <x v="0"/>
  </r>
  <r>
    <x v="302"/>
    <x v="8"/>
    <n v="-2197"/>
    <x v="3"/>
    <x v="6"/>
    <x v="0"/>
    <x v="9"/>
    <x v="0"/>
  </r>
  <r>
    <x v="302"/>
    <x v="37"/>
    <n v="-1327"/>
    <x v="3"/>
    <x v="3"/>
    <x v="0"/>
    <x v="9"/>
    <x v="0"/>
  </r>
  <r>
    <x v="302"/>
    <x v="4"/>
    <n v="-1928"/>
    <x v="1"/>
    <x v="1"/>
    <x v="0"/>
    <x v="9"/>
    <x v="0"/>
  </r>
  <r>
    <x v="303"/>
    <x v="27"/>
    <n v="-2162"/>
    <x v="3"/>
    <x v="5"/>
    <x v="0"/>
    <x v="9"/>
    <x v="0"/>
  </r>
  <r>
    <x v="303"/>
    <x v="2"/>
    <n v="11992"/>
    <x v="2"/>
    <x v="2"/>
    <x v="1"/>
    <x v="9"/>
    <x v="0"/>
  </r>
  <r>
    <x v="303"/>
    <x v="55"/>
    <n v="-1058"/>
    <x v="3"/>
    <x v="5"/>
    <x v="0"/>
    <x v="9"/>
    <x v="0"/>
  </r>
  <r>
    <x v="303"/>
    <x v="0"/>
    <n v="-3262"/>
    <x v="0"/>
    <x v="0"/>
    <x v="0"/>
    <x v="9"/>
    <x v="0"/>
  </r>
  <r>
    <x v="303"/>
    <x v="21"/>
    <n v="-1058"/>
    <x v="1"/>
    <x v="1"/>
    <x v="0"/>
    <x v="9"/>
    <x v="0"/>
  </r>
  <r>
    <x v="303"/>
    <x v="2"/>
    <n v="11863"/>
    <x v="2"/>
    <x v="2"/>
    <x v="1"/>
    <x v="9"/>
    <x v="0"/>
  </r>
  <r>
    <x v="303"/>
    <x v="5"/>
    <n v="11431"/>
    <x v="2"/>
    <x v="2"/>
    <x v="1"/>
    <x v="9"/>
    <x v="0"/>
  </r>
  <r>
    <x v="303"/>
    <x v="21"/>
    <n v="-1386"/>
    <x v="1"/>
    <x v="1"/>
    <x v="0"/>
    <x v="9"/>
    <x v="0"/>
  </r>
  <r>
    <x v="304"/>
    <x v="62"/>
    <n v="-1564"/>
    <x v="3"/>
    <x v="11"/>
    <x v="0"/>
    <x v="10"/>
    <x v="0"/>
  </r>
  <r>
    <x v="304"/>
    <x v="6"/>
    <n v="-1735"/>
    <x v="1"/>
    <x v="4"/>
    <x v="0"/>
    <x v="10"/>
    <x v="0"/>
  </r>
  <r>
    <x v="304"/>
    <x v="4"/>
    <n v="-1809"/>
    <x v="1"/>
    <x v="1"/>
    <x v="0"/>
    <x v="10"/>
    <x v="0"/>
  </r>
  <r>
    <x v="304"/>
    <x v="60"/>
    <n v="-1381"/>
    <x v="3"/>
    <x v="6"/>
    <x v="0"/>
    <x v="10"/>
    <x v="0"/>
  </r>
  <r>
    <x v="304"/>
    <x v="35"/>
    <n v="-1192"/>
    <x v="3"/>
    <x v="10"/>
    <x v="0"/>
    <x v="10"/>
    <x v="0"/>
  </r>
  <r>
    <x v="304"/>
    <x v="4"/>
    <n v="-1233"/>
    <x v="1"/>
    <x v="1"/>
    <x v="0"/>
    <x v="10"/>
    <x v="0"/>
  </r>
  <r>
    <x v="304"/>
    <x v="26"/>
    <n v="-1811"/>
    <x v="3"/>
    <x v="11"/>
    <x v="0"/>
    <x v="10"/>
    <x v="0"/>
  </r>
  <r>
    <x v="305"/>
    <x v="4"/>
    <n v="-2368"/>
    <x v="1"/>
    <x v="1"/>
    <x v="0"/>
    <x v="10"/>
    <x v="0"/>
  </r>
  <r>
    <x v="305"/>
    <x v="45"/>
    <n v="-2139"/>
    <x v="3"/>
    <x v="5"/>
    <x v="0"/>
    <x v="10"/>
    <x v="0"/>
  </r>
  <r>
    <x v="305"/>
    <x v="21"/>
    <n v="-1871"/>
    <x v="1"/>
    <x v="1"/>
    <x v="0"/>
    <x v="10"/>
    <x v="0"/>
  </r>
  <r>
    <x v="305"/>
    <x v="6"/>
    <n v="-2413"/>
    <x v="1"/>
    <x v="4"/>
    <x v="0"/>
    <x v="10"/>
    <x v="0"/>
  </r>
  <r>
    <x v="305"/>
    <x v="38"/>
    <n v="-1723"/>
    <x v="3"/>
    <x v="5"/>
    <x v="0"/>
    <x v="10"/>
    <x v="0"/>
  </r>
  <r>
    <x v="305"/>
    <x v="1"/>
    <n v="-1576"/>
    <x v="1"/>
    <x v="1"/>
    <x v="0"/>
    <x v="10"/>
    <x v="0"/>
  </r>
  <r>
    <x v="305"/>
    <x v="2"/>
    <n v="14222"/>
    <x v="2"/>
    <x v="2"/>
    <x v="1"/>
    <x v="10"/>
    <x v="0"/>
  </r>
  <r>
    <x v="305"/>
    <x v="0"/>
    <n v="-4212"/>
    <x v="0"/>
    <x v="0"/>
    <x v="0"/>
    <x v="10"/>
    <x v="0"/>
  </r>
  <r>
    <x v="305"/>
    <x v="5"/>
    <n v="13978"/>
    <x v="2"/>
    <x v="2"/>
    <x v="1"/>
    <x v="10"/>
    <x v="0"/>
  </r>
  <r>
    <x v="305"/>
    <x v="1"/>
    <n v="-1060"/>
    <x v="1"/>
    <x v="1"/>
    <x v="0"/>
    <x v="10"/>
    <x v="0"/>
  </r>
  <r>
    <x v="306"/>
    <x v="21"/>
    <n v="-1412"/>
    <x v="1"/>
    <x v="1"/>
    <x v="0"/>
    <x v="10"/>
    <x v="0"/>
  </r>
  <r>
    <x v="306"/>
    <x v="2"/>
    <n v="14881"/>
    <x v="2"/>
    <x v="2"/>
    <x v="1"/>
    <x v="10"/>
    <x v="0"/>
  </r>
  <r>
    <x v="306"/>
    <x v="1"/>
    <n v="-1799"/>
    <x v="1"/>
    <x v="1"/>
    <x v="0"/>
    <x v="10"/>
    <x v="0"/>
  </r>
  <r>
    <x v="306"/>
    <x v="56"/>
    <n v="206800"/>
    <x v="4"/>
    <x v="15"/>
    <x v="0"/>
    <x v="10"/>
    <x v="0"/>
  </r>
  <r>
    <x v="306"/>
    <x v="2"/>
    <n v="13956"/>
    <x v="2"/>
    <x v="2"/>
    <x v="1"/>
    <x v="10"/>
    <x v="0"/>
  </r>
  <r>
    <x v="306"/>
    <x v="2"/>
    <n v="14667"/>
    <x v="2"/>
    <x v="2"/>
    <x v="1"/>
    <x v="10"/>
    <x v="0"/>
  </r>
  <r>
    <x v="306"/>
    <x v="53"/>
    <n v="-2047"/>
    <x v="3"/>
    <x v="5"/>
    <x v="0"/>
    <x v="10"/>
    <x v="0"/>
  </r>
  <r>
    <x v="306"/>
    <x v="1"/>
    <n v="-1157"/>
    <x v="1"/>
    <x v="1"/>
    <x v="0"/>
    <x v="10"/>
    <x v="0"/>
  </r>
  <r>
    <x v="306"/>
    <x v="6"/>
    <n v="-1310"/>
    <x v="1"/>
    <x v="4"/>
    <x v="0"/>
    <x v="10"/>
    <x v="0"/>
  </r>
  <r>
    <x v="307"/>
    <x v="27"/>
    <n v="-1103"/>
    <x v="3"/>
    <x v="5"/>
    <x v="0"/>
    <x v="10"/>
    <x v="0"/>
  </r>
  <r>
    <x v="307"/>
    <x v="18"/>
    <n v="-2040"/>
    <x v="3"/>
    <x v="5"/>
    <x v="0"/>
    <x v="10"/>
    <x v="0"/>
  </r>
  <r>
    <x v="307"/>
    <x v="2"/>
    <n v="12263"/>
    <x v="2"/>
    <x v="2"/>
    <x v="1"/>
    <x v="10"/>
    <x v="0"/>
  </r>
  <r>
    <x v="307"/>
    <x v="0"/>
    <n v="-3675"/>
    <x v="0"/>
    <x v="0"/>
    <x v="0"/>
    <x v="10"/>
    <x v="0"/>
  </r>
  <r>
    <x v="307"/>
    <x v="58"/>
    <n v="-1470"/>
    <x v="3"/>
    <x v="11"/>
    <x v="0"/>
    <x v="10"/>
    <x v="0"/>
  </r>
  <r>
    <x v="307"/>
    <x v="21"/>
    <n v="-1529"/>
    <x v="1"/>
    <x v="1"/>
    <x v="0"/>
    <x v="10"/>
    <x v="0"/>
  </r>
  <r>
    <x v="307"/>
    <x v="27"/>
    <n v="-1120"/>
    <x v="3"/>
    <x v="5"/>
    <x v="0"/>
    <x v="10"/>
    <x v="0"/>
  </r>
  <r>
    <x v="307"/>
    <x v="5"/>
    <n v="13993"/>
    <x v="2"/>
    <x v="2"/>
    <x v="1"/>
    <x v="10"/>
    <x v="0"/>
  </r>
  <r>
    <x v="307"/>
    <x v="2"/>
    <n v="10949"/>
    <x v="2"/>
    <x v="2"/>
    <x v="1"/>
    <x v="10"/>
    <x v="0"/>
  </r>
  <r>
    <x v="307"/>
    <x v="6"/>
    <n v="-2039"/>
    <x v="1"/>
    <x v="4"/>
    <x v="0"/>
    <x v="10"/>
    <x v="0"/>
  </r>
  <r>
    <x v="307"/>
    <x v="4"/>
    <n v="-1782"/>
    <x v="1"/>
    <x v="1"/>
    <x v="0"/>
    <x v="10"/>
    <x v="0"/>
  </r>
  <r>
    <x v="308"/>
    <x v="10"/>
    <n v="-1638"/>
    <x v="3"/>
    <x v="6"/>
    <x v="0"/>
    <x v="10"/>
    <x v="0"/>
  </r>
  <r>
    <x v="308"/>
    <x v="46"/>
    <n v="-1775"/>
    <x v="3"/>
    <x v="11"/>
    <x v="0"/>
    <x v="10"/>
    <x v="0"/>
  </r>
  <r>
    <x v="308"/>
    <x v="5"/>
    <n v="11274"/>
    <x v="2"/>
    <x v="2"/>
    <x v="1"/>
    <x v="10"/>
    <x v="0"/>
  </r>
  <r>
    <x v="308"/>
    <x v="5"/>
    <n v="12985"/>
    <x v="2"/>
    <x v="2"/>
    <x v="1"/>
    <x v="10"/>
    <x v="0"/>
  </r>
  <r>
    <x v="308"/>
    <x v="25"/>
    <n v="-2127"/>
    <x v="3"/>
    <x v="9"/>
    <x v="0"/>
    <x v="10"/>
    <x v="0"/>
  </r>
  <r>
    <x v="308"/>
    <x v="1"/>
    <n v="-1705"/>
    <x v="1"/>
    <x v="1"/>
    <x v="0"/>
    <x v="10"/>
    <x v="0"/>
  </r>
  <r>
    <x v="308"/>
    <x v="55"/>
    <n v="-2412"/>
    <x v="3"/>
    <x v="5"/>
    <x v="0"/>
    <x v="10"/>
    <x v="0"/>
  </r>
  <r>
    <x v="308"/>
    <x v="5"/>
    <n v="11762"/>
    <x v="2"/>
    <x v="2"/>
    <x v="1"/>
    <x v="10"/>
    <x v="0"/>
  </r>
  <r>
    <x v="308"/>
    <x v="6"/>
    <n v="-1999"/>
    <x v="1"/>
    <x v="4"/>
    <x v="0"/>
    <x v="10"/>
    <x v="0"/>
  </r>
  <r>
    <x v="309"/>
    <x v="2"/>
    <n v="14222"/>
    <x v="2"/>
    <x v="2"/>
    <x v="1"/>
    <x v="10"/>
    <x v="0"/>
  </r>
  <r>
    <x v="309"/>
    <x v="13"/>
    <n v="-1106"/>
    <x v="3"/>
    <x v="7"/>
    <x v="0"/>
    <x v="10"/>
    <x v="0"/>
  </r>
  <r>
    <x v="309"/>
    <x v="1"/>
    <n v="-2120"/>
    <x v="1"/>
    <x v="1"/>
    <x v="0"/>
    <x v="10"/>
    <x v="0"/>
  </r>
  <r>
    <x v="309"/>
    <x v="35"/>
    <n v="-2420"/>
    <x v="3"/>
    <x v="10"/>
    <x v="0"/>
    <x v="10"/>
    <x v="0"/>
  </r>
  <r>
    <x v="309"/>
    <x v="17"/>
    <n v="-1675"/>
    <x v="3"/>
    <x v="5"/>
    <x v="0"/>
    <x v="10"/>
    <x v="0"/>
  </r>
  <r>
    <x v="310"/>
    <x v="8"/>
    <n v="-1410"/>
    <x v="3"/>
    <x v="6"/>
    <x v="0"/>
    <x v="10"/>
    <x v="0"/>
  </r>
  <r>
    <x v="310"/>
    <x v="5"/>
    <n v="13360"/>
    <x v="2"/>
    <x v="2"/>
    <x v="1"/>
    <x v="10"/>
    <x v="0"/>
  </r>
  <r>
    <x v="310"/>
    <x v="63"/>
    <n v="-1601"/>
    <x v="3"/>
    <x v="5"/>
    <x v="0"/>
    <x v="10"/>
    <x v="0"/>
  </r>
  <r>
    <x v="310"/>
    <x v="6"/>
    <n v="-2419"/>
    <x v="1"/>
    <x v="4"/>
    <x v="0"/>
    <x v="10"/>
    <x v="0"/>
  </r>
  <r>
    <x v="310"/>
    <x v="44"/>
    <n v="-2138"/>
    <x v="5"/>
    <x v="14"/>
    <x v="0"/>
    <x v="10"/>
    <x v="0"/>
  </r>
  <r>
    <x v="310"/>
    <x v="53"/>
    <n v="-1800"/>
    <x v="3"/>
    <x v="5"/>
    <x v="0"/>
    <x v="10"/>
    <x v="0"/>
  </r>
  <r>
    <x v="310"/>
    <x v="52"/>
    <n v="-1286"/>
    <x v="3"/>
    <x v="3"/>
    <x v="0"/>
    <x v="10"/>
    <x v="0"/>
  </r>
  <r>
    <x v="310"/>
    <x v="23"/>
    <n v="-1435"/>
    <x v="3"/>
    <x v="5"/>
    <x v="0"/>
    <x v="10"/>
    <x v="0"/>
  </r>
  <r>
    <x v="311"/>
    <x v="4"/>
    <n v="-1105"/>
    <x v="1"/>
    <x v="1"/>
    <x v="0"/>
    <x v="10"/>
    <x v="0"/>
  </r>
  <r>
    <x v="311"/>
    <x v="6"/>
    <n v="-1721"/>
    <x v="1"/>
    <x v="4"/>
    <x v="0"/>
    <x v="10"/>
    <x v="0"/>
  </r>
  <r>
    <x v="311"/>
    <x v="1"/>
    <n v="-2404"/>
    <x v="1"/>
    <x v="1"/>
    <x v="0"/>
    <x v="10"/>
    <x v="0"/>
  </r>
  <r>
    <x v="311"/>
    <x v="62"/>
    <n v="-2396"/>
    <x v="3"/>
    <x v="11"/>
    <x v="0"/>
    <x v="10"/>
    <x v="0"/>
  </r>
  <r>
    <x v="311"/>
    <x v="36"/>
    <n v="-1475"/>
    <x v="3"/>
    <x v="7"/>
    <x v="0"/>
    <x v="10"/>
    <x v="0"/>
  </r>
  <r>
    <x v="311"/>
    <x v="35"/>
    <n v="-2236"/>
    <x v="3"/>
    <x v="10"/>
    <x v="0"/>
    <x v="10"/>
    <x v="0"/>
  </r>
  <r>
    <x v="311"/>
    <x v="5"/>
    <n v="13657"/>
    <x v="2"/>
    <x v="2"/>
    <x v="1"/>
    <x v="10"/>
    <x v="0"/>
  </r>
  <r>
    <x v="312"/>
    <x v="5"/>
    <n v="10132"/>
    <x v="2"/>
    <x v="2"/>
    <x v="1"/>
    <x v="10"/>
    <x v="0"/>
  </r>
  <r>
    <x v="312"/>
    <x v="4"/>
    <n v="-2248"/>
    <x v="1"/>
    <x v="1"/>
    <x v="0"/>
    <x v="10"/>
    <x v="0"/>
  </r>
  <r>
    <x v="312"/>
    <x v="1"/>
    <n v="-1500"/>
    <x v="1"/>
    <x v="1"/>
    <x v="0"/>
    <x v="10"/>
    <x v="0"/>
  </r>
  <r>
    <x v="312"/>
    <x v="45"/>
    <n v="-1820"/>
    <x v="3"/>
    <x v="5"/>
    <x v="0"/>
    <x v="10"/>
    <x v="0"/>
  </r>
  <r>
    <x v="312"/>
    <x v="2"/>
    <n v="11499"/>
    <x v="2"/>
    <x v="2"/>
    <x v="1"/>
    <x v="10"/>
    <x v="0"/>
  </r>
  <r>
    <x v="312"/>
    <x v="0"/>
    <n v="-3966"/>
    <x v="0"/>
    <x v="0"/>
    <x v="0"/>
    <x v="10"/>
    <x v="0"/>
  </r>
  <r>
    <x v="312"/>
    <x v="0"/>
    <n v="-4966"/>
    <x v="0"/>
    <x v="0"/>
    <x v="0"/>
    <x v="10"/>
    <x v="0"/>
  </r>
  <r>
    <x v="312"/>
    <x v="0"/>
    <n v="-2956"/>
    <x v="0"/>
    <x v="0"/>
    <x v="0"/>
    <x v="10"/>
    <x v="0"/>
  </r>
  <r>
    <x v="313"/>
    <x v="1"/>
    <n v="-1853"/>
    <x v="1"/>
    <x v="1"/>
    <x v="0"/>
    <x v="10"/>
    <x v="0"/>
  </r>
  <r>
    <x v="313"/>
    <x v="21"/>
    <n v="-2078"/>
    <x v="1"/>
    <x v="1"/>
    <x v="0"/>
    <x v="10"/>
    <x v="0"/>
  </r>
  <r>
    <x v="313"/>
    <x v="6"/>
    <n v="-1494"/>
    <x v="1"/>
    <x v="4"/>
    <x v="0"/>
    <x v="10"/>
    <x v="0"/>
  </r>
  <r>
    <x v="313"/>
    <x v="5"/>
    <n v="11620"/>
    <x v="2"/>
    <x v="2"/>
    <x v="1"/>
    <x v="10"/>
    <x v="0"/>
  </r>
  <r>
    <x v="313"/>
    <x v="23"/>
    <n v="-1593"/>
    <x v="3"/>
    <x v="5"/>
    <x v="0"/>
    <x v="10"/>
    <x v="0"/>
  </r>
  <r>
    <x v="313"/>
    <x v="47"/>
    <n v="-1510"/>
    <x v="3"/>
    <x v="8"/>
    <x v="0"/>
    <x v="10"/>
    <x v="0"/>
  </r>
  <r>
    <x v="313"/>
    <x v="0"/>
    <n v="-2896"/>
    <x v="0"/>
    <x v="0"/>
    <x v="0"/>
    <x v="10"/>
    <x v="0"/>
  </r>
  <r>
    <x v="313"/>
    <x v="1"/>
    <n v="-1635"/>
    <x v="1"/>
    <x v="1"/>
    <x v="0"/>
    <x v="10"/>
    <x v="0"/>
  </r>
  <r>
    <x v="313"/>
    <x v="2"/>
    <n v="10559"/>
    <x v="2"/>
    <x v="2"/>
    <x v="1"/>
    <x v="10"/>
    <x v="0"/>
  </r>
  <r>
    <x v="313"/>
    <x v="24"/>
    <n v="-1725"/>
    <x v="3"/>
    <x v="6"/>
    <x v="0"/>
    <x v="10"/>
    <x v="0"/>
  </r>
  <r>
    <x v="313"/>
    <x v="6"/>
    <n v="-1214"/>
    <x v="1"/>
    <x v="4"/>
    <x v="0"/>
    <x v="10"/>
    <x v="0"/>
  </r>
  <r>
    <x v="313"/>
    <x v="1"/>
    <n v="-1901"/>
    <x v="1"/>
    <x v="1"/>
    <x v="0"/>
    <x v="10"/>
    <x v="0"/>
  </r>
  <r>
    <x v="314"/>
    <x v="2"/>
    <n v="12717"/>
    <x v="2"/>
    <x v="2"/>
    <x v="1"/>
    <x v="10"/>
    <x v="0"/>
  </r>
  <r>
    <x v="314"/>
    <x v="4"/>
    <n v="-1445"/>
    <x v="1"/>
    <x v="1"/>
    <x v="0"/>
    <x v="10"/>
    <x v="0"/>
  </r>
  <r>
    <x v="314"/>
    <x v="6"/>
    <n v="-1706"/>
    <x v="1"/>
    <x v="4"/>
    <x v="0"/>
    <x v="10"/>
    <x v="0"/>
  </r>
  <r>
    <x v="314"/>
    <x v="21"/>
    <n v="-1515"/>
    <x v="1"/>
    <x v="1"/>
    <x v="0"/>
    <x v="10"/>
    <x v="0"/>
  </r>
  <r>
    <x v="314"/>
    <x v="0"/>
    <n v="-4422"/>
    <x v="0"/>
    <x v="0"/>
    <x v="0"/>
    <x v="10"/>
    <x v="0"/>
  </r>
  <r>
    <x v="314"/>
    <x v="5"/>
    <n v="12213"/>
    <x v="2"/>
    <x v="2"/>
    <x v="1"/>
    <x v="10"/>
    <x v="0"/>
  </r>
  <r>
    <x v="314"/>
    <x v="4"/>
    <n v="-2255"/>
    <x v="1"/>
    <x v="1"/>
    <x v="0"/>
    <x v="10"/>
    <x v="0"/>
  </r>
  <r>
    <x v="314"/>
    <x v="21"/>
    <n v="-2373"/>
    <x v="1"/>
    <x v="1"/>
    <x v="0"/>
    <x v="10"/>
    <x v="0"/>
  </r>
  <r>
    <x v="314"/>
    <x v="0"/>
    <n v="-3594"/>
    <x v="0"/>
    <x v="0"/>
    <x v="0"/>
    <x v="10"/>
    <x v="0"/>
  </r>
  <r>
    <x v="314"/>
    <x v="44"/>
    <n v="-2250"/>
    <x v="5"/>
    <x v="14"/>
    <x v="0"/>
    <x v="10"/>
    <x v="0"/>
  </r>
  <r>
    <x v="315"/>
    <x v="2"/>
    <n v="10769"/>
    <x v="2"/>
    <x v="2"/>
    <x v="1"/>
    <x v="10"/>
    <x v="0"/>
  </r>
  <r>
    <x v="315"/>
    <x v="6"/>
    <n v="-1941"/>
    <x v="1"/>
    <x v="4"/>
    <x v="0"/>
    <x v="10"/>
    <x v="0"/>
  </r>
  <r>
    <x v="315"/>
    <x v="2"/>
    <n v="11711"/>
    <x v="2"/>
    <x v="2"/>
    <x v="1"/>
    <x v="10"/>
    <x v="0"/>
  </r>
  <r>
    <x v="315"/>
    <x v="26"/>
    <n v="-2004"/>
    <x v="3"/>
    <x v="11"/>
    <x v="0"/>
    <x v="10"/>
    <x v="0"/>
  </r>
  <r>
    <x v="315"/>
    <x v="38"/>
    <n v="-1877"/>
    <x v="3"/>
    <x v="5"/>
    <x v="0"/>
    <x v="10"/>
    <x v="0"/>
  </r>
  <r>
    <x v="315"/>
    <x v="31"/>
    <n v="-1757"/>
    <x v="3"/>
    <x v="11"/>
    <x v="0"/>
    <x v="10"/>
    <x v="0"/>
  </r>
  <r>
    <x v="315"/>
    <x v="21"/>
    <n v="-1961"/>
    <x v="1"/>
    <x v="1"/>
    <x v="0"/>
    <x v="10"/>
    <x v="0"/>
  </r>
  <r>
    <x v="315"/>
    <x v="1"/>
    <n v="-1191"/>
    <x v="1"/>
    <x v="1"/>
    <x v="0"/>
    <x v="10"/>
    <x v="0"/>
  </r>
  <r>
    <x v="316"/>
    <x v="13"/>
    <n v="-1859"/>
    <x v="3"/>
    <x v="7"/>
    <x v="0"/>
    <x v="10"/>
    <x v="0"/>
  </r>
  <r>
    <x v="316"/>
    <x v="0"/>
    <n v="-2894"/>
    <x v="0"/>
    <x v="0"/>
    <x v="0"/>
    <x v="10"/>
    <x v="0"/>
  </r>
  <r>
    <x v="316"/>
    <x v="21"/>
    <n v="-1011"/>
    <x v="1"/>
    <x v="1"/>
    <x v="0"/>
    <x v="10"/>
    <x v="0"/>
  </r>
  <r>
    <x v="316"/>
    <x v="57"/>
    <n v="-1009"/>
    <x v="3"/>
    <x v="5"/>
    <x v="0"/>
    <x v="10"/>
    <x v="0"/>
  </r>
  <r>
    <x v="316"/>
    <x v="6"/>
    <n v="-2136"/>
    <x v="1"/>
    <x v="4"/>
    <x v="0"/>
    <x v="10"/>
    <x v="0"/>
  </r>
  <r>
    <x v="317"/>
    <x v="45"/>
    <n v="-1997"/>
    <x v="3"/>
    <x v="5"/>
    <x v="0"/>
    <x v="10"/>
    <x v="0"/>
  </r>
  <r>
    <x v="317"/>
    <x v="0"/>
    <n v="-4147"/>
    <x v="0"/>
    <x v="0"/>
    <x v="0"/>
    <x v="10"/>
    <x v="0"/>
  </r>
  <r>
    <x v="317"/>
    <x v="30"/>
    <n v="-1964"/>
    <x v="4"/>
    <x v="13"/>
    <x v="0"/>
    <x v="10"/>
    <x v="0"/>
  </r>
  <r>
    <x v="317"/>
    <x v="48"/>
    <n v="-1498"/>
    <x v="3"/>
    <x v="7"/>
    <x v="0"/>
    <x v="10"/>
    <x v="0"/>
  </r>
  <r>
    <x v="317"/>
    <x v="0"/>
    <n v="-4192"/>
    <x v="0"/>
    <x v="0"/>
    <x v="0"/>
    <x v="10"/>
    <x v="0"/>
  </r>
  <r>
    <x v="317"/>
    <x v="0"/>
    <n v="-3858"/>
    <x v="0"/>
    <x v="0"/>
    <x v="0"/>
    <x v="10"/>
    <x v="0"/>
  </r>
  <r>
    <x v="317"/>
    <x v="5"/>
    <n v="10843"/>
    <x v="2"/>
    <x v="2"/>
    <x v="1"/>
    <x v="10"/>
    <x v="0"/>
  </r>
  <r>
    <x v="317"/>
    <x v="26"/>
    <n v="-1631"/>
    <x v="3"/>
    <x v="11"/>
    <x v="0"/>
    <x v="10"/>
    <x v="0"/>
  </r>
  <r>
    <x v="317"/>
    <x v="58"/>
    <n v="-1884"/>
    <x v="3"/>
    <x v="11"/>
    <x v="0"/>
    <x v="10"/>
    <x v="0"/>
  </r>
  <r>
    <x v="317"/>
    <x v="4"/>
    <n v="-1059"/>
    <x v="1"/>
    <x v="1"/>
    <x v="0"/>
    <x v="10"/>
    <x v="0"/>
  </r>
  <r>
    <x v="318"/>
    <x v="1"/>
    <n v="-1785"/>
    <x v="1"/>
    <x v="1"/>
    <x v="0"/>
    <x v="10"/>
    <x v="0"/>
  </r>
  <r>
    <x v="318"/>
    <x v="0"/>
    <n v="-4726"/>
    <x v="0"/>
    <x v="0"/>
    <x v="0"/>
    <x v="10"/>
    <x v="0"/>
  </r>
  <r>
    <x v="318"/>
    <x v="49"/>
    <n v="-2301"/>
    <x v="3"/>
    <x v="5"/>
    <x v="0"/>
    <x v="10"/>
    <x v="0"/>
  </r>
  <r>
    <x v="318"/>
    <x v="21"/>
    <n v="-1857"/>
    <x v="1"/>
    <x v="1"/>
    <x v="0"/>
    <x v="10"/>
    <x v="0"/>
  </r>
  <r>
    <x v="318"/>
    <x v="21"/>
    <n v="-1243"/>
    <x v="1"/>
    <x v="1"/>
    <x v="0"/>
    <x v="10"/>
    <x v="0"/>
  </r>
  <r>
    <x v="319"/>
    <x v="24"/>
    <n v="-1961"/>
    <x v="3"/>
    <x v="6"/>
    <x v="0"/>
    <x v="10"/>
    <x v="0"/>
  </r>
  <r>
    <x v="319"/>
    <x v="1"/>
    <n v="-1103"/>
    <x v="1"/>
    <x v="1"/>
    <x v="0"/>
    <x v="10"/>
    <x v="0"/>
  </r>
  <r>
    <x v="319"/>
    <x v="5"/>
    <n v="13512"/>
    <x v="2"/>
    <x v="2"/>
    <x v="1"/>
    <x v="10"/>
    <x v="0"/>
  </r>
  <r>
    <x v="319"/>
    <x v="44"/>
    <n v="-1964"/>
    <x v="5"/>
    <x v="14"/>
    <x v="0"/>
    <x v="10"/>
    <x v="0"/>
  </r>
  <r>
    <x v="319"/>
    <x v="1"/>
    <n v="-2469"/>
    <x v="1"/>
    <x v="1"/>
    <x v="0"/>
    <x v="10"/>
    <x v="0"/>
  </r>
  <r>
    <x v="319"/>
    <x v="25"/>
    <n v="-1534"/>
    <x v="3"/>
    <x v="9"/>
    <x v="0"/>
    <x v="10"/>
    <x v="0"/>
  </r>
  <r>
    <x v="319"/>
    <x v="2"/>
    <n v="10622"/>
    <x v="2"/>
    <x v="2"/>
    <x v="1"/>
    <x v="10"/>
    <x v="0"/>
  </r>
  <r>
    <x v="320"/>
    <x v="4"/>
    <n v="-1729"/>
    <x v="1"/>
    <x v="1"/>
    <x v="0"/>
    <x v="10"/>
    <x v="0"/>
  </r>
  <r>
    <x v="320"/>
    <x v="1"/>
    <n v="-2202"/>
    <x v="1"/>
    <x v="1"/>
    <x v="0"/>
    <x v="10"/>
    <x v="0"/>
  </r>
  <r>
    <x v="320"/>
    <x v="2"/>
    <n v="12261"/>
    <x v="2"/>
    <x v="2"/>
    <x v="1"/>
    <x v="10"/>
    <x v="0"/>
  </r>
  <r>
    <x v="320"/>
    <x v="2"/>
    <n v="12389"/>
    <x v="2"/>
    <x v="2"/>
    <x v="1"/>
    <x v="10"/>
    <x v="0"/>
  </r>
  <r>
    <x v="320"/>
    <x v="12"/>
    <n v="-2212"/>
    <x v="3"/>
    <x v="3"/>
    <x v="0"/>
    <x v="10"/>
    <x v="0"/>
  </r>
  <r>
    <x v="320"/>
    <x v="7"/>
    <n v="-1604"/>
    <x v="3"/>
    <x v="5"/>
    <x v="0"/>
    <x v="10"/>
    <x v="0"/>
  </r>
  <r>
    <x v="320"/>
    <x v="4"/>
    <n v="-1864"/>
    <x v="1"/>
    <x v="1"/>
    <x v="0"/>
    <x v="10"/>
    <x v="0"/>
  </r>
  <r>
    <x v="320"/>
    <x v="55"/>
    <n v="-1816"/>
    <x v="3"/>
    <x v="5"/>
    <x v="0"/>
    <x v="10"/>
    <x v="0"/>
  </r>
  <r>
    <x v="320"/>
    <x v="3"/>
    <n v="-2174"/>
    <x v="3"/>
    <x v="3"/>
    <x v="0"/>
    <x v="10"/>
    <x v="0"/>
  </r>
  <r>
    <x v="320"/>
    <x v="21"/>
    <n v="-1583"/>
    <x v="1"/>
    <x v="1"/>
    <x v="0"/>
    <x v="10"/>
    <x v="0"/>
  </r>
  <r>
    <x v="321"/>
    <x v="23"/>
    <n v="-1859"/>
    <x v="3"/>
    <x v="5"/>
    <x v="0"/>
    <x v="10"/>
    <x v="0"/>
  </r>
  <r>
    <x v="321"/>
    <x v="5"/>
    <n v="10499"/>
    <x v="2"/>
    <x v="2"/>
    <x v="1"/>
    <x v="10"/>
    <x v="0"/>
  </r>
  <r>
    <x v="321"/>
    <x v="1"/>
    <n v="-1425"/>
    <x v="1"/>
    <x v="1"/>
    <x v="0"/>
    <x v="10"/>
    <x v="0"/>
  </r>
  <r>
    <x v="321"/>
    <x v="61"/>
    <n v="-1948"/>
    <x v="3"/>
    <x v="10"/>
    <x v="0"/>
    <x v="10"/>
    <x v="0"/>
  </r>
  <r>
    <x v="321"/>
    <x v="0"/>
    <n v="-4287"/>
    <x v="0"/>
    <x v="0"/>
    <x v="0"/>
    <x v="10"/>
    <x v="0"/>
  </r>
  <r>
    <x v="321"/>
    <x v="0"/>
    <n v="-4958"/>
    <x v="0"/>
    <x v="0"/>
    <x v="0"/>
    <x v="10"/>
    <x v="0"/>
  </r>
  <r>
    <x v="321"/>
    <x v="0"/>
    <n v="-2949"/>
    <x v="0"/>
    <x v="0"/>
    <x v="0"/>
    <x v="10"/>
    <x v="0"/>
  </r>
  <r>
    <x v="322"/>
    <x v="50"/>
    <n v="-1299"/>
    <x v="3"/>
    <x v="3"/>
    <x v="0"/>
    <x v="10"/>
    <x v="0"/>
  </r>
  <r>
    <x v="322"/>
    <x v="0"/>
    <n v="-3638"/>
    <x v="0"/>
    <x v="0"/>
    <x v="0"/>
    <x v="10"/>
    <x v="0"/>
  </r>
  <r>
    <x v="322"/>
    <x v="21"/>
    <n v="-1737"/>
    <x v="1"/>
    <x v="1"/>
    <x v="0"/>
    <x v="10"/>
    <x v="0"/>
  </r>
  <r>
    <x v="322"/>
    <x v="62"/>
    <n v="-1760"/>
    <x v="3"/>
    <x v="11"/>
    <x v="0"/>
    <x v="10"/>
    <x v="0"/>
  </r>
  <r>
    <x v="322"/>
    <x v="6"/>
    <n v="-1703"/>
    <x v="1"/>
    <x v="4"/>
    <x v="0"/>
    <x v="10"/>
    <x v="0"/>
  </r>
  <r>
    <x v="322"/>
    <x v="36"/>
    <n v="-1773"/>
    <x v="3"/>
    <x v="7"/>
    <x v="0"/>
    <x v="10"/>
    <x v="0"/>
  </r>
  <r>
    <x v="322"/>
    <x v="2"/>
    <n v="11154"/>
    <x v="2"/>
    <x v="2"/>
    <x v="1"/>
    <x v="10"/>
    <x v="0"/>
  </r>
  <r>
    <x v="323"/>
    <x v="21"/>
    <n v="-1805"/>
    <x v="1"/>
    <x v="1"/>
    <x v="0"/>
    <x v="10"/>
    <x v="0"/>
  </r>
  <r>
    <x v="323"/>
    <x v="6"/>
    <n v="-1709"/>
    <x v="1"/>
    <x v="4"/>
    <x v="0"/>
    <x v="10"/>
    <x v="0"/>
  </r>
  <r>
    <x v="323"/>
    <x v="4"/>
    <n v="-1903"/>
    <x v="1"/>
    <x v="1"/>
    <x v="0"/>
    <x v="10"/>
    <x v="0"/>
  </r>
  <r>
    <x v="323"/>
    <x v="46"/>
    <n v="-1553"/>
    <x v="3"/>
    <x v="11"/>
    <x v="0"/>
    <x v="10"/>
    <x v="0"/>
  </r>
  <r>
    <x v="323"/>
    <x v="13"/>
    <n v="-1252"/>
    <x v="3"/>
    <x v="7"/>
    <x v="0"/>
    <x v="10"/>
    <x v="0"/>
  </r>
  <r>
    <x v="323"/>
    <x v="38"/>
    <n v="-2294"/>
    <x v="3"/>
    <x v="5"/>
    <x v="0"/>
    <x v="10"/>
    <x v="0"/>
  </r>
  <r>
    <x v="323"/>
    <x v="0"/>
    <n v="-2558"/>
    <x v="0"/>
    <x v="0"/>
    <x v="0"/>
    <x v="10"/>
    <x v="0"/>
  </r>
  <r>
    <x v="324"/>
    <x v="44"/>
    <n v="-1417"/>
    <x v="5"/>
    <x v="14"/>
    <x v="0"/>
    <x v="10"/>
    <x v="0"/>
  </r>
  <r>
    <x v="324"/>
    <x v="4"/>
    <n v="-1153"/>
    <x v="1"/>
    <x v="1"/>
    <x v="0"/>
    <x v="10"/>
    <x v="0"/>
  </r>
  <r>
    <x v="324"/>
    <x v="48"/>
    <n v="-1472"/>
    <x v="3"/>
    <x v="7"/>
    <x v="0"/>
    <x v="10"/>
    <x v="0"/>
  </r>
  <r>
    <x v="325"/>
    <x v="2"/>
    <n v="14619"/>
    <x v="2"/>
    <x v="2"/>
    <x v="1"/>
    <x v="10"/>
    <x v="0"/>
  </r>
  <r>
    <x v="325"/>
    <x v="43"/>
    <n v="-1500"/>
    <x v="3"/>
    <x v="5"/>
    <x v="0"/>
    <x v="10"/>
    <x v="0"/>
  </r>
  <r>
    <x v="325"/>
    <x v="50"/>
    <n v="-1915"/>
    <x v="3"/>
    <x v="3"/>
    <x v="0"/>
    <x v="10"/>
    <x v="0"/>
  </r>
  <r>
    <x v="326"/>
    <x v="5"/>
    <n v="11594"/>
    <x v="2"/>
    <x v="2"/>
    <x v="1"/>
    <x v="10"/>
    <x v="0"/>
  </r>
  <r>
    <x v="326"/>
    <x v="2"/>
    <n v="10183"/>
    <x v="2"/>
    <x v="2"/>
    <x v="1"/>
    <x v="10"/>
    <x v="0"/>
  </r>
  <r>
    <x v="326"/>
    <x v="2"/>
    <n v="14030"/>
    <x v="2"/>
    <x v="2"/>
    <x v="1"/>
    <x v="10"/>
    <x v="0"/>
  </r>
  <r>
    <x v="326"/>
    <x v="0"/>
    <n v="-4606"/>
    <x v="0"/>
    <x v="0"/>
    <x v="0"/>
    <x v="10"/>
    <x v="0"/>
  </r>
  <r>
    <x v="326"/>
    <x v="6"/>
    <n v="-1684"/>
    <x v="1"/>
    <x v="4"/>
    <x v="0"/>
    <x v="10"/>
    <x v="0"/>
  </r>
  <r>
    <x v="326"/>
    <x v="35"/>
    <n v="-1619"/>
    <x v="3"/>
    <x v="10"/>
    <x v="0"/>
    <x v="10"/>
    <x v="0"/>
  </r>
  <r>
    <x v="326"/>
    <x v="21"/>
    <n v="-2364"/>
    <x v="1"/>
    <x v="1"/>
    <x v="0"/>
    <x v="10"/>
    <x v="0"/>
  </r>
  <r>
    <x v="326"/>
    <x v="19"/>
    <n v="-1685"/>
    <x v="3"/>
    <x v="8"/>
    <x v="0"/>
    <x v="10"/>
    <x v="0"/>
  </r>
  <r>
    <x v="327"/>
    <x v="6"/>
    <n v="-1953"/>
    <x v="1"/>
    <x v="4"/>
    <x v="0"/>
    <x v="10"/>
    <x v="0"/>
  </r>
  <r>
    <x v="327"/>
    <x v="2"/>
    <n v="14514"/>
    <x v="2"/>
    <x v="2"/>
    <x v="1"/>
    <x v="10"/>
    <x v="0"/>
  </r>
  <r>
    <x v="327"/>
    <x v="4"/>
    <n v="-1815"/>
    <x v="1"/>
    <x v="1"/>
    <x v="0"/>
    <x v="10"/>
    <x v="0"/>
  </r>
  <r>
    <x v="327"/>
    <x v="2"/>
    <n v="10205"/>
    <x v="2"/>
    <x v="2"/>
    <x v="1"/>
    <x v="10"/>
    <x v="0"/>
  </r>
  <r>
    <x v="327"/>
    <x v="1"/>
    <n v="-1067"/>
    <x v="1"/>
    <x v="1"/>
    <x v="0"/>
    <x v="10"/>
    <x v="0"/>
  </r>
  <r>
    <x v="327"/>
    <x v="0"/>
    <n v="-3908"/>
    <x v="0"/>
    <x v="0"/>
    <x v="0"/>
    <x v="10"/>
    <x v="0"/>
  </r>
  <r>
    <x v="327"/>
    <x v="5"/>
    <n v="10726"/>
    <x v="2"/>
    <x v="2"/>
    <x v="1"/>
    <x v="10"/>
    <x v="0"/>
  </r>
  <r>
    <x v="327"/>
    <x v="32"/>
    <n v="-1246"/>
    <x v="3"/>
    <x v="9"/>
    <x v="0"/>
    <x v="10"/>
    <x v="0"/>
  </r>
  <r>
    <x v="328"/>
    <x v="5"/>
    <n v="11313"/>
    <x v="2"/>
    <x v="2"/>
    <x v="1"/>
    <x v="10"/>
    <x v="0"/>
  </r>
  <r>
    <x v="328"/>
    <x v="4"/>
    <n v="-2152"/>
    <x v="1"/>
    <x v="1"/>
    <x v="0"/>
    <x v="10"/>
    <x v="0"/>
  </r>
  <r>
    <x v="328"/>
    <x v="13"/>
    <n v="-2392"/>
    <x v="3"/>
    <x v="7"/>
    <x v="0"/>
    <x v="10"/>
    <x v="0"/>
  </r>
  <r>
    <x v="328"/>
    <x v="4"/>
    <n v="-1953"/>
    <x v="1"/>
    <x v="1"/>
    <x v="0"/>
    <x v="10"/>
    <x v="0"/>
  </r>
  <r>
    <x v="328"/>
    <x v="21"/>
    <n v="-1728"/>
    <x v="1"/>
    <x v="1"/>
    <x v="0"/>
    <x v="10"/>
    <x v="0"/>
  </r>
  <r>
    <x v="328"/>
    <x v="4"/>
    <n v="-2174"/>
    <x v="1"/>
    <x v="1"/>
    <x v="0"/>
    <x v="10"/>
    <x v="0"/>
  </r>
  <r>
    <x v="328"/>
    <x v="15"/>
    <n v="-1035"/>
    <x v="3"/>
    <x v="6"/>
    <x v="0"/>
    <x v="10"/>
    <x v="0"/>
  </r>
  <r>
    <x v="328"/>
    <x v="21"/>
    <n v="-1473"/>
    <x v="1"/>
    <x v="1"/>
    <x v="0"/>
    <x v="10"/>
    <x v="0"/>
  </r>
  <r>
    <x v="328"/>
    <x v="0"/>
    <n v="-4416"/>
    <x v="0"/>
    <x v="0"/>
    <x v="0"/>
    <x v="10"/>
    <x v="0"/>
  </r>
  <r>
    <x v="328"/>
    <x v="4"/>
    <n v="-1906"/>
    <x v="1"/>
    <x v="1"/>
    <x v="0"/>
    <x v="10"/>
    <x v="0"/>
  </r>
  <r>
    <x v="328"/>
    <x v="14"/>
    <n v="-1716"/>
    <x v="3"/>
    <x v="8"/>
    <x v="0"/>
    <x v="10"/>
    <x v="0"/>
  </r>
  <r>
    <x v="328"/>
    <x v="42"/>
    <n v="-1245"/>
    <x v="3"/>
    <x v="5"/>
    <x v="0"/>
    <x v="10"/>
    <x v="0"/>
  </r>
  <r>
    <x v="329"/>
    <x v="46"/>
    <n v="-1915"/>
    <x v="3"/>
    <x v="11"/>
    <x v="0"/>
    <x v="10"/>
    <x v="0"/>
  </r>
  <r>
    <x v="329"/>
    <x v="5"/>
    <n v="14912"/>
    <x v="2"/>
    <x v="2"/>
    <x v="1"/>
    <x v="10"/>
    <x v="0"/>
  </r>
  <r>
    <x v="330"/>
    <x v="4"/>
    <n v="-1994"/>
    <x v="1"/>
    <x v="1"/>
    <x v="0"/>
    <x v="10"/>
    <x v="0"/>
  </r>
  <r>
    <x v="330"/>
    <x v="0"/>
    <n v="-3699"/>
    <x v="0"/>
    <x v="0"/>
    <x v="0"/>
    <x v="10"/>
    <x v="0"/>
  </r>
  <r>
    <x v="330"/>
    <x v="6"/>
    <n v="-2266"/>
    <x v="1"/>
    <x v="4"/>
    <x v="0"/>
    <x v="10"/>
    <x v="0"/>
  </r>
  <r>
    <x v="331"/>
    <x v="58"/>
    <n v="-2305"/>
    <x v="3"/>
    <x v="11"/>
    <x v="0"/>
    <x v="10"/>
    <x v="0"/>
  </r>
  <r>
    <x v="331"/>
    <x v="41"/>
    <n v="-2244"/>
    <x v="3"/>
    <x v="3"/>
    <x v="0"/>
    <x v="10"/>
    <x v="0"/>
  </r>
  <r>
    <x v="331"/>
    <x v="2"/>
    <n v="11453"/>
    <x v="2"/>
    <x v="2"/>
    <x v="1"/>
    <x v="10"/>
    <x v="0"/>
  </r>
  <r>
    <x v="331"/>
    <x v="22"/>
    <n v="-1504"/>
    <x v="3"/>
    <x v="11"/>
    <x v="0"/>
    <x v="10"/>
    <x v="0"/>
  </r>
  <r>
    <x v="332"/>
    <x v="5"/>
    <n v="14182"/>
    <x v="2"/>
    <x v="2"/>
    <x v="1"/>
    <x v="10"/>
    <x v="0"/>
  </r>
  <r>
    <x v="332"/>
    <x v="1"/>
    <n v="-1322"/>
    <x v="1"/>
    <x v="1"/>
    <x v="0"/>
    <x v="10"/>
    <x v="0"/>
  </r>
  <r>
    <x v="332"/>
    <x v="5"/>
    <n v="10366"/>
    <x v="2"/>
    <x v="2"/>
    <x v="1"/>
    <x v="10"/>
    <x v="0"/>
  </r>
  <r>
    <x v="332"/>
    <x v="4"/>
    <n v="-1921"/>
    <x v="1"/>
    <x v="1"/>
    <x v="0"/>
    <x v="10"/>
    <x v="0"/>
  </r>
  <r>
    <x v="332"/>
    <x v="2"/>
    <n v="14673"/>
    <x v="2"/>
    <x v="2"/>
    <x v="1"/>
    <x v="10"/>
    <x v="0"/>
  </r>
  <r>
    <x v="332"/>
    <x v="2"/>
    <n v="12975"/>
    <x v="2"/>
    <x v="2"/>
    <x v="1"/>
    <x v="10"/>
    <x v="0"/>
  </r>
  <r>
    <x v="332"/>
    <x v="33"/>
    <n v="-1319"/>
    <x v="3"/>
    <x v="3"/>
    <x v="0"/>
    <x v="10"/>
    <x v="0"/>
  </r>
  <r>
    <x v="332"/>
    <x v="63"/>
    <n v="-1790"/>
    <x v="3"/>
    <x v="5"/>
    <x v="0"/>
    <x v="10"/>
    <x v="0"/>
  </r>
  <r>
    <x v="332"/>
    <x v="1"/>
    <n v="-1621"/>
    <x v="1"/>
    <x v="1"/>
    <x v="0"/>
    <x v="10"/>
    <x v="0"/>
  </r>
  <r>
    <x v="333"/>
    <x v="62"/>
    <n v="-1770"/>
    <x v="3"/>
    <x v="11"/>
    <x v="0"/>
    <x v="10"/>
    <x v="0"/>
  </r>
  <r>
    <x v="333"/>
    <x v="0"/>
    <n v="-3080"/>
    <x v="0"/>
    <x v="0"/>
    <x v="0"/>
    <x v="10"/>
    <x v="0"/>
  </r>
  <r>
    <x v="333"/>
    <x v="6"/>
    <n v="-1977"/>
    <x v="1"/>
    <x v="4"/>
    <x v="0"/>
    <x v="10"/>
    <x v="0"/>
  </r>
  <r>
    <x v="333"/>
    <x v="5"/>
    <n v="11909"/>
    <x v="2"/>
    <x v="2"/>
    <x v="1"/>
    <x v="10"/>
    <x v="0"/>
  </r>
  <r>
    <x v="333"/>
    <x v="5"/>
    <n v="13271"/>
    <x v="2"/>
    <x v="2"/>
    <x v="1"/>
    <x v="10"/>
    <x v="0"/>
  </r>
  <r>
    <x v="333"/>
    <x v="0"/>
    <n v="-2630"/>
    <x v="0"/>
    <x v="0"/>
    <x v="0"/>
    <x v="10"/>
    <x v="0"/>
  </r>
  <r>
    <x v="333"/>
    <x v="2"/>
    <n v="14319"/>
    <x v="2"/>
    <x v="2"/>
    <x v="1"/>
    <x v="10"/>
    <x v="0"/>
  </r>
  <r>
    <x v="333"/>
    <x v="21"/>
    <n v="-1770"/>
    <x v="1"/>
    <x v="1"/>
    <x v="0"/>
    <x v="10"/>
    <x v="0"/>
  </r>
  <r>
    <x v="333"/>
    <x v="18"/>
    <n v="-2489"/>
    <x v="3"/>
    <x v="5"/>
    <x v="0"/>
    <x v="10"/>
    <x v="0"/>
  </r>
  <r>
    <x v="333"/>
    <x v="15"/>
    <n v="-2171"/>
    <x v="3"/>
    <x v="6"/>
    <x v="0"/>
    <x v="10"/>
    <x v="0"/>
  </r>
  <r>
    <x v="333"/>
    <x v="21"/>
    <n v="-1551"/>
    <x v="1"/>
    <x v="1"/>
    <x v="0"/>
    <x v="10"/>
    <x v="0"/>
  </r>
  <r>
    <x v="333"/>
    <x v="2"/>
    <n v="10365"/>
    <x v="2"/>
    <x v="2"/>
    <x v="1"/>
    <x v="10"/>
    <x v="0"/>
  </r>
  <r>
    <x v="333"/>
    <x v="0"/>
    <n v="-3140"/>
    <x v="0"/>
    <x v="0"/>
    <x v="0"/>
    <x v="10"/>
    <x v="0"/>
  </r>
  <r>
    <x v="334"/>
    <x v="0"/>
    <n v="-4729"/>
    <x v="0"/>
    <x v="0"/>
    <x v="0"/>
    <x v="11"/>
    <x v="0"/>
  </r>
  <r>
    <x v="334"/>
    <x v="1"/>
    <n v="-1731"/>
    <x v="1"/>
    <x v="1"/>
    <x v="0"/>
    <x v="11"/>
    <x v="0"/>
  </r>
  <r>
    <x v="334"/>
    <x v="1"/>
    <n v="-1986"/>
    <x v="1"/>
    <x v="1"/>
    <x v="0"/>
    <x v="11"/>
    <x v="0"/>
  </r>
  <r>
    <x v="334"/>
    <x v="26"/>
    <n v="-1047"/>
    <x v="3"/>
    <x v="11"/>
    <x v="0"/>
    <x v="11"/>
    <x v="0"/>
  </r>
  <r>
    <x v="335"/>
    <x v="5"/>
    <n v="11072"/>
    <x v="2"/>
    <x v="2"/>
    <x v="1"/>
    <x v="11"/>
    <x v="0"/>
  </r>
  <r>
    <x v="335"/>
    <x v="32"/>
    <n v="-1131"/>
    <x v="3"/>
    <x v="9"/>
    <x v="0"/>
    <x v="11"/>
    <x v="0"/>
  </r>
  <r>
    <x v="335"/>
    <x v="5"/>
    <n v="10040"/>
    <x v="2"/>
    <x v="2"/>
    <x v="1"/>
    <x v="11"/>
    <x v="0"/>
  </r>
  <r>
    <x v="335"/>
    <x v="60"/>
    <n v="-1050"/>
    <x v="3"/>
    <x v="6"/>
    <x v="0"/>
    <x v="11"/>
    <x v="0"/>
  </r>
  <r>
    <x v="335"/>
    <x v="6"/>
    <n v="-1738"/>
    <x v="1"/>
    <x v="4"/>
    <x v="0"/>
    <x v="11"/>
    <x v="0"/>
  </r>
  <r>
    <x v="335"/>
    <x v="13"/>
    <n v="-2204"/>
    <x v="3"/>
    <x v="7"/>
    <x v="0"/>
    <x v="11"/>
    <x v="0"/>
  </r>
  <r>
    <x v="335"/>
    <x v="12"/>
    <n v="-2358"/>
    <x v="3"/>
    <x v="3"/>
    <x v="0"/>
    <x v="11"/>
    <x v="0"/>
  </r>
  <r>
    <x v="335"/>
    <x v="1"/>
    <n v="-1441"/>
    <x v="1"/>
    <x v="1"/>
    <x v="0"/>
    <x v="11"/>
    <x v="0"/>
  </r>
  <r>
    <x v="335"/>
    <x v="9"/>
    <n v="-2165"/>
    <x v="3"/>
    <x v="5"/>
    <x v="0"/>
    <x v="11"/>
    <x v="0"/>
  </r>
  <r>
    <x v="335"/>
    <x v="2"/>
    <n v="12434"/>
    <x v="2"/>
    <x v="2"/>
    <x v="1"/>
    <x v="11"/>
    <x v="0"/>
  </r>
  <r>
    <x v="335"/>
    <x v="63"/>
    <n v="-2087"/>
    <x v="3"/>
    <x v="5"/>
    <x v="0"/>
    <x v="11"/>
    <x v="0"/>
  </r>
  <r>
    <x v="335"/>
    <x v="6"/>
    <n v="-1107"/>
    <x v="1"/>
    <x v="4"/>
    <x v="0"/>
    <x v="11"/>
    <x v="0"/>
  </r>
  <r>
    <x v="335"/>
    <x v="44"/>
    <n v="-2357"/>
    <x v="5"/>
    <x v="14"/>
    <x v="0"/>
    <x v="11"/>
    <x v="0"/>
  </r>
  <r>
    <x v="336"/>
    <x v="4"/>
    <n v="-1102"/>
    <x v="1"/>
    <x v="1"/>
    <x v="0"/>
    <x v="11"/>
    <x v="0"/>
  </r>
  <r>
    <x v="336"/>
    <x v="4"/>
    <n v="-1056"/>
    <x v="1"/>
    <x v="1"/>
    <x v="0"/>
    <x v="11"/>
    <x v="0"/>
  </r>
  <r>
    <x v="336"/>
    <x v="0"/>
    <n v="-3525"/>
    <x v="0"/>
    <x v="0"/>
    <x v="0"/>
    <x v="11"/>
    <x v="0"/>
  </r>
  <r>
    <x v="336"/>
    <x v="6"/>
    <n v="-2219"/>
    <x v="1"/>
    <x v="4"/>
    <x v="0"/>
    <x v="11"/>
    <x v="0"/>
  </r>
  <r>
    <x v="336"/>
    <x v="21"/>
    <n v="-1090"/>
    <x v="1"/>
    <x v="1"/>
    <x v="0"/>
    <x v="11"/>
    <x v="0"/>
  </r>
  <r>
    <x v="336"/>
    <x v="24"/>
    <n v="-1383"/>
    <x v="3"/>
    <x v="6"/>
    <x v="0"/>
    <x v="11"/>
    <x v="0"/>
  </r>
  <r>
    <x v="336"/>
    <x v="4"/>
    <n v="-1442"/>
    <x v="1"/>
    <x v="1"/>
    <x v="0"/>
    <x v="11"/>
    <x v="0"/>
  </r>
  <r>
    <x v="336"/>
    <x v="21"/>
    <n v="-1069"/>
    <x v="1"/>
    <x v="1"/>
    <x v="0"/>
    <x v="11"/>
    <x v="0"/>
  </r>
  <r>
    <x v="336"/>
    <x v="1"/>
    <n v="-2484"/>
    <x v="1"/>
    <x v="1"/>
    <x v="0"/>
    <x v="11"/>
    <x v="0"/>
  </r>
  <r>
    <x v="336"/>
    <x v="27"/>
    <n v="-2261"/>
    <x v="3"/>
    <x v="5"/>
    <x v="0"/>
    <x v="11"/>
    <x v="0"/>
  </r>
  <r>
    <x v="337"/>
    <x v="0"/>
    <n v="-3366"/>
    <x v="0"/>
    <x v="0"/>
    <x v="0"/>
    <x v="11"/>
    <x v="0"/>
  </r>
  <r>
    <x v="337"/>
    <x v="4"/>
    <n v="-1944"/>
    <x v="1"/>
    <x v="1"/>
    <x v="0"/>
    <x v="11"/>
    <x v="0"/>
  </r>
  <r>
    <x v="337"/>
    <x v="3"/>
    <n v="-2254"/>
    <x v="3"/>
    <x v="3"/>
    <x v="0"/>
    <x v="11"/>
    <x v="0"/>
  </r>
  <r>
    <x v="337"/>
    <x v="5"/>
    <n v="12373"/>
    <x v="2"/>
    <x v="2"/>
    <x v="1"/>
    <x v="11"/>
    <x v="0"/>
  </r>
  <r>
    <x v="337"/>
    <x v="41"/>
    <n v="-1517"/>
    <x v="3"/>
    <x v="3"/>
    <x v="0"/>
    <x v="11"/>
    <x v="0"/>
  </r>
  <r>
    <x v="337"/>
    <x v="2"/>
    <n v="11587"/>
    <x v="2"/>
    <x v="2"/>
    <x v="1"/>
    <x v="11"/>
    <x v="0"/>
  </r>
  <r>
    <x v="337"/>
    <x v="6"/>
    <n v="-1974"/>
    <x v="1"/>
    <x v="4"/>
    <x v="0"/>
    <x v="11"/>
    <x v="0"/>
  </r>
  <r>
    <x v="338"/>
    <x v="2"/>
    <n v="12987"/>
    <x v="2"/>
    <x v="2"/>
    <x v="1"/>
    <x v="11"/>
    <x v="0"/>
  </r>
  <r>
    <x v="338"/>
    <x v="15"/>
    <n v="-1677"/>
    <x v="3"/>
    <x v="6"/>
    <x v="0"/>
    <x v="11"/>
    <x v="0"/>
  </r>
  <r>
    <x v="338"/>
    <x v="21"/>
    <n v="-2218"/>
    <x v="1"/>
    <x v="1"/>
    <x v="0"/>
    <x v="11"/>
    <x v="0"/>
  </r>
  <r>
    <x v="338"/>
    <x v="38"/>
    <n v="-1938"/>
    <x v="3"/>
    <x v="5"/>
    <x v="0"/>
    <x v="11"/>
    <x v="0"/>
  </r>
  <r>
    <x v="338"/>
    <x v="5"/>
    <n v="12709"/>
    <x v="2"/>
    <x v="2"/>
    <x v="1"/>
    <x v="11"/>
    <x v="0"/>
  </r>
  <r>
    <x v="338"/>
    <x v="6"/>
    <n v="-1888"/>
    <x v="1"/>
    <x v="4"/>
    <x v="0"/>
    <x v="11"/>
    <x v="0"/>
  </r>
  <r>
    <x v="338"/>
    <x v="5"/>
    <n v="14444"/>
    <x v="2"/>
    <x v="2"/>
    <x v="1"/>
    <x v="11"/>
    <x v="0"/>
  </r>
  <r>
    <x v="338"/>
    <x v="0"/>
    <n v="-3457"/>
    <x v="0"/>
    <x v="0"/>
    <x v="0"/>
    <x v="11"/>
    <x v="0"/>
  </r>
  <r>
    <x v="338"/>
    <x v="56"/>
    <n v="2186"/>
    <x v="4"/>
    <x v="15"/>
    <x v="0"/>
    <x v="11"/>
    <x v="0"/>
  </r>
  <r>
    <x v="338"/>
    <x v="6"/>
    <n v="-1330"/>
    <x v="1"/>
    <x v="4"/>
    <x v="0"/>
    <x v="11"/>
    <x v="0"/>
  </r>
  <r>
    <x v="339"/>
    <x v="1"/>
    <n v="-1008"/>
    <x v="1"/>
    <x v="1"/>
    <x v="0"/>
    <x v="11"/>
    <x v="0"/>
  </r>
  <r>
    <x v="339"/>
    <x v="2"/>
    <n v="11451"/>
    <x v="2"/>
    <x v="2"/>
    <x v="1"/>
    <x v="11"/>
    <x v="0"/>
  </r>
  <r>
    <x v="339"/>
    <x v="2"/>
    <n v="10859"/>
    <x v="2"/>
    <x v="2"/>
    <x v="1"/>
    <x v="11"/>
    <x v="0"/>
  </r>
  <r>
    <x v="339"/>
    <x v="10"/>
    <n v="-1268"/>
    <x v="3"/>
    <x v="6"/>
    <x v="0"/>
    <x v="11"/>
    <x v="0"/>
  </r>
  <r>
    <x v="339"/>
    <x v="1"/>
    <n v="-2329"/>
    <x v="1"/>
    <x v="1"/>
    <x v="0"/>
    <x v="11"/>
    <x v="0"/>
  </r>
  <r>
    <x v="339"/>
    <x v="0"/>
    <n v="-4482"/>
    <x v="0"/>
    <x v="0"/>
    <x v="0"/>
    <x v="11"/>
    <x v="0"/>
  </r>
  <r>
    <x v="340"/>
    <x v="5"/>
    <n v="13046"/>
    <x v="2"/>
    <x v="2"/>
    <x v="1"/>
    <x v="11"/>
    <x v="0"/>
  </r>
  <r>
    <x v="340"/>
    <x v="4"/>
    <n v="-1085"/>
    <x v="1"/>
    <x v="1"/>
    <x v="0"/>
    <x v="11"/>
    <x v="0"/>
  </r>
  <r>
    <x v="340"/>
    <x v="6"/>
    <n v="-2016"/>
    <x v="1"/>
    <x v="4"/>
    <x v="0"/>
    <x v="11"/>
    <x v="0"/>
  </r>
  <r>
    <x v="340"/>
    <x v="4"/>
    <n v="-1750"/>
    <x v="1"/>
    <x v="1"/>
    <x v="0"/>
    <x v="11"/>
    <x v="0"/>
  </r>
  <r>
    <x v="340"/>
    <x v="8"/>
    <n v="-2159"/>
    <x v="3"/>
    <x v="6"/>
    <x v="0"/>
    <x v="11"/>
    <x v="0"/>
  </r>
  <r>
    <x v="340"/>
    <x v="1"/>
    <n v="-1575"/>
    <x v="1"/>
    <x v="1"/>
    <x v="0"/>
    <x v="11"/>
    <x v="0"/>
  </r>
  <r>
    <x v="340"/>
    <x v="4"/>
    <n v="-1645"/>
    <x v="1"/>
    <x v="1"/>
    <x v="0"/>
    <x v="11"/>
    <x v="0"/>
  </r>
  <r>
    <x v="340"/>
    <x v="5"/>
    <n v="11081"/>
    <x v="2"/>
    <x v="2"/>
    <x v="1"/>
    <x v="11"/>
    <x v="0"/>
  </r>
  <r>
    <x v="340"/>
    <x v="1"/>
    <n v="-1509"/>
    <x v="1"/>
    <x v="1"/>
    <x v="0"/>
    <x v="11"/>
    <x v="0"/>
  </r>
  <r>
    <x v="340"/>
    <x v="5"/>
    <n v="13023"/>
    <x v="2"/>
    <x v="2"/>
    <x v="1"/>
    <x v="11"/>
    <x v="0"/>
  </r>
  <r>
    <x v="341"/>
    <x v="5"/>
    <n v="10707"/>
    <x v="2"/>
    <x v="2"/>
    <x v="1"/>
    <x v="11"/>
    <x v="0"/>
  </r>
  <r>
    <x v="341"/>
    <x v="21"/>
    <n v="-2081"/>
    <x v="1"/>
    <x v="1"/>
    <x v="0"/>
    <x v="11"/>
    <x v="0"/>
  </r>
  <r>
    <x v="341"/>
    <x v="39"/>
    <n v="-2174"/>
    <x v="3"/>
    <x v="5"/>
    <x v="0"/>
    <x v="11"/>
    <x v="0"/>
  </r>
  <r>
    <x v="341"/>
    <x v="57"/>
    <n v="-2437"/>
    <x v="3"/>
    <x v="5"/>
    <x v="0"/>
    <x v="11"/>
    <x v="0"/>
  </r>
  <r>
    <x v="341"/>
    <x v="1"/>
    <n v="-1804"/>
    <x v="1"/>
    <x v="1"/>
    <x v="0"/>
    <x v="11"/>
    <x v="0"/>
  </r>
  <r>
    <x v="342"/>
    <x v="33"/>
    <n v="-1636"/>
    <x v="3"/>
    <x v="3"/>
    <x v="0"/>
    <x v="11"/>
    <x v="0"/>
  </r>
  <r>
    <x v="342"/>
    <x v="1"/>
    <n v="-2408"/>
    <x v="1"/>
    <x v="1"/>
    <x v="0"/>
    <x v="11"/>
    <x v="0"/>
  </r>
  <r>
    <x v="342"/>
    <x v="52"/>
    <n v="-1545"/>
    <x v="3"/>
    <x v="3"/>
    <x v="0"/>
    <x v="11"/>
    <x v="0"/>
  </r>
  <r>
    <x v="342"/>
    <x v="1"/>
    <n v="-1178"/>
    <x v="1"/>
    <x v="1"/>
    <x v="0"/>
    <x v="11"/>
    <x v="0"/>
  </r>
  <r>
    <x v="342"/>
    <x v="35"/>
    <n v="-1795"/>
    <x v="3"/>
    <x v="10"/>
    <x v="0"/>
    <x v="11"/>
    <x v="0"/>
  </r>
  <r>
    <x v="342"/>
    <x v="11"/>
    <n v="-1117"/>
    <x v="3"/>
    <x v="5"/>
    <x v="0"/>
    <x v="11"/>
    <x v="0"/>
  </r>
  <r>
    <x v="342"/>
    <x v="41"/>
    <n v="-1201"/>
    <x v="3"/>
    <x v="3"/>
    <x v="0"/>
    <x v="11"/>
    <x v="0"/>
  </r>
  <r>
    <x v="343"/>
    <x v="0"/>
    <n v="-3181"/>
    <x v="0"/>
    <x v="0"/>
    <x v="0"/>
    <x v="11"/>
    <x v="0"/>
  </r>
  <r>
    <x v="343"/>
    <x v="4"/>
    <n v="-1968"/>
    <x v="1"/>
    <x v="1"/>
    <x v="0"/>
    <x v="11"/>
    <x v="0"/>
  </r>
  <r>
    <x v="343"/>
    <x v="0"/>
    <n v="-4836"/>
    <x v="0"/>
    <x v="0"/>
    <x v="0"/>
    <x v="11"/>
    <x v="0"/>
  </r>
  <r>
    <x v="343"/>
    <x v="2"/>
    <n v="14858"/>
    <x v="2"/>
    <x v="2"/>
    <x v="1"/>
    <x v="11"/>
    <x v="0"/>
  </r>
  <r>
    <x v="343"/>
    <x v="48"/>
    <n v="-1692"/>
    <x v="3"/>
    <x v="7"/>
    <x v="0"/>
    <x v="11"/>
    <x v="0"/>
  </r>
  <r>
    <x v="343"/>
    <x v="5"/>
    <n v="10672"/>
    <x v="2"/>
    <x v="2"/>
    <x v="1"/>
    <x v="11"/>
    <x v="0"/>
  </r>
  <r>
    <x v="343"/>
    <x v="4"/>
    <n v="-1370"/>
    <x v="1"/>
    <x v="1"/>
    <x v="0"/>
    <x v="11"/>
    <x v="0"/>
  </r>
  <r>
    <x v="343"/>
    <x v="0"/>
    <n v="-4979"/>
    <x v="0"/>
    <x v="0"/>
    <x v="0"/>
    <x v="11"/>
    <x v="0"/>
  </r>
  <r>
    <x v="344"/>
    <x v="4"/>
    <n v="-1822"/>
    <x v="1"/>
    <x v="1"/>
    <x v="0"/>
    <x v="11"/>
    <x v="0"/>
  </r>
  <r>
    <x v="344"/>
    <x v="0"/>
    <n v="-2934"/>
    <x v="0"/>
    <x v="0"/>
    <x v="0"/>
    <x v="11"/>
    <x v="0"/>
  </r>
  <r>
    <x v="344"/>
    <x v="18"/>
    <n v="-1326"/>
    <x v="3"/>
    <x v="5"/>
    <x v="0"/>
    <x v="11"/>
    <x v="0"/>
  </r>
  <r>
    <x v="344"/>
    <x v="4"/>
    <n v="-2182"/>
    <x v="1"/>
    <x v="1"/>
    <x v="0"/>
    <x v="11"/>
    <x v="0"/>
  </r>
  <r>
    <x v="344"/>
    <x v="29"/>
    <n v="-1853"/>
    <x v="3"/>
    <x v="7"/>
    <x v="0"/>
    <x v="11"/>
    <x v="0"/>
  </r>
  <r>
    <x v="344"/>
    <x v="2"/>
    <n v="13495"/>
    <x v="2"/>
    <x v="2"/>
    <x v="1"/>
    <x v="11"/>
    <x v="0"/>
  </r>
  <r>
    <x v="344"/>
    <x v="4"/>
    <n v="-2370"/>
    <x v="1"/>
    <x v="1"/>
    <x v="0"/>
    <x v="11"/>
    <x v="0"/>
  </r>
  <r>
    <x v="344"/>
    <x v="1"/>
    <n v="-1335"/>
    <x v="1"/>
    <x v="1"/>
    <x v="0"/>
    <x v="11"/>
    <x v="0"/>
  </r>
  <r>
    <x v="344"/>
    <x v="21"/>
    <n v="-2238"/>
    <x v="1"/>
    <x v="1"/>
    <x v="0"/>
    <x v="11"/>
    <x v="0"/>
  </r>
  <r>
    <x v="345"/>
    <x v="6"/>
    <n v="-1799"/>
    <x v="1"/>
    <x v="4"/>
    <x v="0"/>
    <x v="11"/>
    <x v="0"/>
  </r>
  <r>
    <x v="345"/>
    <x v="21"/>
    <n v="-2461"/>
    <x v="1"/>
    <x v="1"/>
    <x v="0"/>
    <x v="11"/>
    <x v="0"/>
  </r>
  <r>
    <x v="345"/>
    <x v="21"/>
    <n v="-1405"/>
    <x v="1"/>
    <x v="1"/>
    <x v="0"/>
    <x v="11"/>
    <x v="0"/>
  </r>
  <r>
    <x v="345"/>
    <x v="4"/>
    <n v="-1602"/>
    <x v="1"/>
    <x v="1"/>
    <x v="0"/>
    <x v="11"/>
    <x v="0"/>
  </r>
  <r>
    <x v="345"/>
    <x v="5"/>
    <n v="12251"/>
    <x v="2"/>
    <x v="2"/>
    <x v="1"/>
    <x v="11"/>
    <x v="0"/>
  </r>
  <r>
    <x v="345"/>
    <x v="63"/>
    <n v="-2148"/>
    <x v="3"/>
    <x v="5"/>
    <x v="0"/>
    <x v="11"/>
    <x v="0"/>
  </r>
  <r>
    <x v="345"/>
    <x v="54"/>
    <n v="-1156"/>
    <x v="3"/>
    <x v="8"/>
    <x v="0"/>
    <x v="11"/>
    <x v="0"/>
  </r>
  <r>
    <x v="345"/>
    <x v="32"/>
    <n v="-1088"/>
    <x v="3"/>
    <x v="9"/>
    <x v="0"/>
    <x v="11"/>
    <x v="0"/>
  </r>
  <r>
    <x v="345"/>
    <x v="25"/>
    <n v="-1964"/>
    <x v="3"/>
    <x v="9"/>
    <x v="0"/>
    <x v="11"/>
    <x v="0"/>
  </r>
  <r>
    <x v="346"/>
    <x v="2"/>
    <n v="12964"/>
    <x v="2"/>
    <x v="2"/>
    <x v="1"/>
    <x v="11"/>
    <x v="0"/>
  </r>
  <r>
    <x v="346"/>
    <x v="12"/>
    <n v="-1464"/>
    <x v="3"/>
    <x v="3"/>
    <x v="0"/>
    <x v="11"/>
    <x v="0"/>
  </r>
  <r>
    <x v="346"/>
    <x v="1"/>
    <n v="-2424"/>
    <x v="1"/>
    <x v="1"/>
    <x v="0"/>
    <x v="11"/>
    <x v="0"/>
  </r>
  <r>
    <x v="346"/>
    <x v="50"/>
    <n v="-1662"/>
    <x v="3"/>
    <x v="3"/>
    <x v="0"/>
    <x v="11"/>
    <x v="0"/>
  </r>
  <r>
    <x v="347"/>
    <x v="17"/>
    <n v="-2097"/>
    <x v="3"/>
    <x v="5"/>
    <x v="0"/>
    <x v="11"/>
    <x v="0"/>
  </r>
  <r>
    <x v="347"/>
    <x v="6"/>
    <n v="-2414"/>
    <x v="1"/>
    <x v="4"/>
    <x v="0"/>
    <x v="11"/>
    <x v="0"/>
  </r>
  <r>
    <x v="347"/>
    <x v="5"/>
    <n v="12755"/>
    <x v="2"/>
    <x v="2"/>
    <x v="1"/>
    <x v="11"/>
    <x v="0"/>
  </r>
  <r>
    <x v="347"/>
    <x v="21"/>
    <n v="-1149"/>
    <x v="1"/>
    <x v="1"/>
    <x v="0"/>
    <x v="11"/>
    <x v="0"/>
  </r>
  <r>
    <x v="347"/>
    <x v="21"/>
    <n v="-1165"/>
    <x v="1"/>
    <x v="1"/>
    <x v="0"/>
    <x v="11"/>
    <x v="0"/>
  </r>
  <r>
    <x v="347"/>
    <x v="54"/>
    <n v="-2010"/>
    <x v="3"/>
    <x v="8"/>
    <x v="0"/>
    <x v="11"/>
    <x v="0"/>
  </r>
  <r>
    <x v="348"/>
    <x v="2"/>
    <n v="10780"/>
    <x v="2"/>
    <x v="2"/>
    <x v="1"/>
    <x v="11"/>
    <x v="0"/>
  </r>
  <r>
    <x v="348"/>
    <x v="0"/>
    <n v="-3013"/>
    <x v="0"/>
    <x v="0"/>
    <x v="0"/>
    <x v="11"/>
    <x v="0"/>
  </r>
  <r>
    <x v="348"/>
    <x v="1"/>
    <n v="-1534"/>
    <x v="1"/>
    <x v="1"/>
    <x v="0"/>
    <x v="11"/>
    <x v="0"/>
  </r>
  <r>
    <x v="348"/>
    <x v="5"/>
    <n v="11077"/>
    <x v="2"/>
    <x v="2"/>
    <x v="1"/>
    <x v="11"/>
    <x v="0"/>
  </r>
  <r>
    <x v="348"/>
    <x v="48"/>
    <n v="-1405"/>
    <x v="3"/>
    <x v="7"/>
    <x v="0"/>
    <x v="11"/>
    <x v="0"/>
  </r>
  <r>
    <x v="348"/>
    <x v="1"/>
    <n v="-2478"/>
    <x v="1"/>
    <x v="1"/>
    <x v="0"/>
    <x v="11"/>
    <x v="0"/>
  </r>
  <r>
    <x v="348"/>
    <x v="1"/>
    <n v="-1920"/>
    <x v="1"/>
    <x v="1"/>
    <x v="0"/>
    <x v="11"/>
    <x v="0"/>
  </r>
  <r>
    <x v="348"/>
    <x v="61"/>
    <n v="-1298"/>
    <x v="3"/>
    <x v="10"/>
    <x v="0"/>
    <x v="11"/>
    <x v="0"/>
  </r>
  <r>
    <x v="349"/>
    <x v="54"/>
    <n v="-2412"/>
    <x v="3"/>
    <x v="8"/>
    <x v="0"/>
    <x v="11"/>
    <x v="0"/>
  </r>
  <r>
    <x v="349"/>
    <x v="1"/>
    <n v="-1106"/>
    <x v="1"/>
    <x v="1"/>
    <x v="0"/>
    <x v="11"/>
    <x v="0"/>
  </r>
  <r>
    <x v="349"/>
    <x v="36"/>
    <n v="-2057"/>
    <x v="3"/>
    <x v="7"/>
    <x v="0"/>
    <x v="11"/>
    <x v="0"/>
  </r>
  <r>
    <x v="349"/>
    <x v="22"/>
    <n v="-1763"/>
    <x v="3"/>
    <x v="11"/>
    <x v="0"/>
    <x v="11"/>
    <x v="0"/>
  </r>
  <r>
    <x v="349"/>
    <x v="31"/>
    <n v="-1122"/>
    <x v="3"/>
    <x v="11"/>
    <x v="0"/>
    <x v="11"/>
    <x v="0"/>
  </r>
  <r>
    <x v="349"/>
    <x v="1"/>
    <n v="-2468"/>
    <x v="1"/>
    <x v="1"/>
    <x v="0"/>
    <x v="11"/>
    <x v="0"/>
  </r>
  <r>
    <x v="350"/>
    <x v="5"/>
    <n v="10862"/>
    <x v="2"/>
    <x v="2"/>
    <x v="1"/>
    <x v="11"/>
    <x v="0"/>
  </r>
  <r>
    <x v="350"/>
    <x v="4"/>
    <n v="-1229"/>
    <x v="1"/>
    <x v="1"/>
    <x v="0"/>
    <x v="11"/>
    <x v="0"/>
  </r>
  <r>
    <x v="350"/>
    <x v="1"/>
    <n v="-1219"/>
    <x v="1"/>
    <x v="1"/>
    <x v="0"/>
    <x v="11"/>
    <x v="0"/>
  </r>
  <r>
    <x v="350"/>
    <x v="2"/>
    <n v="10419"/>
    <x v="2"/>
    <x v="2"/>
    <x v="1"/>
    <x v="11"/>
    <x v="0"/>
  </r>
  <r>
    <x v="350"/>
    <x v="55"/>
    <n v="-1833"/>
    <x v="3"/>
    <x v="5"/>
    <x v="0"/>
    <x v="11"/>
    <x v="0"/>
  </r>
  <r>
    <x v="350"/>
    <x v="59"/>
    <n v="-1044"/>
    <x v="3"/>
    <x v="5"/>
    <x v="0"/>
    <x v="11"/>
    <x v="0"/>
  </r>
  <r>
    <x v="351"/>
    <x v="35"/>
    <n v="-1194"/>
    <x v="3"/>
    <x v="10"/>
    <x v="0"/>
    <x v="11"/>
    <x v="0"/>
  </r>
  <r>
    <x v="351"/>
    <x v="0"/>
    <n v="-3568"/>
    <x v="0"/>
    <x v="0"/>
    <x v="0"/>
    <x v="11"/>
    <x v="0"/>
  </r>
  <r>
    <x v="351"/>
    <x v="19"/>
    <n v="-1834"/>
    <x v="3"/>
    <x v="8"/>
    <x v="0"/>
    <x v="11"/>
    <x v="0"/>
  </r>
  <r>
    <x v="351"/>
    <x v="27"/>
    <n v="-1276"/>
    <x v="3"/>
    <x v="5"/>
    <x v="0"/>
    <x v="11"/>
    <x v="0"/>
  </r>
  <r>
    <x v="351"/>
    <x v="6"/>
    <n v="-1836"/>
    <x v="1"/>
    <x v="4"/>
    <x v="0"/>
    <x v="11"/>
    <x v="0"/>
  </r>
  <r>
    <x v="351"/>
    <x v="1"/>
    <n v="-1594"/>
    <x v="1"/>
    <x v="1"/>
    <x v="0"/>
    <x v="11"/>
    <x v="0"/>
  </r>
  <r>
    <x v="352"/>
    <x v="5"/>
    <n v="13979"/>
    <x v="2"/>
    <x v="2"/>
    <x v="1"/>
    <x v="11"/>
    <x v="0"/>
  </r>
  <r>
    <x v="352"/>
    <x v="1"/>
    <n v="-2209"/>
    <x v="1"/>
    <x v="1"/>
    <x v="0"/>
    <x v="11"/>
    <x v="0"/>
  </r>
  <r>
    <x v="352"/>
    <x v="6"/>
    <n v="-1266"/>
    <x v="1"/>
    <x v="4"/>
    <x v="0"/>
    <x v="11"/>
    <x v="0"/>
  </r>
  <r>
    <x v="353"/>
    <x v="0"/>
    <n v="-3086"/>
    <x v="0"/>
    <x v="0"/>
    <x v="0"/>
    <x v="11"/>
    <x v="0"/>
  </r>
  <r>
    <x v="353"/>
    <x v="2"/>
    <n v="12839"/>
    <x v="2"/>
    <x v="2"/>
    <x v="1"/>
    <x v="11"/>
    <x v="0"/>
  </r>
  <r>
    <x v="353"/>
    <x v="21"/>
    <n v="-1176"/>
    <x v="1"/>
    <x v="1"/>
    <x v="0"/>
    <x v="11"/>
    <x v="0"/>
  </r>
  <r>
    <x v="353"/>
    <x v="33"/>
    <n v="-1729"/>
    <x v="3"/>
    <x v="3"/>
    <x v="0"/>
    <x v="11"/>
    <x v="0"/>
  </r>
  <r>
    <x v="353"/>
    <x v="3"/>
    <n v="-2347"/>
    <x v="3"/>
    <x v="3"/>
    <x v="0"/>
    <x v="11"/>
    <x v="0"/>
  </r>
  <r>
    <x v="353"/>
    <x v="5"/>
    <n v="10262"/>
    <x v="2"/>
    <x v="2"/>
    <x v="1"/>
    <x v="11"/>
    <x v="0"/>
  </r>
  <r>
    <x v="353"/>
    <x v="21"/>
    <n v="-1369"/>
    <x v="1"/>
    <x v="1"/>
    <x v="0"/>
    <x v="11"/>
    <x v="0"/>
  </r>
  <r>
    <x v="354"/>
    <x v="5"/>
    <n v="14435"/>
    <x v="2"/>
    <x v="2"/>
    <x v="1"/>
    <x v="11"/>
    <x v="0"/>
  </r>
  <r>
    <x v="354"/>
    <x v="21"/>
    <n v="-1368"/>
    <x v="1"/>
    <x v="1"/>
    <x v="0"/>
    <x v="11"/>
    <x v="0"/>
  </r>
  <r>
    <x v="354"/>
    <x v="60"/>
    <n v="-1320"/>
    <x v="3"/>
    <x v="6"/>
    <x v="0"/>
    <x v="11"/>
    <x v="0"/>
  </r>
  <r>
    <x v="354"/>
    <x v="2"/>
    <n v="11535"/>
    <x v="2"/>
    <x v="2"/>
    <x v="1"/>
    <x v="11"/>
    <x v="0"/>
  </r>
  <r>
    <x v="354"/>
    <x v="55"/>
    <n v="-1604"/>
    <x v="3"/>
    <x v="5"/>
    <x v="0"/>
    <x v="11"/>
    <x v="0"/>
  </r>
  <r>
    <x v="355"/>
    <x v="0"/>
    <n v="-3425"/>
    <x v="0"/>
    <x v="0"/>
    <x v="0"/>
    <x v="11"/>
    <x v="0"/>
  </r>
  <r>
    <x v="355"/>
    <x v="6"/>
    <n v="-2078"/>
    <x v="1"/>
    <x v="4"/>
    <x v="0"/>
    <x v="11"/>
    <x v="0"/>
  </r>
  <r>
    <x v="355"/>
    <x v="6"/>
    <n v="-1528"/>
    <x v="1"/>
    <x v="4"/>
    <x v="0"/>
    <x v="11"/>
    <x v="0"/>
  </r>
  <r>
    <x v="355"/>
    <x v="9"/>
    <n v="-2239"/>
    <x v="3"/>
    <x v="5"/>
    <x v="0"/>
    <x v="11"/>
    <x v="0"/>
  </r>
  <r>
    <x v="355"/>
    <x v="21"/>
    <n v="-1012"/>
    <x v="1"/>
    <x v="1"/>
    <x v="0"/>
    <x v="11"/>
    <x v="0"/>
  </r>
  <r>
    <x v="355"/>
    <x v="0"/>
    <n v="-3043"/>
    <x v="0"/>
    <x v="0"/>
    <x v="0"/>
    <x v="11"/>
    <x v="0"/>
  </r>
  <r>
    <x v="355"/>
    <x v="15"/>
    <n v="-1451"/>
    <x v="3"/>
    <x v="6"/>
    <x v="0"/>
    <x v="11"/>
    <x v="0"/>
  </r>
  <r>
    <x v="355"/>
    <x v="50"/>
    <n v="-1322"/>
    <x v="3"/>
    <x v="3"/>
    <x v="0"/>
    <x v="11"/>
    <x v="0"/>
  </r>
  <r>
    <x v="355"/>
    <x v="9"/>
    <n v="-1597"/>
    <x v="3"/>
    <x v="5"/>
    <x v="0"/>
    <x v="11"/>
    <x v="0"/>
  </r>
  <r>
    <x v="355"/>
    <x v="5"/>
    <n v="12987"/>
    <x v="2"/>
    <x v="2"/>
    <x v="1"/>
    <x v="11"/>
    <x v="0"/>
  </r>
  <r>
    <x v="355"/>
    <x v="21"/>
    <n v="-2279"/>
    <x v="1"/>
    <x v="1"/>
    <x v="0"/>
    <x v="11"/>
    <x v="0"/>
  </r>
  <r>
    <x v="356"/>
    <x v="61"/>
    <n v="-1133"/>
    <x v="3"/>
    <x v="10"/>
    <x v="0"/>
    <x v="11"/>
    <x v="0"/>
  </r>
  <r>
    <x v="356"/>
    <x v="4"/>
    <n v="-1400"/>
    <x v="1"/>
    <x v="1"/>
    <x v="0"/>
    <x v="11"/>
    <x v="0"/>
  </r>
  <r>
    <x v="356"/>
    <x v="1"/>
    <n v="-1385"/>
    <x v="1"/>
    <x v="1"/>
    <x v="0"/>
    <x v="11"/>
    <x v="0"/>
  </r>
  <r>
    <x v="356"/>
    <x v="40"/>
    <n v="-1226"/>
    <x v="3"/>
    <x v="9"/>
    <x v="0"/>
    <x v="11"/>
    <x v="0"/>
  </r>
  <r>
    <x v="356"/>
    <x v="0"/>
    <n v="-3127"/>
    <x v="0"/>
    <x v="0"/>
    <x v="0"/>
    <x v="11"/>
    <x v="0"/>
  </r>
  <r>
    <x v="356"/>
    <x v="4"/>
    <n v="-2442"/>
    <x v="1"/>
    <x v="1"/>
    <x v="0"/>
    <x v="11"/>
    <x v="0"/>
  </r>
  <r>
    <x v="356"/>
    <x v="56"/>
    <n v="13140"/>
    <x v="4"/>
    <x v="15"/>
    <x v="0"/>
    <x v="11"/>
    <x v="0"/>
  </r>
  <r>
    <x v="357"/>
    <x v="6"/>
    <n v="-2273"/>
    <x v="1"/>
    <x v="4"/>
    <x v="0"/>
    <x v="11"/>
    <x v="0"/>
  </r>
  <r>
    <x v="357"/>
    <x v="2"/>
    <n v="13372"/>
    <x v="2"/>
    <x v="2"/>
    <x v="1"/>
    <x v="11"/>
    <x v="0"/>
  </r>
  <r>
    <x v="357"/>
    <x v="52"/>
    <n v="-1211"/>
    <x v="3"/>
    <x v="3"/>
    <x v="0"/>
    <x v="11"/>
    <x v="0"/>
  </r>
  <r>
    <x v="357"/>
    <x v="1"/>
    <n v="-2089"/>
    <x v="1"/>
    <x v="1"/>
    <x v="0"/>
    <x v="11"/>
    <x v="0"/>
  </r>
  <r>
    <x v="357"/>
    <x v="21"/>
    <n v="-1214"/>
    <x v="1"/>
    <x v="1"/>
    <x v="0"/>
    <x v="11"/>
    <x v="0"/>
  </r>
  <r>
    <x v="357"/>
    <x v="55"/>
    <n v="-2016"/>
    <x v="3"/>
    <x v="5"/>
    <x v="0"/>
    <x v="11"/>
    <x v="0"/>
  </r>
  <r>
    <x v="357"/>
    <x v="25"/>
    <n v="-1418"/>
    <x v="3"/>
    <x v="9"/>
    <x v="0"/>
    <x v="11"/>
    <x v="0"/>
  </r>
  <r>
    <x v="357"/>
    <x v="54"/>
    <n v="-1119"/>
    <x v="3"/>
    <x v="8"/>
    <x v="0"/>
    <x v="11"/>
    <x v="0"/>
  </r>
  <r>
    <x v="357"/>
    <x v="0"/>
    <n v="-3334"/>
    <x v="0"/>
    <x v="0"/>
    <x v="0"/>
    <x v="11"/>
    <x v="0"/>
  </r>
  <r>
    <x v="357"/>
    <x v="2"/>
    <n v="12564"/>
    <x v="2"/>
    <x v="2"/>
    <x v="1"/>
    <x v="11"/>
    <x v="0"/>
  </r>
  <r>
    <x v="358"/>
    <x v="0"/>
    <n v="-3980"/>
    <x v="0"/>
    <x v="0"/>
    <x v="0"/>
    <x v="11"/>
    <x v="0"/>
  </r>
  <r>
    <x v="358"/>
    <x v="50"/>
    <n v="-2448"/>
    <x v="3"/>
    <x v="3"/>
    <x v="0"/>
    <x v="11"/>
    <x v="0"/>
  </r>
  <r>
    <x v="358"/>
    <x v="1"/>
    <n v="-1139"/>
    <x v="1"/>
    <x v="1"/>
    <x v="0"/>
    <x v="11"/>
    <x v="0"/>
  </r>
  <r>
    <x v="358"/>
    <x v="36"/>
    <n v="-1010"/>
    <x v="3"/>
    <x v="7"/>
    <x v="0"/>
    <x v="11"/>
    <x v="0"/>
  </r>
  <r>
    <x v="358"/>
    <x v="6"/>
    <n v="-1238"/>
    <x v="1"/>
    <x v="4"/>
    <x v="0"/>
    <x v="11"/>
    <x v="0"/>
  </r>
  <r>
    <x v="358"/>
    <x v="39"/>
    <n v="-1289"/>
    <x v="3"/>
    <x v="5"/>
    <x v="0"/>
    <x v="11"/>
    <x v="0"/>
  </r>
  <r>
    <x v="359"/>
    <x v="21"/>
    <n v="-2266"/>
    <x v="1"/>
    <x v="1"/>
    <x v="0"/>
    <x v="11"/>
    <x v="0"/>
  </r>
  <r>
    <x v="359"/>
    <x v="4"/>
    <n v="-2319"/>
    <x v="1"/>
    <x v="1"/>
    <x v="0"/>
    <x v="11"/>
    <x v="0"/>
  </r>
  <r>
    <x v="359"/>
    <x v="5"/>
    <n v="12439"/>
    <x v="2"/>
    <x v="2"/>
    <x v="1"/>
    <x v="11"/>
    <x v="0"/>
  </r>
  <r>
    <x v="359"/>
    <x v="0"/>
    <n v="-4580"/>
    <x v="0"/>
    <x v="0"/>
    <x v="0"/>
    <x v="11"/>
    <x v="0"/>
  </r>
  <r>
    <x v="359"/>
    <x v="0"/>
    <n v="-3718"/>
    <x v="0"/>
    <x v="0"/>
    <x v="0"/>
    <x v="11"/>
    <x v="0"/>
  </r>
  <r>
    <x v="359"/>
    <x v="6"/>
    <n v="-2412"/>
    <x v="1"/>
    <x v="4"/>
    <x v="0"/>
    <x v="11"/>
    <x v="0"/>
  </r>
  <r>
    <x v="359"/>
    <x v="45"/>
    <n v="-2333"/>
    <x v="3"/>
    <x v="5"/>
    <x v="0"/>
    <x v="11"/>
    <x v="0"/>
  </r>
  <r>
    <x v="359"/>
    <x v="27"/>
    <n v="-2397"/>
    <x v="3"/>
    <x v="5"/>
    <x v="0"/>
    <x v="11"/>
    <x v="0"/>
  </r>
  <r>
    <x v="359"/>
    <x v="4"/>
    <n v="-1661"/>
    <x v="1"/>
    <x v="1"/>
    <x v="0"/>
    <x v="11"/>
    <x v="0"/>
  </r>
  <r>
    <x v="359"/>
    <x v="1"/>
    <n v="-1038"/>
    <x v="1"/>
    <x v="1"/>
    <x v="0"/>
    <x v="11"/>
    <x v="0"/>
  </r>
  <r>
    <x v="359"/>
    <x v="6"/>
    <n v="-1783"/>
    <x v="1"/>
    <x v="4"/>
    <x v="0"/>
    <x v="11"/>
    <x v="0"/>
  </r>
  <r>
    <x v="359"/>
    <x v="4"/>
    <n v="-1921"/>
    <x v="1"/>
    <x v="1"/>
    <x v="0"/>
    <x v="11"/>
    <x v="0"/>
  </r>
  <r>
    <x v="359"/>
    <x v="6"/>
    <n v="-2255"/>
    <x v="1"/>
    <x v="4"/>
    <x v="0"/>
    <x v="11"/>
    <x v="0"/>
  </r>
  <r>
    <x v="359"/>
    <x v="6"/>
    <n v="-1171"/>
    <x v="1"/>
    <x v="4"/>
    <x v="0"/>
    <x v="11"/>
    <x v="0"/>
  </r>
  <r>
    <x v="360"/>
    <x v="4"/>
    <n v="-2030"/>
    <x v="1"/>
    <x v="1"/>
    <x v="0"/>
    <x v="11"/>
    <x v="0"/>
  </r>
  <r>
    <x v="360"/>
    <x v="0"/>
    <n v="-3111"/>
    <x v="0"/>
    <x v="0"/>
    <x v="0"/>
    <x v="11"/>
    <x v="0"/>
  </r>
  <r>
    <x v="360"/>
    <x v="34"/>
    <n v="-1115"/>
    <x v="3"/>
    <x v="3"/>
    <x v="0"/>
    <x v="11"/>
    <x v="0"/>
  </r>
  <r>
    <x v="360"/>
    <x v="21"/>
    <n v="-1550"/>
    <x v="1"/>
    <x v="1"/>
    <x v="0"/>
    <x v="11"/>
    <x v="0"/>
  </r>
  <r>
    <x v="360"/>
    <x v="62"/>
    <n v="-1151"/>
    <x v="3"/>
    <x v="11"/>
    <x v="0"/>
    <x v="11"/>
    <x v="0"/>
  </r>
  <r>
    <x v="360"/>
    <x v="1"/>
    <n v="-1086"/>
    <x v="1"/>
    <x v="1"/>
    <x v="0"/>
    <x v="11"/>
    <x v="0"/>
  </r>
  <r>
    <x v="360"/>
    <x v="6"/>
    <n v="-1481"/>
    <x v="1"/>
    <x v="4"/>
    <x v="0"/>
    <x v="11"/>
    <x v="0"/>
  </r>
  <r>
    <x v="360"/>
    <x v="4"/>
    <n v="-2097"/>
    <x v="1"/>
    <x v="1"/>
    <x v="0"/>
    <x v="11"/>
    <x v="0"/>
  </r>
  <r>
    <x v="360"/>
    <x v="2"/>
    <n v="14918"/>
    <x v="2"/>
    <x v="2"/>
    <x v="1"/>
    <x v="11"/>
    <x v="0"/>
  </r>
  <r>
    <x v="360"/>
    <x v="6"/>
    <n v="-1814"/>
    <x v="1"/>
    <x v="4"/>
    <x v="0"/>
    <x v="11"/>
    <x v="0"/>
  </r>
  <r>
    <x v="360"/>
    <x v="5"/>
    <n v="14078"/>
    <x v="2"/>
    <x v="2"/>
    <x v="1"/>
    <x v="11"/>
    <x v="0"/>
  </r>
  <r>
    <x v="361"/>
    <x v="27"/>
    <n v="-1129"/>
    <x v="3"/>
    <x v="5"/>
    <x v="0"/>
    <x v="11"/>
    <x v="0"/>
  </r>
  <r>
    <x v="361"/>
    <x v="26"/>
    <n v="-1183"/>
    <x v="3"/>
    <x v="11"/>
    <x v="0"/>
    <x v="11"/>
    <x v="0"/>
  </r>
  <r>
    <x v="361"/>
    <x v="5"/>
    <n v="10105"/>
    <x v="2"/>
    <x v="2"/>
    <x v="1"/>
    <x v="11"/>
    <x v="0"/>
  </r>
  <r>
    <x v="361"/>
    <x v="0"/>
    <n v="-4134"/>
    <x v="0"/>
    <x v="0"/>
    <x v="0"/>
    <x v="11"/>
    <x v="0"/>
  </r>
  <r>
    <x v="361"/>
    <x v="6"/>
    <n v="-2217"/>
    <x v="1"/>
    <x v="4"/>
    <x v="0"/>
    <x v="11"/>
    <x v="0"/>
  </r>
  <r>
    <x v="361"/>
    <x v="5"/>
    <n v="10124"/>
    <x v="2"/>
    <x v="2"/>
    <x v="1"/>
    <x v="11"/>
    <x v="0"/>
  </r>
  <r>
    <x v="361"/>
    <x v="4"/>
    <n v="-2367"/>
    <x v="1"/>
    <x v="1"/>
    <x v="0"/>
    <x v="11"/>
    <x v="0"/>
  </r>
  <r>
    <x v="361"/>
    <x v="21"/>
    <n v="-1671"/>
    <x v="1"/>
    <x v="1"/>
    <x v="0"/>
    <x v="11"/>
    <x v="0"/>
  </r>
  <r>
    <x v="361"/>
    <x v="32"/>
    <n v="-1580"/>
    <x v="3"/>
    <x v="9"/>
    <x v="0"/>
    <x v="11"/>
    <x v="0"/>
  </r>
  <r>
    <x v="361"/>
    <x v="6"/>
    <n v="-1065"/>
    <x v="1"/>
    <x v="4"/>
    <x v="0"/>
    <x v="11"/>
    <x v="0"/>
  </r>
  <r>
    <x v="361"/>
    <x v="5"/>
    <n v="13301"/>
    <x v="2"/>
    <x v="2"/>
    <x v="1"/>
    <x v="11"/>
    <x v="0"/>
  </r>
  <r>
    <x v="361"/>
    <x v="63"/>
    <n v="-2225"/>
    <x v="3"/>
    <x v="5"/>
    <x v="0"/>
    <x v="11"/>
    <x v="0"/>
  </r>
  <r>
    <x v="362"/>
    <x v="57"/>
    <n v="-1020"/>
    <x v="3"/>
    <x v="5"/>
    <x v="0"/>
    <x v="11"/>
    <x v="0"/>
  </r>
  <r>
    <x v="362"/>
    <x v="58"/>
    <n v="-2175"/>
    <x v="3"/>
    <x v="11"/>
    <x v="0"/>
    <x v="11"/>
    <x v="0"/>
  </r>
  <r>
    <x v="362"/>
    <x v="24"/>
    <n v="-1731"/>
    <x v="3"/>
    <x v="6"/>
    <x v="0"/>
    <x v="11"/>
    <x v="0"/>
  </r>
  <r>
    <x v="362"/>
    <x v="20"/>
    <n v="-1095"/>
    <x v="3"/>
    <x v="10"/>
    <x v="0"/>
    <x v="11"/>
    <x v="0"/>
  </r>
  <r>
    <x v="362"/>
    <x v="2"/>
    <n v="13040"/>
    <x v="2"/>
    <x v="2"/>
    <x v="1"/>
    <x v="11"/>
    <x v="0"/>
  </r>
  <r>
    <x v="362"/>
    <x v="63"/>
    <n v="-2044"/>
    <x v="3"/>
    <x v="5"/>
    <x v="0"/>
    <x v="11"/>
    <x v="0"/>
  </r>
  <r>
    <x v="362"/>
    <x v="2"/>
    <n v="14517"/>
    <x v="2"/>
    <x v="2"/>
    <x v="1"/>
    <x v="11"/>
    <x v="0"/>
  </r>
  <r>
    <x v="362"/>
    <x v="5"/>
    <n v="14871"/>
    <x v="2"/>
    <x v="2"/>
    <x v="1"/>
    <x v="11"/>
    <x v="0"/>
  </r>
  <r>
    <x v="362"/>
    <x v="4"/>
    <n v="-1849"/>
    <x v="1"/>
    <x v="1"/>
    <x v="0"/>
    <x v="11"/>
    <x v="0"/>
  </r>
  <r>
    <x v="363"/>
    <x v="6"/>
    <n v="-1299"/>
    <x v="1"/>
    <x v="4"/>
    <x v="0"/>
    <x v="11"/>
    <x v="0"/>
  </r>
  <r>
    <x v="363"/>
    <x v="2"/>
    <n v="14998"/>
    <x v="2"/>
    <x v="2"/>
    <x v="1"/>
    <x v="11"/>
    <x v="0"/>
  </r>
  <r>
    <x v="363"/>
    <x v="2"/>
    <n v="10950"/>
    <x v="2"/>
    <x v="2"/>
    <x v="1"/>
    <x v="11"/>
    <x v="0"/>
  </r>
  <r>
    <x v="363"/>
    <x v="24"/>
    <n v="-1262"/>
    <x v="3"/>
    <x v="6"/>
    <x v="0"/>
    <x v="11"/>
    <x v="0"/>
  </r>
  <r>
    <x v="364"/>
    <x v="4"/>
    <n v="-1015"/>
    <x v="1"/>
    <x v="1"/>
    <x v="0"/>
    <x v="11"/>
    <x v="0"/>
  </r>
  <r>
    <x v="364"/>
    <x v="1"/>
    <n v="-1486"/>
    <x v="1"/>
    <x v="1"/>
    <x v="0"/>
    <x v="11"/>
    <x v="0"/>
  </r>
  <r>
    <x v="364"/>
    <x v="2"/>
    <n v="10092"/>
    <x v="2"/>
    <x v="2"/>
    <x v="1"/>
    <x v="11"/>
    <x v="0"/>
  </r>
  <r>
    <x v="364"/>
    <x v="21"/>
    <n v="-1006"/>
    <x v="1"/>
    <x v="1"/>
    <x v="0"/>
    <x v="11"/>
    <x v="0"/>
  </r>
  <r>
    <x v="364"/>
    <x v="2"/>
    <n v="13162"/>
    <x v="2"/>
    <x v="2"/>
    <x v="1"/>
    <x v="11"/>
    <x v="0"/>
  </r>
  <r>
    <x v="364"/>
    <x v="18"/>
    <n v="-1047"/>
    <x v="3"/>
    <x v="5"/>
    <x v="0"/>
    <x v="11"/>
    <x v="0"/>
  </r>
  <r>
    <x v="364"/>
    <x v="1"/>
    <n v="-1380"/>
    <x v="1"/>
    <x v="1"/>
    <x v="0"/>
    <x v="11"/>
    <x v="0"/>
  </r>
  <r>
    <x v="364"/>
    <x v="38"/>
    <n v="-1634"/>
    <x v="3"/>
    <x v="5"/>
    <x v="0"/>
    <x v="11"/>
    <x v="0"/>
  </r>
  <r>
    <x v="364"/>
    <x v="0"/>
    <n v="-4605"/>
    <x v="0"/>
    <x v="0"/>
    <x v="0"/>
    <x v="11"/>
    <x v="0"/>
  </r>
  <r>
    <x v="365"/>
    <x v="58"/>
    <n v="-1877"/>
    <x v="3"/>
    <x v="11"/>
    <x v="0"/>
    <x v="0"/>
    <x v="1"/>
  </r>
  <r>
    <x v="366"/>
    <x v="2"/>
    <n v="11463"/>
    <x v="2"/>
    <x v="2"/>
    <x v="1"/>
    <x v="0"/>
    <x v="1"/>
  </r>
  <r>
    <x v="367"/>
    <x v="2"/>
    <n v="15000"/>
    <x v="2"/>
    <x v="2"/>
    <x v="1"/>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AEB1001-ABC0-41DF-9E2F-5E15AAB3C3BA}" name="Tabela_DRE_" cacheId="27" applyNumberFormats="0" applyBorderFormats="0" applyFontFormats="0" applyPatternFormats="0" applyAlignmentFormats="0" applyWidthHeightFormats="1" dataCaption="Valores" updatedVersion="7" minRefreshableVersion="3" useAutoFormatting="1" itemPrintTitles="1" createdVersion="7" indent="0" outline="1" outlineData="1" multipleFieldFilters="0">
  <location ref="B18:O26" firstHeaderRow="1" firstDataRow="2" firstDataCol="1"/>
  <pivotFields count="10">
    <pivotField numFmtId="14" showAll="0">
      <items count="15">
        <item x="0"/>
        <item x="1"/>
        <item x="2"/>
        <item x="3"/>
        <item x="4"/>
        <item x="5"/>
        <item x="6"/>
        <item x="7"/>
        <item x="8"/>
        <item x="9"/>
        <item x="10"/>
        <item x="11"/>
        <item x="12"/>
        <item x="13"/>
        <item t="default"/>
      </items>
    </pivotField>
    <pivotField axis="axisRow" showAll="0">
      <items count="65">
        <item x="59"/>
        <item x="55"/>
        <item x="31"/>
        <item x="46"/>
        <item x="52"/>
        <item x="37"/>
        <item x="17"/>
        <item x="45"/>
        <item x="1"/>
        <item x="35"/>
        <item x="34"/>
        <item x="14"/>
        <item x="0"/>
        <item x="40"/>
        <item x="25"/>
        <item x="16"/>
        <item x="32"/>
        <item x="28"/>
        <item x="22"/>
        <item x="42"/>
        <item x="62"/>
        <item x="6"/>
        <item x="58"/>
        <item x="11"/>
        <item x="57"/>
        <item x="48"/>
        <item x="63"/>
        <item x="49"/>
        <item x="4"/>
        <item x="36"/>
        <item x="13"/>
        <item x="51"/>
        <item x="12"/>
        <item x="39"/>
        <item x="29"/>
        <item x="15"/>
        <item x="60"/>
        <item x="41"/>
        <item x="50"/>
        <item x="24"/>
        <item x="26"/>
        <item x="19"/>
        <item x="47"/>
        <item x="10"/>
        <item x="23"/>
        <item x="30"/>
        <item x="54"/>
        <item x="2"/>
        <item x="5"/>
        <item x="21"/>
        <item x="33"/>
        <item x="3"/>
        <item x="53"/>
        <item x="43"/>
        <item x="44"/>
        <item x="18"/>
        <item x="61"/>
        <item x="7"/>
        <item x="56"/>
        <item x="27"/>
        <item x="8"/>
        <item x="9"/>
        <item x="20"/>
        <item x="38"/>
        <item t="default"/>
      </items>
    </pivotField>
    <pivotField dataField="1" showAll="0"/>
    <pivotField axis="axisRow" showAll="0" sortType="ascending">
      <items count="22">
        <item sd="0" m="1" x="8"/>
        <item sd="0" m="1" x="6"/>
        <item sd="0" m="1" x="10"/>
        <item sd="0" x="2"/>
        <item sd="0" m="1" x="7"/>
        <item sd="0" m="1" x="19"/>
        <item sd="0" m="1" x="17"/>
        <item sd="0" x="1"/>
        <item sd="0" m="1" x="15"/>
        <item sd="0" x="0"/>
        <item sd="0" m="1" x="14"/>
        <item sd="0" m="1" x="13"/>
        <item sd="0" m="1" x="12"/>
        <item sd="0" x="3"/>
        <item sd="0" m="1" x="16"/>
        <item sd="0" m="1" x="9"/>
        <item sd="0" x="4"/>
        <item sd="0" m="1" x="20"/>
        <item sd="0" x="5"/>
        <item sd="0" m="1" x="11"/>
        <item sd="0" m="1" x="18"/>
        <item t="default" sd="0"/>
      </items>
    </pivotField>
    <pivotField showAll="0"/>
    <pivotField showAll="0"/>
    <pivotField axis="axisCol" showAll="0">
      <items count="13">
        <item x="0"/>
        <item x="1"/>
        <item x="2"/>
        <item x="3"/>
        <item x="4"/>
        <item x="5"/>
        <item x="6"/>
        <item x="7"/>
        <item x="8"/>
        <item x="9"/>
        <item x="10"/>
        <item x="11"/>
        <item t="default"/>
      </items>
    </pivotField>
    <pivotField showAll="0">
      <items count="3">
        <item x="0"/>
        <item h="1" x="1"/>
        <item t="default"/>
      </items>
    </pivotField>
    <pivotField showAll="0">
      <items count="7">
        <item x="0"/>
        <item x="1"/>
        <item x="2"/>
        <item x="3"/>
        <item x="4"/>
        <item x="5"/>
        <item t="default"/>
      </items>
    </pivotField>
    <pivotField showAll="0">
      <items count="5">
        <item x="0"/>
        <item x="1"/>
        <item x="2"/>
        <item x="3"/>
        <item t="default"/>
      </items>
    </pivotField>
  </pivotFields>
  <rowFields count="2">
    <field x="3"/>
    <field x="1"/>
  </rowFields>
  <rowItems count="7">
    <i>
      <x v="3"/>
    </i>
    <i>
      <x v="7"/>
    </i>
    <i>
      <x v="9"/>
    </i>
    <i>
      <x v="13"/>
    </i>
    <i>
      <x v="16"/>
    </i>
    <i>
      <x v="18"/>
    </i>
    <i t="grand">
      <x/>
    </i>
  </rowItems>
  <colFields count="1">
    <field x="6"/>
  </colFields>
  <colItems count="13">
    <i>
      <x/>
    </i>
    <i>
      <x v="1"/>
    </i>
    <i>
      <x v="2"/>
    </i>
    <i>
      <x v="3"/>
    </i>
    <i>
      <x v="4"/>
    </i>
    <i>
      <x v="5"/>
    </i>
    <i>
      <x v="6"/>
    </i>
    <i>
      <x v="7"/>
    </i>
    <i>
      <x v="8"/>
    </i>
    <i>
      <x v="9"/>
    </i>
    <i>
      <x v="10"/>
    </i>
    <i>
      <x v="11"/>
    </i>
    <i t="grand">
      <x/>
    </i>
  </colItems>
  <dataFields count="1">
    <dataField name="Soma de VALOR" fld="2" baseField="0" baseItem="0" numFmtId="44"/>
  </dataFields>
  <formats count="11">
    <format dxfId="4">
      <pivotArea type="origin" dataOnly="0" labelOnly="1" outline="0" fieldPosition="0"/>
    </format>
    <format dxfId="5">
      <pivotArea field="3" type="button" dataOnly="0" labelOnly="1" outline="0" axis="axisRow" fieldPosition="0"/>
    </format>
    <format dxfId="6">
      <pivotArea outline="0" collapsedLevelsAreSubtotals="1" fieldPosition="0"/>
    </format>
    <format dxfId="7">
      <pivotArea collapsedLevelsAreSubtotals="1" fieldPosition="0">
        <references count="1">
          <reference field="3" count="1">
            <x v="5"/>
          </reference>
        </references>
      </pivotArea>
    </format>
    <format dxfId="8">
      <pivotArea collapsedLevelsAreSubtotals="1" fieldPosition="0">
        <references count="1">
          <reference field="3" count="1">
            <x v="8"/>
          </reference>
        </references>
      </pivotArea>
    </format>
    <format dxfId="9">
      <pivotArea collapsedLevelsAreSubtotals="1" fieldPosition="0">
        <references count="1">
          <reference field="3" count="1">
            <x v="10"/>
          </reference>
        </references>
      </pivotArea>
    </format>
    <format dxfId="10">
      <pivotArea collapsedLevelsAreSubtotals="1" fieldPosition="0">
        <references count="1">
          <reference field="3" count="1">
            <x v="12"/>
          </reference>
        </references>
      </pivotArea>
    </format>
    <format dxfId="11">
      <pivotArea collapsedLevelsAreSubtotals="1" fieldPosition="0">
        <references count="1">
          <reference field="3" count="1">
            <x v="15"/>
          </reference>
        </references>
      </pivotArea>
    </format>
    <format dxfId="12">
      <pivotArea collapsedLevelsAreSubtotals="1" fieldPosition="0">
        <references count="1">
          <reference field="3" count="1">
            <x v="19"/>
          </reference>
        </references>
      </pivotArea>
    </format>
    <format dxfId="13">
      <pivotArea collapsedLevelsAreSubtotals="1" fieldPosition="0">
        <references count="1">
          <reference field="3" count="1">
            <x v="20"/>
          </reference>
        </references>
      </pivotArea>
    </format>
    <format dxfId="14">
      <pivotArea dataOnly="0" labelOnly="1" fieldPosition="0">
        <references count="1">
          <reference field="3" count="0"/>
        </references>
      </pivotArea>
    </format>
  </formats>
  <conditionalFormats count="1">
    <conditionalFormat priority="1">
      <pivotAreas count="1">
        <pivotArea type="data" outline="0" collapsedLevelsAreSubtotals="1" fieldPosition="0">
          <references count="1">
            <reference field="4294967294" count="1" selected="0">
              <x v="0"/>
            </reference>
          </references>
        </pivotArea>
      </pivotAreas>
    </conditionalFormat>
  </conditionalFormats>
  <pivotTableStyleInfo name="PivotStyleMedium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6AAF1CA-85D1-49A3-B029-942841C01724}" name="Tabela dinâmica7" cacheId="27" applyNumberFormats="0" applyBorderFormats="0" applyFontFormats="0" applyPatternFormats="0" applyAlignmentFormats="0" applyWidthHeightFormats="1" dataCaption="Valores" updatedVersion="7" minRefreshableVersion="3" useAutoFormatting="1" rowGrandTotals="0" colGrandTotals="0" itemPrintTitles="1" createdVersion="7" indent="0" outline="1" outlineData="1" multipleFieldFilters="0">
  <location ref="AN6:AO12" firstHeaderRow="1" firstDataRow="1" firstDataCol="1"/>
  <pivotFields count="10">
    <pivotField numFmtId="14" showAll="0">
      <items count="15">
        <item x="0"/>
        <item x="1"/>
        <item x="2"/>
        <item x="3"/>
        <item x="4"/>
        <item x="5"/>
        <item x="6"/>
        <item x="7"/>
        <item x="8"/>
        <item x="9"/>
        <item x="10"/>
        <item x="11"/>
        <item x="12"/>
        <item x="13"/>
        <item t="default"/>
      </items>
    </pivotField>
    <pivotField showAll="0"/>
    <pivotField dataField="1" showAll="0"/>
    <pivotField axis="axisRow" showAll="0" sortType="ascending">
      <items count="22">
        <item m="1" x="8"/>
        <item m="1" x="6"/>
        <item m="1" x="10"/>
        <item x="2"/>
        <item m="1" x="7"/>
        <item m="1" x="19"/>
        <item m="1" x="17"/>
        <item x="1"/>
        <item m="1" x="15"/>
        <item x="0"/>
        <item m="1" x="14"/>
        <item m="1" x="13"/>
        <item n="4. Custos P/M/S" m="1" x="12"/>
        <item x="3"/>
        <item m="1" x="16"/>
        <item m="1" x="9"/>
        <item x="4"/>
        <item m="1" x="20"/>
        <item x="5"/>
        <item m="1" x="11"/>
        <item n="7.Pós Resultado " m="1" x="18"/>
        <item t="default"/>
      </items>
    </pivotField>
    <pivotField showAll="0"/>
    <pivotField showAll="0"/>
    <pivotField showAll="0">
      <items count="13">
        <item x="0"/>
        <item x="1"/>
        <item x="2"/>
        <item x="3"/>
        <item x="4"/>
        <item x="5"/>
        <item x="6"/>
        <item x="7"/>
        <item x="8"/>
        <item x="9"/>
        <item x="10"/>
        <item x="11"/>
        <item t="default"/>
      </items>
    </pivotField>
    <pivotField showAll="0">
      <items count="3">
        <item x="0"/>
        <item h="1" x="1"/>
        <item t="default"/>
      </items>
    </pivotField>
    <pivotField showAll="0">
      <items count="7">
        <item x="0"/>
        <item x="1"/>
        <item x="2"/>
        <item x="3"/>
        <item x="4"/>
        <item x="5"/>
        <item t="default"/>
      </items>
    </pivotField>
    <pivotField showAll="0">
      <items count="5">
        <item x="0"/>
        <item x="1"/>
        <item x="2"/>
        <item x="3"/>
        <item t="default"/>
      </items>
    </pivotField>
  </pivotFields>
  <rowFields count="1">
    <field x="3"/>
  </rowFields>
  <rowItems count="6">
    <i>
      <x v="3"/>
    </i>
    <i>
      <x v="7"/>
    </i>
    <i>
      <x v="9"/>
    </i>
    <i>
      <x v="13"/>
    </i>
    <i>
      <x v="16"/>
    </i>
    <i>
      <x v="18"/>
    </i>
  </rowItems>
  <colItems count="1">
    <i/>
  </colItems>
  <dataFields count="1">
    <dataField name="Soma de VALOR" fld="2" baseField="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1A6A8C3-1FBE-4CF4-8C1E-C8A6CD96962D}" name="Tabela dinâmica2" cacheId="27" applyNumberFormats="0" applyBorderFormats="0" applyFontFormats="0" applyPatternFormats="0" applyAlignmentFormats="0" applyWidthHeightFormats="1" dataCaption="Valores" updatedVersion="7" minRefreshableVersion="3" useAutoFormatting="1" rowGrandTotals="0" colGrandTotals="0" itemPrintTitles="1" createdVersion="7" indent="0" outline="1" outlineData="1" multipleFieldFilters="0" chartFormat="6">
  <location ref="J5:K7" firstHeaderRow="1" firstDataRow="1" firstDataCol="1"/>
  <pivotFields count="10">
    <pivotField numFmtId="14" showAll="0">
      <items count="15">
        <item x="0"/>
        <item x="1"/>
        <item x="2"/>
        <item x="3"/>
        <item x="4"/>
        <item x="5"/>
        <item x="6"/>
        <item x="7"/>
        <item x="8"/>
        <item x="9"/>
        <item x="10"/>
        <item x="11"/>
        <item x="12"/>
        <item x="13"/>
        <item t="default"/>
      </items>
    </pivotField>
    <pivotField showAll="0"/>
    <pivotField dataField="1" showAll="0"/>
    <pivotField showAll="0" sortType="ascending"/>
    <pivotField showAll="0"/>
    <pivotField axis="axisRow" showAll="0">
      <items count="3">
        <item x="1"/>
        <item x="0"/>
        <item t="default"/>
      </items>
    </pivotField>
    <pivotField showAll="0"/>
    <pivotField showAll="0"/>
    <pivotField showAll="0">
      <items count="7">
        <item x="0"/>
        <item x="1"/>
        <item x="2"/>
        <item x="3"/>
        <item x="4"/>
        <item x="5"/>
        <item t="default"/>
      </items>
    </pivotField>
    <pivotField showAll="0">
      <items count="5">
        <item x="0"/>
        <item x="1"/>
        <item x="2"/>
        <item x="3"/>
        <item t="default"/>
      </items>
    </pivotField>
  </pivotFields>
  <rowFields count="1">
    <field x="5"/>
  </rowFields>
  <rowItems count="2">
    <i>
      <x/>
    </i>
    <i>
      <x v="1"/>
    </i>
  </rowItems>
  <colItems count="1">
    <i/>
  </colItems>
  <dataFields count="1">
    <dataField name="Soma de VALOR" fld="2" baseField="0" baseItem="0"/>
  </dataFields>
  <chartFormats count="3">
    <chartFormat chart="2" format="4" series="1">
      <pivotArea type="data" outline="0" fieldPosition="0">
        <references count="1">
          <reference field="4294967294" count="1" selected="0">
            <x v="0"/>
          </reference>
        </references>
      </pivotArea>
    </chartFormat>
    <chartFormat chart="2" format="5">
      <pivotArea type="data" outline="0" fieldPosition="0">
        <references count="2">
          <reference field="4294967294" count="1" selected="0">
            <x v="0"/>
          </reference>
          <reference field="5" count="1" selected="0">
            <x v="0"/>
          </reference>
        </references>
      </pivotArea>
    </chartFormat>
    <chartFormat chart="2" format="6">
      <pivotArea type="data" outline="0" fieldPosition="0">
        <references count="2">
          <reference field="4294967294" count="1" selected="0">
            <x v="0"/>
          </reference>
          <reference field="5" count="1" selected="0">
            <x v="1"/>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9E13271-FBAB-4AE5-A48B-980D7DCC4B98}" name="Tabela_DimDPC" cacheId="27" applyNumberFormats="0" applyBorderFormats="0" applyFontFormats="0" applyPatternFormats="0" applyAlignmentFormats="0" applyWidthHeightFormats="1" dataCaption="Valores" updatedVersion="7" minRefreshableVersion="3" useAutoFormatting="1" itemPrintTitles="1" createdVersion="7" indent="0" outline="1" outlineData="1" multipleFieldFilters="0">
  <location ref="C3:C10" firstHeaderRow="1" firstDataRow="1" firstDataCol="1"/>
  <pivotFields count="10">
    <pivotField numFmtId="14" showAll="0">
      <items count="15">
        <item x="0"/>
        <item x="1"/>
        <item x="2"/>
        <item x="3"/>
        <item x="4"/>
        <item x="5"/>
        <item x="6"/>
        <item x="7"/>
        <item x="8"/>
        <item x="9"/>
        <item x="10"/>
        <item x="11"/>
        <item x="12"/>
        <item x="13"/>
        <item t="default"/>
      </items>
    </pivotField>
    <pivotField showAll="0"/>
    <pivotField showAll="0"/>
    <pivotField axis="axisRow" showAll="0" sortType="ascending">
      <items count="22">
        <item m="1" x="8"/>
        <item m="1" x="6"/>
        <item m="1" x="10"/>
        <item x="2"/>
        <item m="1" x="7"/>
        <item m="1" x="19"/>
        <item m="1" x="17"/>
        <item x="1"/>
        <item m="1" x="15"/>
        <item x="0"/>
        <item m="1" x="14"/>
        <item m="1" x="13"/>
        <item m="1" x="12"/>
        <item x="3"/>
        <item m="1" x="16"/>
        <item m="1" x="9"/>
        <item x="4"/>
        <item m="1" x="20"/>
        <item x="5"/>
        <item m="1" x="11"/>
        <item m="1" x="18"/>
        <item t="default"/>
      </items>
    </pivotField>
    <pivotField showAll="0"/>
    <pivotField showAll="0"/>
    <pivotField showAll="0">
      <items count="13">
        <item x="0"/>
        <item x="1"/>
        <item x="2"/>
        <item x="3"/>
        <item x="4"/>
        <item x="5"/>
        <item x="6"/>
        <item x="7"/>
        <item x="8"/>
        <item x="9"/>
        <item x="10"/>
        <item x="11"/>
        <item t="default"/>
      </items>
    </pivotField>
    <pivotField showAll="0">
      <items count="3">
        <item x="0"/>
        <item h="1" x="1"/>
        <item t="default"/>
      </items>
    </pivotField>
    <pivotField showAll="0">
      <items count="7">
        <item x="0"/>
        <item x="1"/>
        <item x="2"/>
        <item x="3"/>
        <item x="4"/>
        <item x="5"/>
        <item t="default"/>
      </items>
    </pivotField>
    <pivotField showAll="0">
      <items count="5">
        <item x="0"/>
        <item x="1"/>
        <item x="2"/>
        <item x="3"/>
        <item t="default"/>
      </items>
    </pivotField>
  </pivotFields>
  <rowFields count="1">
    <field x="3"/>
  </rowFields>
  <rowItems count="7">
    <i>
      <x v="3"/>
    </i>
    <i>
      <x v="7"/>
    </i>
    <i>
      <x v="9"/>
    </i>
    <i>
      <x v="13"/>
    </i>
    <i>
      <x v="16"/>
    </i>
    <i>
      <x v="18"/>
    </i>
    <i t="grand">
      <x/>
    </i>
  </rowItems>
  <colItems count="1">
    <i/>
  </colItem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B48C7A3-9E4C-4262-8F1E-CB50B78D44FF}" name="Tabela dinâmica9" cacheId="27" applyNumberFormats="0" applyBorderFormats="0" applyFontFormats="0" applyPatternFormats="0" applyAlignmentFormats="0" applyWidthHeightFormats="1" dataCaption="Valores" updatedVersion="7" minRefreshableVersion="3" useAutoFormatting="1" rowGrandTotals="0" colGrandTotals="0" itemPrintTitles="1" createdVersion="7" indent="0" outline="1" outlineData="1" multipleFieldFilters="0">
  <location ref="AJ3:AK9" firstHeaderRow="1" firstDataRow="1" firstDataCol="1"/>
  <pivotFields count="10">
    <pivotField numFmtId="14" showAll="0">
      <items count="15">
        <item x="0"/>
        <item x="1"/>
        <item x="2"/>
        <item x="3"/>
        <item x="4"/>
        <item x="5"/>
        <item x="6"/>
        <item x="7"/>
        <item x="8"/>
        <item x="9"/>
        <item x="10"/>
        <item x="11"/>
        <item x="12"/>
        <item x="13"/>
        <item t="default"/>
      </items>
    </pivotField>
    <pivotField showAll="0"/>
    <pivotField dataField="1" showAll="0"/>
    <pivotField axis="axisRow" showAll="0" sortType="ascending">
      <items count="22">
        <item m="1" x="8"/>
        <item m="1" x="6"/>
        <item m="1" x="10"/>
        <item x="2"/>
        <item m="1" x="7"/>
        <item m="1" x="19"/>
        <item m="1" x="17"/>
        <item x="1"/>
        <item m="1" x="15"/>
        <item n="3. Custos com P/M/S" x="0"/>
        <item m="1" x="14"/>
        <item m="1" x="13"/>
        <item n="4. Custos P/M/S" m="1" x="12"/>
        <item x="3"/>
        <item m="1" x="16"/>
        <item m="1" x="9"/>
        <item x="4"/>
        <item m="1" x="20"/>
        <item n="6. Resultado após RF" x="5"/>
        <item m="1" x="11"/>
        <item n="7.Pós Resultado " m="1" x="18"/>
        <item t="default"/>
      </items>
    </pivotField>
    <pivotField showAll="0"/>
    <pivotField showAll="0"/>
    <pivotField showAll="0">
      <items count="13">
        <item x="0"/>
        <item x="1"/>
        <item x="2"/>
        <item x="3"/>
        <item x="4"/>
        <item x="5"/>
        <item x="6"/>
        <item x="7"/>
        <item x="8"/>
        <item x="9"/>
        <item x="10"/>
        <item x="11"/>
        <item t="default"/>
      </items>
    </pivotField>
    <pivotField showAll="0">
      <items count="3">
        <item x="0"/>
        <item h="1" x="1"/>
        <item t="default"/>
      </items>
    </pivotField>
    <pivotField showAll="0">
      <items count="7">
        <item x="0"/>
        <item x="1"/>
        <item x="2"/>
        <item x="3"/>
        <item x="4"/>
        <item x="5"/>
        <item t="default"/>
      </items>
    </pivotField>
    <pivotField showAll="0">
      <items count="5">
        <item x="0"/>
        <item x="1"/>
        <item x="2"/>
        <item x="3"/>
        <item t="default"/>
      </items>
    </pivotField>
  </pivotFields>
  <rowFields count="1">
    <field x="3"/>
  </rowFields>
  <rowItems count="6">
    <i>
      <x v="3"/>
    </i>
    <i>
      <x v="7"/>
    </i>
    <i>
      <x v="9"/>
    </i>
    <i>
      <x v="13"/>
    </i>
    <i>
      <x v="16"/>
    </i>
    <i>
      <x v="18"/>
    </i>
  </rowItems>
  <colItems count="1">
    <i/>
  </colItems>
  <dataFields count="1">
    <dataField name="Soma de VALOR" fld="2" baseField="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75AF90F-B2C0-4C35-824B-700DBB7ADC2C}" name="Tabela dinâmica6" cacheId="27" applyNumberFormats="0" applyBorderFormats="0" applyFontFormats="0" applyPatternFormats="0" applyAlignmentFormats="0" applyWidthHeightFormats="1" dataCaption="Valores" updatedVersion="7" minRefreshableVersion="3" useAutoFormatting="1" rowGrandTotals="0" colGrandTotals="0" itemPrintTitles="1" createdVersion="7" indent="0" outline="1" outlineData="1" multipleFieldFilters="0">
  <location ref="AI34:AK51" firstHeaderRow="1" firstDataRow="1" firstDataCol="0"/>
  <pivotFields count="10">
    <pivotField numFmtId="14" showAll="0">
      <items count="15">
        <item x="0"/>
        <item x="1"/>
        <item x="2"/>
        <item x="3"/>
        <item x="4"/>
        <item x="5"/>
        <item x="6"/>
        <item x="7"/>
        <item x="8"/>
        <item x="9"/>
        <item x="10"/>
        <item x="11"/>
        <item x="12"/>
        <item x="13"/>
        <item t="default"/>
      </items>
    </pivotField>
    <pivotField showAll="0"/>
    <pivotField showAll="0"/>
    <pivotField showAll="0" sortType="ascending"/>
    <pivotField showAll="0"/>
    <pivotField showAll="0"/>
    <pivotField showAll="0">
      <items count="13">
        <item x="0"/>
        <item x="1"/>
        <item x="2"/>
        <item x="3"/>
        <item x="4"/>
        <item x="5"/>
        <item x="6"/>
        <item x="7"/>
        <item x="8"/>
        <item x="9"/>
        <item x="10"/>
        <item x="11"/>
        <item t="default"/>
      </items>
    </pivotField>
    <pivotField showAll="0">
      <items count="3">
        <item x="0"/>
        <item h="1" x="1"/>
        <item t="default"/>
      </items>
    </pivotField>
    <pivotField showAll="0">
      <items count="7">
        <item x="0"/>
        <item x="1"/>
        <item x="2"/>
        <item x="3"/>
        <item x="4"/>
        <item x="5"/>
        <item t="default"/>
      </items>
    </pivotField>
    <pivotField showAll="0">
      <items count="5">
        <item x="0"/>
        <item x="1"/>
        <item x="2"/>
        <item x="3"/>
        <item t="default"/>
      </items>
    </pivotField>
  </pivot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3BDF997-5FE1-49D8-B51D-3CE3204CFBDC}" name="Tabela dinâmica1" cacheId="27" applyNumberFormats="0" applyBorderFormats="0" applyFontFormats="0" applyPatternFormats="0" applyAlignmentFormats="0" applyWidthHeightFormats="1" dataCaption="Valores" updatedVersion="7" minRefreshableVersion="3" useAutoFormatting="1" colGrandTotals="0" itemPrintTitles="1" createdVersion="7" indent="0" outline="1" outlineData="1" multipleFieldFilters="0">
  <location ref="P3:Q10" firstHeaderRow="1" firstDataRow="1" firstDataCol="1"/>
  <pivotFields count="10">
    <pivotField numFmtId="14" showAll="0">
      <items count="15">
        <item x="0"/>
        <item x="1"/>
        <item x="2"/>
        <item x="3"/>
        <item x="4"/>
        <item x="5"/>
        <item x="6"/>
        <item x="7"/>
        <item x="8"/>
        <item x="9"/>
        <item x="10"/>
        <item x="11"/>
        <item x="12"/>
        <item x="13"/>
        <item t="default"/>
      </items>
    </pivotField>
    <pivotField showAll="0"/>
    <pivotField dataField="1" showAll="0"/>
    <pivotField axis="axisRow" showAll="0" sortType="ascending">
      <items count="22">
        <item m="1" x="8"/>
        <item m="1" x="6"/>
        <item m="1" x="10"/>
        <item x="2"/>
        <item m="1" x="7"/>
        <item m="1" x="19"/>
        <item m="1" x="17"/>
        <item x="1"/>
        <item m="1" x="15"/>
        <item x="0"/>
        <item m="1" x="14"/>
        <item m="1" x="13"/>
        <item m="1" x="12"/>
        <item x="3"/>
        <item m="1" x="16"/>
        <item m="1" x="9"/>
        <item x="4"/>
        <item m="1" x="20"/>
        <item x="5"/>
        <item m="1" x="11"/>
        <item m="1" x="18"/>
        <item t="default"/>
      </items>
    </pivotField>
    <pivotField showAll="0"/>
    <pivotField showAll="0"/>
    <pivotField showAll="0">
      <items count="13">
        <item x="0"/>
        <item x="1"/>
        <item x="2"/>
        <item x="3"/>
        <item x="4"/>
        <item x="5"/>
        <item x="6"/>
        <item x="7"/>
        <item x="8"/>
        <item x="9"/>
        <item x="10"/>
        <item x="11"/>
        <item t="default"/>
      </items>
    </pivotField>
    <pivotField showAll="0">
      <items count="3">
        <item x="0"/>
        <item h="1" x="1"/>
        <item t="default"/>
      </items>
    </pivotField>
    <pivotField showAll="0">
      <items count="7">
        <item x="0"/>
        <item x="1"/>
        <item x="2"/>
        <item x="3"/>
        <item x="4"/>
        <item x="5"/>
        <item t="default"/>
      </items>
    </pivotField>
    <pivotField showAll="0">
      <items count="5">
        <item x="0"/>
        <item x="1"/>
        <item x="2"/>
        <item x="3"/>
        <item t="default"/>
      </items>
    </pivotField>
  </pivotFields>
  <rowFields count="1">
    <field x="3"/>
  </rowFields>
  <rowItems count="7">
    <i>
      <x v="3"/>
    </i>
    <i>
      <x v="7"/>
    </i>
    <i>
      <x v="9"/>
    </i>
    <i>
      <x v="13"/>
    </i>
    <i>
      <x v="16"/>
    </i>
    <i>
      <x v="18"/>
    </i>
    <i t="grand">
      <x/>
    </i>
  </rowItems>
  <colItems count="1">
    <i/>
  </colItems>
  <dataFields count="1">
    <dataField name="Soma de VALOR" fld="2" baseField="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8302791-F4EF-47B4-B3DC-CEDBA792E3BA}" name="Tabela dinâmica3" cacheId="27" applyNumberFormats="0" applyBorderFormats="0" applyFontFormats="0" applyPatternFormats="0" applyAlignmentFormats="0" applyWidthHeightFormats="1" dataCaption="Valores" updatedVersion="7" minRefreshableVersion="3" pageWrap="5" rowGrandTotals="0" colGrandTotals="0" itemPrintTitles="1" createdVersion="7" indent="0" outline="1" outlineData="1" multipleFieldFilters="0" chartFormat="6">
  <location ref="V3:W8" firstHeaderRow="1" firstDataRow="1" firstDataCol="1"/>
  <pivotFields count="10">
    <pivotField numFmtId="14" showAll="0">
      <items count="15">
        <item x="0"/>
        <item x="1"/>
        <item x="2"/>
        <item x="3"/>
        <item x="4"/>
        <item x="5"/>
        <item x="6"/>
        <item x="7"/>
        <item x="8"/>
        <item x="9"/>
        <item x="10"/>
        <item x="11"/>
        <item x="12"/>
        <item x="13"/>
        <item t="default"/>
      </items>
    </pivotField>
    <pivotField showAll="0"/>
    <pivotField dataField="1" showAll="0"/>
    <pivotField showAll="0" sortType="ascending">
      <autoSortScope>
        <pivotArea dataOnly="0" outline="0" fieldPosition="0">
          <references count="1">
            <reference field="4294967294" count="1" selected="0">
              <x v="0"/>
            </reference>
          </references>
        </pivotArea>
      </autoSortScope>
    </pivotField>
    <pivotField axis="axisRow" showAll="0" measureFilter="1" sortType="ascending">
      <items count="18">
        <item x="4"/>
        <item x="11"/>
        <item x="5"/>
        <item x="6"/>
        <item x="10"/>
        <item x="9"/>
        <item x="12"/>
        <item x="8"/>
        <item x="7"/>
        <item m="1" x="16"/>
        <item x="14"/>
        <item x="1"/>
        <item x="13"/>
        <item x="2"/>
        <item x="15"/>
        <item x="3"/>
        <item x="0"/>
        <item t="default"/>
      </items>
      <autoSortScope>
        <pivotArea dataOnly="0" outline="0" fieldPosition="0">
          <references count="1">
            <reference field="4294967294" count="1" selected="0">
              <x v="0"/>
            </reference>
          </references>
        </pivotArea>
      </autoSortScope>
    </pivotField>
    <pivotField showAll="0"/>
    <pivotField showAll="0">
      <items count="13">
        <item x="0"/>
        <item x="1"/>
        <item x="2"/>
        <item x="3"/>
        <item x="4"/>
        <item x="5"/>
        <item x="6"/>
        <item x="7"/>
        <item x="8"/>
        <item x="9"/>
        <item x="10"/>
        <item x="11"/>
        <item t="default"/>
      </items>
    </pivotField>
    <pivotField showAll="0">
      <items count="3">
        <item x="0"/>
        <item h="1" x="1"/>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4"/>
  </rowFields>
  <rowItems count="5">
    <i>
      <x v="11"/>
    </i>
    <i>
      <x v="16"/>
    </i>
    <i>
      <x v="2"/>
    </i>
    <i>
      <x/>
    </i>
    <i>
      <x v="15"/>
    </i>
  </rowItems>
  <colItems count="1">
    <i/>
  </colItems>
  <dataFields count="1">
    <dataField name="Soma de VALOR" fld="2" baseField="0" baseItem="0"/>
  </dataFields>
  <chartFormats count="6">
    <chartFormat chart="5" format="15" series="1">
      <pivotArea type="data" outline="0" fieldPosition="0">
        <references count="1">
          <reference field="4294967294" count="1" selected="0">
            <x v="0"/>
          </reference>
        </references>
      </pivotArea>
    </chartFormat>
    <chartFormat chart="5" format="16">
      <pivotArea type="data" outline="0" fieldPosition="0">
        <references count="2">
          <reference field="4294967294" count="1" selected="0">
            <x v="0"/>
          </reference>
          <reference field="4" count="1" selected="0">
            <x v="11"/>
          </reference>
        </references>
      </pivotArea>
    </chartFormat>
    <chartFormat chart="5" format="17">
      <pivotArea type="data" outline="0" fieldPosition="0">
        <references count="2">
          <reference field="4294967294" count="1" selected="0">
            <x v="0"/>
          </reference>
          <reference field="4" count="1" selected="0">
            <x v="16"/>
          </reference>
        </references>
      </pivotArea>
    </chartFormat>
    <chartFormat chart="5" format="18">
      <pivotArea type="data" outline="0" fieldPosition="0">
        <references count="2">
          <reference field="4294967294" count="1" selected="0">
            <x v="0"/>
          </reference>
          <reference field="4" count="1" selected="0">
            <x v="2"/>
          </reference>
        </references>
      </pivotArea>
    </chartFormat>
    <chartFormat chart="5" format="19">
      <pivotArea type="data" outline="0" fieldPosition="0">
        <references count="2">
          <reference field="4294967294" count="1" selected="0">
            <x v="0"/>
          </reference>
          <reference field="4" count="1" selected="0">
            <x v="0"/>
          </reference>
        </references>
      </pivotArea>
    </chartFormat>
    <chartFormat chart="5" format="20">
      <pivotArea type="data" outline="0" fieldPosition="0">
        <references count="2">
          <reference field="4294967294" count="1" selected="0">
            <x v="0"/>
          </reference>
          <reference field="4" count="1" selected="0">
            <x v="15"/>
          </reference>
        </references>
      </pivotArea>
    </chartFormat>
  </chartFormats>
  <pivotTableStyleInfo showRowHeaders="1" showColHeaders="1" showRowStripes="0" showColStripes="0" showLastColumn="1"/>
  <filters count="1">
    <filter fld="4"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11A18A3-AB6E-4F26-AEC4-070F322947DF}" name="Tabela dinâmica8" cacheId="27" applyNumberFormats="0" applyBorderFormats="0" applyFontFormats="0" applyPatternFormats="0" applyAlignmentFormats="0" applyWidthHeightFormats="1" dataCaption="Valores" updatedVersion="7" minRefreshableVersion="3" useAutoFormatting="1" rowGrandTotals="0" colGrandTotals="0" itemPrintTitles="1" createdVersion="7" indent="0" outline="1" outlineData="1" multipleFieldFilters="0">
  <location ref="AN19:AN31" firstHeaderRow="1" firstDataRow="1" firstDataCol="1"/>
  <pivotFields count="10">
    <pivotField numFmtId="14" showAll="0">
      <items count="15">
        <item x="0"/>
        <item x="1"/>
        <item x="2"/>
        <item x="3"/>
        <item x="4"/>
        <item x="5"/>
        <item x="6"/>
        <item x="7"/>
        <item x="8"/>
        <item x="9"/>
        <item x="10"/>
        <item x="11"/>
        <item x="12"/>
        <item x="13"/>
        <item t="default"/>
      </items>
    </pivotField>
    <pivotField showAll="0"/>
    <pivotField showAll="0"/>
    <pivotField showAll="0" sortType="ascending"/>
    <pivotField showAll="0"/>
    <pivotField showAll="0"/>
    <pivotField axis="axisRow" showAll="0">
      <items count="13">
        <item x="0"/>
        <item x="1"/>
        <item x="2"/>
        <item x="3"/>
        <item x="4"/>
        <item x="5"/>
        <item x="6"/>
        <item x="7"/>
        <item x="8"/>
        <item x="9"/>
        <item x="10"/>
        <item x="11"/>
        <item t="default"/>
      </items>
    </pivotField>
    <pivotField showAll="0">
      <items count="3">
        <item x="0"/>
        <item h="1" x="1"/>
        <item t="default"/>
      </items>
    </pivotField>
    <pivotField showAll="0">
      <items count="7">
        <item x="0"/>
        <item x="1"/>
        <item x="2"/>
        <item x="3"/>
        <item x="4"/>
        <item x="5"/>
        <item t="default"/>
      </items>
    </pivotField>
    <pivotField showAll="0">
      <items count="5">
        <item x="0"/>
        <item x="1"/>
        <item x="2"/>
        <item x="3"/>
        <item t="default"/>
      </items>
    </pivotField>
  </pivotFields>
  <rowFields count="1">
    <field x="6"/>
  </rowFields>
  <rowItems count="12">
    <i>
      <x/>
    </i>
    <i>
      <x v="1"/>
    </i>
    <i>
      <x v="2"/>
    </i>
    <i>
      <x v="3"/>
    </i>
    <i>
      <x v="4"/>
    </i>
    <i>
      <x v="5"/>
    </i>
    <i>
      <x v="6"/>
    </i>
    <i>
      <x v="7"/>
    </i>
    <i>
      <x v="8"/>
    </i>
    <i>
      <x v="9"/>
    </i>
    <i>
      <x v="10"/>
    </i>
    <i>
      <x v="11"/>
    </i>
  </rowItems>
  <colItems count="1">
    <i/>
  </colItem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18C61DC-A70E-4C91-A618-09FE2C462A31}" name="tAB" cacheId="27" applyNumberFormats="0" applyBorderFormats="0" applyFontFormats="0" applyPatternFormats="0" applyAlignmentFormats="0" applyWidthHeightFormats="1" dataCaption="Valores" updatedVersion="7" minRefreshableVersion="3" pageWrap="5" rowGrandTotals="0" colGrandTotals="0" itemPrintTitles="1" createdVersion="7" indent="0" outline="1" outlineData="1" multipleFieldFilters="0" chartFormat="4">
  <location ref="AC35:AE52" firstHeaderRow="1" firstDataRow="1" firstDataCol="0"/>
  <pivotFields count="10">
    <pivotField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items count="13">
        <item x="0"/>
        <item x="1"/>
        <item x="2"/>
        <item x="3"/>
        <item x="4"/>
        <item x="5"/>
        <item x="6"/>
        <item x="7"/>
        <item x="8"/>
        <item x="9"/>
        <item x="10"/>
        <item x="11"/>
        <item t="default"/>
      </items>
    </pivotField>
    <pivotField showAll="0">
      <items count="3">
        <item x="0"/>
        <item h="1" x="1"/>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B47C4E3-1534-4897-BB61-94E993CC7DB4}" name="Tabela dinâmica5" cacheId="27" applyNumberFormats="0" applyBorderFormats="0" applyFontFormats="0" applyPatternFormats="0" applyAlignmentFormats="0" applyWidthHeightFormats="1" dataCaption="Valores" updatedVersion="7" minRefreshableVersion="3" pageWrap="5" rowGrandTotals="0" colGrandTotals="0" itemPrintTitles="1" createdVersion="7" indent="0" outline="1" outlineData="1" multipleFieldFilters="0" chartFormat="4">
  <location ref="AC13:AD18" firstHeaderRow="1" firstDataRow="1" firstDataCol="1"/>
  <pivotFields count="10">
    <pivotField numFmtId="14" showAll="0">
      <items count="15">
        <item x="0"/>
        <item x="1"/>
        <item x="2"/>
        <item x="3"/>
        <item x="4"/>
        <item x="5"/>
        <item x="6"/>
        <item x="7"/>
        <item x="8"/>
        <item x="9"/>
        <item x="10"/>
        <item x="11"/>
        <item x="12"/>
        <item x="13"/>
        <item t="default"/>
      </items>
    </pivotField>
    <pivotField showAll="0"/>
    <pivotField dataField="1" showAll="0"/>
    <pivotField showAll="0" sortType="ascending">
      <autoSortScope>
        <pivotArea dataOnly="0" outline="0" fieldPosition="0">
          <references count="1">
            <reference field="4294967294" count="1" selected="0">
              <x v="0"/>
            </reference>
          </references>
        </pivotArea>
      </autoSortScope>
    </pivotField>
    <pivotField showAll="0" measureFilter="1" sortType="ascending">
      <autoSortScope>
        <pivotArea dataOnly="0" outline="0" fieldPosition="0">
          <references count="1">
            <reference field="4294967294" count="1" selected="0">
              <x v="0"/>
            </reference>
          </references>
        </pivotArea>
      </autoSortScope>
    </pivotField>
    <pivotField axis="axisRow" showAll="0">
      <items count="3">
        <item h="1" x="1"/>
        <item x="0"/>
        <item t="default"/>
      </items>
    </pivotField>
    <pivotField showAll="0">
      <items count="13">
        <item x="0"/>
        <item x="1"/>
        <item x="2"/>
        <item x="3"/>
        <item x="4"/>
        <item x="5"/>
        <item x="6"/>
        <item x="7"/>
        <item x="8"/>
        <item x="9"/>
        <item x="10"/>
        <item x="11"/>
        <item t="default"/>
      </items>
    </pivotField>
    <pivotField showAll="0">
      <items count="3">
        <item x="0"/>
        <item h="1" x="1"/>
        <item t="default"/>
      </items>
    </pivotField>
    <pivotField axis="axisRow" showAll="0">
      <items count="7">
        <item sd="0" x="0"/>
        <item n="1° Trim" sd="0" x="1"/>
        <item n="2° Trim" sd="0" x="2"/>
        <item n="3° Trim" sd="0" x="3"/>
        <item n="4° Trim" sd="0" x="4"/>
        <item sd="0" x="5"/>
        <item t="default"/>
      </items>
    </pivotField>
    <pivotField showAll="0">
      <items count="5">
        <item sd="0" x="0"/>
        <item sd="0" x="1"/>
        <item sd="0" x="2"/>
        <item sd="0" x="3"/>
        <item t="default"/>
      </items>
    </pivotField>
  </pivotFields>
  <rowFields count="2">
    <field x="5"/>
    <field x="8"/>
  </rowFields>
  <rowItems count="5">
    <i>
      <x v="1"/>
    </i>
    <i r="1">
      <x v="1"/>
    </i>
    <i r="1">
      <x v="2"/>
    </i>
    <i r="1">
      <x v="3"/>
    </i>
    <i r="1">
      <x v="4"/>
    </i>
  </rowItems>
  <colItems count="1">
    <i/>
  </colItems>
  <dataFields count="1">
    <dataField name="Soma de VALOR" fld="2" baseField="0" baseItem="0" numFmtId="164"/>
  </dataFields>
  <chartFormats count="1">
    <chartFormat chart="3"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filters count="1">
    <filter fld="4"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C7F745E5-B90E-4DF1-A20B-430A633C78EC}" name="Tabela dinâmica4" cacheId="27" applyNumberFormats="0" applyBorderFormats="0" applyFontFormats="0" applyPatternFormats="0" applyAlignmentFormats="0" applyWidthHeightFormats="1" dataCaption="Valores" updatedVersion="7" minRefreshableVersion="3" pageWrap="5" rowGrandTotals="0" colGrandTotals="0" itemPrintTitles="1" createdVersion="7" indent="0" outline="1" outlineData="1" multipleFieldFilters="0" chartFormat="5">
  <location ref="AC3:AD8" firstHeaderRow="1" firstDataRow="1" firstDataCol="1"/>
  <pivotFields count="10">
    <pivotField numFmtId="14" showAll="0">
      <items count="15">
        <item x="0"/>
        <item x="1"/>
        <item x="2"/>
        <item x="3"/>
        <item x="4"/>
        <item x="5"/>
        <item x="6"/>
        <item x="7"/>
        <item x="8"/>
        <item x="9"/>
        <item x="10"/>
        <item x="11"/>
        <item x="12"/>
        <item x="13"/>
        <item t="default"/>
      </items>
    </pivotField>
    <pivotField showAll="0"/>
    <pivotField dataField="1" showAll="0"/>
    <pivotField showAll="0" sortType="ascending">
      <autoSortScope>
        <pivotArea dataOnly="0" outline="0" fieldPosition="0">
          <references count="1">
            <reference field="4294967294" count="1" selected="0">
              <x v="0"/>
            </reference>
          </references>
        </pivotArea>
      </autoSortScope>
    </pivotField>
    <pivotField showAll="0" measureFilter="1" sortType="ascending">
      <autoSortScope>
        <pivotArea dataOnly="0" outline="0" fieldPosition="0">
          <references count="1">
            <reference field="4294967294" count="1" selected="0">
              <x v="0"/>
            </reference>
          </references>
        </pivotArea>
      </autoSortScope>
    </pivotField>
    <pivotField axis="axisRow" showAll="0">
      <items count="3">
        <item x="1"/>
        <item h="1" x="0"/>
        <item t="default"/>
      </items>
    </pivotField>
    <pivotField showAll="0">
      <items count="13">
        <item x="0"/>
        <item x="1"/>
        <item x="2"/>
        <item x="3"/>
        <item x="4"/>
        <item x="5"/>
        <item x="6"/>
        <item x="7"/>
        <item x="8"/>
        <item x="9"/>
        <item x="10"/>
        <item x="11"/>
        <item t="default"/>
      </items>
    </pivotField>
    <pivotField showAll="0">
      <items count="3">
        <item x="0"/>
        <item h="1" x="1"/>
        <item t="default"/>
      </items>
    </pivotField>
    <pivotField axis="axisRow" showAll="0">
      <items count="7">
        <item sd="0" x="0"/>
        <item n="1° Trim" sd="0" x="1"/>
        <item n="2° Trim" sd="0" x="2"/>
        <item n="3° Trim" sd="0" x="3"/>
        <item n="4° Trim" sd="0" x="4"/>
        <item sd="0" x="5"/>
        <item t="default"/>
      </items>
    </pivotField>
    <pivotField showAll="0">
      <items count="5">
        <item sd="0" x="0"/>
        <item sd="0" x="1"/>
        <item sd="0" x="2"/>
        <item sd="0" x="3"/>
        <item t="default"/>
      </items>
    </pivotField>
  </pivotFields>
  <rowFields count="2">
    <field x="5"/>
    <field x="8"/>
  </rowFields>
  <rowItems count="5">
    <i>
      <x/>
    </i>
    <i r="1">
      <x v="1"/>
    </i>
    <i r="1">
      <x v="2"/>
    </i>
    <i r="1">
      <x v="3"/>
    </i>
    <i r="1">
      <x v="4"/>
    </i>
  </rowItems>
  <colItems count="1">
    <i/>
  </colItems>
  <dataFields count="1">
    <dataField name="Soma de VALOR" fld="2" baseField="0" baseItem="0" numFmtId="164"/>
  </dataFields>
  <chartFormats count="1">
    <chartFormat chart="3"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filters count="1">
    <filter fld="4"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MÊS1" xr10:uid="{CFFB6C51-7645-49F9-88A8-3ABFF9A2B6BE}" sourceName="MÊS">
  <pivotTables>
    <pivotTable tabId="6" name="Tabela_DimDPC"/>
    <pivotTable tabId="5" name="Tabela_DRE_"/>
    <pivotTable tabId="6" name="Tabela dinâmica1"/>
    <pivotTable tabId="6" name="Tabela dinâmica3"/>
    <pivotTable tabId="6" name="Tabela dinâmica4"/>
    <pivotTable tabId="6" name="Tabela dinâmica5"/>
    <pivotTable tabId="6" name="tAB"/>
    <pivotTable tabId="6" name="Tabela dinâmica9"/>
    <pivotTable tabId="6" name="Tabela dinâmica6"/>
    <pivotTable tabId="6" name="Tabela dinâmica7"/>
    <pivotTable tabId="6" name="Tabela dinâmica8"/>
  </pivotTables>
  <data>
    <tabular pivotCacheId="26480731">
      <items count="12">
        <i x="0" s="1"/>
        <i x="1" s="1"/>
        <i x="2" s="1"/>
        <i x="3" s="1"/>
        <i x="4" s="1"/>
        <i x="5" s="1"/>
        <i x="6" s="1"/>
        <i x="7" s="1"/>
        <i x="8" s="1"/>
        <i x="9" s="1"/>
        <i x="10" s="1"/>
        <i x="11"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ANO1" xr10:uid="{21CE15C5-9ADB-4F14-A4B2-631FB59F8F70}" sourceName="ANO">
  <pivotTables>
    <pivotTable tabId="6" name="Tabela_DimDPC"/>
    <pivotTable tabId="5" name="Tabela_DRE_"/>
    <pivotTable tabId="6" name="Tabela dinâmica1"/>
    <pivotTable tabId="6" name="Tabela dinâmica3"/>
    <pivotTable tabId="6" name="Tabela dinâmica4"/>
    <pivotTable tabId="6" name="Tabela dinâmica5"/>
    <pivotTable tabId="6" name="tAB"/>
    <pivotTable tabId="6" name="Tabela dinâmica9"/>
    <pivotTable tabId="6" name="Tabela dinâmica6"/>
    <pivotTable tabId="6" name="Tabela dinâmica7"/>
    <pivotTable tabId="6" name="Tabela dinâmica8"/>
  </pivotTables>
  <data>
    <tabular pivotCacheId="26480731">
      <items count="2">
        <i x="0" s="1"/>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ÊS 2" xr10:uid="{8FEBEDBA-6738-44FE-B774-E56EA11548AD}" cache="SegmentaçãodeDados_MÊS1" caption="MÊS" columnCount="3" showCaption="0" style="Estilo dre 2 2" rowHeight="241300"/>
  <slicer name="ANO 2" xr10:uid="{6D814A3D-6FF6-4C82-B478-1EEE84D086E9}" cache="SegmentaçãodeDados_ANO1" caption="ANO" columnCount="2" showCaption="0" style="Estilo dre 2 2" rowHeight="39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ÊS 1" xr10:uid="{2C76B43C-26E1-4B8E-934E-EB6B07540D75}" cache="SegmentaçãodeDados_MÊS1" caption="MÊS" columnCount="3" showCaption="0" style="Estilo dre 2 2" lockedPosition="1" rowHeight="241300"/>
  <slicer name="ANO 1" xr10:uid="{72BD2DB5-A896-4076-8675-A222FCA2996F}" cache="SegmentaçãodeDados_ANO1" caption="ANO" columnCount="2" showCaption="0" style="Estilo dre 2 2" lockedPosition="1" rowHeight="396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D1437F6-E4D7-4640-9710-D579A0823840}" name="Tabela_Aux" displayName="Tabela_Aux" ref="A3:E68" totalsRowShown="0">
  <autoFilter ref="A3:E68" xr:uid="{6D1437F6-E4D7-4640-9710-D579A0823840}"/>
  <tableColumns count="5">
    <tableColumn id="5" xr3:uid="{AC967CB1-646F-4075-B8FE-E3A0ED49B6ED}" name="Num." dataDxfId="22"/>
    <tableColumn id="1" xr3:uid="{E4EE4500-A7AD-44B7-83A9-E98CDA84A999}" name="Descrição" dataDxfId="21"/>
    <tableColumn id="2" xr3:uid="{0D25CBB4-6423-4F1F-85C8-674D6B38662A}" name="Categoria" dataDxfId="20"/>
    <tableColumn id="3" xr3:uid="{013F2062-5881-49D4-9915-2FFBD9AE1A74}" name="Tipo" dataDxfId="19"/>
    <tableColumn id="4" xr3:uid="{7EA9A195-9C86-4CCA-98CE-755AB6805065}" name="Info"/>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4CEF78-DA0E-4F32-BB27-1A721043F471}" name="Tabela_Auxiliar" displayName="Tabela_Auxiliar" ref="A2:D67" totalsRowShown="0">
  <autoFilter ref="A2:D67" xr:uid="{9A4CEF78-DA0E-4F32-BB27-1A721043F471}"/>
  <sortState xmlns:xlrd2="http://schemas.microsoft.com/office/spreadsheetml/2017/richdata2" ref="A3:D67">
    <sortCondition ref="B2:B67"/>
  </sortState>
  <tableColumns count="4">
    <tableColumn id="2" xr3:uid="{8600E18B-4256-403F-8F57-555031081E86}" name="Descrição"/>
    <tableColumn id="3" xr3:uid="{0335E971-E3C6-4092-A72F-267D6C490614}" name="Categoria"/>
    <tableColumn id="4" xr3:uid="{D5876A92-4CA9-4495-87F9-D55C494FD902}" name="Tipo"/>
    <tableColumn id="5" xr3:uid="{23FC87BC-87FF-4BC4-8576-90C9343C4104}" name="Info"/>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BEB5B0F-20D5-4955-AE3E-24C6E9F49DBD}" name="Tabela_DB" displayName="Tabela_DB" ref="A1:H5016" totalsRowShown="0">
  <autoFilter ref="A1:H5016" xr:uid="{BBEB5B0F-20D5-4955-AE3E-24C6E9F49DBD}"/>
  <tableColumns count="8">
    <tableColumn id="1" xr3:uid="{DCA43917-6768-41EA-A778-458A3AEFBB1A}" name="DATA" dataDxfId="18"/>
    <tableColumn id="2" xr3:uid="{01D2CCA2-948F-4BFC-A81A-E3298E7A8845}" name="DESCRIÇÃO"/>
    <tableColumn id="3" xr3:uid="{D9980E7F-E9F7-43E4-AC69-632EFFD43F15}" name="VALOR"/>
    <tableColumn id="4" xr3:uid="{947184CD-DD0E-4447-9C6D-404EA3039628}" name="CATEGORIA" dataDxfId="17">
      <calculatedColumnFormula>VLOOKUP(B2,Tabela_Auxiliar[],2,0)</calculatedColumnFormula>
    </tableColumn>
    <tableColumn id="8" xr3:uid="{D4349D98-38E5-4E20-8E2E-16FE43418400}" name="DETALHE" dataDxfId="16">
      <calculatedColumnFormula>VLOOKUP(B2,Tabela_Auxiliar[],4,0)</calculatedColumnFormula>
    </tableColumn>
    <tableColumn id="5" xr3:uid="{4FC2C4CF-37F6-4EFF-AA5E-6A70748848B8}" name="TIPO" dataDxfId="15">
      <calculatedColumnFormula>VLOOKUP(B2,Tabela_Auxiliar[],3,0)</calculatedColumnFormula>
    </tableColumn>
    <tableColumn id="6" xr3:uid="{0D0E7CBB-D1D9-410D-B0C2-AD95EC896DAB}" name="MÊS">
      <calculatedColumnFormula>UPPER(TEXT(Tabela_DB[[#This Row],[DATA]],"mmm"))</calculatedColumnFormula>
    </tableColumn>
    <tableColumn id="7" xr3:uid="{4400A052-8B1E-4DE7-9DB8-635133E02C54}" name="ANO">
      <calculatedColumnFormula>UPPER(TEXT(Tabela_DB[[#This Row],[DATA]],"aaaa"))</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69511E2-6968-4A48-A8E1-3CDFD624E3D9}" name="Tabela_RESUMO" displayName="Tabela_RESUMO" ref="F69:G79" totalsRowShown="0" headerRowDxfId="0" headerRowBorderDxfId="2" tableBorderDxfId="3" totalsRowBorderDxfId="1">
  <autoFilter ref="F69:G79" xr:uid="{C69511E2-6968-4A48-A8E1-3CDFD624E3D9}"/>
  <tableColumns count="2">
    <tableColumn id="1" xr3:uid="{6D0DC167-4EC9-4DB6-9A67-9645FE2F0E0B}" name="EXTRATO OPERACIONAL"/>
    <tableColumn id="2" xr3:uid="{64D099DF-5A2F-4936-BBA0-0B1CA92686B7}" name="Coluna1"/>
  </tableColumns>
  <tableStyleInfo name="TableStyleLight1" showFirstColumn="0" showLastColumn="0" showRowStripes="1" showColumnStripes="0"/>
</table>
</file>

<file path=xl/theme/theme1.xml><?xml version="1.0" encoding="utf-8"?>
<a:theme xmlns:a="http://schemas.openxmlformats.org/drawingml/2006/main" name="Tema do Office">
  <a:themeElements>
    <a:clrScheme name="Papel">
      <a:dk1>
        <a:sysClr val="windowText" lastClr="000000"/>
      </a:dk1>
      <a:lt1>
        <a:sysClr val="window" lastClr="FFFFFF"/>
      </a:lt1>
      <a:dk2>
        <a:srgbClr val="444D26"/>
      </a:dk2>
      <a:lt2>
        <a:srgbClr val="FEFAC9"/>
      </a:lt2>
      <a:accent1>
        <a:srgbClr val="A5B592"/>
      </a:accent1>
      <a:accent2>
        <a:srgbClr val="F3A447"/>
      </a:accent2>
      <a:accent3>
        <a:srgbClr val="E7BC29"/>
      </a:accent3>
      <a:accent4>
        <a:srgbClr val="D092A7"/>
      </a:accent4>
      <a:accent5>
        <a:srgbClr val="9C85C0"/>
      </a:accent5>
      <a:accent6>
        <a:srgbClr val="809EC2"/>
      </a:accent6>
      <a:hlink>
        <a:srgbClr val="8E58B6"/>
      </a:hlink>
      <a:folHlink>
        <a:srgbClr val="7F6F6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9.xml"/><Relationship Id="rId13" Type="http://schemas.openxmlformats.org/officeDocument/2006/relationships/vmlDrawing" Target="../drawings/vmlDrawing2.vml"/><Relationship Id="rId3" Type="http://schemas.openxmlformats.org/officeDocument/2006/relationships/pivotTable" Target="../pivotTables/pivotTable4.xml"/><Relationship Id="rId7" Type="http://schemas.openxmlformats.org/officeDocument/2006/relationships/pivotTable" Target="../pivotTables/pivotTable8.xml"/><Relationship Id="rId12" Type="http://schemas.openxmlformats.org/officeDocument/2006/relationships/printerSettings" Target="../printerSettings/printerSettings4.bin"/><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pivotTable" Target="../pivotTables/pivotTable12.xml"/><Relationship Id="rId5" Type="http://schemas.openxmlformats.org/officeDocument/2006/relationships/pivotTable" Target="../pivotTables/pivotTable6.xml"/><Relationship Id="rId15" Type="http://schemas.openxmlformats.org/officeDocument/2006/relationships/comments" Target="../comments2.xml"/><Relationship Id="rId10" Type="http://schemas.openxmlformats.org/officeDocument/2006/relationships/pivotTable" Target="../pivotTables/pivotTable11.xml"/><Relationship Id="rId4" Type="http://schemas.openxmlformats.org/officeDocument/2006/relationships/pivotTable" Target="../pivotTables/pivotTable5.xml"/><Relationship Id="rId9" Type="http://schemas.openxmlformats.org/officeDocument/2006/relationships/pivotTable" Target="../pivotTables/pivotTable10.xml"/><Relationship Id="rId1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6DE7C-4B0F-4431-AA79-8B84D9AA21F1}">
  <sheetPr codeName="Planilha1"/>
  <dimension ref="A1:E68"/>
  <sheetViews>
    <sheetView topLeftCell="A43" workbookViewId="0">
      <selection activeCell="B21" sqref="B21"/>
    </sheetView>
  </sheetViews>
  <sheetFormatPr defaultRowHeight="14.25" x14ac:dyDescent="0.2"/>
  <cols>
    <col min="1" max="1" width="8.5703125" style="1" bestFit="1" customWidth="1"/>
    <col min="2" max="2" width="56.140625" style="1" bestFit="1" customWidth="1"/>
    <col min="3" max="3" width="37.42578125" style="1" bestFit="1" customWidth="1"/>
    <col min="4" max="4" width="22.85546875" style="1" bestFit="1" customWidth="1"/>
    <col min="5" max="5" width="26.42578125" style="1" bestFit="1" customWidth="1"/>
    <col min="6" max="16384" width="9.140625" style="1"/>
  </cols>
  <sheetData>
    <row r="1" spans="1:5" ht="15.75" customHeight="1" x14ac:dyDescent="0.2">
      <c r="A1" s="65" t="s">
        <v>9</v>
      </c>
      <c r="B1" s="65"/>
      <c r="C1" s="65"/>
      <c r="D1" s="65"/>
      <c r="E1" s="65"/>
    </row>
    <row r="2" spans="1:5" ht="15.75" customHeight="1" x14ac:dyDescent="0.2">
      <c r="A2" s="65"/>
      <c r="B2" s="65"/>
      <c r="C2" s="65"/>
      <c r="D2" s="65"/>
      <c r="E2" s="65"/>
    </row>
    <row r="3" spans="1:5" ht="15" x14ac:dyDescent="0.25">
      <c r="A3" s="5" t="s">
        <v>109</v>
      </c>
      <c r="B3" s="5" t="s">
        <v>106</v>
      </c>
      <c r="C3" s="7" t="s">
        <v>107</v>
      </c>
      <c r="D3" t="s">
        <v>108</v>
      </c>
      <c r="E3" t="s">
        <v>110</v>
      </c>
    </row>
    <row r="4" spans="1:5" ht="15" x14ac:dyDescent="0.25">
      <c r="A4" s="5">
        <v>1</v>
      </c>
      <c r="B4" s="5" t="s">
        <v>4</v>
      </c>
      <c r="C4" s="7" t="s">
        <v>32</v>
      </c>
      <c r="D4" t="s">
        <v>6</v>
      </c>
      <c r="E4" t="s">
        <v>99</v>
      </c>
    </row>
    <row r="5" spans="1:5" ht="15" x14ac:dyDescent="0.25">
      <c r="A5" s="5">
        <v>2</v>
      </c>
      <c r="B5" s="5" t="s">
        <v>3</v>
      </c>
      <c r="C5" s="7" t="s">
        <v>32</v>
      </c>
      <c r="D5" t="s">
        <v>6</v>
      </c>
      <c r="E5" t="s">
        <v>99</v>
      </c>
    </row>
    <row r="6" spans="1:5" ht="15" x14ac:dyDescent="0.25">
      <c r="A6" s="5">
        <v>3</v>
      </c>
      <c r="B6" s="6" t="s">
        <v>37</v>
      </c>
      <c r="C6" s="7" t="s">
        <v>32</v>
      </c>
      <c r="D6" t="s">
        <v>7</v>
      </c>
      <c r="E6" t="s">
        <v>99</v>
      </c>
    </row>
    <row r="7" spans="1:5" ht="15" x14ac:dyDescent="0.25">
      <c r="A7" s="5">
        <v>4</v>
      </c>
      <c r="B7" s="6" t="s">
        <v>38</v>
      </c>
      <c r="C7" s="7" t="s">
        <v>32</v>
      </c>
      <c r="D7" t="s">
        <v>7</v>
      </c>
      <c r="E7" t="s">
        <v>99</v>
      </c>
    </row>
    <row r="8" spans="1:5" ht="15" x14ac:dyDescent="0.25">
      <c r="A8" s="5">
        <v>5</v>
      </c>
      <c r="B8" s="6" t="s">
        <v>35</v>
      </c>
      <c r="C8" s="8" t="s">
        <v>39</v>
      </c>
      <c r="D8" t="s">
        <v>7</v>
      </c>
      <c r="E8" t="s">
        <v>99</v>
      </c>
    </row>
    <row r="9" spans="1:5" ht="15" x14ac:dyDescent="0.25">
      <c r="A9" s="5">
        <v>6</v>
      </c>
      <c r="B9" s="6" t="s">
        <v>34</v>
      </c>
      <c r="C9" s="8" t="s">
        <v>39</v>
      </c>
      <c r="D9" t="s">
        <v>7</v>
      </c>
      <c r="E9" t="s">
        <v>99</v>
      </c>
    </row>
    <row r="10" spans="1:5" ht="15" x14ac:dyDescent="0.25">
      <c r="A10" s="5">
        <v>7</v>
      </c>
      <c r="B10" s="6" t="s">
        <v>36</v>
      </c>
      <c r="C10" s="8" t="s">
        <v>39</v>
      </c>
      <c r="D10" t="s">
        <v>7</v>
      </c>
      <c r="E10" t="s">
        <v>99</v>
      </c>
    </row>
    <row r="11" spans="1:5" ht="15" x14ac:dyDescent="0.25">
      <c r="A11" s="5">
        <v>8</v>
      </c>
      <c r="B11" s="6" t="s">
        <v>40</v>
      </c>
      <c r="C11" s="8" t="s">
        <v>41</v>
      </c>
      <c r="D11" t="s">
        <v>7</v>
      </c>
      <c r="E11" t="s">
        <v>92</v>
      </c>
    </row>
    <row r="12" spans="1:5" ht="15" x14ac:dyDescent="0.25">
      <c r="A12" s="5">
        <v>9</v>
      </c>
      <c r="B12" s="6" t="s">
        <v>5</v>
      </c>
      <c r="C12" s="8" t="s">
        <v>41</v>
      </c>
      <c r="D12" t="s">
        <v>7</v>
      </c>
      <c r="E12" t="s">
        <v>92</v>
      </c>
    </row>
    <row r="13" spans="1:5" ht="15" x14ac:dyDescent="0.25">
      <c r="A13" s="5">
        <v>10</v>
      </c>
      <c r="B13" s="6" t="s">
        <v>42</v>
      </c>
      <c r="C13" s="8" t="s">
        <v>41</v>
      </c>
      <c r="D13" t="s">
        <v>7</v>
      </c>
      <c r="E13" t="s">
        <v>92</v>
      </c>
    </row>
    <row r="14" spans="1:5" ht="15" x14ac:dyDescent="0.25">
      <c r="A14" s="5">
        <v>11</v>
      </c>
      <c r="B14" s="6" t="s">
        <v>43</v>
      </c>
      <c r="C14" s="8" t="s">
        <v>41</v>
      </c>
      <c r="D14" t="s">
        <v>7</v>
      </c>
      <c r="E14" t="s">
        <v>92</v>
      </c>
    </row>
    <row r="15" spans="1:5" ht="15" x14ac:dyDescent="0.25">
      <c r="A15" s="5">
        <v>12</v>
      </c>
      <c r="B15" s="6" t="s">
        <v>44</v>
      </c>
      <c r="C15" s="8" t="s">
        <v>41</v>
      </c>
      <c r="D15" t="s">
        <v>7</v>
      </c>
      <c r="E15" t="s">
        <v>92</v>
      </c>
    </row>
    <row r="16" spans="1:5" ht="15" x14ac:dyDescent="0.25">
      <c r="A16" s="5">
        <v>13</v>
      </c>
      <c r="B16" s="6" t="s">
        <v>45</v>
      </c>
      <c r="C16" s="8" t="s">
        <v>41</v>
      </c>
      <c r="D16" t="s">
        <v>7</v>
      </c>
      <c r="E16" t="s">
        <v>92</v>
      </c>
    </row>
    <row r="17" spans="1:5" ht="15" x14ac:dyDescent="0.25">
      <c r="A17" s="5">
        <v>14</v>
      </c>
      <c r="B17" s="6" t="s">
        <v>46</v>
      </c>
      <c r="C17" s="8" t="s">
        <v>41</v>
      </c>
      <c r="D17" t="s">
        <v>7</v>
      </c>
      <c r="E17" t="s">
        <v>92</v>
      </c>
    </row>
    <row r="18" spans="1:5" ht="15" x14ac:dyDescent="0.25">
      <c r="A18" s="5">
        <v>15</v>
      </c>
      <c r="B18" s="6" t="s">
        <v>47</v>
      </c>
      <c r="C18" s="8" t="s">
        <v>41</v>
      </c>
      <c r="D18" t="s">
        <v>7</v>
      </c>
      <c r="E18" t="s">
        <v>92</v>
      </c>
    </row>
    <row r="19" spans="1:5" ht="15" x14ac:dyDescent="0.25">
      <c r="A19" s="5">
        <v>16</v>
      </c>
      <c r="B19" s="6" t="s">
        <v>48</v>
      </c>
      <c r="C19" s="8" t="s">
        <v>41</v>
      </c>
      <c r="D19" t="s">
        <v>7</v>
      </c>
      <c r="E19" t="s">
        <v>92</v>
      </c>
    </row>
    <row r="20" spans="1:5" ht="15" x14ac:dyDescent="0.25">
      <c r="A20" s="5">
        <v>17</v>
      </c>
      <c r="B20" s="6" t="s">
        <v>49</v>
      </c>
      <c r="C20" s="8" t="s">
        <v>41</v>
      </c>
      <c r="D20" t="s">
        <v>7</v>
      </c>
      <c r="E20" t="s">
        <v>92</v>
      </c>
    </row>
    <row r="21" spans="1:5" ht="15" x14ac:dyDescent="0.25">
      <c r="A21" s="5">
        <v>18</v>
      </c>
      <c r="B21" s="6" t="s">
        <v>50</v>
      </c>
      <c r="C21" s="8" t="s">
        <v>41</v>
      </c>
      <c r="D21" t="s">
        <v>7</v>
      </c>
      <c r="E21" t="s">
        <v>92</v>
      </c>
    </row>
    <row r="22" spans="1:5" ht="15" x14ac:dyDescent="0.25">
      <c r="A22" s="5">
        <v>19</v>
      </c>
      <c r="B22" s="6" t="s">
        <v>51</v>
      </c>
      <c r="C22" s="8" t="s">
        <v>41</v>
      </c>
      <c r="D22" t="s">
        <v>7</v>
      </c>
      <c r="E22" t="s">
        <v>92</v>
      </c>
    </row>
    <row r="23" spans="1:5" ht="15" x14ac:dyDescent="0.25">
      <c r="A23" s="5">
        <v>20</v>
      </c>
      <c r="B23" s="6" t="s">
        <v>52</v>
      </c>
      <c r="C23" s="8" t="s">
        <v>41</v>
      </c>
      <c r="D23" t="s">
        <v>7</v>
      </c>
      <c r="E23" t="s">
        <v>92</v>
      </c>
    </row>
    <row r="24" spans="1:5" ht="15" x14ac:dyDescent="0.25">
      <c r="A24" s="5">
        <v>21</v>
      </c>
      <c r="B24" s="6" t="s">
        <v>53</v>
      </c>
      <c r="C24" s="8" t="s">
        <v>41</v>
      </c>
      <c r="D24" t="s">
        <v>7</v>
      </c>
      <c r="E24" t="s">
        <v>92</v>
      </c>
    </row>
    <row r="25" spans="1:5" ht="15" x14ac:dyDescent="0.25">
      <c r="A25" s="5">
        <v>22</v>
      </c>
      <c r="B25" s="6" t="s">
        <v>54</v>
      </c>
      <c r="C25" s="8" t="s">
        <v>41</v>
      </c>
      <c r="D25" t="s">
        <v>7</v>
      </c>
      <c r="E25" t="s">
        <v>92</v>
      </c>
    </row>
    <row r="26" spans="1:5" ht="15" x14ac:dyDescent="0.25">
      <c r="A26" s="5">
        <v>23</v>
      </c>
      <c r="B26" s="6" t="s">
        <v>8</v>
      </c>
      <c r="C26" s="8" t="s">
        <v>41</v>
      </c>
      <c r="D26" t="s">
        <v>7</v>
      </c>
      <c r="E26" t="s">
        <v>92</v>
      </c>
    </row>
    <row r="27" spans="1:5" ht="15" x14ac:dyDescent="0.25">
      <c r="A27" s="5">
        <v>24</v>
      </c>
      <c r="B27" s="6" t="s">
        <v>55</v>
      </c>
      <c r="C27" s="8" t="s">
        <v>41</v>
      </c>
      <c r="D27" t="s">
        <v>7</v>
      </c>
      <c r="E27" t="s">
        <v>92</v>
      </c>
    </row>
    <row r="28" spans="1:5" ht="15" x14ac:dyDescent="0.25">
      <c r="A28" s="5">
        <v>25</v>
      </c>
      <c r="B28" s="6" t="s">
        <v>56</v>
      </c>
      <c r="C28" s="8" t="s">
        <v>41</v>
      </c>
      <c r="D28" t="s">
        <v>7</v>
      </c>
      <c r="E28" t="s">
        <v>92</v>
      </c>
    </row>
    <row r="29" spans="1:5" ht="15" x14ac:dyDescent="0.25">
      <c r="A29" s="5">
        <v>26</v>
      </c>
      <c r="B29" s="6" t="s">
        <v>57</v>
      </c>
      <c r="C29" s="8" t="s">
        <v>41</v>
      </c>
      <c r="D29" t="s">
        <v>7</v>
      </c>
      <c r="E29" t="s">
        <v>92</v>
      </c>
    </row>
    <row r="30" spans="1:5" ht="15" x14ac:dyDescent="0.25">
      <c r="A30" s="5">
        <v>27</v>
      </c>
      <c r="B30" s="6" t="s">
        <v>58</v>
      </c>
      <c r="C30" s="8" t="s">
        <v>41</v>
      </c>
      <c r="D30" t="s">
        <v>7</v>
      </c>
      <c r="E30" t="s">
        <v>93</v>
      </c>
    </row>
    <row r="31" spans="1:5" ht="15" x14ac:dyDescent="0.25">
      <c r="A31" s="5">
        <v>28</v>
      </c>
      <c r="B31" s="6" t="s">
        <v>59</v>
      </c>
      <c r="C31" s="8" t="s">
        <v>41</v>
      </c>
      <c r="D31" t="s">
        <v>7</v>
      </c>
      <c r="E31" t="s">
        <v>93</v>
      </c>
    </row>
    <row r="32" spans="1:5" ht="15" x14ac:dyDescent="0.25">
      <c r="A32" s="5">
        <v>29</v>
      </c>
      <c r="B32" s="6" t="s">
        <v>60</v>
      </c>
      <c r="C32" s="8" t="s">
        <v>41</v>
      </c>
      <c r="D32" t="s">
        <v>7</v>
      </c>
      <c r="E32" t="s">
        <v>93</v>
      </c>
    </row>
    <row r="33" spans="1:5" ht="15" x14ac:dyDescent="0.25">
      <c r="A33" s="5">
        <v>30</v>
      </c>
      <c r="B33" s="6" t="s">
        <v>61</v>
      </c>
      <c r="C33" s="8" t="s">
        <v>41</v>
      </c>
      <c r="D33" t="s">
        <v>7</v>
      </c>
      <c r="E33" t="s">
        <v>93</v>
      </c>
    </row>
    <row r="34" spans="1:5" ht="15" x14ac:dyDescent="0.25">
      <c r="A34" s="5">
        <v>31</v>
      </c>
      <c r="B34" s="6" t="s">
        <v>62</v>
      </c>
      <c r="C34" s="8" t="s">
        <v>41</v>
      </c>
      <c r="D34" t="s">
        <v>7</v>
      </c>
      <c r="E34" t="s">
        <v>94</v>
      </c>
    </row>
    <row r="35" spans="1:5" ht="15" x14ac:dyDescent="0.25">
      <c r="A35" s="5">
        <v>32</v>
      </c>
      <c r="B35" s="6" t="s">
        <v>63</v>
      </c>
      <c r="C35" s="8" t="s">
        <v>41</v>
      </c>
      <c r="D35" t="s">
        <v>7</v>
      </c>
      <c r="E35" t="s">
        <v>94</v>
      </c>
    </row>
    <row r="36" spans="1:5" ht="15" x14ac:dyDescent="0.25">
      <c r="A36" s="5">
        <v>33</v>
      </c>
      <c r="B36" s="6" t="s">
        <v>64</v>
      </c>
      <c r="C36" s="8" t="s">
        <v>41</v>
      </c>
      <c r="D36" t="s">
        <v>7</v>
      </c>
      <c r="E36" t="s">
        <v>94</v>
      </c>
    </row>
    <row r="37" spans="1:5" ht="15" x14ac:dyDescent="0.25">
      <c r="A37" s="5">
        <v>34</v>
      </c>
      <c r="B37" s="6" t="s">
        <v>65</v>
      </c>
      <c r="C37" s="8" t="s">
        <v>41</v>
      </c>
      <c r="D37" t="s">
        <v>7</v>
      </c>
      <c r="E37" t="s">
        <v>94</v>
      </c>
    </row>
    <row r="38" spans="1:5" ht="15" x14ac:dyDescent="0.25">
      <c r="A38" s="5">
        <v>35</v>
      </c>
      <c r="B38" s="5" t="s">
        <v>33</v>
      </c>
      <c r="C38" s="8" t="s">
        <v>41</v>
      </c>
      <c r="D38" t="s">
        <v>7</v>
      </c>
      <c r="E38" t="s">
        <v>95</v>
      </c>
    </row>
    <row r="39" spans="1:5" ht="15" x14ac:dyDescent="0.25">
      <c r="A39" s="5">
        <v>36</v>
      </c>
      <c r="B39" s="6" t="s">
        <v>66</v>
      </c>
      <c r="C39" s="8" t="s">
        <v>41</v>
      </c>
      <c r="D39" t="s">
        <v>7</v>
      </c>
      <c r="E39" t="s">
        <v>95</v>
      </c>
    </row>
    <row r="40" spans="1:5" ht="15" x14ac:dyDescent="0.25">
      <c r="A40" s="5">
        <v>37</v>
      </c>
      <c r="B40" s="6" t="s">
        <v>67</v>
      </c>
      <c r="C40" s="8" t="s">
        <v>41</v>
      </c>
      <c r="D40" t="s">
        <v>7</v>
      </c>
      <c r="E40" t="s">
        <v>95</v>
      </c>
    </row>
    <row r="41" spans="1:5" ht="15" x14ac:dyDescent="0.25">
      <c r="A41" s="5">
        <v>38</v>
      </c>
      <c r="B41" s="6" t="s">
        <v>68</v>
      </c>
      <c r="C41" s="8" t="s">
        <v>41</v>
      </c>
      <c r="D41" t="s">
        <v>7</v>
      </c>
      <c r="E41" t="s">
        <v>96</v>
      </c>
    </row>
    <row r="42" spans="1:5" ht="15" x14ac:dyDescent="0.25">
      <c r="A42" s="5">
        <v>39</v>
      </c>
      <c r="B42" s="6" t="s">
        <v>69</v>
      </c>
      <c r="C42" s="8" t="s">
        <v>41</v>
      </c>
      <c r="D42" t="s">
        <v>7</v>
      </c>
      <c r="E42" t="s">
        <v>96</v>
      </c>
    </row>
    <row r="43" spans="1:5" ht="15" x14ac:dyDescent="0.25">
      <c r="A43" s="5">
        <v>40</v>
      </c>
      <c r="B43" s="6" t="s">
        <v>70</v>
      </c>
      <c r="C43" s="8" t="s">
        <v>41</v>
      </c>
      <c r="D43" t="s">
        <v>7</v>
      </c>
      <c r="E43" t="s">
        <v>96</v>
      </c>
    </row>
    <row r="44" spans="1:5" ht="15" x14ac:dyDescent="0.25">
      <c r="A44" s="5">
        <v>41</v>
      </c>
      <c r="B44" s="6" t="s">
        <v>71</v>
      </c>
      <c r="C44" s="8" t="s">
        <v>41</v>
      </c>
      <c r="D44" t="s">
        <v>7</v>
      </c>
      <c r="E44" t="s">
        <v>96</v>
      </c>
    </row>
    <row r="45" spans="1:5" ht="15" x14ac:dyDescent="0.25">
      <c r="A45" s="5">
        <v>42</v>
      </c>
      <c r="B45" s="6" t="s">
        <v>72</v>
      </c>
      <c r="C45" s="8" t="s">
        <v>41</v>
      </c>
      <c r="D45" t="s">
        <v>7</v>
      </c>
      <c r="E45" t="s">
        <v>96</v>
      </c>
    </row>
    <row r="46" spans="1:5" ht="15" x14ac:dyDescent="0.25">
      <c r="A46" s="5">
        <v>43</v>
      </c>
      <c r="B46" s="6" t="s">
        <v>73</v>
      </c>
      <c r="C46" s="8" t="s">
        <v>41</v>
      </c>
      <c r="D46" t="s">
        <v>7</v>
      </c>
      <c r="E46" t="s">
        <v>96</v>
      </c>
    </row>
    <row r="47" spans="1:5" ht="15" x14ac:dyDescent="0.25">
      <c r="A47" s="5">
        <v>44</v>
      </c>
      <c r="B47" s="6" t="s">
        <v>74</v>
      </c>
      <c r="C47" s="8" t="s">
        <v>41</v>
      </c>
      <c r="D47" t="s">
        <v>7</v>
      </c>
      <c r="E47" t="s">
        <v>97</v>
      </c>
    </row>
    <row r="48" spans="1:5" ht="15" x14ac:dyDescent="0.25">
      <c r="A48" s="5">
        <v>45</v>
      </c>
      <c r="B48" s="6" t="s">
        <v>75</v>
      </c>
      <c r="C48" s="8" t="s">
        <v>41</v>
      </c>
      <c r="D48" t="s">
        <v>7</v>
      </c>
      <c r="E48" t="s">
        <v>97</v>
      </c>
    </row>
    <row r="49" spans="1:5" ht="15" x14ac:dyDescent="0.25">
      <c r="A49" s="5">
        <v>46</v>
      </c>
      <c r="B49" s="6" t="s">
        <v>76</v>
      </c>
      <c r="C49" s="8" t="s">
        <v>41</v>
      </c>
      <c r="D49" t="s">
        <v>7</v>
      </c>
      <c r="E49" t="s">
        <v>97</v>
      </c>
    </row>
    <row r="50" spans="1:5" ht="15" x14ac:dyDescent="0.25">
      <c r="A50" s="5">
        <v>47</v>
      </c>
      <c r="B50" s="6" t="s">
        <v>77</v>
      </c>
      <c r="C50" s="8" t="s">
        <v>41</v>
      </c>
      <c r="D50" t="s">
        <v>7</v>
      </c>
      <c r="E50" t="s">
        <v>97</v>
      </c>
    </row>
    <row r="51" spans="1:5" ht="15" x14ac:dyDescent="0.25">
      <c r="A51" s="5">
        <v>48</v>
      </c>
      <c r="B51" s="6" t="s">
        <v>78</v>
      </c>
      <c r="C51" s="8" t="s">
        <v>41</v>
      </c>
      <c r="D51" t="s">
        <v>7</v>
      </c>
      <c r="E51" t="s">
        <v>97</v>
      </c>
    </row>
    <row r="52" spans="1:5" ht="15" x14ac:dyDescent="0.25">
      <c r="A52" s="5">
        <v>49</v>
      </c>
      <c r="B52" s="6" t="s">
        <v>79</v>
      </c>
      <c r="C52" s="8" t="s">
        <v>41</v>
      </c>
      <c r="D52" t="s">
        <v>7</v>
      </c>
      <c r="E52" t="s">
        <v>97</v>
      </c>
    </row>
    <row r="53" spans="1:5" ht="15" x14ac:dyDescent="0.25">
      <c r="A53" s="5">
        <v>50</v>
      </c>
      <c r="B53" s="6" t="s">
        <v>80</v>
      </c>
      <c r="C53" s="8" t="s">
        <v>41</v>
      </c>
      <c r="D53" t="s">
        <v>7</v>
      </c>
      <c r="E53" t="s">
        <v>97</v>
      </c>
    </row>
    <row r="54" spans="1:5" ht="15" x14ac:dyDescent="0.25">
      <c r="A54" s="5">
        <v>51</v>
      </c>
      <c r="B54" s="6" t="s">
        <v>81</v>
      </c>
      <c r="C54" s="8" t="s">
        <v>41</v>
      </c>
      <c r="D54" t="s">
        <v>7</v>
      </c>
      <c r="E54" t="s">
        <v>97</v>
      </c>
    </row>
    <row r="55" spans="1:5" ht="15" x14ac:dyDescent="0.25">
      <c r="A55" s="5">
        <v>52</v>
      </c>
      <c r="B55" s="6" t="s">
        <v>82</v>
      </c>
      <c r="C55" s="8" t="s">
        <v>41</v>
      </c>
      <c r="D55" t="s">
        <v>7</v>
      </c>
      <c r="E55" t="s">
        <v>98</v>
      </c>
    </row>
    <row r="56" spans="1:5" ht="15" x14ac:dyDescent="0.25">
      <c r="A56" s="5">
        <v>53</v>
      </c>
      <c r="B56" s="6" t="s">
        <v>83</v>
      </c>
      <c r="C56" s="8" t="s">
        <v>41</v>
      </c>
      <c r="D56" t="s">
        <v>7</v>
      </c>
      <c r="E56" t="s">
        <v>98</v>
      </c>
    </row>
    <row r="57" spans="1:5" ht="15" x14ac:dyDescent="0.25">
      <c r="A57" s="5">
        <v>54</v>
      </c>
      <c r="B57" s="6" t="s">
        <v>84</v>
      </c>
      <c r="C57" s="8" t="s">
        <v>41</v>
      </c>
      <c r="D57" t="s">
        <v>7</v>
      </c>
      <c r="E57" t="s">
        <v>98</v>
      </c>
    </row>
    <row r="58" spans="1:5" ht="15" x14ac:dyDescent="0.25">
      <c r="A58" s="5">
        <v>55</v>
      </c>
      <c r="B58" s="6" t="s">
        <v>85</v>
      </c>
      <c r="C58" s="8" t="s">
        <v>41</v>
      </c>
      <c r="D58" t="s">
        <v>7</v>
      </c>
      <c r="E58" t="s">
        <v>98</v>
      </c>
    </row>
    <row r="59" spans="1:5" ht="15" x14ac:dyDescent="0.25">
      <c r="A59" s="5">
        <v>56</v>
      </c>
      <c r="B59" s="6" t="s">
        <v>86</v>
      </c>
      <c r="C59" s="8" t="s">
        <v>41</v>
      </c>
      <c r="D59" t="s">
        <v>7</v>
      </c>
      <c r="E59" t="s">
        <v>98</v>
      </c>
    </row>
    <row r="60" spans="1:5" ht="15" x14ac:dyDescent="0.25">
      <c r="A60" s="5">
        <v>57</v>
      </c>
      <c r="B60" s="6" t="s">
        <v>66</v>
      </c>
      <c r="C60" s="8" t="s">
        <v>41</v>
      </c>
      <c r="D60" t="s">
        <v>7</v>
      </c>
      <c r="E60" t="s">
        <v>98</v>
      </c>
    </row>
    <row r="61" spans="1:5" ht="15" x14ac:dyDescent="0.25">
      <c r="A61" s="5">
        <v>58</v>
      </c>
      <c r="B61" s="6" t="s">
        <v>87</v>
      </c>
      <c r="C61" s="8" t="s">
        <v>41</v>
      </c>
      <c r="D61" t="s">
        <v>7</v>
      </c>
      <c r="E61" t="s">
        <v>91</v>
      </c>
    </row>
    <row r="62" spans="1:5" ht="15" x14ac:dyDescent="0.25">
      <c r="A62" s="5">
        <v>59</v>
      </c>
      <c r="B62" s="6" t="s">
        <v>88</v>
      </c>
      <c r="C62" s="8" t="s">
        <v>41</v>
      </c>
      <c r="D62" t="s">
        <v>7</v>
      </c>
      <c r="E62" t="s">
        <v>91</v>
      </c>
    </row>
    <row r="63" spans="1:5" ht="15" x14ac:dyDescent="0.25">
      <c r="A63" s="5">
        <v>60</v>
      </c>
      <c r="B63" s="6" t="s">
        <v>89</v>
      </c>
      <c r="C63" s="8" t="s">
        <v>41</v>
      </c>
      <c r="D63" t="s">
        <v>7</v>
      </c>
      <c r="E63" t="s">
        <v>91</v>
      </c>
    </row>
    <row r="64" spans="1:5" ht="15" x14ac:dyDescent="0.25">
      <c r="A64" s="5">
        <v>61</v>
      </c>
      <c r="B64" s="6" t="s">
        <v>90</v>
      </c>
      <c r="C64" s="8" t="s">
        <v>41</v>
      </c>
      <c r="D64" t="s">
        <v>7</v>
      </c>
      <c r="E64" t="s">
        <v>91</v>
      </c>
    </row>
    <row r="65" spans="1:5" ht="15" x14ac:dyDescent="0.25">
      <c r="A65" s="5">
        <v>62</v>
      </c>
      <c r="B65" s="6" t="s">
        <v>100</v>
      </c>
      <c r="C65" s="6" t="s">
        <v>104</v>
      </c>
      <c r="D65" t="s">
        <v>7</v>
      </c>
      <c r="E65" t="s">
        <v>99</v>
      </c>
    </row>
    <row r="66" spans="1:5" ht="15" x14ac:dyDescent="0.25">
      <c r="A66" s="5">
        <v>63</v>
      </c>
      <c r="B66" s="6" t="s">
        <v>101</v>
      </c>
      <c r="C66" s="6" t="s">
        <v>104</v>
      </c>
      <c r="D66" t="s">
        <v>7</v>
      </c>
      <c r="E66" t="s">
        <v>99</v>
      </c>
    </row>
    <row r="67" spans="1:5" ht="15" x14ac:dyDescent="0.25">
      <c r="A67" s="5">
        <v>64</v>
      </c>
      <c r="B67" s="1" t="s">
        <v>31</v>
      </c>
      <c r="C67" s="6" t="s">
        <v>104</v>
      </c>
      <c r="D67" t="s">
        <v>7</v>
      </c>
      <c r="E67" t="s">
        <v>99</v>
      </c>
    </row>
    <row r="68" spans="1:5" ht="15" x14ac:dyDescent="0.25">
      <c r="A68" s="5">
        <v>65</v>
      </c>
      <c r="B68" s="6" t="s">
        <v>102</v>
      </c>
      <c r="C68" s="6" t="s">
        <v>105</v>
      </c>
      <c r="D68" t="s">
        <v>7</v>
      </c>
      <c r="E68" t="s">
        <v>103</v>
      </c>
    </row>
  </sheetData>
  <mergeCells count="1">
    <mergeCell ref="A1:E2"/>
  </mergeCells>
  <pageMargins left="0.511811024" right="0.511811024" top="0.78740157499999996" bottom="0.78740157499999996" header="0.31496062000000002" footer="0.31496062000000002"/>
  <pageSetup paperSize="9" orientation="portrait"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51EA6-E6A1-45F0-BB06-DF06B281B244}">
  <dimension ref="A1:D67"/>
  <sheetViews>
    <sheetView showGridLines="0" showRowColHeaders="0" workbookViewId="0">
      <selection activeCell="B68" sqref="B68"/>
    </sheetView>
  </sheetViews>
  <sheetFormatPr defaultRowHeight="15" x14ac:dyDescent="0.25"/>
  <cols>
    <col min="1" max="2" width="39.140625" bestFit="1" customWidth="1"/>
    <col min="3" max="3" width="37.42578125" bestFit="1" customWidth="1"/>
    <col min="4" max="4" width="25.5703125" bestFit="1" customWidth="1"/>
  </cols>
  <sheetData>
    <row r="1" spans="1:4" x14ac:dyDescent="0.25">
      <c r="A1" s="66" t="s">
        <v>112</v>
      </c>
      <c r="B1" s="66"/>
      <c r="C1" s="66"/>
      <c r="D1" s="66"/>
    </row>
    <row r="2" spans="1:4" x14ac:dyDescent="0.25">
      <c r="A2" t="s">
        <v>106</v>
      </c>
      <c r="B2" t="s">
        <v>107</v>
      </c>
      <c r="C2" t="s">
        <v>108</v>
      </c>
      <c r="D2" t="s">
        <v>110</v>
      </c>
    </row>
    <row r="3" spans="1:4" x14ac:dyDescent="0.25">
      <c r="A3" t="s">
        <v>4</v>
      </c>
      <c r="B3" t="s">
        <v>149</v>
      </c>
      <c r="C3" t="s">
        <v>6</v>
      </c>
      <c r="D3" t="s">
        <v>113</v>
      </c>
    </row>
    <row r="4" spans="1:4" x14ac:dyDescent="0.25">
      <c r="A4" t="s">
        <v>3</v>
      </c>
      <c r="B4" t="s">
        <v>149</v>
      </c>
      <c r="C4" t="s">
        <v>6</v>
      </c>
      <c r="D4" t="s">
        <v>113</v>
      </c>
    </row>
    <row r="5" spans="1:4" x14ac:dyDescent="0.25">
      <c r="A5" t="s">
        <v>35</v>
      </c>
      <c r="B5" t="s">
        <v>39</v>
      </c>
      <c r="C5" t="s">
        <v>7</v>
      </c>
      <c r="D5" t="s">
        <v>114</v>
      </c>
    </row>
    <row r="6" spans="1:4" x14ac:dyDescent="0.25">
      <c r="A6" t="s">
        <v>34</v>
      </c>
      <c r="B6" t="s">
        <v>39</v>
      </c>
      <c r="C6" t="s">
        <v>7</v>
      </c>
      <c r="D6" t="s">
        <v>114</v>
      </c>
    </row>
    <row r="7" spans="1:4" x14ac:dyDescent="0.25">
      <c r="A7" t="s">
        <v>111</v>
      </c>
      <c r="B7" t="s">
        <v>39</v>
      </c>
      <c r="C7" t="s">
        <v>7</v>
      </c>
      <c r="D7" t="s">
        <v>114</v>
      </c>
    </row>
    <row r="8" spans="1:4" x14ac:dyDescent="0.25">
      <c r="A8" t="s">
        <v>38</v>
      </c>
      <c r="B8" t="s">
        <v>39</v>
      </c>
      <c r="C8" t="s">
        <v>7</v>
      </c>
      <c r="D8" t="s">
        <v>117</v>
      </c>
    </row>
    <row r="9" spans="1:4" x14ac:dyDescent="0.25">
      <c r="A9" t="s">
        <v>37</v>
      </c>
      <c r="B9" t="s">
        <v>165</v>
      </c>
      <c r="C9" t="s">
        <v>7</v>
      </c>
      <c r="D9" t="s">
        <v>123</v>
      </c>
    </row>
    <row r="10" spans="1:4" x14ac:dyDescent="0.25">
      <c r="A10" t="s">
        <v>40</v>
      </c>
      <c r="B10" t="s">
        <v>166</v>
      </c>
      <c r="C10" t="s">
        <v>7</v>
      </c>
      <c r="D10" t="s">
        <v>92</v>
      </c>
    </row>
    <row r="11" spans="1:4" x14ac:dyDescent="0.25">
      <c r="A11" t="s">
        <v>5</v>
      </c>
      <c r="B11" t="s">
        <v>166</v>
      </c>
      <c r="C11" t="s">
        <v>7</v>
      </c>
      <c r="D11" t="s">
        <v>92</v>
      </c>
    </row>
    <row r="12" spans="1:4" x14ac:dyDescent="0.25">
      <c r="A12" t="s">
        <v>42</v>
      </c>
      <c r="B12" t="s">
        <v>166</v>
      </c>
      <c r="C12" t="s">
        <v>7</v>
      </c>
      <c r="D12" t="s">
        <v>92</v>
      </c>
    </row>
    <row r="13" spans="1:4" x14ac:dyDescent="0.25">
      <c r="A13" t="s">
        <v>43</v>
      </c>
      <c r="B13" t="s">
        <v>166</v>
      </c>
      <c r="C13" t="s">
        <v>7</v>
      </c>
      <c r="D13" t="s">
        <v>92</v>
      </c>
    </row>
    <row r="14" spans="1:4" x14ac:dyDescent="0.25">
      <c r="A14" t="s">
        <v>44</v>
      </c>
      <c r="B14" t="s">
        <v>166</v>
      </c>
      <c r="C14" t="s">
        <v>7</v>
      </c>
      <c r="D14" t="s">
        <v>92</v>
      </c>
    </row>
    <row r="15" spans="1:4" x14ac:dyDescent="0.25">
      <c r="A15" t="s">
        <v>45</v>
      </c>
      <c r="B15" t="s">
        <v>166</v>
      </c>
      <c r="C15" t="s">
        <v>7</v>
      </c>
      <c r="D15" t="s">
        <v>92</v>
      </c>
    </row>
    <row r="16" spans="1:4" x14ac:dyDescent="0.25">
      <c r="A16" t="s">
        <v>46</v>
      </c>
      <c r="B16" t="s">
        <v>166</v>
      </c>
      <c r="C16" t="s">
        <v>7</v>
      </c>
      <c r="D16" t="s">
        <v>92</v>
      </c>
    </row>
    <row r="17" spans="1:4" x14ac:dyDescent="0.25">
      <c r="A17" t="s">
        <v>47</v>
      </c>
      <c r="B17" t="s">
        <v>166</v>
      </c>
      <c r="C17" t="s">
        <v>7</v>
      </c>
      <c r="D17" t="s">
        <v>92</v>
      </c>
    </row>
    <row r="18" spans="1:4" x14ac:dyDescent="0.25">
      <c r="A18" t="s">
        <v>48</v>
      </c>
      <c r="B18" t="s">
        <v>166</v>
      </c>
      <c r="C18" t="s">
        <v>7</v>
      </c>
      <c r="D18" t="s">
        <v>92</v>
      </c>
    </row>
    <row r="19" spans="1:4" x14ac:dyDescent="0.25">
      <c r="A19" t="s">
        <v>49</v>
      </c>
      <c r="B19" t="s">
        <v>166</v>
      </c>
      <c r="C19" t="s">
        <v>7</v>
      </c>
      <c r="D19" t="s">
        <v>92</v>
      </c>
    </row>
    <row r="20" spans="1:4" x14ac:dyDescent="0.25">
      <c r="A20" t="s">
        <v>50</v>
      </c>
      <c r="B20" t="s">
        <v>166</v>
      </c>
      <c r="C20" t="s">
        <v>7</v>
      </c>
      <c r="D20" t="s">
        <v>92</v>
      </c>
    </row>
    <row r="21" spans="1:4" x14ac:dyDescent="0.25">
      <c r="A21" t="s">
        <v>51</v>
      </c>
      <c r="B21" t="s">
        <v>166</v>
      </c>
      <c r="C21" t="s">
        <v>7</v>
      </c>
      <c r="D21" t="s">
        <v>92</v>
      </c>
    </row>
    <row r="22" spans="1:4" x14ac:dyDescent="0.25">
      <c r="A22" t="s">
        <v>52</v>
      </c>
      <c r="B22" t="s">
        <v>166</v>
      </c>
      <c r="C22" t="s">
        <v>7</v>
      </c>
      <c r="D22" t="s">
        <v>92</v>
      </c>
    </row>
    <row r="23" spans="1:4" x14ac:dyDescent="0.25">
      <c r="A23" t="s">
        <v>53</v>
      </c>
      <c r="B23" t="s">
        <v>166</v>
      </c>
      <c r="C23" t="s">
        <v>7</v>
      </c>
      <c r="D23" t="s">
        <v>92</v>
      </c>
    </row>
    <row r="24" spans="1:4" x14ac:dyDescent="0.25">
      <c r="A24" t="s">
        <v>54</v>
      </c>
      <c r="B24" t="s">
        <v>166</v>
      </c>
      <c r="C24" t="s">
        <v>7</v>
      </c>
      <c r="D24" t="s">
        <v>92</v>
      </c>
    </row>
    <row r="25" spans="1:4" x14ac:dyDescent="0.25">
      <c r="A25" t="s">
        <v>8</v>
      </c>
      <c r="B25" t="s">
        <v>166</v>
      </c>
      <c r="C25" t="s">
        <v>7</v>
      </c>
      <c r="D25" t="s">
        <v>92</v>
      </c>
    </row>
    <row r="26" spans="1:4" x14ac:dyDescent="0.25">
      <c r="A26" t="s">
        <v>55</v>
      </c>
      <c r="B26" t="s">
        <v>166</v>
      </c>
      <c r="C26" t="s">
        <v>7</v>
      </c>
      <c r="D26" t="s">
        <v>92</v>
      </c>
    </row>
    <row r="27" spans="1:4" x14ac:dyDescent="0.25">
      <c r="A27" t="s">
        <v>56</v>
      </c>
      <c r="B27" t="s">
        <v>166</v>
      </c>
      <c r="C27" t="s">
        <v>7</v>
      </c>
      <c r="D27" t="s">
        <v>92</v>
      </c>
    </row>
    <row r="28" spans="1:4" x14ac:dyDescent="0.25">
      <c r="A28" t="s">
        <v>57</v>
      </c>
      <c r="B28" t="s">
        <v>166</v>
      </c>
      <c r="C28" t="s">
        <v>7</v>
      </c>
      <c r="D28" t="s">
        <v>92</v>
      </c>
    </row>
    <row r="29" spans="1:4" x14ac:dyDescent="0.25">
      <c r="A29" t="s">
        <v>58</v>
      </c>
      <c r="B29" t="s">
        <v>166</v>
      </c>
      <c r="C29" t="s">
        <v>7</v>
      </c>
      <c r="D29" t="s">
        <v>93</v>
      </c>
    </row>
    <row r="30" spans="1:4" x14ac:dyDescent="0.25">
      <c r="A30" t="s">
        <v>59</v>
      </c>
      <c r="B30" t="s">
        <v>166</v>
      </c>
      <c r="C30" t="s">
        <v>7</v>
      </c>
      <c r="D30" t="s">
        <v>93</v>
      </c>
    </row>
    <row r="31" spans="1:4" x14ac:dyDescent="0.25">
      <c r="A31" t="s">
        <v>60</v>
      </c>
      <c r="B31" t="s">
        <v>166</v>
      </c>
      <c r="C31" t="s">
        <v>7</v>
      </c>
      <c r="D31" t="s">
        <v>93</v>
      </c>
    </row>
    <row r="32" spans="1:4" x14ac:dyDescent="0.25">
      <c r="A32" t="s">
        <v>61</v>
      </c>
      <c r="B32" t="s">
        <v>166</v>
      </c>
      <c r="C32" t="s">
        <v>7</v>
      </c>
      <c r="D32" t="s">
        <v>93</v>
      </c>
    </row>
    <row r="33" spans="1:4" x14ac:dyDescent="0.25">
      <c r="A33" t="s">
        <v>62</v>
      </c>
      <c r="B33" t="s">
        <v>166</v>
      </c>
      <c r="C33" t="s">
        <v>7</v>
      </c>
      <c r="D33" t="s">
        <v>94</v>
      </c>
    </row>
    <row r="34" spans="1:4" x14ac:dyDescent="0.25">
      <c r="A34" t="s">
        <v>63</v>
      </c>
      <c r="B34" t="s">
        <v>166</v>
      </c>
      <c r="C34" t="s">
        <v>7</v>
      </c>
      <c r="D34" t="s">
        <v>94</v>
      </c>
    </row>
    <row r="35" spans="1:4" x14ac:dyDescent="0.25">
      <c r="A35" t="s">
        <v>64</v>
      </c>
      <c r="B35" t="s">
        <v>166</v>
      </c>
      <c r="C35" t="s">
        <v>7</v>
      </c>
      <c r="D35" t="s">
        <v>94</v>
      </c>
    </row>
    <row r="36" spans="1:4" x14ac:dyDescent="0.25">
      <c r="A36" t="s">
        <v>65</v>
      </c>
      <c r="B36" t="s">
        <v>166</v>
      </c>
      <c r="C36" t="s">
        <v>7</v>
      </c>
      <c r="D36" t="s">
        <v>94</v>
      </c>
    </row>
    <row r="37" spans="1:4" x14ac:dyDescent="0.25">
      <c r="A37" t="s">
        <v>33</v>
      </c>
      <c r="B37" t="s">
        <v>166</v>
      </c>
      <c r="C37" t="s">
        <v>7</v>
      </c>
      <c r="D37" t="s">
        <v>95</v>
      </c>
    </row>
    <row r="38" spans="1:4" x14ac:dyDescent="0.25">
      <c r="A38" t="s">
        <v>66</v>
      </c>
      <c r="B38" t="s">
        <v>166</v>
      </c>
      <c r="C38" t="s">
        <v>7</v>
      </c>
      <c r="D38" t="s">
        <v>95</v>
      </c>
    </row>
    <row r="39" spans="1:4" x14ac:dyDescent="0.25">
      <c r="A39" t="s">
        <v>67</v>
      </c>
      <c r="B39" t="s">
        <v>166</v>
      </c>
      <c r="C39" t="s">
        <v>7</v>
      </c>
      <c r="D39" t="s">
        <v>95</v>
      </c>
    </row>
    <row r="40" spans="1:4" x14ac:dyDescent="0.25">
      <c r="A40" t="s">
        <v>68</v>
      </c>
      <c r="B40" t="s">
        <v>166</v>
      </c>
      <c r="C40" t="s">
        <v>7</v>
      </c>
      <c r="D40" t="s">
        <v>96</v>
      </c>
    </row>
    <row r="41" spans="1:4" x14ac:dyDescent="0.25">
      <c r="A41" t="s">
        <v>69</v>
      </c>
      <c r="B41" t="s">
        <v>166</v>
      </c>
      <c r="C41" t="s">
        <v>7</v>
      </c>
      <c r="D41" t="s">
        <v>96</v>
      </c>
    </row>
    <row r="42" spans="1:4" x14ac:dyDescent="0.25">
      <c r="A42" t="s">
        <v>70</v>
      </c>
      <c r="B42" t="s">
        <v>166</v>
      </c>
      <c r="C42" t="s">
        <v>7</v>
      </c>
      <c r="D42" t="s">
        <v>96</v>
      </c>
    </row>
    <row r="43" spans="1:4" x14ac:dyDescent="0.25">
      <c r="A43" t="s">
        <v>71</v>
      </c>
      <c r="B43" t="s">
        <v>166</v>
      </c>
      <c r="C43" t="s">
        <v>7</v>
      </c>
      <c r="D43" t="s">
        <v>96</v>
      </c>
    </row>
    <row r="44" spans="1:4" x14ac:dyDescent="0.25">
      <c r="A44" t="s">
        <v>72</v>
      </c>
      <c r="B44" t="s">
        <v>166</v>
      </c>
      <c r="C44" t="s">
        <v>7</v>
      </c>
      <c r="D44" t="s">
        <v>96</v>
      </c>
    </row>
    <row r="45" spans="1:4" x14ac:dyDescent="0.25">
      <c r="A45" t="s">
        <v>73</v>
      </c>
      <c r="B45" t="s">
        <v>166</v>
      </c>
      <c r="C45" t="s">
        <v>7</v>
      </c>
      <c r="D45" t="s">
        <v>96</v>
      </c>
    </row>
    <row r="46" spans="1:4" x14ac:dyDescent="0.25">
      <c r="A46" t="s">
        <v>74</v>
      </c>
      <c r="B46" t="s">
        <v>166</v>
      </c>
      <c r="C46" t="s">
        <v>7</v>
      </c>
      <c r="D46" t="s">
        <v>97</v>
      </c>
    </row>
    <row r="47" spans="1:4" x14ac:dyDescent="0.25">
      <c r="A47" t="s">
        <v>75</v>
      </c>
      <c r="B47" t="s">
        <v>166</v>
      </c>
      <c r="C47" t="s">
        <v>7</v>
      </c>
      <c r="D47" t="s">
        <v>97</v>
      </c>
    </row>
    <row r="48" spans="1:4" x14ac:dyDescent="0.25">
      <c r="A48" t="s">
        <v>76</v>
      </c>
      <c r="B48" t="s">
        <v>166</v>
      </c>
      <c r="C48" t="s">
        <v>7</v>
      </c>
      <c r="D48" t="s">
        <v>97</v>
      </c>
    </row>
    <row r="49" spans="1:4" x14ac:dyDescent="0.25">
      <c r="A49" t="s">
        <v>77</v>
      </c>
      <c r="B49" t="s">
        <v>166</v>
      </c>
      <c r="C49" t="s">
        <v>7</v>
      </c>
      <c r="D49" t="s">
        <v>97</v>
      </c>
    </row>
    <row r="50" spans="1:4" x14ac:dyDescent="0.25">
      <c r="A50" t="s">
        <v>78</v>
      </c>
      <c r="B50" t="s">
        <v>166</v>
      </c>
      <c r="C50" t="s">
        <v>7</v>
      </c>
      <c r="D50" t="s">
        <v>97</v>
      </c>
    </row>
    <row r="51" spans="1:4" x14ac:dyDescent="0.25">
      <c r="A51" t="s">
        <v>79</v>
      </c>
      <c r="B51" t="s">
        <v>166</v>
      </c>
      <c r="C51" t="s">
        <v>7</v>
      </c>
      <c r="D51" t="s">
        <v>97</v>
      </c>
    </row>
    <row r="52" spans="1:4" x14ac:dyDescent="0.25">
      <c r="A52" t="s">
        <v>80</v>
      </c>
      <c r="B52" t="s">
        <v>166</v>
      </c>
      <c r="C52" t="s">
        <v>7</v>
      </c>
      <c r="D52" t="s">
        <v>97</v>
      </c>
    </row>
    <row r="53" spans="1:4" x14ac:dyDescent="0.25">
      <c r="A53" t="s">
        <v>81</v>
      </c>
      <c r="B53" t="s">
        <v>166</v>
      </c>
      <c r="C53" t="s">
        <v>7</v>
      </c>
      <c r="D53" t="s">
        <v>97</v>
      </c>
    </row>
    <row r="54" spans="1:4" x14ac:dyDescent="0.25">
      <c r="A54" t="s">
        <v>82</v>
      </c>
      <c r="B54" t="s">
        <v>166</v>
      </c>
      <c r="C54" t="s">
        <v>7</v>
      </c>
      <c r="D54" t="s">
        <v>98</v>
      </c>
    </row>
    <row r="55" spans="1:4" x14ac:dyDescent="0.25">
      <c r="A55" t="s">
        <v>83</v>
      </c>
      <c r="B55" t="s">
        <v>166</v>
      </c>
      <c r="C55" t="s">
        <v>7</v>
      </c>
      <c r="D55" t="s">
        <v>98</v>
      </c>
    </row>
    <row r="56" spans="1:4" x14ac:dyDescent="0.25">
      <c r="A56" t="s">
        <v>84</v>
      </c>
      <c r="B56" t="s">
        <v>166</v>
      </c>
      <c r="C56" t="s">
        <v>7</v>
      </c>
      <c r="D56" t="s">
        <v>98</v>
      </c>
    </row>
    <row r="57" spans="1:4" x14ac:dyDescent="0.25">
      <c r="A57" t="s">
        <v>85</v>
      </c>
      <c r="B57" t="s">
        <v>166</v>
      </c>
      <c r="C57" t="s">
        <v>7</v>
      </c>
      <c r="D57" t="s">
        <v>98</v>
      </c>
    </row>
    <row r="58" spans="1:4" x14ac:dyDescent="0.25">
      <c r="A58" t="s">
        <v>86</v>
      </c>
      <c r="B58" t="s">
        <v>166</v>
      </c>
      <c r="C58" t="s">
        <v>7</v>
      </c>
      <c r="D58" t="s">
        <v>98</v>
      </c>
    </row>
    <row r="59" spans="1:4" x14ac:dyDescent="0.25">
      <c r="A59" t="s">
        <v>66</v>
      </c>
      <c r="B59" t="s">
        <v>166</v>
      </c>
      <c r="C59" t="s">
        <v>7</v>
      </c>
      <c r="D59" t="s">
        <v>98</v>
      </c>
    </row>
    <row r="60" spans="1:4" x14ac:dyDescent="0.25">
      <c r="A60" t="s">
        <v>87</v>
      </c>
      <c r="B60" t="s">
        <v>166</v>
      </c>
      <c r="C60" t="s">
        <v>7</v>
      </c>
      <c r="D60" t="s">
        <v>91</v>
      </c>
    </row>
    <row r="61" spans="1:4" x14ac:dyDescent="0.25">
      <c r="A61" t="s">
        <v>88</v>
      </c>
      <c r="B61" t="s">
        <v>166</v>
      </c>
      <c r="C61" t="s">
        <v>7</v>
      </c>
      <c r="D61" t="s">
        <v>91</v>
      </c>
    </row>
    <row r="62" spans="1:4" x14ac:dyDescent="0.25">
      <c r="A62" t="s">
        <v>89</v>
      </c>
      <c r="B62" t="s">
        <v>166</v>
      </c>
      <c r="C62" t="s">
        <v>7</v>
      </c>
      <c r="D62" t="s">
        <v>91</v>
      </c>
    </row>
    <row r="63" spans="1:4" x14ac:dyDescent="0.25">
      <c r="A63" t="s">
        <v>90</v>
      </c>
      <c r="B63" t="s">
        <v>166</v>
      </c>
      <c r="C63" t="s">
        <v>7</v>
      </c>
      <c r="D63" t="s">
        <v>91</v>
      </c>
    </row>
    <row r="64" spans="1:4" x14ac:dyDescent="0.25">
      <c r="A64" t="s">
        <v>100</v>
      </c>
      <c r="B64" t="s">
        <v>168</v>
      </c>
      <c r="C64" t="s">
        <v>7</v>
      </c>
      <c r="D64" t="s">
        <v>100</v>
      </c>
    </row>
    <row r="65" spans="1:4" x14ac:dyDescent="0.25">
      <c r="A65" t="s">
        <v>101</v>
      </c>
      <c r="B65" t="s">
        <v>168</v>
      </c>
      <c r="C65" t="s">
        <v>7</v>
      </c>
      <c r="D65" t="s">
        <v>101</v>
      </c>
    </row>
    <row r="66" spans="1:4" x14ac:dyDescent="0.25">
      <c r="A66" t="s">
        <v>31</v>
      </c>
      <c r="B66" t="s">
        <v>168</v>
      </c>
      <c r="C66" t="s">
        <v>7</v>
      </c>
      <c r="D66" t="s">
        <v>31</v>
      </c>
    </row>
    <row r="67" spans="1:4" x14ac:dyDescent="0.25">
      <c r="A67" t="s">
        <v>102</v>
      </c>
      <c r="B67" t="s">
        <v>167</v>
      </c>
      <c r="C67" t="s">
        <v>7</v>
      </c>
      <c r="D67" t="s">
        <v>103</v>
      </c>
    </row>
  </sheetData>
  <mergeCells count="1">
    <mergeCell ref="A1:D1"/>
  </mergeCells>
  <pageMargins left="0.511811024" right="0.511811024" top="0.78740157499999996" bottom="0.78740157499999996" header="0.31496062000000002" footer="0.31496062000000002"/>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7B57A-28EE-4960-8719-9FCAA9D6ABC5}">
  <dimension ref="A1:V37"/>
  <sheetViews>
    <sheetView showGridLines="0" showRowColHeaders="0" tabSelected="1" zoomScaleNormal="100" workbookViewId="0">
      <selection activeCell="F36" sqref="F36"/>
    </sheetView>
  </sheetViews>
  <sheetFormatPr defaultColWidth="0" defaultRowHeight="15" zeroHeight="1" x14ac:dyDescent="0.25"/>
  <cols>
    <col min="1" max="22" width="9.140625" customWidth="1"/>
    <col min="23" max="16384" width="9.140625" hidden="1"/>
  </cols>
  <sheetData>
    <row r="1" spans="1:22" x14ac:dyDescent="0.25">
      <c r="A1" s="13"/>
      <c r="B1" s="13"/>
      <c r="C1" s="13"/>
      <c r="D1" s="13"/>
      <c r="E1" s="13"/>
      <c r="F1" s="13"/>
      <c r="G1" s="13"/>
      <c r="H1" s="13"/>
      <c r="I1" s="13"/>
      <c r="J1" s="13"/>
      <c r="K1" s="13"/>
      <c r="L1" s="13"/>
      <c r="M1" s="13"/>
      <c r="N1" s="13"/>
      <c r="O1" s="13"/>
      <c r="P1" s="13"/>
      <c r="Q1" s="13"/>
      <c r="R1" s="13"/>
      <c r="S1" s="13"/>
      <c r="T1" s="13"/>
      <c r="U1" s="13"/>
      <c r="V1" s="13"/>
    </row>
    <row r="2" spans="1:22" x14ac:dyDescent="0.25">
      <c r="A2" s="13"/>
      <c r="B2" s="13"/>
      <c r="C2" s="13"/>
      <c r="D2" s="13"/>
      <c r="E2" s="13"/>
      <c r="F2" s="13"/>
      <c r="G2" s="13"/>
      <c r="H2" s="13"/>
      <c r="I2" s="13"/>
      <c r="J2" s="13"/>
      <c r="K2" s="13"/>
      <c r="L2" s="13"/>
      <c r="M2" s="13"/>
      <c r="N2" s="13"/>
      <c r="O2" s="13"/>
      <c r="P2" s="13"/>
      <c r="Q2" s="13"/>
      <c r="R2" s="13"/>
      <c r="S2" s="13"/>
      <c r="T2" s="13"/>
      <c r="U2" s="13"/>
      <c r="V2" s="13"/>
    </row>
    <row r="3" spans="1:22" x14ac:dyDescent="0.25">
      <c r="A3" s="13"/>
      <c r="B3" s="13"/>
      <c r="C3" s="13"/>
      <c r="D3" s="13"/>
      <c r="E3" s="13"/>
      <c r="F3" s="13"/>
      <c r="G3" s="13"/>
      <c r="H3" s="13"/>
      <c r="I3" s="13"/>
      <c r="J3" s="13"/>
      <c r="K3" s="13"/>
      <c r="L3" s="13"/>
      <c r="M3" s="13"/>
      <c r="N3" s="13"/>
      <c r="O3" s="13"/>
      <c r="P3" s="13"/>
      <c r="Q3" s="13"/>
      <c r="R3" s="13"/>
      <c r="S3" s="13"/>
      <c r="T3" s="13"/>
      <c r="U3" s="13"/>
      <c r="V3" s="13"/>
    </row>
    <row r="4" spans="1:22" x14ac:dyDescent="0.25">
      <c r="A4" s="13"/>
      <c r="B4" s="13"/>
      <c r="C4" s="13"/>
      <c r="D4" s="13"/>
      <c r="E4" s="13"/>
      <c r="F4" s="13"/>
      <c r="G4" s="13"/>
      <c r="H4" s="13"/>
      <c r="I4" s="13"/>
      <c r="J4" s="13"/>
      <c r="K4" s="13"/>
      <c r="L4" s="13"/>
      <c r="M4" s="13"/>
      <c r="N4" s="13"/>
      <c r="O4" s="13"/>
      <c r="P4" s="13"/>
      <c r="Q4" s="13"/>
      <c r="R4" s="13"/>
      <c r="S4" s="13"/>
      <c r="T4" s="13"/>
      <c r="U4" s="13"/>
      <c r="V4" s="13"/>
    </row>
    <row r="5" spans="1:22" x14ac:dyDescent="0.25">
      <c r="A5" s="13"/>
      <c r="B5" s="13"/>
      <c r="C5" s="13"/>
      <c r="D5" s="13"/>
      <c r="E5" s="13"/>
      <c r="F5" s="13"/>
      <c r="G5" s="13"/>
      <c r="H5" s="13"/>
      <c r="I5" s="13"/>
      <c r="J5" s="13"/>
      <c r="K5" s="13"/>
      <c r="L5" s="13"/>
      <c r="M5" s="13"/>
      <c r="N5" s="13"/>
      <c r="O5" s="13"/>
      <c r="P5" s="13"/>
      <c r="Q5" s="13"/>
      <c r="R5" s="13"/>
      <c r="S5" s="13"/>
      <c r="T5" s="13"/>
      <c r="U5" s="13"/>
      <c r="V5" s="13"/>
    </row>
    <row r="6" spans="1:22" x14ac:dyDescent="0.25">
      <c r="A6" s="13"/>
      <c r="B6" s="13"/>
      <c r="C6" s="13"/>
      <c r="D6" s="13"/>
      <c r="E6" s="13"/>
      <c r="F6" s="13"/>
      <c r="G6" s="13"/>
      <c r="H6" s="13"/>
      <c r="I6" s="13"/>
      <c r="J6" s="13"/>
      <c r="K6" s="13"/>
      <c r="L6" s="13"/>
      <c r="M6" s="13"/>
      <c r="N6" s="13"/>
      <c r="O6" s="13"/>
      <c r="P6" s="13"/>
      <c r="Q6" s="13"/>
      <c r="R6" s="13"/>
      <c r="S6" s="13"/>
      <c r="T6" s="13"/>
      <c r="U6" s="13"/>
      <c r="V6" s="13"/>
    </row>
    <row r="7" spans="1:22" x14ac:dyDescent="0.25">
      <c r="A7" s="13"/>
      <c r="B7" s="13"/>
      <c r="C7" s="13"/>
      <c r="D7" s="13"/>
      <c r="E7" s="13"/>
      <c r="F7" s="13"/>
      <c r="G7" s="13"/>
      <c r="H7" s="13"/>
      <c r="I7" s="13"/>
      <c r="J7" s="13"/>
      <c r="K7" s="13"/>
      <c r="L7" s="13"/>
      <c r="M7" s="13"/>
      <c r="N7" s="13"/>
      <c r="O7" s="13"/>
      <c r="P7" s="13"/>
      <c r="Q7" s="13"/>
      <c r="R7" s="13"/>
      <c r="S7" s="13"/>
      <c r="T7" s="13"/>
      <c r="U7" s="13"/>
      <c r="V7" s="13"/>
    </row>
    <row r="8" spans="1:22" x14ac:dyDescent="0.25">
      <c r="A8" s="13"/>
      <c r="B8" s="13"/>
      <c r="C8" s="13"/>
      <c r="D8" s="13"/>
      <c r="E8" s="13"/>
      <c r="F8" s="13"/>
      <c r="G8" s="13"/>
      <c r="H8" s="13"/>
      <c r="I8" s="13"/>
      <c r="J8" s="13"/>
      <c r="K8" s="13"/>
      <c r="L8" s="13"/>
      <c r="M8" s="13"/>
      <c r="N8" s="13"/>
      <c r="O8" s="13"/>
      <c r="P8" s="13"/>
      <c r="Q8" s="13"/>
      <c r="R8" s="13"/>
      <c r="S8" s="13"/>
      <c r="T8" s="13"/>
      <c r="U8" s="13"/>
      <c r="V8" s="13"/>
    </row>
    <row r="9" spans="1:22" x14ac:dyDescent="0.25">
      <c r="A9" s="13"/>
      <c r="B9" s="13"/>
      <c r="C9" s="13"/>
      <c r="D9" s="13"/>
      <c r="E9" s="13"/>
      <c r="F9" s="13"/>
      <c r="G9" s="13"/>
      <c r="H9" s="13"/>
      <c r="I9" s="13"/>
      <c r="J9" s="13"/>
      <c r="K9" s="13"/>
      <c r="L9" s="13"/>
      <c r="M9" s="13"/>
      <c r="N9" s="13"/>
      <c r="O9" s="13"/>
      <c r="P9" s="13"/>
      <c r="Q9" s="13"/>
      <c r="R9" s="13"/>
      <c r="S9" s="13"/>
      <c r="T9" s="13"/>
      <c r="U9" s="13"/>
      <c r="V9" s="13"/>
    </row>
    <row r="10" spans="1:22" x14ac:dyDescent="0.25">
      <c r="A10" s="13"/>
      <c r="B10" s="13"/>
      <c r="C10" s="13"/>
      <c r="D10" s="13"/>
      <c r="E10" s="13"/>
      <c r="F10" s="13"/>
      <c r="G10" s="13"/>
      <c r="H10" s="13"/>
      <c r="I10" s="13"/>
      <c r="J10" s="13"/>
      <c r="K10" s="13"/>
      <c r="L10" s="13"/>
      <c r="M10" s="13"/>
      <c r="N10" s="13"/>
      <c r="O10" s="13"/>
      <c r="P10" s="13"/>
      <c r="Q10" s="13"/>
      <c r="R10" s="13"/>
      <c r="S10" s="13"/>
      <c r="T10" s="13"/>
      <c r="U10" s="13"/>
      <c r="V10" s="13"/>
    </row>
    <row r="11" spans="1:22" x14ac:dyDescent="0.25">
      <c r="A11" s="13"/>
      <c r="B11" s="13"/>
      <c r="C11" s="13"/>
      <c r="D11" s="13"/>
      <c r="E11" s="13"/>
      <c r="F11" s="13"/>
      <c r="G11" s="13"/>
      <c r="H11" s="13"/>
      <c r="I11" s="13"/>
      <c r="J11" s="13"/>
      <c r="K11" s="13"/>
      <c r="L11" s="13"/>
      <c r="M11" s="13"/>
      <c r="N11" s="13"/>
      <c r="O11" s="13"/>
      <c r="P11" s="13"/>
      <c r="Q11" s="13"/>
      <c r="R11" s="13"/>
      <c r="S11" s="13"/>
      <c r="T11" s="13"/>
      <c r="U11" s="13"/>
      <c r="V11" s="13"/>
    </row>
    <row r="12" spans="1:22" x14ac:dyDescent="0.25">
      <c r="A12" s="13"/>
      <c r="B12" s="13"/>
      <c r="C12" s="13"/>
      <c r="D12" s="13"/>
      <c r="E12" s="13"/>
      <c r="F12" s="13"/>
      <c r="G12" s="13"/>
      <c r="H12" s="13"/>
      <c r="I12" s="13"/>
      <c r="J12" s="13"/>
      <c r="K12" s="13"/>
      <c r="L12" s="13"/>
      <c r="M12" s="13"/>
      <c r="N12" s="13"/>
      <c r="O12" s="13"/>
      <c r="P12" s="13"/>
      <c r="Q12" s="13"/>
      <c r="R12" s="13"/>
      <c r="S12" s="13"/>
      <c r="T12" s="13"/>
      <c r="U12" s="13"/>
      <c r="V12" s="13"/>
    </row>
    <row r="13" spans="1:22" x14ac:dyDescent="0.25">
      <c r="A13" s="13"/>
      <c r="B13" s="13"/>
      <c r="C13" s="13"/>
      <c r="D13" s="13"/>
      <c r="E13" s="13"/>
      <c r="F13" s="13"/>
      <c r="G13" s="13"/>
      <c r="H13" s="13"/>
      <c r="I13" s="13"/>
      <c r="J13" s="13"/>
      <c r="K13" s="13"/>
      <c r="L13" s="13"/>
      <c r="M13" s="13"/>
      <c r="N13" s="13"/>
      <c r="O13" s="13"/>
      <c r="P13" s="13"/>
      <c r="Q13" s="13"/>
      <c r="R13" s="13"/>
      <c r="S13" s="13"/>
      <c r="T13" s="13"/>
      <c r="U13" s="13"/>
      <c r="V13" s="13"/>
    </row>
    <row r="14" spans="1:22" x14ac:dyDescent="0.25">
      <c r="A14" s="13"/>
      <c r="B14" s="13"/>
      <c r="C14" s="13"/>
      <c r="D14" s="13"/>
      <c r="E14" s="13"/>
      <c r="F14" s="13"/>
      <c r="G14" s="13"/>
      <c r="H14" s="13"/>
      <c r="I14" s="13"/>
      <c r="J14" s="13"/>
      <c r="K14" s="13"/>
      <c r="L14" s="13"/>
      <c r="M14" s="13"/>
      <c r="N14" s="13"/>
      <c r="O14" s="13"/>
      <c r="P14" s="13"/>
      <c r="Q14" s="13"/>
      <c r="R14" s="13"/>
      <c r="S14" s="13"/>
      <c r="T14" s="13"/>
      <c r="U14" s="13"/>
      <c r="V14" s="13"/>
    </row>
    <row r="15" spans="1:22" x14ac:dyDescent="0.25">
      <c r="A15" s="13"/>
      <c r="B15" s="13"/>
      <c r="C15" s="13"/>
      <c r="D15" s="13"/>
      <c r="E15" s="13"/>
      <c r="F15" s="13"/>
      <c r="G15" s="13"/>
      <c r="H15" s="13"/>
      <c r="I15" s="13"/>
      <c r="J15" s="13"/>
      <c r="K15" s="13"/>
      <c r="L15" s="13"/>
      <c r="M15" s="13"/>
      <c r="N15" s="13"/>
      <c r="O15" s="13"/>
      <c r="P15" s="13"/>
      <c r="Q15" s="13"/>
      <c r="R15" s="13"/>
      <c r="S15" s="13"/>
      <c r="T15" s="13"/>
      <c r="U15" s="13"/>
      <c r="V15" s="13"/>
    </row>
    <row r="16" spans="1:22" x14ac:dyDescent="0.25">
      <c r="A16" s="13"/>
      <c r="B16" s="13"/>
      <c r="C16" s="13"/>
      <c r="D16" s="13"/>
      <c r="E16" s="13"/>
      <c r="F16" s="13"/>
      <c r="G16" s="13"/>
      <c r="H16" s="13"/>
      <c r="I16" s="13"/>
      <c r="J16" s="13"/>
      <c r="K16" s="13"/>
      <c r="L16" s="13"/>
      <c r="M16" s="13"/>
      <c r="N16" s="13"/>
      <c r="O16" s="13"/>
      <c r="P16" s="13"/>
      <c r="Q16" s="13"/>
      <c r="R16" s="13"/>
      <c r="S16" s="13"/>
      <c r="T16" s="13"/>
      <c r="U16" s="13"/>
      <c r="V16" s="13"/>
    </row>
    <row r="17" spans="1:22" x14ac:dyDescent="0.25">
      <c r="A17" s="13"/>
      <c r="B17" s="13"/>
      <c r="C17" s="13"/>
      <c r="D17" s="13"/>
      <c r="E17" s="13"/>
      <c r="F17" s="13"/>
      <c r="G17" s="13"/>
      <c r="H17" s="13"/>
      <c r="I17" s="13"/>
      <c r="J17" s="13"/>
      <c r="K17" s="13"/>
      <c r="L17" s="13"/>
      <c r="M17" s="13"/>
      <c r="N17" s="13"/>
      <c r="O17" s="13"/>
      <c r="P17" s="13"/>
      <c r="Q17" s="13"/>
      <c r="R17" s="13"/>
      <c r="S17" s="13"/>
      <c r="T17" s="13"/>
      <c r="U17" s="13"/>
      <c r="V17" s="13"/>
    </row>
    <row r="18" spans="1:22" x14ac:dyDescent="0.25">
      <c r="A18" s="13"/>
      <c r="B18" s="13"/>
      <c r="C18" s="13"/>
      <c r="D18" s="13"/>
      <c r="E18" s="13"/>
      <c r="F18" s="13"/>
      <c r="G18" s="13"/>
      <c r="H18" s="13"/>
      <c r="I18" s="13"/>
      <c r="J18" s="13"/>
      <c r="K18" s="13"/>
      <c r="L18" s="13"/>
      <c r="M18" s="13"/>
      <c r="N18" s="13"/>
      <c r="O18" s="13"/>
      <c r="P18" s="13"/>
      <c r="Q18" s="13"/>
      <c r="R18" s="13"/>
      <c r="S18" s="13"/>
      <c r="T18" s="13"/>
      <c r="U18" s="13"/>
      <c r="V18" s="13"/>
    </row>
    <row r="19" spans="1:22" x14ac:dyDescent="0.25">
      <c r="A19" s="13"/>
      <c r="B19" s="13"/>
      <c r="C19" s="13"/>
      <c r="D19" s="13"/>
      <c r="E19" s="13"/>
      <c r="F19" s="13"/>
      <c r="G19" s="13"/>
      <c r="H19" s="13"/>
      <c r="I19" s="13"/>
      <c r="J19" s="13"/>
      <c r="K19" s="13"/>
      <c r="L19" s="13"/>
      <c r="M19" s="13"/>
      <c r="N19" s="13"/>
      <c r="O19" s="13"/>
      <c r="P19" s="13"/>
      <c r="Q19" s="13"/>
      <c r="R19" s="13"/>
      <c r="S19" s="13"/>
      <c r="T19" s="13"/>
      <c r="U19" s="13"/>
      <c r="V19" s="13"/>
    </row>
    <row r="20" spans="1:22" x14ac:dyDescent="0.25">
      <c r="A20" s="13"/>
      <c r="B20" s="13"/>
      <c r="C20" s="13"/>
      <c r="D20" s="13"/>
      <c r="E20" s="13"/>
      <c r="F20" s="13"/>
      <c r="G20" s="13"/>
      <c r="H20" s="13"/>
      <c r="I20" s="13"/>
      <c r="J20" s="13"/>
      <c r="K20" s="13"/>
      <c r="L20" s="13"/>
      <c r="M20" s="13"/>
      <c r="N20" s="13"/>
      <c r="O20" s="13"/>
      <c r="P20" s="13"/>
      <c r="Q20" s="13"/>
      <c r="R20" s="13"/>
      <c r="S20" s="13"/>
      <c r="T20" s="13"/>
      <c r="U20" s="13"/>
      <c r="V20" s="13"/>
    </row>
    <row r="21" spans="1:22" x14ac:dyDescent="0.25">
      <c r="A21" s="13"/>
      <c r="B21" s="13"/>
      <c r="C21" s="13"/>
      <c r="D21" s="13"/>
      <c r="E21" s="13"/>
      <c r="F21" s="13"/>
      <c r="G21" s="13"/>
      <c r="H21" s="13"/>
      <c r="I21" s="13"/>
      <c r="J21" s="13"/>
      <c r="K21" s="13"/>
      <c r="L21" s="13"/>
      <c r="M21" s="13"/>
      <c r="N21" s="13"/>
      <c r="O21" s="13"/>
      <c r="P21" s="13"/>
      <c r="Q21" s="13"/>
      <c r="R21" s="13"/>
      <c r="S21" s="13"/>
      <c r="T21" s="13"/>
      <c r="U21" s="13"/>
      <c r="V21" s="13"/>
    </row>
    <row r="22" spans="1:22" x14ac:dyDescent="0.25">
      <c r="A22" s="13"/>
      <c r="B22" s="13"/>
      <c r="C22" s="13"/>
      <c r="D22" s="13"/>
      <c r="E22" s="13"/>
      <c r="F22" s="13"/>
      <c r="G22" s="13"/>
      <c r="H22" s="13"/>
      <c r="I22" s="13"/>
      <c r="J22" s="13"/>
      <c r="K22" s="13"/>
      <c r="L22" s="13"/>
      <c r="M22" s="13"/>
      <c r="N22" s="13"/>
      <c r="O22" s="13"/>
      <c r="P22" s="13"/>
      <c r="Q22" s="13"/>
      <c r="R22" s="13"/>
      <c r="S22" s="13"/>
      <c r="T22" s="13"/>
      <c r="U22" s="13"/>
      <c r="V22" s="13"/>
    </row>
    <row r="23" spans="1:22" x14ac:dyDescent="0.25">
      <c r="A23" s="13"/>
      <c r="B23" s="13"/>
      <c r="C23" s="13"/>
      <c r="D23" s="13"/>
      <c r="E23" s="13"/>
      <c r="F23" s="13"/>
      <c r="G23" s="13"/>
      <c r="H23" s="13"/>
      <c r="I23" s="13"/>
      <c r="J23" s="13"/>
      <c r="K23" s="13"/>
      <c r="L23" s="13"/>
      <c r="M23" s="13"/>
      <c r="N23" s="13"/>
      <c r="O23" s="13"/>
      <c r="P23" s="13"/>
      <c r="Q23" s="13"/>
      <c r="R23" s="13"/>
      <c r="S23" s="13"/>
      <c r="T23" s="13"/>
      <c r="U23" s="13"/>
      <c r="V23" s="13"/>
    </row>
    <row r="24" spans="1:22" x14ac:dyDescent="0.25">
      <c r="A24" s="13"/>
      <c r="B24" s="13"/>
      <c r="C24" s="13"/>
      <c r="D24" s="13"/>
      <c r="E24" s="13"/>
      <c r="F24" s="13"/>
      <c r="G24" s="13"/>
      <c r="H24" s="13"/>
      <c r="I24" s="13"/>
      <c r="J24" s="13"/>
      <c r="K24" s="13"/>
      <c r="L24" s="13"/>
      <c r="M24" s="13"/>
      <c r="N24" s="13"/>
      <c r="O24" s="13"/>
      <c r="P24" s="13"/>
      <c r="Q24" s="13"/>
      <c r="R24" s="13"/>
      <c r="S24" s="13"/>
      <c r="T24" s="13"/>
      <c r="U24" s="13"/>
      <c r="V24" s="13"/>
    </row>
    <row r="25" spans="1:22" x14ac:dyDescent="0.25">
      <c r="A25" s="13"/>
      <c r="B25" s="13"/>
      <c r="C25" s="13"/>
      <c r="D25" s="13"/>
      <c r="E25" s="13"/>
      <c r="F25" s="13"/>
      <c r="G25" s="13"/>
      <c r="H25" s="13"/>
      <c r="I25" s="13"/>
      <c r="J25" s="13"/>
      <c r="K25" s="13"/>
      <c r="L25" s="13"/>
      <c r="M25" s="13"/>
      <c r="N25" s="13"/>
      <c r="O25" s="13"/>
      <c r="P25" s="13"/>
      <c r="Q25" s="13"/>
      <c r="R25" s="13"/>
      <c r="S25" s="13"/>
      <c r="T25" s="13"/>
      <c r="U25" s="13"/>
      <c r="V25" s="13"/>
    </row>
    <row r="26" spans="1:22" x14ac:dyDescent="0.25">
      <c r="A26" s="13"/>
      <c r="B26" s="13"/>
      <c r="C26" s="13"/>
      <c r="D26" s="13"/>
      <c r="E26" s="13"/>
      <c r="F26" s="13"/>
      <c r="G26" s="13"/>
      <c r="H26" s="13"/>
      <c r="I26" s="13"/>
      <c r="J26" s="13"/>
      <c r="K26" s="13"/>
      <c r="L26" s="13"/>
      <c r="M26" s="13"/>
      <c r="N26" s="13"/>
      <c r="O26" s="13"/>
      <c r="P26" s="13"/>
      <c r="Q26" s="13"/>
      <c r="R26" s="13"/>
      <c r="S26" s="13"/>
      <c r="T26" s="13"/>
      <c r="U26" s="13"/>
      <c r="V26" s="13"/>
    </row>
    <row r="27" spans="1:22" x14ac:dyDescent="0.25">
      <c r="A27" s="13"/>
      <c r="B27" s="13"/>
      <c r="C27" s="13"/>
      <c r="D27" s="13"/>
      <c r="E27" s="13"/>
      <c r="F27" s="13"/>
      <c r="G27" s="13"/>
      <c r="H27" s="13"/>
      <c r="I27" s="13"/>
      <c r="J27" s="13"/>
      <c r="K27" s="13"/>
      <c r="L27" s="13"/>
      <c r="M27" s="13"/>
      <c r="N27" s="13"/>
      <c r="O27" s="13"/>
      <c r="P27" s="13"/>
      <c r="Q27" s="13"/>
      <c r="R27" s="13"/>
      <c r="S27" s="13"/>
      <c r="T27" s="13"/>
      <c r="U27" s="13"/>
      <c r="V27" s="13"/>
    </row>
    <row r="28" spans="1:22" x14ac:dyDescent="0.25">
      <c r="A28" s="13"/>
      <c r="B28" s="13"/>
      <c r="C28" s="13"/>
      <c r="D28" s="13"/>
      <c r="E28" s="13"/>
      <c r="F28" s="13"/>
      <c r="G28" s="13"/>
      <c r="H28" s="13"/>
      <c r="I28" s="13"/>
      <c r="J28" s="13"/>
      <c r="K28" s="13"/>
      <c r="L28" s="13"/>
      <c r="M28" s="13"/>
      <c r="N28" s="13"/>
      <c r="O28" s="13"/>
      <c r="P28" s="13"/>
      <c r="Q28" s="13"/>
      <c r="R28" s="13"/>
      <c r="S28" s="13"/>
      <c r="T28" s="13"/>
      <c r="U28" s="13"/>
      <c r="V28" s="13"/>
    </row>
    <row r="29" spans="1:22" x14ac:dyDescent="0.25">
      <c r="A29" s="13"/>
      <c r="B29" s="13"/>
      <c r="C29" s="13"/>
      <c r="D29" s="13"/>
      <c r="E29" s="13"/>
      <c r="F29" s="13"/>
      <c r="G29" s="13"/>
      <c r="H29" s="13"/>
      <c r="I29" s="13"/>
      <c r="J29" s="13"/>
      <c r="K29" s="13"/>
      <c r="L29" s="13"/>
      <c r="M29" s="13"/>
      <c r="N29" s="13"/>
      <c r="O29" s="13"/>
      <c r="P29" s="13"/>
      <c r="Q29" s="13"/>
      <c r="R29" s="13"/>
      <c r="S29" s="13"/>
      <c r="T29" s="13"/>
      <c r="U29" s="13"/>
      <c r="V29" s="13"/>
    </row>
    <row r="30" spans="1:22" x14ac:dyDescent="0.25">
      <c r="A30" s="13"/>
      <c r="B30" s="13"/>
      <c r="C30" s="13"/>
      <c r="D30" s="13"/>
      <c r="E30" s="13"/>
      <c r="F30" s="13"/>
      <c r="G30" s="13"/>
      <c r="H30" s="13"/>
      <c r="I30" s="13"/>
      <c r="J30" s="13"/>
      <c r="K30" s="13"/>
      <c r="L30" s="13"/>
      <c r="M30" s="13"/>
      <c r="N30" s="13"/>
      <c r="O30" s="13"/>
      <c r="P30" s="13"/>
      <c r="Q30" s="13"/>
      <c r="R30" s="13"/>
      <c r="S30" s="13"/>
      <c r="T30" s="13"/>
      <c r="U30" s="13"/>
      <c r="V30" s="13"/>
    </row>
    <row r="31" spans="1:22" x14ac:dyDescent="0.25">
      <c r="A31" s="13"/>
      <c r="B31" s="13"/>
      <c r="C31" s="13"/>
      <c r="D31" s="13"/>
      <c r="E31" s="13"/>
      <c r="F31" s="13"/>
      <c r="G31" s="13"/>
      <c r="H31" s="13"/>
      <c r="I31" s="13"/>
      <c r="J31" s="13"/>
      <c r="K31" s="13"/>
      <c r="L31" s="13"/>
      <c r="M31" s="13"/>
      <c r="N31" s="13"/>
      <c r="O31" s="13"/>
      <c r="P31" s="13"/>
      <c r="Q31" s="13"/>
      <c r="R31" s="13"/>
      <c r="S31" s="13"/>
      <c r="T31" s="13"/>
      <c r="U31" s="13"/>
      <c r="V31" s="13"/>
    </row>
    <row r="32" spans="1:22" x14ac:dyDescent="0.25">
      <c r="A32" s="13"/>
      <c r="B32" s="13"/>
      <c r="C32" s="13"/>
      <c r="D32" s="13"/>
      <c r="E32" s="13"/>
      <c r="F32" s="13"/>
      <c r="G32" s="13"/>
      <c r="H32" s="13"/>
      <c r="I32" s="13"/>
      <c r="J32" s="13"/>
      <c r="K32" s="13"/>
      <c r="L32" s="13"/>
      <c r="M32" s="13"/>
      <c r="N32" s="13"/>
      <c r="O32" s="13"/>
      <c r="P32" s="13"/>
      <c r="Q32" s="13"/>
      <c r="R32" s="13"/>
      <c r="S32" s="13"/>
      <c r="T32" s="13"/>
      <c r="U32" s="13"/>
      <c r="V32" s="13"/>
    </row>
    <row r="33" spans="1:22" x14ac:dyDescent="0.25">
      <c r="A33" s="13"/>
      <c r="B33" s="13"/>
      <c r="C33" s="13"/>
      <c r="D33" s="13"/>
      <c r="E33" s="13"/>
      <c r="F33" s="13"/>
      <c r="G33" s="13"/>
      <c r="H33" s="13"/>
      <c r="I33" s="13"/>
      <c r="J33" s="13"/>
      <c r="K33" s="13"/>
      <c r="L33" s="13"/>
      <c r="M33" s="13"/>
      <c r="N33" s="13"/>
      <c r="O33" s="13"/>
      <c r="P33" s="13"/>
      <c r="Q33" s="13"/>
      <c r="R33" s="13"/>
      <c r="S33" s="13"/>
      <c r="T33" s="13"/>
      <c r="U33" s="13"/>
      <c r="V33" s="13"/>
    </row>
    <row r="34" spans="1:22" x14ac:dyDescent="0.25">
      <c r="A34" s="13"/>
      <c r="B34" s="13"/>
      <c r="C34" s="13"/>
      <c r="D34" s="13"/>
      <c r="E34" s="13"/>
      <c r="F34" s="13"/>
      <c r="G34" s="13"/>
      <c r="H34" s="13"/>
      <c r="I34" s="13"/>
      <c r="J34" s="13"/>
      <c r="K34" s="13"/>
      <c r="L34" s="13"/>
      <c r="M34" s="13"/>
      <c r="N34" s="13"/>
      <c r="O34" s="13"/>
      <c r="P34" s="13"/>
      <c r="Q34" s="13"/>
      <c r="R34" s="13"/>
      <c r="S34" s="13"/>
      <c r="T34" s="13"/>
      <c r="U34" s="13"/>
      <c r="V34" s="13"/>
    </row>
    <row r="35" spans="1:22" x14ac:dyDescent="0.25">
      <c r="A35" s="13"/>
      <c r="B35" s="13"/>
      <c r="C35" s="13"/>
      <c r="D35" s="13"/>
      <c r="E35" s="13"/>
      <c r="F35" s="13"/>
      <c r="G35" s="13"/>
      <c r="H35" s="13"/>
      <c r="I35" s="13"/>
      <c r="J35" s="13"/>
      <c r="K35" s="13"/>
      <c r="L35" s="13"/>
      <c r="M35" s="13"/>
      <c r="N35" s="13"/>
      <c r="O35" s="13"/>
      <c r="P35" s="13"/>
      <c r="Q35" s="13"/>
      <c r="R35" s="13"/>
      <c r="S35" s="13"/>
      <c r="T35" s="13"/>
      <c r="U35" s="13"/>
      <c r="V35" s="13"/>
    </row>
    <row r="36" spans="1:22" x14ac:dyDescent="0.25">
      <c r="A36" s="13"/>
      <c r="B36" s="13"/>
      <c r="C36" s="13"/>
      <c r="D36" s="13"/>
      <c r="E36" s="13"/>
      <c r="F36" s="13"/>
      <c r="G36" s="13"/>
      <c r="H36" s="13"/>
      <c r="I36" s="13"/>
      <c r="J36" s="13"/>
      <c r="K36" s="13"/>
      <c r="L36" s="13"/>
      <c r="M36" s="13"/>
      <c r="N36" s="13"/>
      <c r="O36" s="13"/>
      <c r="P36" s="13"/>
      <c r="Q36" s="13"/>
      <c r="R36" s="13"/>
      <c r="S36" s="13"/>
      <c r="T36" s="13"/>
      <c r="U36" s="13"/>
      <c r="V36" s="13"/>
    </row>
    <row r="37" spans="1:22" x14ac:dyDescent="0.25">
      <c r="A37" s="13"/>
      <c r="B37" s="13"/>
      <c r="C37" s="13"/>
      <c r="D37" s="13"/>
      <c r="E37" s="13"/>
      <c r="F37" s="13"/>
      <c r="G37" s="13"/>
      <c r="H37" s="13"/>
      <c r="I37" s="13"/>
      <c r="J37" s="13"/>
      <c r="K37" s="13"/>
      <c r="L37" s="13"/>
      <c r="M37" s="13"/>
      <c r="N37" s="13"/>
      <c r="O37" s="13"/>
      <c r="P37" s="13"/>
      <c r="Q37" s="13"/>
      <c r="R37" s="13"/>
      <c r="S37" s="13"/>
      <c r="T37" s="13"/>
      <c r="U37" s="13"/>
      <c r="V37" s="13"/>
    </row>
  </sheetData>
  <sheetProtection insertHyperlinks="0" pivotTables="0"/>
  <pageMargins left="0.511811024" right="0.511811024" top="0.78740157499999996" bottom="0.78740157499999996" header="0.31496062000000002" footer="0.31496062000000002"/>
  <pageSetup paperSize="9" orientation="portrait"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DFD326-2052-497F-BB27-0E1475614268}">
  <sheetPr codeName="Planilha5"/>
  <dimension ref="B18:O26"/>
  <sheetViews>
    <sheetView showGridLines="0" zoomScale="60" zoomScaleNormal="60" workbookViewId="0">
      <selection activeCell="B54" sqref="B54"/>
    </sheetView>
  </sheetViews>
  <sheetFormatPr defaultRowHeight="15" x14ac:dyDescent="0.25"/>
  <cols>
    <col min="1" max="1" width="1.5703125" customWidth="1"/>
    <col min="2" max="2" width="56.140625" bestFit="1" customWidth="1"/>
    <col min="3" max="3" width="25.140625" bestFit="1" customWidth="1"/>
    <col min="4" max="5" width="25.5703125" bestFit="1" customWidth="1"/>
    <col min="6" max="8" width="25.140625" bestFit="1" customWidth="1"/>
    <col min="9" max="11" width="25.5703125" bestFit="1" customWidth="1"/>
    <col min="12" max="12" width="23.28515625" bestFit="1" customWidth="1"/>
    <col min="13" max="13" width="24" bestFit="1" customWidth="1"/>
    <col min="14" max="14" width="23.28515625" bestFit="1" customWidth="1"/>
    <col min="15" max="15" width="26.140625" bestFit="1" customWidth="1"/>
    <col min="16" max="17" width="11.5703125" bestFit="1" customWidth="1"/>
    <col min="18" max="18" width="13.140625" bestFit="1" customWidth="1"/>
  </cols>
  <sheetData>
    <row r="18" spans="2:15" ht="15.75" x14ac:dyDescent="0.25">
      <c r="B18" s="4" t="s">
        <v>21</v>
      </c>
      <c r="C18" s="9" t="s">
        <v>27</v>
      </c>
    </row>
    <row r="19" spans="2:15" ht="15.75" x14ac:dyDescent="0.25">
      <c r="B19" s="4" t="s">
        <v>19</v>
      </c>
      <c r="C19" t="s">
        <v>156</v>
      </c>
      <c r="D19" t="s">
        <v>157</v>
      </c>
      <c r="E19" t="s">
        <v>158</v>
      </c>
      <c r="F19" t="s">
        <v>28</v>
      </c>
      <c r="G19" t="s">
        <v>29</v>
      </c>
      <c r="H19" t="s">
        <v>30</v>
      </c>
      <c r="I19" t="s">
        <v>159</v>
      </c>
      <c r="J19" t="s">
        <v>160</v>
      </c>
      <c r="K19" t="s">
        <v>161</v>
      </c>
      <c r="L19" t="s">
        <v>162</v>
      </c>
      <c r="M19" t="s">
        <v>163</v>
      </c>
      <c r="N19" t="s">
        <v>164</v>
      </c>
      <c r="O19" t="s">
        <v>20</v>
      </c>
    </row>
    <row r="20" spans="2:15" x14ac:dyDescent="0.25">
      <c r="B20" s="12" t="s">
        <v>149</v>
      </c>
      <c r="C20" s="11">
        <v>1912077</v>
      </c>
      <c r="D20" s="11">
        <v>1072758</v>
      </c>
      <c r="E20" s="11">
        <v>1420020</v>
      </c>
      <c r="F20" s="11">
        <v>1061467</v>
      </c>
      <c r="G20" s="11">
        <v>1274801</v>
      </c>
      <c r="H20" s="11">
        <v>1581297</v>
      </c>
      <c r="I20" s="11">
        <v>1443934</v>
      </c>
      <c r="J20" s="11">
        <v>1587769</v>
      </c>
      <c r="K20" s="11">
        <v>1060230</v>
      </c>
      <c r="L20" s="11">
        <v>581436</v>
      </c>
      <c r="M20" s="11">
        <v>584278</v>
      </c>
      <c r="N20" s="11">
        <v>556514</v>
      </c>
      <c r="O20" s="11">
        <v>14136581</v>
      </c>
    </row>
    <row r="21" spans="2:15" x14ac:dyDescent="0.25">
      <c r="B21" s="12" t="s">
        <v>39</v>
      </c>
      <c r="C21" s="11">
        <v>-314553</v>
      </c>
      <c r="D21" s="11">
        <v>-269677</v>
      </c>
      <c r="E21" s="11">
        <v>-281848</v>
      </c>
      <c r="F21" s="11">
        <v>-274751</v>
      </c>
      <c r="G21" s="11">
        <v>-295806</v>
      </c>
      <c r="H21" s="11">
        <v>-299998</v>
      </c>
      <c r="I21" s="11">
        <v>-336897</v>
      </c>
      <c r="J21" s="11">
        <v>-298415</v>
      </c>
      <c r="K21" s="11">
        <v>-214712</v>
      </c>
      <c r="L21" s="11">
        <v>-120811</v>
      </c>
      <c r="M21" s="11">
        <v>-133043</v>
      </c>
      <c r="N21" s="11">
        <v>-160999</v>
      </c>
      <c r="O21" s="11">
        <v>-3001510</v>
      </c>
    </row>
    <row r="22" spans="2:15" x14ac:dyDescent="0.25">
      <c r="B22" s="12" t="s">
        <v>165</v>
      </c>
      <c r="C22" s="11">
        <v>-203077</v>
      </c>
      <c r="D22" s="11">
        <v>-130956</v>
      </c>
      <c r="E22" s="11">
        <v>-226031</v>
      </c>
      <c r="F22" s="11">
        <v>-211160</v>
      </c>
      <c r="G22" s="11">
        <v>-148820</v>
      </c>
      <c r="H22" s="11">
        <v>-167380</v>
      </c>
      <c r="I22" s="11">
        <v>-211870</v>
      </c>
      <c r="J22" s="11">
        <v>-153236</v>
      </c>
      <c r="K22" s="11">
        <v>-145419</v>
      </c>
      <c r="L22" s="11">
        <v>-80464</v>
      </c>
      <c r="M22" s="11">
        <v>-94373</v>
      </c>
      <c r="N22" s="11">
        <v>-82213</v>
      </c>
      <c r="O22" s="11">
        <v>-1854999</v>
      </c>
    </row>
    <row r="23" spans="2:15" x14ac:dyDescent="0.25">
      <c r="B23" s="12" t="s">
        <v>166</v>
      </c>
      <c r="C23" s="11">
        <v>-265218</v>
      </c>
      <c r="D23" s="11">
        <v>-209609</v>
      </c>
      <c r="E23" s="11">
        <v>-316119</v>
      </c>
      <c r="F23" s="11">
        <v>-271128</v>
      </c>
      <c r="G23" s="11">
        <v>-261087</v>
      </c>
      <c r="H23" s="11">
        <v>-298115</v>
      </c>
      <c r="I23" s="11">
        <v>-239847</v>
      </c>
      <c r="J23" s="11">
        <v>-263492</v>
      </c>
      <c r="K23" s="11">
        <v>-205773</v>
      </c>
      <c r="L23" s="11">
        <v>-129096</v>
      </c>
      <c r="M23" s="11">
        <v>-127218</v>
      </c>
      <c r="N23" s="11">
        <v>-125702</v>
      </c>
      <c r="O23" s="11">
        <v>-2712404</v>
      </c>
    </row>
    <row r="24" spans="2:15" x14ac:dyDescent="0.25">
      <c r="B24" s="12" t="s">
        <v>168</v>
      </c>
      <c r="C24" s="11">
        <v>-6162</v>
      </c>
      <c r="D24" s="11">
        <v>-97</v>
      </c>
      <c r="E24" s="11">
        <v>-11199</v>
      </c>
      <c r="F24" s="11">
        <v>-4061</v>
      </c>
      <c r="G24" s="11">
        <v>-11919</v>
      </c>
      <c r="H24" s="11">
        <v>235116</v>
      </c>
      <c r="I24" s="11">
        <v>-11697</v>
      </c>
      <c r="J24" s="11">
        <v>-3692</v>
      </c>
      <c r="K24" s="11">
        <v>569</v>
      </c>
      <c r="L24" s="11">
        <v>-2407</v>
      </c>
      <c r="M24" s="11">
        <v>204836</v>
      </c>
      <c r="N24" s="11">
        <v>15326</v>
      </c>
      <c r="O24" s="11">
        <v>404613</v>
      </c>
    </row>
    <row r="25" spans="2:15" x14ac:dyDescent="0.25">
      <c r="B25" s="12" t="s">
        <v>167</v>
      </c>
      <c r="C25" s="11">
        <v>-4762</v>
      </c>
      <c r="D25" s="11">
        <v>-2186</v>
      </c>
      <c r="E25" s="11">
        <v>-2113</v>
      </c>
      <c r="F25" s="11">
        <v>-11818</v>
      </c>
      <c r="G25" s="11">
        <v>-3276</v>
      </c>
      <c r="H25" s="11">
        <v>-3500</v>
      </c>
      <c r="I25" s="11">
        <v>-5964</v>
      </c>
      <c r="J25" s="11">
        <v>-10068</v>
      </c>
      <c r="K25" s="11">
        <v>-5486</v>
      </c>
      <c r="L25" s="11">
        <v>-10119</v>
      </c>
      <c r="M25" s="11">
        <v>-7769</v>
      </c>
      <c r="N25" s="11">
        <v>-2357</v>
      </c>
      <c r="O25" s="11">
        <v>-69418</v>
      </c>
    </row>
    <row r="26" spans="2:15" x14ac:dyDescent="0.25">
      <c r="B26" s="10" t="s">
        <v>20</v>
      </c>
      <c r="C26" s="11">
        <v>1118305</v>
      </c>
      <c r="D26" s="11">
        <v>460233</v>
      </c>
      <c r="E26" s="11">
        <v>582710</v>
      </c>
      <c r="F26" s="11">
        <v>288549</v>
      </c>
      <c r="G26" s="11">
        <v>553893</v>
      </c>
      <c r="H26" s="11">
        <v>1047420</v>
      </c>
      <c r="I26" s="11">
        <v>637659</v>
      </c>
      <c r="J26" s="11">
        <v>858866</v>
      </c>
      <c r="K26" s="11">
        <v>489409</v>
      </c>
      <c r="L26" s="11">
        <v>238539</v>
      </c>
      <c r="M26" s="11">
        <v>426711</v>
      </c>
      <c r="N26" s="11">
        <v>200569</v>
      </c>
      <c r="O26" s="11">
        <v>6902863</v>
      </c>
    </row>
  </sheetData>
  <sheetProtection pivotTables="0"/>
  <conditionalFormatting pivot="1" sqref="C20:O26">
    <cfRule type="iconSet" priority="1">
      <iconSet iconSet="3Arrows">
        <cfvo type="percent" val="0"/>
        <cfvo type="num" val="0" gte="0"/>
        <cfvo type="num" val="0"/>
      </iconSet>
    </cfRule>
  </conditionalFormatting>
  <pageMargins left="0.511811024" right="0.511811024" top="0.78740157499999996" bottom="0.78740157499999996" header="0.31496062000000002" footer="0.31496062000000002"/>
  <pageSetup paperSize="9"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4F136-EA82-4499-97BB-426582C926A7}">
  <dimension ref="A1:H5016"/>
  <sheetViews>
    <sheetView zoomScale="80" zoomScaleNormal="80" workbookViewId="0">
      <pane ySplit="1" topLeftCell="A2" activePane="bottomLeft" state="frozen"/>
      <selection pane="bottomLeft" activeCell="L3" sqref="L3"/>
    </sheetView>
  </sheetViews>
  <sheetFormatPr defaultRowHeight="15" x14ac:dyDescent="0.25"/>
  <cols>
    <col min="1" max="1" width="11.5703125" style="2" bestFit="1" customWidth="1"/>
    <col min="2" max="2" width="39.140625" bestFit="1" customWidth="1"/>
    <col min="3" max="3" width="9.28515625" bestFit="1" customWidth="1"/>
    <col min="4" max="4" width="37.42578125" bestFit="1" customWidth="1"/>
    <col min="5" max="5" width="25.5703125" bestFit="1" customWidth="1"/>
    <col min="6" max="6" width="7.7109375" bestFit="1" customWidth="1"/>
    <col min="7" max="7" width="7.42578125" bestFit="1" customWidth="1"/>
  </cols>
  <sheetData>
    <row r="1" spans="1:8" ht="48.75" customHeight="1" x14ac:dyDescent="0.25">
      <c r="A1" s="2" t="s">
        <v>10</v>
      </c>
      <c r="B1" t="s">
        <v>0</v>
      </c>
      <c r="C1" t="s">
        <v>11</v>
      </c>
      <c r="D1" t="s">
        <v>1</v>
      </c>
      <c r="E1" t="s">
        <v>115</v>
      </c>
      <c r="F1" t="s">
        <v>2</v>
      </c>
      <c r="G1" t="s">
        <v>12</v>
      </c>
      <c r="H1" t="s">
        <v>13</v>
      </c>
    </row>
    <row r="2" spans="1:8" x14ac:dyDescent="0.25">
      <c r="A2" s="2">
        <v>44197</v>
      </c>
      <c r="B2" t="s">
        <v>37</v>
      </c>
      <c r="C2">
        <v>-3655</v>
      </c>
      <c r="D2" t="str">
        <f>VLOOKUP(B2,Tabela_Auxiliar[],2,0)</f>
        <v>3. Custos do Produto/Mercadoria/Serviço</v>
      </c>
      <c r="E2" t="str">
        <f>VLOOKUP(B2,Tabela_Auxiliar[],4,0)</f>
        <v>Despesas c/ Produto</v>
      </c>
      <c r="F2" t="str">
        <f>VLOOKUP(B2,Tabela_Auxiliar[],3,0)</f>
        <v>Saída</v>
      </c>
      <c r="G2" t="str">
        <f>UPPER(TEXT(Tabela_DB[[#This Row],[DATA]],"mmm"))</f>
        <v>JAN</v>
      </c>
      <c r="H2" t="str">
        <f>UPPER(TEXT(Tabela_DB[[#This Row],[DATA]],"aaaa"))</f>
        <v>2021</v>
      </c>
    </row>
    <row r="3" spans="1:8" x14ac:dyDescent="0.25">
      <c r="A3" s="2">
        <v>44197</v>
      </c>
      <c r="B3" t="s">
        <v>37</v>
      </c>
      <c r="C3">
        <v>-3550</v>
      </c>
      <c r="D3" t="str">
        <f>VLOOKUP(B3,Tabela_Auxiliar[],2,0)</f>
        <v>3. Custos do Produto/Mercadoria/Serviço</v>
      </c>
      <c r="E3" t="str">
        <f>VLOOKUP(B3,Tabela_Auxiliar[],4,0)</f>
        <v>Despesas c/ Produto</v>
      </c>
      <c r="F3" t="str">
        <f>VLOOKUP(B3,Tabela_Auxiliar[],3,0)</f>
        <v>Saída</v>
      </c>
      <c r="G3" t="str">
        <f>UPPER(TEXT(Tabela_DB[[#This Row],[DATA]],"mmm"))</f>
        <v>JAN</v>
      </c>
      <c r="H3" t="str">
        <f>UPPER(TEXT(Tabela_DB[[#This Row],[DATA]],"aaaa"))</f>
        <v>2021</v>
      </c>
    </row>
    <row r="4" spans="1:8" x14ac:dyDescent="0.25">
      <c r="A4" s="2">
        <v>44197</v>
      </c>
      <c r="B4" t="s">
        <v>111</v>
      </c>
      <c r="C4">
        <v>-2222</v>
      </c>
      <c r="D4" t="str">
        <f>VLOOKUP(B4,Tabela_Auxiliar[],2,0)</f>
        <v>2. Deduções da Receita</v>
      </c>
      <c r="E4" t="str">
        <f>VLOOKUP(B4,Tabela_Auxiliar[],4,0)</f>
        <v>Imposto</v>
      </c>
      <c r="F4" t="str">
        <f>VLOOKUP(B4,Tabela_Auxiliar[],3,0)</f>
        <v>Saída</v>
      </c>
      <c r="G4" t="str">
        <f>UPPER(TEXT(Tabela_DB[[#This Row],[DATA]],"mmm"))</f>
        <v>JAN</v>
      </c>
      <c r="H4" t="str">
        <f>UPPER(TEXT(Tabela_DB[[#This Row],[DATA]],"aaaa"))</f>
        <v>2021</v>
      </c>
    </row>
    <row r="5" spans="1:8" x14ac:dyDescent="0.25">
      <c r="A5" s="2">
        <v>44197</v>
      </c>
      <c r="B5" t="s">
        <v>3</v>
      </c>
      <c r="C5">
        <v>14588</v>
      </c>
      <c r="D5" t="str">
        <f>VLOOKUP(B5,Tabela_Auxiliar[],2,0)</f>
        <v>1. Receita Operacional Bruta</v>
      </c>
      <c r="E5" t="str">
        <f>VLOOKUP(B5,Tabela_Auxiliar[],4,0)</f>
        <v>Receita Bruta</v>
      </c>
      <c r="F5" t="str">
        <f>VLOOKUP(B5,Tabela_Auxiliar[],3,0)</f>
        <v>Entrada</v>
      </c>
      <c r="G5" t="str">
        <f>UPPER(TEXT(Tabela_DB[[#This Row],[DATA]],"mmm"))</f>
        <v>JAN</v>
      </c>
      <c r="H5" t="str">
        <f>UPPER(TEXT(Tabela_DB[[#This Row],[DATA]],"aaaa"))</f>
        <v>2021</v>
      </c>
    </row>
    <row r="6" spans="1:8" x14ac:dyDescent="0.25">
      <c r="A6" s="2">
        <v>44197</v>
      </c>
      <c r="B6" t="s">
        <v>3</v>
      </c>
      <c r="C6">
        <v>12437</v>
      </c>
      <c r="D6" t="str">
        <f>VLOOKUP(B6,Tabela_Auxiliar[],2,0)</f>
        <v>1. Receita Operacional Bruta</v>
      </c>
      <c r="E6" t="str">
        <f>VLOOKUP(B6,Tabela_Auxiliar[],4,0)</f>
        <v>Receita Bruta</v>
      </c>
      <c r="F6" t="str">
        <f>VLOOKUP(B6,Tabela_Auxiliar[],3,0)</f>
        <v>Entrada</v>
      </c>
      <c r="G6" t="str">
        <f>UPPER(TEXT(Tabela_DB[[#This Row],[DATA]],"mmm"))</f>
        <v>JAN</v>
      </c>
      <c r="H6" t="str">
        <f>UPPER(TEXT(Tabela_DB[[#This Row],[DATA]],"aaaa"))</f>
        <v>2021</v>
      </c>
    </row>
    <row r="7" spans="1:8" x14ac:dyDescent="0.25">
      <c r="A7" s="2">
        <v>44197</v>
      </c>
      <c r="B7" t="s">
        <v>77</v>
      </c>
      <c r="C7">
        <v>-1422</v>
      </c>
      <c r="D7" t="str">
        <f>VLOOKUP(B7,Tabela_Auxiliar[],2,0)</f>
        <v>4. Despesas Operacionais</v>
      </c>
      <c r="E7" t="str">
        <f>VLOOKUP(B7,Tabela_Auxiliar[],4,0)</f>
        <v>Serviços Contratados</v>
      </c>
      <c r="F7" t="str">
        <f>VLOOKUP(B7,Tabela_Auxiliar[],3,0)</f>
        <v>Saída</v>
      </c>
      <c r="G7" t="str">
        <f>UPPER(TEXT(Tabela_DB[[#This Row],[DATA]],"mmm"))</f>
        <v>JAN</v>
      </c>
      <c r="H7" t="str">
        <f>UPPER(TEXT(Tabela_DB[[#This Row],[DATA]],"aaaa"))</f>
        <v>2021</v>
      </c>
    </row>
    <row r="8" spans="1:8" x14ac:dyDescent="0.25">
      <c r="A8" s="2">
        <v>44197</v>
      </c>
      <c r="B8" t="s">
        <v>35</v>
      </c>
      <c r="C8">
        <v>-1704</v>
      </c>
      <c r="D8" t="str">
        <f>VLOOKUP(B8,Tabela_Auxiliar[],2,0)</f>
        <v>2. Deduções da Receita</v>
      </c>
      <c r="E8" t="str">
        <f>VLOOKUP(B8,Tabela_Auxiliar[],4,0)</f>
        <v>Imposto</v>
      </c>
      <c r="F8" t="str">
        <f>VLOOKUP(B8,Tabela_Auxiliar[],3,0)</f>
        <v>Saída</v>
      </c>
      <c r="G8" t="str">
        <f>UPPER(TEXT(Tabela_DB[[#This Row],[DATA]],"mmm"))</f>
        <v>JAN</v>
      </c>
      <c r="H8" t="str">
        <f>UPPER(TEXT(Tabela_DB[[#This Row],[DATA]],"aaaa"))</f>
        <v>2021</v>
      </c>
    </row>
    <row r="9" spans="1:8" x14ac:dyDescent="0.25">
      <c r="A9" s="2">
        <v>44197</v>
      </c>
      <c r="B9" t="s">
        <v>4</v>
      </c>
      <c r="C9">
        <v>13328</v>
      </c>
      <c r="D9" t="str">
        <f>VLOOKUP(B9,Tabela_Auxiliar[],2,0)</f>
        <v>1. Receita Operacional Bruta</v>
      </c>
      <c r="E9" t="str">
        <f>VLOOKUP(B9,Tabela_Auxiliar[],4,0)</f>
        <v>Receita Bruta</v>
      </c>
      <c r="F9" t="str">
        <f>VLOOKUP(B9,Tabela_Auxiliar[],3,0)</f>
        <v>Entrada</v>
      </c>
      <c r="G9" t="str">
        <f>UPPER(TEXT(Tabela_DB[[#This Row],[DATA]],"mmm"))</f>
        <v>JAN</v>
      </c>
      <c r="H9" t="str">
        <f>UPPER(TEXT(Tabela_DB[[#This Row],[DATA]],"aaaa"))</f>
        <v>2021</v>
      </c>
    </row>
    <row r="10" spans="1:8" x14ac:dyDescent="0.25">
      <c r="A10" s="2">
        <v>44197</v>
      </c>
      <c r="B10" t="s">
        <v>38</v>
      </c>
      <c r="C10">
        <v>-1438</v>
      </c>
      <c r="D10" t="str">
        <f>VLOOKUP(B10,Tabela_Auxiliar[],2,0)</f>
        <v>2. Deduções da Receita</v>
      </c>
      <c r="E10" t="str">
        <f>VLOOKUP(B10,Tabela_Auxiliar[],4,0)</f>
        <v>Deduções</v>
      </c>
      <c r="F10" t="str">
        <f>VLOOKUP(B10,Tabela_Auxiliar[],3,0)</f>
        <v>Saída</v>
      </c>
      <c r="G10" t="str">
        <f>UPPER(TEXT(Tabela_DB[[#This Row],[DATA]],"mmm"))</f>
        <v>JAN</v>
      </c>
      <c r="H10" t="str">
        <f>UPPER(TEXT(Tabela_DB[[#This Row],[DATA]],"aaaa"))</f>
        <v>2021</v>
      </c>
    </row>
    <row r="11" spans="1:8" x14ac:dyDescent="0.25">
      <c r="A11" s="2">
        <v>44197</v>
      </c>
      <c r="B11" t="s">
        <v>4</v>
      </c>
      <c r="C11">
        <v>14877</v>
      </c>
      <c r="D11" t="str">
        <f>VLOOKUP(B11,Tabela_Auxiliar[],2,0)</f>
        <v>1. Receita Operacional Bruta</v>
      </c>
      <c r="E11" t="str">
        <f>VLOOKUP(B11,Tabela_Auxiliar[],4,0)</f>
        <v>Receita Bruta</v>
      </c>
      <c r="F11" t="str">
        <f>VLOOKUP(B11,Tabela_Auxiliar[],3,0)</f>
        <v>Entrada</v>
      </c>
      <c r="G11" t="str">
        <f>UPPER(TEXT(Tabela_DB[[#This Row],[DATA]],"mmm"))</f>
        <v>JAN</v>
      </c>
      <c r="H11" t="str">
        <f>UPPER(TEXT(Tabela_DB[[#This Row],[DATA]],"aaaa"))</f>
        <v>2021</v>
      </c>
    </row>
    <row r="12" spans="1:8" x14ac:dyDescent="0.25">
      <c r="A12" s="2">
        <v>44197</v>
      </c>
      <c r="B12" t="s">
        <v>45</v>
      </c>
      <c r="C12">
        <v>-2075</v>
      </c>
      <c r="D12" t="str">
        <f>VLOOKUP(B12,Tabela_Auxiliar[],2,0)</f>
        <v>4. Despesas Operacionais</v>
      </c>
      <c r="E12" t="str">
        <f>VLOOKUP(B12,Tabela_Auxiliar[],4,0)</f>
        <v>Despesa com Pessoal</v>
      </c>
      <c r="F12" t="str">
        <f>VLOOKUP(B12,Tabela_Auxiliar[],3,0)</f>
        <v>Saída</v>
      </c>
      <c r="G12" t="str">
        <f>UPPER(TEXT(Tabela_DB[[#This Row],[DATA]],"mmm"))</f>
        <v>JAN</v>
      </c>
      <c r="H12" t="str">
        <f>UPPER(TEXT(Tabela_DB[[#This Row],[DATA]],"aaaa"))</f>
        <v>2021</v>
      </c>
    </row>
    <row r="13" spans="1:8" x14ac:dyDescent="0.25">
      <c r="A13" s="2">
        <v>44197</v>
      </c>
      <c r="B13" t="s">
        <v>84</v>
      </c>
      <c r="C13">
        <v>-1948</v>
      </c>
      <c r="D13" t="str">
        <f>VLOOKUP(B13,Tabela_Auxiliar[],2,0)</f>
        <v>4. Despesas Operacionais</v>
      </c>
      <c r="E13" t="str">
        <f>VLOOKUP(B13,Tabela_Auxiliar[],4,0)</f>
        <v>Despesa com Veículos</v>
      </c>
      <c r="F13" t="str">
        <f>VLOOKUP(B13,Tabela_Auxiliar[],3,0)</f>
        <v>Saída</v>
      </c>
      <c r="G13" t="str">
        <f>UPPER(TEXT(Tabela_DB[[#This Row],[DATA]],"mmm"))</f>
        <v>JAN</v>
      </c>
      <c r="H13" t="str">
        <f>UPPER(TEXT(Tabela_DB[[#This Row],[DATA]],"aaaa"))</f>
        <v>2021</v>
      </c>
    </row>
    <row r="14" spans="1:8" x14ac:dyDescent="0.25">
      <c r="A14" s="2">
        <v>44198</v>
      </c>
      <c r="B14" t="s">
        <v>3</v>
      </c>
      <c r="C14">
        <v>10656</v>
      </c>
      <c r="D14" t="str">
        <f>VLOOKUP(B14,Tabela_Auxiliar[],2,0)</f>
        <v>1. Receita Operacional Bruta</v>
      </c>
      <c r="E14" t="str">
        <f>VLOOKUP(B14,Tabela_Auxiliar[],4,0)</f>
        <v>Receita Bruta</v>
      </c>
      <c r="F14" t="str">
        <f>VLOOKUP(B14,Tabela_Auxiliar[],3,0)</f>
        <v>Entrada</v>
      </c>
      <c r="G14" t="str">
        <f>UPPER(TEXT(Tabela_DB[[#This Row],[DATA]],"mmm"))</f>
        <v>JAN</v>
      </c>
      <c r="H14" t="str">
        <f>UPPER(TEXT(Tabela_DB[[#This Row],[DATA]],"aaaa"))</f>
        <v>2021</v>
      </c>
    </row>
    <row r="15" spans="1:8" x14ac:dyDescent="0.25">
      <c r="A15" s="2">
        <v>44198</v>
      </c>
      <c r="B15" t="s">
        <v>52</v>
      </c>
      <c r="C15">
        <v>-2293</v>
      </c>
      <c r="D15" t="str">
        <f>VLOOKUP(B15,Tabela_Auxiliar[],2,0)</f>
        <v>4. Despesas Operacionais</v>
      </c>
      <c r="E15" t="str">
        <f>VLOOKUP(B15,Tabela_Auxiliar[],4,0)</f>
        <v>Despesa com Pessoal</v>
      </c>
      <c r="F15" t="str">
        <f>VLOOKUP(B15,Tabela_Auxiliar[],3,0)</f>
        <v>Saída</v>
      </c>
      <c r="G15" t="str">
        <f>UPPER(TEXT(Tabela_DB[[#This Row],[DATA]],"mmm"))</f>
        <v>JAN</v>
      </c>
      <c r="H15" t="str">
        <f>UPPER(TEXT(Tabela_DB[[#This Row],[DATA]],"aaaa"))</f>
        <v>2021</v>
      </c>
    </row>
    <row r="16" spans="1:8" x14ac:dyDescent="0.25">
      <c r="A16" s="2">
        <v>44198</v>
      </c>
      <c r="B16" t="s">
        <v>86</v>
      </c>
      <c r="C16">
        <v>-1475</v>
      </c>
      <c r="D16" t="str">
        <f>VLOOKUP(B16,Tabela_Auxiliar[],2,0)</f>
        <v>4. Despesas Operacionais</v>
      </c>
      <c r="E16" t="str">
        <f>VLOOKUP(B16,Tabela_Auxiliar[],4,0)</f>
        <v>Despesa com Veículos</v>
      </c>
      <c r="F16" t="str">
        <f>VLOOKUP(B16,Tabela_Auxiliar[],3,0)</f>
        <v>Saída</v>
      </c>
      <c r="G16" t="str">
        <f>UPPER(TEXT(Tabela_DB[[#This Row],[DATA]],"mmm"))</f>
        <v>JAN</v>
      </c>
      <c r="H16" t="str">
        <f>UPPER(TEXT(Tabela_DB[[#This Row],[DATA]],"aaaa"))</f>
        <v>2021</v>
      </c>
    </row>
    <row r="17" spans="1:8" x14ac:dyDescent="0.25">
      <c r="A17" s="2">
        <v>44198</v>
      </c>
      <c r="B17" t="s">
        <v>3</v>
      </c>
      <c r="C17">
        <v>12015</v>
      </c>
      <c r="D17" t="str">
        <f>VLOOKUP(B17,Tabela_Auxiliar[],2,0)</f>
        <v>1. Receita Operacional Bruta</v>
      </c>
      <c r="E17" t="str">
        <f>VLOOKUP(B17,Tabela_Auxiliar[],4,0)</f>
        <v>Receita Bruta</v>
      </c>
      <c r="F17" t="str">
        <f>VLOOKUP(B17,Tabela_Auxiliar[],3,0)</f>
        <v>Entrada</v>
      </c>
      <c r="G17" t="str">
        <f>UPPER(TEXT(Tabela_DB[[#This Row],[DATA]],"mmm"))</f>
        <v>JAN</v>
      </c>
      <c r="H17" t="str">
        <f>UPPER(TEXT(Tabela_DB[[#This Row],[DATA]],"aaaa"))</f>
        <v>2021</v>
      </c>
    </row>
    <row r="18" spans="1:8" x14ac:dyDescent="0.25">
      <c r="A18" s="2">
        <v>44198</v>
      </c>
      <c r="B18" t="s">
        <v>44</v>
      </c>
      <c r="C18">
        <v>-1597</v>
      </c>
      <c r="D18" t="str">
        <f>VLOOKUP(B18,Tabela_Auxiliar[],2,0)</f>
        <v>4. Despesas Operacionais</v>
      </c>
      <c r="E18" t="str">
        <f>VLOOKUP(B18,Tabela_Auxiliar[],4,0)</f>
        <v>Despesa com Pessoal</v>
      </c>
      <c r="F18" t="str">
        <f>VLOOKUP(B18,Tabela_Auxiliar[],3,0)</f>
        <v>Saída</v>
      </c>
      <c r="G18" t="str">
        <f>UPPER(TEXT(Tabela_DB[[#This Row],[DATA]],"mmm"))</f>
        <v>JAN</v>
      </c>
      <c r="H18" t="str">
        <f>UPPER(TEXT(Tabela_DB[[#This Row],[DATA]],"aaaa"))</f>
        <v>2021</v>
      </c>
    </row>
    <row r="19" spans="1:8" x14ac:dyDescent="0.25">
      <c r="A19" s="2">
        <v>44198</v>
      </c>
      <c r="B19" t="s">
        <v>4</v>
      </c>
      <c r="C19">
        <v>11904</v>
      </c>
      <c r="D19" t="str">
        <f>VLOOKUP(B19,Tabela_Auxiliar[],2,0)</f>
        <v>1. Receita Operacional Bruta</v>
      </c>
      <c r="E19" t="str">
        <f>VLOOKUP(B19,Tabela_Auxiliar[],4,0)</f>
        <v>Receita Bruta</v>
      </c>
      <c r="F19" t="str">
        <f>VLOOKUP(B19,Tabela_Auxiliar[],3,0)</f>
        <v>Entrada</v>
      </c>
      <c r="G19" t="str">
        <f>UPPER(TEXT(Tabela_DB[[#This Row],[DATA]],"mmm"))</f>
        <v>JAN</v>
      </c>
      <c r="H19" t="str">
        <f>UPPER(TEXT(Tabela_DB[[#This Row],[DATA]],"aaaa"))</f>
        <v>2021</v>
      </c>
    </row>
    <row r="20" spans="1:8" x14ac:dyDescent="0.25">
      <c r="A20" s="2">
        <v>44198</v>
      </c>
      <c r="B20" t="s">
        <v>38</v>
      </c>
      <c r="C20">
        <v>-2425</v>
      </c>
      <c r="D20" t="str">
        <f>VLOOKUP(B20,Tabela_Auxiliar[],2,0)</f>
        <v>2. Deduções da Receita</v>
      </c>
      <c r="E20" t="str">
        <f>VLOOKUP(B20,Tabela_Auxiliar[],4,0)</f>
        <v>Deduções</v>
      </c>
      <c r="F20" t="str">
        <f>VLOOKUP(B20,Tabela_Auxiliar[],3,0)</f>
        <v>Saída</v>
      </c>
      <c r="G20" t="str">
        <f>UPPER(TEXT(Tabela_DB[[#This Row],[DATA]],"mmm"))</f>
        <v>JAN</v>
      </c>
      <c r="H20" t="str">
        <f>UPPER(TEXT(Tabela_DB[[#This Row],[DATA]],"aaaa"))</f>
        <v>2021</v>
      </c>
    </row>
    <row r="21" spans="1:8" x14ac:dyDescent="0.25">
      <c r="A21" s="2">
        <v>44198</v>
      </c>
      <c r="B21" t="s">
        <v>4</v>
      </c>
      <c r="C21">
        <v>10326</v>
      </c>
      <c r="D21" t="str">
        <f>VLOOKUP(B21,Tabela_Auxiliar[],2,0)</f>
        <v>1. Receita Operacional Bruta</v>
      </c>
      <c r="E21" t="str">
        <f>VLOOKUP(B21,Tabela_Auxiliar[],4,0)</f>
        <v>Receita Bruta</v>
      </c>
      <c r="F21" t="str">
        <f>VLOOKUP(B21,Tabela_Auxiliar[],3,0)</f>
        <v>Entrada</v>
      </c>
      <c r="G21" t="str">
        <f>UPPER(TEXT(Tabela_DB[[#This Row],[DATA]],"mmm"))</f>
        <v>JAN</v>
      </c>
      <c r="H21" t="str">
        <f>UPPER(TEXT(Tabela_DB[[#This Row],[DATA]],"aaaa"))</f>
        <v>2021</v>
      </c>
    </row>
    <row r="22" spans="1:8" x14ac:dyDescent="0.25">
      <c r="A22" s="2">
        <v>44198</v>
      </c>
      <c r="B22" t="s">
        <v>4</v>
      </c>
      <c r="C22">
        <v>12250</v>
      </c>
      <c r="D22" t="str">
        <f>VLOOKUP(B22,Tabela_Auxiliar[],2,0)</f>
        <v>1. Receita Operacional Bruta</v>
      </c>
      <c r="E22" t="str">
        <f>VLOOKUP(B22,Tabela_Auxiliar[],4,0)</f>
        <v>Receita Bruta</v>
      </c>
      <c r="F22" t="str">
        <f>VLOOKUP(B22,Tabela_Auxiliar[],3,0)</f>
        <v>Entrada</v>
      </c>
      <c r="G22" t="str">
        <f>UPPER(TEXT(Tabela_DB[[#This Row],[DATA]],"mmm"))</f>
        <v>JAN</v>
      </c>
      <c r="H22" t="str">
        <f>UPPER(TEXT(Tabela_DB[[#This Row],[DATA]],"aaaa"))</f>
        <v>2021</v>
      </c>
    </row>
    <row r="23" spans="1:8" x14ac:dyDescent="0.25">
      <c r="A23" s="2">
        <v>44198</v>
      </c>
      <c r="B23" t="s">
        <v>81</v>
      </c>
      <c r="C23">
        <v>-1187</v>
      </c>
      <c r="D23" t="str">
        <f>VLOOKUP(B23,Tabela_Auxiliar[],2,0)</f>
        <v>4. Despesas Operacionais</v>
      </c>
      <c r="E23" t="str">
        <f>VLOOKUP(B23,Tabela_Auxiliar[],4,0)</f>
        <v>Serviços Contratados</v>
      </c>
      <c r="F23" t="str">
        <f>VLOOKUP(B23,Tabela_Auxiliar[],3,0)</f>
        <v>Saída</v>
      </c>
      <c r="G23" t="str">
        <f>UPPER(TEXT(Tabela_DB[[#This Row],[DATA]],"mmm"))</f>
        <v>JAN</v>
      </c>
      <c r="H23" t="str">
        <f>UPPER(TEXT(Tabela_DB[[#This Row],[DATA]],"aaaa"))</f>
        <v>2021</v>
      </c>
    </row>
    <row r="24" spans="1:8" x14ac:dyDescent="0.25">
      <c r="A24" s="2">
        <v>44198</v>
      </c>
      <c r="B24" t="s">
        <v>111</v>
      </c>
      <c r="C24">
        <v>-1801</v>
      </c>
      <c r="D24" t="str">
        <f>VLOOKUP(B24,Tabela_Auxiliar[],2,0)</f>
        <v>2. Deduções da Receita</v>
      </c>
      <c r="E24" t="str">
        <f>VLOOKUP(B24,Tabela_Auxiliar[],4,0)</f>
        <v>Imposto</v>
      </c>
      <c r="F24" t="str">
        <f>VLOOKUP(B24,Tabela_Auxiliar[],3,0)</f>
        <v>Saída</v>
      </c>
      <c r="G24" t="str">
        <f>UPPER(TEXT(Tabela_DB[[#This Row],[DATA]],"mmm"))</f>
        <v>JAN</v>
      </c>
      <c r="H24" t="str">
        <f>UPPER(TEXT(Tabela_DB[[#This Row],[DATA]],"aaaa"))</f>
        <v>2021</v>
      </c>
    </row>
    <row r="25" spans="1:8" x14ac:dyDescent="0.25">
      <c r="A25" s="2">
        <v>44198</v>
      </c>
      <c r="B25" t="s">
        <v>4</v>
      </c>
      <c r="C25">
        <v>11497</v>
      </c>
      <c r="D25" t="str">
        <f>VLOOKUP(B25,Tabela_Auxiliar[],2,0)</f>
        <v>1. Receita Operacional Bruta</v>
      </c>
      <c r="E25" t="str">
        <f>VLOOKUP(B25,Tabela_Auxiliar[],4,0)</f>
        <v>Receita Bruta</v>
      </c>
      <c r="F25" t="str">
        <f>VLOOKUP(B25,Tabela_Auxiliar[],3,0)</f>
        <v>Entrada</v>
      </c>
      <c r="G25" t="str">
        <f>UPPER(TEXT(Tabela_DB[[#This Row],[DATA]],"mmm"))</f>
        <v>JAN</v>
      </c>
      <c r="H25" t="str">
        <f>UPPER(TEXT(Tabela_DB[[#This Row],[DATA]],"aaaa"))</f>
        <v>2021</v>
      </c>
    </row>
    <row r="26" spans="1:8" x14ac:dyDescent="0.25">
      <c r="A26" s="2">
        <v>44198</v>
      </c>
      <c r="B26" t="s">
        <v>88</v>
      </c>
      <c r="C26">
        <v>-2381</v>
      </c>
      <c r="D26" t="str">
        <f>VLOOKUP(B26,Tabela_Auxiliar[],2,0)</f>
        <v>4. Despesas Operacionais</v>
      </c>
      <c r="E26" t="str">
        <f>VLOOKUP(B26,Tabela_Auxiliar[],4,0)</f>
        <v>Despesa Tributária</v>
      </c>
      <c r="F26" t="str">
        <f>VLOOKUP(B26,Tabela_Auxiliar[],3,0)</f>
        <v>Saída</v>
      </c>
      <c r="G26" t="str">
        <f>UPPER(TEXT(Tabela_DB[[#This Row],[DATA]],"mmm"))</f>
        <v>JAN</v>
      </c>
      <c r="H26" t="str">
        <f>UPPER(TEXT(Tabela_DB[[#This Row],[DATA]],"aaaa"))</f>
        <v>2021</v>
      </c>
    </row>
    <row r="27" spans="1:8" x14ac:dyDescent="0.25">
      <c r="A27" s="2">
        <v>44198</v>
      </c>
      <c r="B27" t="s">
        <v>64</v>
      </c>
      <c r="C27">
        <v>-2155</v>
      </c>
      <c r="D27" t="str">
        <f>VLOOKUP(B27,Tabela_Auxiliar[],2,0)</f>
        <v>4. Despesas Operacionais</v>
      </c>
      <c r="E27" t="str">
        <f>VLOOKUP(B27,Tabela_Auxiliar[],4,0)</f>
        <v>Despesa Gerais</v>
      </c>
      <c r="F27" t="str">
        <f>VLOOKUP(B27,Tabela_Auxiliar[],3,0)</f>
        <v>Saída</v>
      </c>
      <c r="G27" t="str">
        <f>UPPER(TEXT(Tabela_DB[[#This Row],[DATA]],"mmm"))</f>
        <v>JAN</v>
      </c>
      <c r="H27" t="str">
        <f>UPPER(TEXT(Tabela_DB[[#This Row],[DATA]],"aaaa"))</f>
        <v>2021</v>
      </c>
    </row>
    <row r="28" spans="1:8" x14ac:dyDescent="0.25">
      <c r="A28" s="2">
        <v>44198</v>
      </c>
      <c r="B28" t="s">
        <v>4</v>
      </c>
      <c r="C28">
        <v>13982</v>
      </c>
      <c r="D28" t="str">
        <f>VLOOKUP(B28,Tabela_Auxiliar[],2,0)</f>
        <v>1. Receita Operacional Bruta</v>
      </c>
      <c r="E28" t="str">
        <f>VLOOKUP(B28,Tabela_Auxiliar[],4,0)</f>
        <v>Receita Bruta</v>
      </c>
      <c r="F28" t="str">
        <f>VLOOKUP(B28,Tabela_Auxiliar[],3,0)</f>
        <v>Entrada</v>
      </c>
      <c r="G28" t="str">
        <f>UPPER(TEXT(Tabela_DB[[#This Row],[DATA]],"mmm"))</f>
        <v>JAN</v>
      </c>
      <c r="H28" t="str">
        <f>UPPER(TEXT(Tabela_DB[[#This Row],[DATA]],"aaaa"))</f>
        <v>2021</v>
      </c>
    </row>
    <row r="29" spans="1:8" x14ac:dyDescent="0.25">
      <c r="A29" s="2">
        <v>44198</v>
      </c>
      <c r="B29" t="s">
        <v>38</v>
      </c>
      <c r="C29">
        <v>-2112</v>
      </c>
      <c r="D29" t="str">
        <f>VLOOKUP(B29,Tabela_Auxiliar[],2,0)</f>
        <v>2. Deduções da Receita</v>
      </c>
      <c r="E29" t="str">
        <f>VLOOKUP(B29,Tabela_Auxiliar[],4,0)</f>
        <v>Deduções</v>
      </c>
      <c r="F29" t="str">
        <f>VLOOKUP(B29,Tabela_Auxiliar[],3,0)</f>
        <v>Saída</v>
      </c>
      <c r="G29" t="str">
        <f>UPPER(TEXT(Tabela_DB[[#This Row],[DATA]],"mmm"))</f>
        <v>JAN</v>
      </c>
      <c r="H29" t="str">
        <f>UPPER(TEXT(Tabela_DB[[#This Row],[DATA]],"aaaa"))</f>
        <v>2021</v>
      </c>
    </row>
    <row r="30" spans="1:8" x14ac:dyDescent="0.25">
      <c r="A30" s="2">
        <v>44198</v>
      </c>
      <c r="B30" t="s">
        <v>3</v>
      </c>
      <c r="C30">
        <v>12499</v>
      </c>
      <c r="D30" t="str">
        <f>VLOOKUP(B30,Tabela_Auxiliar[],2,0)</f>
        <v>1. Receita Operacional Bruta</v>
      </c>
      <c r="E30" t="str">
        <f>VLOOKUP(B30,Tabela_Auxiliar[],4,0)</f>
        <v>Receita Bruta</v>
      </c>
      <c r="F30" t="str">
        <f>VLOOKUP(B30,Tabela_Auxiliar[],3,0)</f>
        <v>Entrada</v>
      </c>
      <c r="G30" t="str">
        <f>UPPER(TEXT(Tabela_DB[[#This Row],[DATA]],"mmm"))</f>
        <v>JAN</v>
      </c>
      <c r="H30" t="str">
        <f>UPPER(TEXT(Tabela_DB[[#This Row],[DATA]],"aaaa"))</f>
        <v>2021</v>
      </c>
    </row>
    <row r="31" spans="1:8" x14ac:dyDescent="0.25">
      <c r="A31" s="2">
        <v>44198</v>
      </c>
      <c r="B31" t="s">
        <v>83</v>
      </c>
      <c r="C31">
        <v>-1715</v>
      </c>
      <c r="D31" t="str">
        <f>VLOOKUP(B31,Tabela_Auxiliar[],2,0)</f>
        <v>4. Despesas Operacionais</v>
      </c>
      <c r="E31" t="str">
        <f>VLOOKUP(B31,Tabela_Auxiliar[],4,0)</f>
        <v>Despesa com Veículos</v>
      </c>
      <c r="F31" t="str">
        <f>VLOOKUP(B31,Tabela_Auxiliar[],3,0)</f>
        <v>Saída</v>
      </c>
      <c r="G31" t="str">
        <f>UPPER(TEXT(Tabela_DB[[#This Row],[DATA]],"mmm"))</f>
        <v>JAN</v>
      </c>
      <c r="H31" t="str">
        <f>UPPER(TEXT(Tabela_DB[[#This Row],[DATA]],"aaaa"))</f>
        <v>2021</v>
      </c>
    </row>
    <row r="32" spans="1:8" x14ac:dyDescent="0.25">
      <c r="A32" s="2">
        <v>44198</v>
      </c>
      <c r="B32" t="s">
        <v>38</v>
      </c>
      <c r="C32">
        <v>-1341</v>
      </c>
      <c r="D32" t="str">
        <f>VLOOKUP(B32,Tabela_Auxiliar[],2,0)</f>
        <v>2. Deduções da Receita</v>
      </c>
      <c r="E32" t="str">
        <f>VLOOKUP(B32,Tabela_Auxiliar[],4,0)</f>
        <v>Deduções</v>
      </c>
      <c r="F32" t="str">
        <f>VLOOKUP(B32,Tabela_Auxiliar[],3,0)</f>
        <v>Saída</v>
      </c>
      <c r="G32" t="str">
        <f>UPPER(TEXT(Tabela_DB[[#This Row],[DATA]],"mmm"))</f>
        <v>JAN</v>
      </c>
      <c r="H32" t="str">
        <f>UPPER(TEXT(Tabela_DB[[#This Row],[DATA]],"aaaa"))</f>
        <v>2021</v>
      </c>
    </row>
    <row r="33" spans="1:8" x14ac:dyDescent="0.25">
      <c r="A33" s="2">
        <v>44198</v>
      </c>
      <c r="B33" t="s">
        <v>45</v>
      </c>
      <c r="C33">
        <v>-1194</v>
      </c>
      <c r="D33" t="str">
        <f>VLOOKUP(B33,Tabela_Auxiliar[],2,0)</f>
        <v>4. Despesas Operacionais</v>
      </c>
      <c r="E33" t="str">
        <f>VLOOKUP(B33,Tabela_Auxiliar[],4,0)</f>
        <v>Despesa com Pessoal</v>
      </c>
      <c r="F33" t="str">
        <f>VLOOKUP(B33,Tabela_Auxiliar[],3,0)</f>
        <v>Saída</v>
      </c>
      <c r="G33" t="str">
        <f>UPPER(TEXT(Tabela_DB[[#This Row],[DATA]],"mmm"))</f>
        <v>JAN</v>
      </c>
      <c r="H33" t="str">
        <f>UPPER(TEXT(Tabela_DB[[#This Row],[DATA]],"aaaa"))</f>
        <v>2021</v>
      </c>
    </row>
    <row r="34" spans="1:8" x14ac:dyDescent="0.25">
      <c r="A34" s="2">
        <v>44199</v>
      </c>
      <c r="B34" t="s">
        <v>60</v>
      </c>
      <c r="C34">
        <v>-2236</v>
      </c>
      <c r="D34" t="str">
        <f>VLOOKUP(B34,Tabela_Auxiliar[],2,0)</f>
        <v>4. Despesas Operacionais</v>
      </c>
      <c r="E34" t="str">
        <f>VLOOKUP(B34,Tabela_Auxiliar[],4,0)</f>
        <v>Despesa de Depreciação</v>
      </c>
      <c r="F34" t="str">
        <f>VLOOKUP(B34,Tabela_Auxiliar[],3,0)</f>
        <v>Saída</v>
      </c>
      <c r="G34" t="str">
        <f>UPPER(TEXT(Tabela_DB[[#This Row],[DATA]],"mmm"))</f>
        <v>JAN</v>
      </c>
      <c r="H34" t="str">
        <f>UPPER(TEXT(Tabela_DB[[#This Row],[DATA]],"aaaa"))</f>
        <v>2021</v>
      </c>
    </row>
    <row r="35" spans="1:8" x14ac:dyDescent="0.25">
      <c r="A35" s="2">
        <v>44199</v>
      </c>
      <c r="B35" t="s">
        <v>51</v>
      </c>
      <c r="C35">
        <v>-1476</v>
      </c>
      <c r="D35" t="str">
        <f>VLOOKUP(B35,Tabela_Auxiliar[],2,0)</f>
        <v>4. Despesas Operacionais</v>
      </c>
      <c r="E35" t="str">
        <f>VLOOKUP(B35,Tabela_Auxiliar[],4,0)</f>
        <v>Despesa com Pessoal</v>
      </c>
      <c r="F35" t="str">
        <f>VLOOKUP(B35,Tabela_Auxiliar[],3,0)</f>
        <v>Saída</v>
      </c>
      <c r="G35" t="str">
        <f>UPPER(TEXT(Tabela_DB[[#This Row],[DATA]],"mmm"))</f>
        <v>JAN</v>
      </c>
      <c r="H35" t="str">
        <f>UPPER(TEXT(Tabela_DB[[#This Row],[DATA]],"aaaa"))</f>
        <v>2021</v>
      </c>
    </row>
    <row r="36" spans="1:8" x14ac:dyDescent="0.25">
      <c r="A36" s="2">
        <v>44199</v>
      </c>
      <c r="B36" t="s">
        <v>56</v>
      </c>
      <c r="C36">
        <v>-1833</v>
      </c>
      <c r="D36" t="str">
        <f>VLOOKUP(B36,Tabela_Auxiliar[],2,0)</f>
        <v>4. Despesas Operacionais</v>
      </c>
      <c r="E36" t="str">
        <f>VLOOKUP(B36,Tabela_Auxiliar[],4,0)</f>
        <v>Despesa com Pessoal</v>
      </c>
      <c r="F36" t="str">
        <f>VLOOKUP(B36,Tabela_Auxiliar[],3,0)</f>
        <v>Saída</v>
      </c>
      <c r="G36" t="str">
        <f>UPPER(TEXT(Tabela_DB[[#This Row],[DATA]],"mmm"))</f>
        <v>JAN</v>
      </c>
      <c r="H36" t="str">
        <f>UPPER(TEXT(Tabela_DB[[#This Row],[DATA]],"aaaa"))</f>
        <v>2021</v>
      </c>
    </row>
    <row r="37" spans="1:8" x14ac:dyDescent="0.25">
      <c r="A37" s="2">
        <v>44199</v>
      </c>
      <c r="B37" t="s">
        <v>35</v>
      </c>
      <c r="C37">
        <v>-1013</v>
      </c>
      <c r="D37" t="str">
        <f>VLOOKUP(B37,Tabela_Auxiliar[],2,0)</f>
        <v>2. Deduções da Receita</v>
      </c>
      <c r="E37" t="str">
        <f>VLOOKUP(B37,Tabela_Auxiliar[],4,0)</f>
        <v>Imposto</v>
      </c>
      <c r="F37" t="str">
        <f>VLOOKUP(B37,Tabela_Auxiliar[],3,0)</f>
        <v>Saída</v>
      </c>
      <c r="G37" t="str">
        <f>UPPER(TEXT(Tabela_DB[[#This Row],[DATA]],"mmm"))</f>
        <v>JAN</v>
      </c>
      <c r="H37" t="str">
        <f>UPPER(TEXT(Tabela_DB[[#This Row],[DATA]],"aaaa"))</f>
        <v>2021</v>
      </c>
    </row>
    <row r="38" spans="1:8" x14ac:dyDescent="0.25">
      <c r="A38" s="2">
        <v>44199</v>
      </c>
      <c r="B38" t="s">
        <v>63</v>
      </c>
      <c r="C38">
        <v>-1968</v>
      </c>
      <c r="D38" t="str">
        <f>VLOOKUP(B38,Tabela_Auxiliar[],2,0)</f>
        <v>4. Despesas Operacionais</v>
      </c>
      <c r="E38" t="str">
        <f>VLOOKUP(B38,Tabela_Auxiliar[],4,0)</f>
        <v>Despesa Gerais</v>
      </c>
      <c r="F38" t="str">
        <f>VLOOKUP(B38,Tabela_Auxiliar[],3,0)</f>
        <v>Saída</v>
      </c>
      <c r="G38" t="str">
        <f>UPPER(TEXT(Tabela_DB[[#This Row],[DATA]],"mmm"))</f>
        <v>JAN</v>
      </c>
      <c r="H38" t="str">
        <f>UPPER(TEXT(Tabela_DB[[#This Row],[DATA]],"aaaa"))</f>
        <v>2021</v>
      </c>
    </row>
    <row r="39" spans="1:8" x14ac:dyDescent="0.25">
      <c r="A39" s="2">
        <v>44199</v>
      </c>
      <c r="B39" t="s">
        <v>4</v>
      </c>
      <c r="C39">
        <v>14154</v>
      </c>
      <c r="D39" t="str">
        <f>VLOOKUP(B39,Tabela_Auxiliar[],2,0)</f>
        <v>1. Receita Operacional Bruta</v>
      </c>
      <c r="E39" t="str">
        <f>VLOOKUP(B39,Tabela_Auxiliar[],4,0)</f>
        <v>Receita Bruta</v>
      </c>
      <c r="F39" t="str">
        <f>VLOOKUP(B39,Tabela_Auxiliar[],3,0)</f>
        <v>Entrada</v>
      </c>
      <c r="G39" t="str">
        <f>UPPER(TEXT(Tabela_DB[[#This Row],[DATA]],"mmm"))</f>
        <v>JAN</v>
      </c>
      <c r="H39" t="str">
        <f>UPPER(TEXT(Tabela_DB[[#This Row],[DATA]],"aaaa"))</f>
        <v>2021</v>
      </c>
    </row>
    <row r="40" spans="1:8" x14ac:dyDescent="0.25">
      <c r="A40" s="2">
        <v>44199</v>
      </c>
      <c r="B40" t="s">
        <v>4</v>
      </c>
      <c r="C40">
        <v>12583</v>
      </c>
      <c r="D40" t="str">
        <f>VLOOKUP(B40,Tabela_Auxiliar[],2,0)</f>
        <v>1. Receita Operacional Bruta</v>
      </c>
      <c r="E40" t="str">
        <f>VLOOKUP(B40,Tabela_Auxiliar[],4,0)</f>
        <v>Receita Bruta</v>
      </c>
      <c r="F40" t="str">
        <f>VLOOKUP(B40,Tabela_Auxiliar[],3,0)</f>
        <v>Entrada</v>
      </c>
      <c r="G40" t="str">
        <f>UPPER(TEXT(Tabela_DB[[#This Row],[DATA]],"mmm"))</f>
        <v>JAN</v>
      </c>
      <c r="H40" t="str">
        <f>UPPER(TEXT(Tabela_DB[[#This Row],[DATA]],"aaaa"))</f>
        <v>2021</v>
      </c>
    </row>
    <row r="41" spans="1:8" x14ac:dyDescent="0.25">
      <c r="A41" s="2">
        <v>44199</v>
      </c>
      <c r="B41" t="s">
        <v>37</v>
      </c>
      <c r="C41">
        <v>-3429</v>
      </c>
      <c r="D41" t="str">
        <f>VLOOKUP(B41,Tabela_Auxiliar[],2,0)</f>
        <v>3. Custos do Produto/Mercadoria/Serviço</v>
      </c>
      <c r="E41" t="str">
        <f>VLOOKUP(B41,Tabela_Auxiliar[],4,0)</f>
        <v>Despesas c/ Produto</v>
      </c>
      <c r="F41" t="str">
        <f>VLOOKUP(B41,Tabela_Auxiliar[],3,0)</f>
        <v>Saída</v>
      </c>
      <c r="G41" t="str">
        <f>UPPER(TEXT(Tabela_DB[[#This Row],[DATA]],"mmm"))</f>
        <v>JAN</v>
      </c>
      <c r="H41" t="str">
        <f>UPPER(TEXT(Tabela_DB[[#This Row],[DATA]],"aaaa"))</f>
        <v>2021</v>
      </c>
    </row>
    <row r="42" spans="1:8" x14ac:dyDescent="0.25">
      <c r="A42" s="2">
        <v>44199</v>
      </c>
      <c r="B42" t="s">
        <v>35</v>
      </c>
      <c r="C42">
        <v>-1026</v>
      </c>
      <c r="D42" t="str">
        <f>VLOOKUP(B42,Tabela_Auxiliar[],2,0)</f>
        <v>2. Deduções da Receita</v>
      </c>
      <c r="E42" t="str">
        <f>VLOOKUP(B42,Tabela_Auxiliar[],4,0)</f>
        <v>Imposto</v>
      </c>
      <c r="F42" t="str">
        <f>VLOOKUP(B42,Tabela_Auxiliar[],3,0)</f>
        <v>Saída</v>
      </c>
      <c r="G42" t="str">
        <f>UPPER(TEXT(Tabela_DB[[#This Row],[DATA]],"mmm"))</f>
        <v>JAN</v>
      </c>
      <c r="H42" t="str">
        <f>UPPER(TEXT(Tabela_DB[[#This Row],[DATA]],"aaaa"))</f>
        <v>2021</v>
      </c>
    </row>
    <row r="43" spans="1:8" x14ac:dyDescent="0.25">
      <c r="A43" s="2">
        <v>44199</v>
      </c>
      <c r="B43" t="s">
        <v>67</v>
      </c>
      <c r="C43">
        <v>-2031</v>
      </c>
      <c r="D43" t="str">
        <f>VLOOKUP(B43,Tabela_Auxiliar[],2,0)</f>
        <v>4. Despesas Operacionais</v>
      </c>
      <c r="E43" t="str">
        <f>VLOOKUP(B43,Tabela_Auxiliar[],4,0)</f>
        <v>Despesa com Vendas</v>
      </c>
      <c r="F43" t="str">
        <f>VLOOKUP(B43,Tabela_Auxiliar[],3,0)</f>
        <v>Saída</v>
      </c>
      <c r="G43" t="str">
        <f>UPPER(TEXT(Tabela_DB[[#This Row],[DATA]],"mmm"))</f>
        <v>JAN</v>
      </c>
      <c r="H43" t="str">
        <f>UPPER(TEXT(Tabela_DB[[#This Row],[DATA]],"aaaa"))</f>
        <v>2021</v>
      </c>
    </row>
    <row r="44" spans="1:8" x14ac:dyDescent="0.25">
      <c r="A44" s="2">
        <v>44199</v>
      </c>
      <c r="B44" t="s">
        <v>35</v>
      </c>
      <c r="C44">
        <v>-1771</v>
      </c>
      <c r="D44" t="str">
        <f>VLOOKUP(B44,Tabela_Auxiliar[],2,0)</f>
        <v>2. Deduções da Receita</v>
      </c>
      <c r="E44" t="str">
        <f>VLOOKUP(B44,Tabela_Auxiliar[],4,0)</f>
        <v>Imposto</v>
      </c>
      <c r="F44" t="str">
        <f>VLOOKUP(B44,Tabela_Auxiliar[],3,0)</f>
        <v>Saída</v>
      </c>
      <c r="G44" t="str">
        <f>UPPER(TEXT(Tabela_DB[[#This Row],[DATA]],"mmm"))</f>
        <v>JAN</v>
      </c>
      <c r="H44" t="str">
        <f>UPPER(TEXT(Tabela_DB[[#This Row],[DATA]],"aaaa"))</f>
        <v>2021</v>
      </c>
    </row>
    <row r="45" spans="1:8" x14ac:dyDescent="0.25">
      <c r="A45" s="2">
        <v>44199</v>
      </c>
      <c r="B45" t="s">
        <v>81</v>
      </c>
      <c r="C45">
        <v>-1075</v>
      </c>
      <c r="D45" t="str">
        <f>VLOOKUP(B45,Tabela_Auxiliar[],2,0)</f>
        <v>4. Despesas Operacionais</v>
      </c>
      <c r="E45" t="str">
        <f>VLOOKUP(B45,Tabela_Auxiliar[],4,0)</f>
        <v>Serviços Contratados</v>
      </c>
      <c r="F45" t="str">
        <f>VLOOKUP(B45,Tabela_Auxiliar[],3,0)</f>
        <v>Saída</v>
      </c>
      <c r="G45" t="str">
        <f>UPPER(TEXT(Tabela_DB[[#This Row],[DATA]],"mmm"))</f>
        <v>JAN</v>
      </c>
      <c r="H45" t="str">
        <f>UPPER(TEXT(Tabela_DB[[#This Row],[DATA]],"aaaa"))</f>
        <v>2021</v>
      </c>
    </row>
    <row r="46" spans="1:8" x14ac:dyDescent="0.25">
      <c r="A46" s="2">
        <v>44199</v>
      </c>
      <c r="B46" t="s">
        <v>56</v>
      </c>
      <c r="C46">
        <v>-1543</v>
      </c>
      <c r="D46" t="str">
        <f>VLOOKUP(B46,Tabela_Auxiliar[],2,0)</f>
        <v>4. Despesas Operacionais</v>
      </c>
      <c r="E46" t="str">
        <f>VLOOKUP(B46,Tabela_Auxiliar[],4,0)</f>
        <v>Despesa com Pessoal</v>
      </c>
      <c r="F46" t="str">
        <f>VLOOKUP(B46,Tabela_Auxiliar[],3,0)</f>
        <v>Saída</v>
      </c>
      <c r="G46" t="str">
        <f>UPPER(TEXT(Tabela_DB[[#This Row],[DATA]],"mmm"))</f>
        <v>JAN</v>
      </c>
      <c r="H46" t="str">
        <f>UPPER(TEXT(Tabela_DB[[#This Row],[DATA]],"aaaa"))</f>
        <v>2021</v>
      </c>
    </row>
    <row r="47" spans="1:8" x14ac:dyDescent="0.25">
      <c r="A47" s="2">
        <v>44199</v>
      </c>
      <c r="B47" t="s">
        <v>111</v>
      </c>
      <c r="C47">
        <v>-1546</v>
      </c>
      <c r="D47" t="str">
        <f>VLOOKUP(B47,Tabela_Auxiliar[],2,0)</f>
        <v>2. Deduções da Receita</v>
      </c>
      <c r="E47" t="str">
        <f>VLOOKUP(B47,Tabela_Auxiliar[],4,0)</f>
        <v>Imposto</v>
      </c>
      <c r="F47" t="str">
        <f>VLOOKUP(B47,Tabela_Auxiliar[],3,0)</f>
        <v>Saída</v>
      </c>
      <c r="G47" t="str">
        <f>UPPER(TEXT(Tabela_DB[[#This Row],[DATA]],"mmm"))</f>
        <v>JAN</v>
      </c>
      <c r="H47" t="str">
        <f>UPPER(TEXT(Tabela_DB[[#This Row],[DATA]],"aaaa"))</f>
        <v>2021</v>
      </c>
    </row>
    <row r="48" spans="1:8" x14ac:dyDescent="0.25">
      <c r="A48" s="2">
        <v>44199</v>
      </c>
      <c r="B48" t="s">
        <v>3</v>
      </c>
      <c r="C48">
        <v>12653</v>
      </c>
      <c r="D48" t="str">
        <f>VLOOKUP(B48,Tabela_Auxiliar[],2,0)</f>
        <v>1. Receita Operacional Bruta</v>
      </c>
      <c r="E48" t="str">
        <f>VLOOKUP(B48,Tabela_Auxiliar[],4,0)</f>
        <v>Receita Bruta</v>
      </c>
      <c r="F48" t="str">
        <f>VLOOKUP(B48,Tabela_Auxiliar[],3,0)</f>
        <v>Entrada</v>
      </c>
      <c r="G48" t="str">
        <f>UPPER(TEXT(Tabela_DB[[#This Row],[DATA]],"mmm"))</f>
        <v>JAN</v>
      </c>
      <c r="H48" t="str">
        <f>UPPER(TEXT(Tabela_DB[[#This Row],[DATA]],"aaaa"))</f>
        <v>2021</v>
      </c>
    </row>
    <row r="49" spans="1:8" x14ac:dyDescent="0.25">
      <c r="A49" s="2">
        <v>44199</v>
      </c>
      <c r="B49" t="s">
        <v>3</v>
      </c>
      <c r="C49">
        <v>12646</v>
      </c>
      <c r="D49" t="str">
        <f>VLOOKUP(B49,Tabela_Auxiliar[],2,0)</f>
        <v>1. Receita Operacional Bruta</v>
      </c>
      <c r="E49" t="str">
        <f>VLOOKUP(B49,Tabela_Auxiliar[],4,0)</f>
        <v>Receita Bruta</v>
      </c>
      <c r="F49" t="str">
        <f>VLOOKUP(B49,Tabela_Auxiliar[],3,0)</f>
        <v>Entrada</v>
      </c>
      <c r="G49" t="str">
        <f>UPPER(TEXT(Tabela_DB[[#This Row],[DATA]],"mmm"))</f>
        <v>JAN</v>
      </c>
      <c r="H49" t="str">
        <f>UPPER(TEXT(Tabela_DB[[#This Row],[DATA]],"aaaa"))</f>
        <v>2021</v>
      </c>
    </row>
    <row r="50" spans="1:8" x14ac:dyDescent="0.25">
      <c r="A50" s="2">
        <v>44200</v>
      </c>
      <c r="B50" t="s">
        <v>63</v>
      </c>
      <c r="C50">
        <v>-1146</v>
      </c>
      <c r="D50" t="str">
        <f>VLOOKUP(B50,Tabela_Auxiliar[],2,0)</f>
        <v>4. Despesas Operacionais</v>
      </c>
      <c r="E50" t="str">
        <f>VLOOKUP(B50,Tabela_Auxiliar[],4,0)</f>
        <v>Despesa Gerais</v>
      </c>
      <c r="F50" t="str">
        <f>VLOOKUP(B50,Tabela_Auxiliar[],3,0)</f>
        <v>Saída</v>
      </c>
      <c r="G50" t="str">
        <f>UPPER(TEXT(Tabela_DB[[#This Row],[DATA]],"mmm"))</f>
        <v>JAN</v>
      </c>
      <c r="H50" t="str">
        <f>UPPER(TEXT(Tabela_DB[[#This Row],[DATA]],"aaaa"))</f>
        <v>2021</v>
      </c>
    </row>
    <row r="51" spans="1:8" x14ac:dyDescent="0.25">
      <c r="A51" s="2">
        <v>44200</v>
      </c>
      <c r="B51" t="s">
        <v>4</v>
      </c>
      <c r="C51">
        <v>13533</v>
      </c>
      <c r="D51" t="str">
        <f>VLOOKUP(B51,Tabela_Auxiliar[],2,0)</f>
        <v>1. Receita Operacional Bruta</v>
      </c>
      <c r="E51" t="str">
        <f>VLOOKUP(B51,Tabela_Auxiliar[],4,0)</f>
        <v>Receita Bruta</v>
      </c>
      <c r="F51" t="str">
        <f>VLOOKUP(B51,Tabela_Auxiliar[],3,0)</f>
        <v>Entrada</v>
      </c>
      <c r="G51" t="str">
        <f>UPPER(TEXT(Tabela_DB[[#This Row],[DATA]],"mmm"))</f>
        <v>JAN</v>
      </c>
      <c r="H51" t="str">
        <f>UPPER(TEXT(Tabela_DB[[#This Row],[DATA]],"aaaa"))</f>
        <v>2021</v>
      </c>
    </row>
    <row r="52" spans="1:8" x14ac:dyDescent="0.25">
      <c r="A52" s="2">
        <v>44200</v>
      </c>
      <c r="B52" t="s">
        <v>34</v>
      </c>
      <c r="C52">
        <v>-2287</v>
      </c>
      <c r="D52" t="str">
        <f>VLOOKUP(B52,Tabela_Auxiliar[],2,0)</f>
        <v>2. Deduções da Receita</v>
      </c>
      <c r="E52" t="str">
        <f>VLOOKUP(B52,Tabela_Auxiliar[],4,0)</f>
        <v>Imposto</v>
      </c>
      <c r="F52" t="str">
        <f>VLOOKUP(B52,Tabela_Auxiliar[],3,0)</f>
        <v>Saída</v>
      </c>
      <c r="G52" t="str">
        <f>UPPER(TEXT(Tabela_DB[[#This Row],[DATA]],"mmm"))</f>
        <v>JAN</v>
      </c>
      <c r="H52" t="str">
        <f>UPPER(TEXT(Tabela_DB[[#This Row],[DATA]],"aaaa"))</f>
        <v>2021</v>
      </c>
    </row>
    <row r="53" spans="1:8" x14ac:dyDescent="0.25">
      <c r="A53" s="2">
        <v>44200</v>
      </c>
      <c r="B53" t="s">
        <v>70</v>
      </c>
      <c r="C53">
        <v>-1773</v>
      </c>
      <c r="D53" t="str">
        <f>VLOOKUP(B53,Tabela_Auxiliar[],2,0)</f>
        <v>4. Despesas Operacionais</v>
      </c>
      <c r="E53" t="str">
        <f>VLOOKUP(B53,Tabela_Auxiliar[],4,0)</f>
        <v>Despesa com Ocupação</v>
      </c>
      <c r="F53" t="str">
        <f>VLOOKUP(B53,Tabela_Auxiliar[],3,0)</f>
        <v>Saída</v>
      </c>
      <c r="G53" t="str">
        <f>UPPER(TEXT(Tabela_DB[[#This Row],[DATA]],"mmm"))</f>
        <v>JAN</v>
      </c>
      <c r="H53" t="str">
        <f>UPPER(TEXT(Tabela_DB[[#This Row],[DATA]],"aaaa"))</f>
        <v>2021</v>
      </c>
    </row>
    <row r="54" spans="1:8" x14ac:dyDescent="0.25">
      <c r="A54" s="2">
        <v>44200</v>
      </c>
      <c r="B54" t="s">
        <v>3</v>
      </c>
      <c r="C54">
        <v>14627</v>
      </c>
      <c r="D54" t="str">
        <f>VLOOKUP(B54,Tabela_Auxiliar[],2,0)</f>
        <v>1. Receita Operacional Bruta</v>
      </c>
      <c r="E54" t="str">
        <f>VLOOKUP(B54,Tabela_Auxiliar[],4,0)</f>
        <v>Receita Bruta</v>
      </c>
      <c r="F54" t="str">
        <f>VLOOKUP(B54,Tabela_Auxiliar[],3,0)</f>
        <v>Entrada</v>
      </c>
      <c r="G54" t="str">
        <f>UPPER(TEXT(Tabela_DB[[#This Row],[DATA]],"mmm"))</f>
        <v>JAN</v>
      </c>
      <c r="H54" t="str">
        <f>UPPER(TEXT(Tabela_DB[[#This Row],[DATA]],"aaaa"))</f>
        <v>2021</v>
      </c>
    </row>
    <row r="55" spans="1:8" x14ac:dyDescent="0.25">
      <c r="A55" s="2">
        <v>44200</v>
      </c>
      <c r="B55" t="s">
        <v>4</v>
      </c>
      <c r="C55">
        <v>14822</v>
      </c>
      <c r="D55" t="str">
        <f>VLOOKUP(B55,Tabela_Auxiliar[],2,0)</f>
        <v>1. Receita Operacional Bruta</v>
      </c>
      <c r="E55" t="str">
        <f>VLOOKUP(B55,Tabela_Auxiliar[],4,0)</f>
        <v>Receita Bruta</v>
      </c>
      <c r="F55" t="str">
        <f>VLOOKUP(B55,Tabela_Auxiliar[],3,0)</f>
        <v>Entrada</v>
      </c>
      <c r="G55" t="str">
        <f>UPPER(TEXT(Tabela_DB[[#This Row],[DATA]],"mmm"))</f>
        <v>JAN</v>
      </c>
      <c r="H55" t="str">
        <f>UPPER(TEXT(Tabela_DB[[#This Row],[DATA]],"aaaa"))</f>
        <v>2021</v>
      </c>
    </row>
    <row r="56" spans="1:8" x14ac:dyDescent="0.25">
      <c r="A56" s="2">
        <v>44200</v>
      </c>
      <c r="B56" t="s">
        <v>55</v>
      </c>
      <c r="C56">
        <v>-2396</v>
      </c>
      <c r="D56" t="str">
        <f>VLOOKUP(B56,Tabela_Auxiliar[],2,0)</f>
        <v>4. Despesas Operacionais</v>
      </c>
      <c r="E56" t="str">
        <f>VLOOKUP(B56,Tabela_Auxiliar[],4,0)</f>
        <v>Despesa com Pessoal</v>
      </c>
      <c r="F56" t="str">
        <f>VLOOKUP(B56,Tabela_Auxiliar[],3,0)</f>
        <v>Saída</v>
      </c>
      <c r="G56" t="str">
        <f>UPPER(TEXT(Tabela_DB[[#This Row],[DATA]],"mmm"))</f>
        <v>JAN</v>
      </c>
      <c r="H56" t="str">
        <f>UPPER(TEXT(Tabela_DB[[#This Row],[DATA]],"aaaa"))</f>
        <v>2021</v>
      </c>
    </row>
    <row r="57" spans="1:8" x14ac:dyDescent="0.25">
      <c r="A57" s="2">
        <v>44200</v>
      </c>
      <c r="B57" t="s">
        <v>34</v>
      </c>
      <c r="C57">
        <v>-1033</v>
      </c>
      <c r="D57" t="str">
        <f>VLOOKUP(B57,Tabela_Auxiliar[],2,0)</f>
        <v>2. Deduções da Receita</v>
      </c>
      <c r="E57" t="str">
        <f>VLOOKUP(B57,Tabela_Auxiliar[],4,0)</f>
        <v>Imposto</v>
      </c>
      <c r="F57" t="str">
        <f>VLOOKUP(B57,Tabela_Auxiliar[],3,0)</f>
        <v>Saída</v>
      </c>
      <c r="G57" t="str">
        <f>UPPER(TEXT(Tabela_DB[[#This Row],[DATA]],"mmm"))</f>
        <v>JAN</v>
      </c>
      <c r="H57" t="str">
        <f>UPPER(TEXT(Tabela_DB[[#This Row],[DATA]],"aaaa"))</f>
        <v>2021</v>
      </c>
    </row>
    <row r="58" spans="1:8" x14ac:dyDescent="0.25">
      <c r="A58" s="2">
        <v>44200</v>
      </c>
      <c r="B58" t="s">
        <v>85</v>
      </c>
      <c r="C58">
        <v>-2479</v>
      </c>
      <c r="D58" t="str">
        <f>VLOOKUP(B58,Tabela_Auxiliar[],2,0)</f>
        <v>4. Despesas Operacionais</v>
      </c>
      <c r="E58" t="str">
        <f>VLOOKUP(B58,Tabela_Auxiliar[],4,0)</f>
        <v>Despesa com Veículos</v>
      </c>
      <c r="F58" t="str">
        <f>VLOOKUP(B58,Tabela_Auxiliar[],3,0)</f>
        <v>Saída</v>
      </c>
      <c r="G58" t="str">
        <f>UPPER(TEXT(Tabela_DB[[#This Row],[DATA]],"mmm"))</f>
        <v>JAN</v>
      </c>
      <c r="H58" t="str">
        <f>UPPER(TEXT(Tabela_DB[[#This Row],[DATA]],"aaaa"))</f>
        <v>2021</v>
      </c>
    </row>
    <row r="59" spans="1:8" x14ac:dyDescent="0.25">
      <c r="A59" s="2">
        <v>44200</v>
      </c>
      <c r="B59" t="s">
        <v>3</v>
      </c>
      <c r="C59">
        <v>11743</v>
      </c>
      <c r="D59" t="str">
        <f>VLOOKUP(B59,Tabela_Auxiliar[],2,0)</f>
        <v>1. Receita Operacional Bruta</v>
      </c>
      <c r="E59" t="str">
        <f>VLOOKUP(B59,Tabela_Auxiliar[],4,0)</f>
        <v>Receita Bruta</v>
      </c>
      <c r="F59" t="str">
        <f>VLOOKUP(B59,Tabela_Auxiliar[],3,0)</f>
        <v>Entrada</v>
      </c>
      <c r="G59" t="str">
        <f>UPPER(TEXT(Tabela_DB[[#This Row],[DATA]],"mmm"))</f>
        <v>JAN</v>
      </c>
      <c r="H59" t="str">
        <f>UPPER(TEXT(Tabela_DB[[#This Row],[DATA]],"aaaa"))</f>
        <v>2021</v>
      </c>
    </row>
    <row r="60" spans="1:8" x14ac:dyDescent="0.25">
      <c r="A60" s="2">
        <v>44200</v>
      </c>
      <c r="B60" t="s">
        <v>58</v>
      </c>
      <c r="C60">
        <v>-1358</v>
      </c>
      <c r="D60" t="str">
        <f>VLOOKUP(B60,Tabela_Auxiliar[],2,0)</f>
        <v>4. Despesas Operacionais</v>
      </c>
      <c r="E60" t="str">
        <f>VLOOKUP(B60,Tabela_Auxiliar[],4,0)</f>
        <v>Despesa de Depreciação</v>
      </c>
      <c r="F60" t="str">
        <f>VLOOKUP(B60,Tabela_Auxiliar[],3,0)</f>
        <v>Saída</v>
      </c>
      <c r="G60" t="str">
        <f>UPPER(TEXT(Tabela_DB[[#This Row],[DATA]],"mmm"))</f>
        <v>JAN</v>
      </c>
      <c r="H60" t="str">
        <f>UPPER(TEXT(Tabela_DB[[#This Row],[DATA]],"aaaa"))</f>
        <v>2021</v>
      </c>
    </row>
    <row r="61" spans="1:8" x14ac:dyDescent="0.25">
      <c r="A61" s="2">
        <v>44200</v>
      </c>
      <c r="B61" t="s">
        <v>38</v>
      </c>
      <c r="C61">
        <v>-2479</v>
      </c>
      <c r="D61" t="str">
        <f>VLOOKUP(B61,Tabela_Auxiliar[],2,0)</f>
        <v>2. Deduções da Receita</v>
      </c>
      <c r="E61" t="str">
        <f>VLOOKUP(B61,Tabela_Auxiliar[],4,0)</f>
        <v>Deduções</v>
      </c>
      <c r="F61" t="str">
        <f>VLOOKUP(B61,Tabela_Auxiliar[],3,0)</f>
        <v>Saída</v>
      </c>
      <c r="G61" t="str">
        <f>UPPER(TEXT(Tabela_DB[[#This Row],[DATA]],"mmm"))</f>
        <v>JAN</v>
      </c>
      <c r="H61" t="str">
        <f>UPPER(TEXT(Tabela_DB[[#This Row],[DATA]],"aaaa"))</f>
        <v>2021</v>
      </c>
    </row>
    <row r="62" spans="1:8" x14ac:dyDescent="0.25">
      <c r="A62" s="2">
        <v>44200</v>
      </c>
      <c r="B62" t="s">
        <v>35</v>
      </c>
      <c r="C62">
        <v>-1551</v>
      </c>
      <c r="D62" t="str">
        <f>VLOOKUP(B62,Tabela_Auxiliar[],2,0)</f>
        <v>2. Deduções da Receita</v>
      </c>
      <c r="E62" t="str">
        <f>VLOOKUP(B62,Tabela_Auxiliar[],4,0)</f>
        <v>Imposto</v>
      </c>
      <c r="F62" t="str">
        <f>VLOOKUP(B62,Tabela_Auxiliar[],3,0)</f>
        <v>Saída</v>
      </c>
      <c r="G62" t="str">
        <f>UPPER(TEXT(Tabela_DB[[#This Row],[DATA]],"mmm"))</f>
        <v>JAN</v>
      </c>
      <c r="H62" t="str">
        <f>UPPER(TEXT(Tabela_DB[[#This Row],[DATA]],"aaaa"))</f>
        <v>2021</v>
      </c>
    </row>
    <row r="63" spans="1:8" x14ac:dyDescent="0.25">
      <c r="A63" s="2">
        <v>44200</v>
      </c>
      <c r="B63" t="s">
        <v>4</v>
      </c>
      <c r="C63">
        <v>13252</v>
      </c>
      <c r="D63" t="str">
        <f>VLOOKUP(B63,Tabela_Auxiliar[],2,0)</f>
        <v>1. Receita Operacional Bruta</v>
      </c>
      <c r="E63" t="str">
        <f>VLOOKUP(B63,Tabela_Auxiliar[],4,0)</f>
        <v>Receita Bruta</v>
      </c>
      <c r="F63" t="str">
        <f>VLOOKUP(B63,Tabela_Auxiliar[],3,0)</f>
        <v>Entrada</v>
      </c>
      <c r="G63" t="str">
        <f>UPPER(TEXT(Tabela_DB[[#This Row],[DATA]],"mmm"))</f>
        <v>JAN</v>
      </c>
      <c r="H63" t="str">
        <f>UPPER(TEXT(Tabela_DB[[#This Row],[DATA]],"aaaa"))</f>
        <v>2021</v>
      </c>
    </row>
    <row r="64" spans="1:8" x14ac:dyDescent="0.25">
      <c r="A64" s="2">
        <v>44200</v>
      </c>
      <c r="B64" t="s">
        <v>4</v>
      </c>
      <c r="C64">
        <v>13743</v>
      </c>
      <c r="D64" t="str">
        <f>VLOOKUP(B64,Tabela_Auxiliar[],2,0)</f>
        <v>1. Receita Operacional Bruta</v>
      </c>
      <c r="E64" t="str">
        <f>VLOOKUP(B64,Tabela_Auxiliar[],4,0)</f>
        <v>Receita Bruta</v>
      </c>
      <c r="F64" t="str">
        <f>VLOOKUP(B64,Tabela_Auxiliar[],3,0)</f>
        <v>Entrada</v>
      </c>
      <c r="G64" t="str">
        <f>UPPER(TEXT(Tabela_DB[[#This Row],[DATA]],"mmm"))</f>
        <v>JAN</v>
      </c>
      <c r="H64" t="str">
        <f>UPPER(TEXT(Tabela_DB[[#This Row],[DATA]],"aaaa"))</f>
        <v>2021</v>
      </c>
    </row>
    <row r="65" spans="1:8" x14ac:dyDescent="0.25">
      <c r="A65" s="2">
        <v>44200</v>
      </c>
      <c r="B65" t="s">
        <v>3</v>
      </c>
      <c r="C65">
        <v>10237</v>
      </c>
      <c r="D65" t="str">
        <f>VLOOKUP(B65,Tabela_Auxiliar[],2,0)</f>
        <v>1. Receita Operacional Bruta</v>
      </c>
      <c r="E65" t="str">
        <f>VLOOKUP(B65,Tabela_Auxiliar[],4,0)</f>
        <v>Receita Bruta</v>
      </c>
      <c r="F65" t="str">
        <f>VLOOKUP(B65,Tabela_Auxiliar[],3,0)</f>
        <v>Entrada</v>
      </c>
      <c r="G65" t="str">
        <f>UPPER(TEXT(Tabela_DB[[#This Row],[DATA]],"mmm"))</f>
        <v>JAN</v>
      </c>
      <c r="H65" t="str">
        <f>UPPER(TEXT(Tabela_DB[[#This Row],[DATA]],"aaaa"))</f>
        <v>2021</v>
      </c>
    </row>
    <row r="66" spans="1:8" x14ac:dyDescent="0.25">
      <c r="A66" s="2">
        <v>44201</v>
      </c>
      <c r="B66" t="s">
        <v>73</v>
      </c>
      <c r="C66">
        <v>-1888</v>
      </c>
      <c r="D66" t="str">
        <f>VLOOKUP(B66,Tabela_Auxiliar[],2,0)</f>
        <v>4. Despesas Operacionais</v>
      </c>
      <c r="E66" t="str">
        <f>VLOOKUP(B66,Tabela_Auxiliar[],4,0)</f>
        <v>Despesa com Ocupação</v>
      </c>
      <c r="F66" t="str">
        <f>VLOOKUP(B66,Tabela_Auxiliar[],3,0)</f>
        <v>Saída</v>
      </c>
      <c r="G66" t="str">
        <f>UPPER(TEXT(Tabela_DB[[#This Row],[DATA]],"mmm"))</f>
        <v>JAN</v>
      </c>
      <c r="H66" t="str">
        <f>UPPER(TEXT(Tabela_DB[[#This Row],[DATA]],"aaaa"))</f>
        <v>2021</v>
      </c>
    </row>
    <row r="67" spans="1:8" x14ac:dyDescent="0.25">
      <c r="A67" s="2">
        <v>44201</v>
      </c>
      <c r="B67" t="s">
        <v>111</v>
      </c>
      <c r="C67">
        <v>-1170</v>
      </c>
      <c r="D67" t="str">
        <f>VLOOKUP(B67,Tabela_Auxiliar[],2,0)</f>
        <v>2. Deduções da Receita</v>
      </c>
      <c r="E67" t="str">
        <f>VLOOKUP(B67,Tabela_Auxiliar[],4,0)</f>
        <v>Imposto</v>
      </c>
      <c r="F67" t="str">
        <f>VLOOKUP(B67,Tabela_Auxiliar[],3,0)</f>
        <v>Saída</v>
      </c>
      <c r="G67" t="str">
        <f>UPPER(TEXT(Tabela_DB[[#This Row],[DATA]],"mmm"))</f>
        <v>JAN</v>
      </c>
      <c r="H67" t="str">
        <f>UPPER(TEXT(Tabela_DB[[#This Row],[DATA]],"aaaa"))</f>
        <v>2021</v>
      </c>
    </row>
    <row r="68" spans="1:8" x14ac:dyDescent="0.25">
      <c r="A68" s="2">
        <v>44201</v>
      </c>
      <c r="B68" t="s">
        <v>3</v>
      </c>
      <c r="C68">
        <v>11701</v>
      </c>
      <c r="D68" t="str">
        <f>VLOOKUP(B68,Tabela_Auxiliar[],2,0)</f>
        <v>1. Receita Operacional Bruta</v>
      </c>
      <c r="E68" t="str">
        <f>VLOOKUP(B68,Tabela_Auxiliar[],4,0)</f>
        <v>Receita Bruta</v>
      </c>
      <c r="F68" t="str">
        <f>VLOOKUP(B68,Tabela_Auxiliar[],3,0)</f>
        <v>Entrada</v>
      </c>
      <c r="G68" t="str">
        <f>UPPER(TEXT(Tabela_DB[[#This Row],[DATA]],"mmm"))</f>
        <v>JAN</v>
      </c>
      <c r="H68" t="str">
        <f>UPPER(TEXT(Tabela_DB[[#This Row],[DATA]],"aaaa"))</f>
        <v>2021</v>
      </c>
    </row>
    <row r="69" spans="1:8" x14ac:dyDescent="0.25">
      <c r="A69" s="2">
        <v>44201</v>
      </c>
      <c r="B69" t="s">
        <v>111</v>
      </c>
      <c r="C69">
        <v>-2342</v>
      </c>
      <c r="D69" t="str">
        <f>VLOOKUP(B69,Tabela_Auxiliar[],2,0)</f>
        <v>2. Deduções da Receita</v>
      </c>
      <c r="E69" t="str">
        <f>VLOOKUP(B69,Tabela_Auxiliar[],4,0)</f>
        <v>Imposto</v>
      </c>
      <c r="F69" t="str">
        <f>VLOOKUP(B69,Tabela_Auxiliar[],3,0)</f>
        <v>Saída</v>
      </c>
      <c r="G69" t="str">
        <f>UPPER(TEXT(Tabela_DB[[#This Row],[DATA]],"mmm"))</f>
        <v>JAN</v>
      </c>
      <c r="H69" t="str">
        <f>UPPER(TEXT(Tabela_DB[[#This Row],[DATA]],"aaaa"))</f>
        <v>2021</v>
      </c>
    </row>
    <row r="70" spans="1:8" x14ac:dyDescent="0.25">
      <c r="A70" s="2">
        <v>44201</v>
      </c>
      <c r="B70" t="s">
        <v>38</v>
      </c>
      <c r="C70">
        <v>-2295</v>
      </c>
      <c r="D70" t="str">
        <f>VLOOKUP(B70,Tabela_Auxiliar[],2,0)</f>
        <v>2. Deduções da Receita</v>
      </c>
      <c r="E70" t="str">
        <f>VLOOKUP(B70,Tabela_Auxiliar[],4,0)</f>
        <v>Deduções</v>
      </c>
      <c r="F70" t="str">
        <f>VLOOKUP(B70,Tabela_Auxiliar[],3,0)</f>
        <v>Saída</v>
      </c>
      <c r="G70" t="str">
        <f>UPPER(TEXT(Tabela_DB[[#This Row],[DATA]],"mmm"))</f>
        <v>JAN</v>
      </c>
      <c r="H70" t="str">
        <f>UPPER(TEXT(Tabela_DB[[#This Row],[DATA]],"aaaa"))</f>
        <v>2021</v>
      </c>
    </row>
    <row r="71" spans="1:8" x14ac:dyDescent="0.25">
      <c r="A71" s="2">
        <v>44201</v>
      </c>
      <c r="B71" t="s">
        <v>111</v>
      </c>
      <c r="C71">
        <v>-1169</v>
      </c>
      <c r="D71" t="str">
        <f>VLOOKUP(B71,Tabela_Auxiliar[],2,0)</f>
        <v>2. Deduções da Receita</v>
      </c>
      <c r="E71" t="str">
        <f>VLOOKUP(B71,Tabela_Auxiliar[],4,0)</f>
        <v>Imposto</v>
      </c>
      <c r="F71" t="str">
        <f>VLOOKUP(B71,Tabela_Auxiliar[],3,0)</f>
        <v>Saída</v>
      </c>
      <c r="G71" t="str">
        <f>UPPER(TEXT(Tabela_DB[[#This Row],[DATA]],"mmm"))</f>
        <v>JAN</v>
      </c>
      <c r="H71" t="str">
        <f>UPPER(TEXT(Tabela_DB[[#This Row],[DATA]],"aaaa"))</f>
        <v>2021</v>
      </c>
    </row>
    <row r="72" spans="1:8" x14ac:dyDescent="0.25">
      <c r="A72" s="2">
        <v>44201</v>
      </c>
      <c r="B72" t="s">
        <v>3</v>
      </c>
      <c r="C72">
        <v>10165</v>
      </c>
      <c r="D72" t="str">
        <f>VLOOKUP(B72,Tabela_Auxiliar[],2,0)</f>
        <v>1. Receita Operacional Bruta</v>
      </c>
      <c r="E72" t="str">
        <f>VLOOKUP(B72,Tabela_Auxiliar[],4,0)</f>
        <v>Receita Bruta</v>
      </c>
      <c r="F72" t="str">
        <f>VLOOKUP(B72,Tabela_Auxiliar[],3,0)</f>
        <v>Entrada</v>
      </c>
      <c r="G72" t="str">
        <f>UPPER(TEXT(Tabela_DB[[#This Row],[DATA]],"mmm"))</f>
        <v>JAN</v>
      </c>
      <c r="H72" t="str">
        <f>UPPER(TEXT(Tabela_DB[[#This Row],[DATA]],"aaaa"))</f>
        <v>2021</v>
      </c>
    </row>
    <row r="73" spans="1:8" x14ac:dyDescent="0.25">
      <c r="A73" s="2">
        <v>44201</v>
      </c>
      <c r="B73" t="s">
        <v>3</v>
      </c>
      <c r="C73">
        <v>14160</v>
      </c>
      <c r="D73" t="str">
        <f>VLOOKUP(B73,Tabela_Auxiliar[],2,0)</f>
        <v>1. Receita Operacional Bruta</v>
      </c>
      <c r="E73" t="str">
        <f>VLOOKUP(B73,Tabela_Auxiliar[],4,0)</f>
        <v>Receita Bruta</v>
      </c>
      <c r="F73" t="str">
        <f>VLOOKUP(B73,Tabela_Auxiliar[],3,0)</f>
        <v>Entrada</v>
      </c>
      <c r="G73" t="str">
        <f>UPPER(TEXT(Tabela_DB[[#This Row],[DATA]],"mmm"))</f>
        <v>JAN</v>
      </c>
      <c r="H73" t="str">
        <f>UPPER(TEXT(Tabela_DB[[#This Row],[DATA]],"aaaa"))</f>
        <v>2021</v>
      </c>
    </row>
    <row r="74" spans="1:8" x14ac:dyDescent="0.25">
      <c r="A74" s="2">
        <v>44201</v>
      </c>
      <c r="B74" t="s">
        <v>4</v>
      </c>
      <c r="C74">
        <v>11827</v>
      </c>
      <c r="D74" t="str">
        <f>VLOOKUP(B74,Tabela_Auxiliar[],2,0)</f>
        <v>1. Receita Operacional Bruta</v>
      </c>
      <c r="E74" t="str">
        <f>VLOOKUP(B74,Tabela_Auxiliar[],4,0)</f>
        <v>Receita Bruta</v>
      </c>
      <c r="F74" t="str">
        <f>VLOOKUP(B74,Tabela_Auxiliar[],3,0)</f>
        <v>Entrada</v>
      </c>
      <c r="G74" t="str">
        <f>UPPER(TEXT(Tabela_DB[[#This Row],[DATA]],"mmm"))</f>
        <v>JAN</v>
      </c>
      <c r="H74" t="str">
        <f>UPPER(TEXT(Tabela_DB[[#This Row],[DATA]],"aaaa"))</f>
        <v>2021</v>
      </c>
    </row>
    <row r="75" spans="1:8" x14ac:dyDescent="0.25">
      <c r="A75" s="2">
        <v>44201</v>
      </c>
      <c r="B75" t="s">
        <v>4</v>
      </c>
      <c r="C75">
        <v>10573</v>
      </c>
      <c r="D75" t="str">
        <f>VLOOKUP(B75,Tabela_Auxiliar[],2,0)</f>
        <v>1. Receita Operacional Bruta</v>
      </c>
      <c r="E75" t="str">
        <f>VLOOKUP(B75,Tabela_Auxiliar[],4,0)</f>
        <v>Receita Bruta</v>
      </c>
      <c r="F75" t="str">
        <f>VLOOKUP(B75,Tabela_Auxiliar[],3,0)</f>
        <v>Entrada</v>
      </c>
      <c r="G75" t="str">
        <f>UPPER(TEXT(Tabela_DB[[#This Row],[DATA]],"mmm"))</f>
        <v>JAN</v>
      </c>
      <c r="H75" t="str">
        <f>UPPER(TEXT(Tabela_DB[[#This Row],[DATA]],"aaaa"))</f>
        <v>2021</v>
      </c>
    </row>
    <row r="76" spans="1:8" x14ac:dyDescent="0.25">
      <c r="A76" s="2">
        <v>44201</v>
      </c>
      <c r="B76" t="s">
        <v>88</v>
      </c>
      <c r="C76">
        <v>-1657</v>
      </c>
      <c r="D76" t="str">
        <f>VLOOKUP(B76,Tabela_Auxiliar[],2,0)</f>
        <v>4. Despesas Operacionais</v>
      </c>
      <c r="E76" t="str">
        <f>VLOOKUP(B76,Tabela_Auxiliar[],4,0)</f>
        <v>Despesa Tributária</v>
      </c>
      <c r="F76" t="str">
        <f>VLOOKUP(B76,Tabela_Auxiliar[],3,0)</f>
        <v>Saída</v>
      </c>
      <c r="G76" t="str">
        <f>UPPER(TEXT(Tabela_DB[[#This Row],[DATA]],"mmm"))</f>
        <v>JAN</v>
      </c>
      <c r="H76" t="str">
        <f>UPPER(TEXT(Tabela_DB[[#This Row],[DATA]],"aaaa"))</f>
        <v>2021</v>
      </c>
    </row>
    <row r="77" spans="1:8" x14ac:dyDescent="0.25">
      <c r="A77" s="2">
        <v>44201</v>
      </c>
      <c r="B77" t="s">
        <v>40</v>
      </c>
      <c r="C77">
        <v>-1958</v>
      </c>
      <c r="D77" t="str">
        <f>VLOOKUP(B77,Tabela_Auxiliar[],2,0)</f>
        <v>4. Despesas Operacionais</v>
      </c>
      <c r="E77" t="str">
        <f>VLOOKUP(B77,Tabela_Auxiliar[],4,0)</f>
        <v>Despesa com Pessoal</v>
      </c>
      <c r="F77" t="str">
        <f>VLOOKUP(B77,Tabela_Auxiliar[],3,0)</f>
        <v>Saída</v>
      </c>
      <c r="G77" t="str">
        <f>UPPER(TEXT(Tabela_DB[[#This Row],[DATA]],"mmm"))</f>
        <v>JAN</v>
      </c>
      <c r="H77" t="str">
        <f>UPPER(TEXT(Tabela_DB[[#This Row],[DATA]],"aaaa"))</f>
        <v>2021</v>
      </c>
    </row>
    <row r="78" spans="1:8" x14ac:dyDescent="0.25">
      <c r="A78" s="2">
        <v>44201</v>
      </c>
      <c r="B78" t="s">
        <v>3</v>
      </c>
      <c r="C78">
        <v>12379</v>
      </c>
      <c r="D78" t="str">
        <f>VLOOKUP(B78,Tabela_Auxiliar[],2,0)</f>
        <v>1. Receita Operacional Bruta</v>
      </c>
      <c r="E78" t="str">
        <f>VLOOKUP(B78,Tabela_Auxiliar[],4,0)</f>
        <v>Receita Bruta</v>
      </c>
      <c r="F78" t="str">
        <f>VLOOKUP(B78,Tabela_Auxiliar[],3,0)</f>
        <v>Entrada</v>
      </c>
      <c r="G78" t="str">
        <f>UPPER(TEXT(Tabela_DB[[#This Row],[DATA]],"mmm"))</f>
        <v>JAN</v>
      </c>
      <c r="H78" t="str">
        <f>UPPER(TEXT(Tabela_DB[[#This Row],[DATA]],"aaaa"))</f>
        <v>2021</v>
      </c>
    </row>
    <row r="79" spans="1:8" x14ac:dyDescent="0.25">
      <c r="A79" s="2">
        <v>44201</v>
      </c>
      <c r="B79" t="s">
        <v>38</v>
      </c>
      <c r="C79">
        <v>-1981</v>
      </c>
      <c r="D79" t="str">
        <f>VLOOKUP(B79,Tabela_Auxiliar[],2,0)</f>
        <v>2. Deduções da Receita</v>
      </c>
      <c r="E79" t="str">
        <f>VLOOKUP(B79,Tabela_Auxiliar[],4,0)</f>
        <v>Deduções</v>
      </c>
      <c r="F79" t="str">
        <f>VLOOKUP(B79,Tabela_Auxiliar[],3,0)</f>
        <v>Saída</v>
      </c>
      <c r="G79" t="str">
        <f>UPPER(TEXT(Tabela_DB[[#This Row],[DATA]],"mmm"))</f>
        <v>JAN</v>
      </c>
      <c r="H79" t="str">
        <f>UPPER(TEXT(Tabela_DB[[#This Row],[DATA]],"aaaa"))</f>
        <v>2021</v>
      </c>
    </row>
    <row r="80" spans="1:8" x14ac:dyDescent="0.25">
      <c r="A80" s="2">
        <v>44201</v>
      </c>
      <c r="B80" t="s">
        <v>101</v>
      </c>
      <c r="C80">
        <v>-1345</v>
      </c>
      <c r="D80" t="str">
        <f>VLOOKUP(B80,Tabela_Auxiliar[],2,0)</f>
        <v>5. Resultado Financeiro</v>
      </c>
      <c r="E80" t="str">
        <f>VLOOKUP(B80,Tabela_Auxiliar[],4,0)</f>
        <v>Despesa Financeira</v>
      </c>
      <c r="F80" t="str">
        <f>VLOOKUP(B80,Tabela_Auxiliar[],3,0)</f>
        <v>Saída</v>
      </c>
      <c r="G80" t="str">
        <f>UPPER(TEXT(Tabela_DB[[#This Row],[DATA]],"mmm"))</f>
        <v>JAN</v>
      </c>
      <c r="H80" t="str">
        <f>UPPER(TEXT(Tabela_DB[[#This Row],[DATA]],"aaaa"))</f>
        <v>2021</v>
      </c>
    </row>
    <row r="81" spans="1:8" x14ac:dyDescent="0.25">
      <c r="A81" s="2">
        <v>44201</v>
      </c>
      <c r="B81" t="s">
        <v>35</v>
      </c>
      <c r="C81">
        <v>-1207</v>
      </c>
      <c r="D81" t="str">
        <f>VLOOKUP(B81,Tabela_Auxiliar[],2,0)</f>
        <v>2. Deduções da Receita</v>
      </c>
      <c r="E81" t="str">
        <f>VLOOKUP(B81,Tabela_Auxiliar[],4,0)</f>
        <v>Imposto</v>
      </c>
      <c r="F81" t="str">
        <f>VLOOKUP(B81,Tabela_Auxiliar[],3,0)</f>
        <v>Saída</v>
      </c>
      <c r="G81" t="str">
        <f>UPPER(TEXT(Tabela_DB[[#This Row],[DATA]],"mmm"))</f>
        <v>JAN</v>
      </c>
      <c r="H81" t="str">
        <f>UPPER(TEXT(Tabela_DB[[#This Row],[DATA]],"aaaa"))</f>
        <v>2021</v>
      </c>
    </row>
    <row r="82" spans="1:8" x14ac:dyDescent="0.25">
      <c r="A82" s="2">
        <v>44201</v>
      </c>
      <c r="B82" t="s">
        <v>35</v>
      </c>
      <c r="C82">
        <v>-1032</v>
      </c>
      <c r="D82" t="str">
        <f>VLOOKUP(B82,Tabela_Auxiliar[],2,0)</f>
        <v>2. Deduções da Receita</v>
      </c>
      <c r="E82" t="str">
        <f>VLOOKUP(B82,Tabela_Auxiliar[],4,0)</f>
        <v>Imposto</v>
      </c>
      <c r="F82" t="str">
        <f>VLOOKUP(B82,Tabela_Auxiliar[],3,0)</f>
        <v>Saída</v>
      </c>
      <c r="G82" t="str">
        <f>UPPER(TEXT(Tabela_DB[[#This Row],[DATA]],"mmm"))</f>
        <v>JAN</v>
      </c>
      <c r="H82" t="str">
        <f>UPPER(TEXT(Tabela_DB[[#This Row],[DATA]],"aaaa"))</f>
        <v>2021</v>
      </c>
    </row>
    <row r="83" spans="1:8" x14ac:dyDescent="0.25">
      <c r="A83" s="2">
        <v>44201</v>
      </c>
      <c r="B83" t="s">
        <v>60</v>
      </c>
      <c r="C83">
        <v>-1211</v>
      </c>
      <c r="D83" t="str">
        <f>VLOOKUP(B83,Tabela_Auxiliar[],2,0)</f>
        <v>4. Despesas Operacionais</v>
      </c>
      <c r="E83" t="str">
        <f>VLOOKUP(B83,Tabela_Auxiliar[],4,0)</f>
        <v>Despesa de Depreciação</v>
      </c>
      <c r="F83" t="str">
        <f>VLOOKUP(B83,Tabela_Auxiliar[],3,0)</f>
        <v>Saída</v>
      </c>
      <c r="G83" t="str">
        <f>UPPER(TEXT(Tabela_DB[[#This Row],[DATA]],"mmm"))</f>
        <v>JAN</v>
      </c>
      <c r="H83" t="str">
        <f>UPPER(TEXT(Tabela_DB[[#This Row],[DATA]],"aaaa"))</f>
        <v>2021</v>
      </c>
    </row>
    <row r="84" spans="1:8" x14ac:dyDescent="0.25">
      <c r="A84" s="2">
        <v>44202</v>
      </c>
      <c r="B84" t="s">
        <v>37</v>
      </c>
      <c r="C84">
        <v>-3965</v>
      </c>
      <c r="D84" t="str">
        <f>VLOOKUP(B84,Tabela_Auxiliar[],2,0)</f>
        <v>3. Custos do Produto/Mercadoria/Serviço</v>
      </c>
      <c r="E84" t="str">
        <f>VLOOKUP(B84,Tabela_Auxiliar[],4,0)</f>
        <v>Despesas c/ Produto</v>
      </c>
      <c r="F84" t="str">
        <f>VLOOKUP(B84,Tabela_Auxiliar[],3,0)</f>
        <v>Saída</v>
      </c>
      <c r="G84" t="str">
        <f>UPPER(TEXT(Tabela_DB[[#This Row],[DATA]],"mmm"))</f>
        <v>JAN</v>
      </c>
      <c r="H84" t="str">
        <f>UPPER(TEXT(Tabela_DB[[#This Row],[DATA]],"aaaa"))</f>
        <v>2021</v>
      </c>
    </row>
    <row r="85" spans="1:8" x14ac:dyDescent="0.25">
      <c r="A85" s="2">
        <v>44202</v>
      </c>
      <c r="B85" t="s">
        <v>3</v>
      </c>
      <c r="C85">
        <v>12876</v>
      </c>
      <c r="D85" t="str">
        <f>VLOOKUP(B85,Tabela_Auxiliar[],2,0)</f>
        <v>1. Receita Operacional Bruta</v>
      </c>
      <c r="E85" t="str">
        <f>VLOOKUP(B85,Tabela_Auxiliar[],4,0)</f>
        <v>Receita Bruta</v>
      </c>
      <c r="F85" t="str">
        <f>VLOOKUP(B85,Tabela_Auxiliar[],3,0)</f>
        <v>Entrada</v>
      </c>
      <c r="G85" t="str">
        <f>UPPER(TEXT(Tabela_DB[[#This Row],[DATA]],"mmm"))</f>
        <v>JAN</v>
      </c>
      <c r="H85" t="str">
        <f>UPPER(TEXT(Tabela_DB[[#This Row],[DATA]],"aaaa"))</f>
        <v>2021</v>
      </c>
    </row>
    <row r="86" spans="1:8" x14ac:dyDescent="0.25">
      <c r="A86" s="2">
        <v>44202</v>
      </c>
      <c r="B86" t="s">
        <v>87</v>
      </c>
      <c r="C86">
        <v>-2397</v>
      </c>
      <c r="D86" t="str">
        <f>VLOOKUP(B86,Tabela_Auxiliar[],2,0)</f>
        <v>4. Despesas Operacionais</v>
      </c>
      <c r="E86" t="str">
        <f>VLOOKUP(B86,Tabela_Auxiliar[],4,0)</f>
        <v>Despesa Tributária</v>
      </c>
      <c r="F86" t="str">
        <f>VLOOKUP(B86,Tabela_Auxiliar[],3,0)</f>
        <v>Saída</v>
      </c>
      <c r="G86" t="str">
        <f>UPPER(TEXT(Tabela_DB[[#This Row],[DATA]],"mmm"))</f>
        <v>JAN</v>
      </c>
      <c r="H86" t="str">
        <f>UPPER(TEXT(Tabela_DB[[#This Row],[DATA]],"aaaa"))</f>
        <v>2021</v>
      </c>
    </row>
    <row r="87" spans="1:8" x14ac:dyDescent="0.25">
      <c r="A87" s="2">
        <v>44202</v>
      </c>
      <c r="B87" t="s">
        <v>38</v>
      </c>
      <c r="C87">
        <v>-2303</v>
      </c>
      <c r="D87" t="str">
        <f>VLOOKUP(B87,Tabela_Auxiliar[],2,0)</f>
        <v>2. Deduções da Receita</v>
      </c>
      <c r="E87" t="str">
        <f>VLOOKUP(B87,Tabela_Auxiliar[],4,0)</f>
        <v>Deduções</v>
      </c>
      <c r="F87" t="str">
        <f>VLOOKUP(B87,Tabela_Auxiliar[],3,0)</f>
        <v>Saída</v>
      </c>
      <c r="G87" t="str">
        <f>UPPER(TEXT(Tabela_DB[[#This Row],[DATA]],"mmm"))</f>
        <v>JAN</v>
      </c>
      <c r="H87" t="str">
        <f>UPPER(TEXT(Tabela_DB[[#This Row],[DATA]],"aaaa"))</f>
        <v>2021</v>
      </c>
    </row>
    <row r="88" spans="1:8" x14ac:dyDescent="0.25">
      <c r="A88" s="2">
        <v>44202</v>
      </c>
      <c r="B88" t="s">
        <v>35</v>
      </c>
      <c r="C88">
        <v>-2273</v>
      </c>
      <c r="D88" t="str">
        <f>VLOOKUP(B88,Tabela_Auxiliar[],2,0)</f>
        <v>2. Deduções da Receita</v>
      </c>
      <c r="E88" t="str">
        <f>VLOOKUP(B88,Tabela_Auxiliar[],4,0)</f>
        <v>Imposto</v>
      </c>
      <c r="F88" t="str">
        <f>VLOOKUP(B88,Tabela_Auxiliar[],3,0)</f>
        <v>Saída</v>
      </c>
      <c r="G88" t="str">
        <f>UPPER(TEXT(Tabela_DB[[#This Row],[DATA]],"mmm"))</f>
        <v>JAN</v>
      </c>
      <c r="H88" t="str">
        <f>UPPER(TEXT(Tabela_DB[[#This Row],[DATA]],"aaaa"))</f>
        <v>2021</v>
      </c>
    </row>
    <row r="89" spans="1:8" x14ac:dyDescent="0.25">
      <c r="A89" s="2">
        <v>44202</v>
      </c>
      <c r="B89" t="s">
        <v>37</v>
      </c>
      <c r="C89">
        <v>-3124</v>
      </c>
      <c r="D89" t="str">
        <f>VLOOKUP(B89,Tabela_Auxiliar[],2,0)</f>
        <v>3. Custos do Produto/Mercadoria/Serviço</v>
      </c>
      <c r="E89" t="str">
        <f>VLOOKUP(B89,Tabela_Auxiliar[],4,0)</f>
        <v>Despesas c/ Produto</v>
      </c>
      <c r="F89" t="str">
        <f>VLOOKUP(B89,Tabela_Auxiliar[],3,0)</f>
        <v>Saída</v>
      </c>
      <c r="G89" t="str">
        <f>UPPER(TEXT(Tabela_DB[[#This Row],[DATA]],"mmm"))</f>
        <v>JAN</v>
      </c>
      <c r="H89" t="str">
        <f>UPPER(TEXT(Tabela_DB[[#This Row],[DATA]],"aaaa"))</f>
        <v>2021</v>
      </c>
    </row>
    <row r="90" spans="1:8" x14ac:dyDescent="0.25">
      <c r="A90" s="2">
        <v>44202</v>
      </c>
      <c r="B90" t="s">
        <v>35</v>
      </c>
      <c r="C90">
        <v>-1668</v>
      </c>
      <c r="D90" t="str">
        <f>VLOOKUP(B90,Tabela_Auxiliar[],2,0)</f>
        <v>2. Deduções da Receita</v>
      </c>
      <c r="E90" t="str">
        <f>VLOOKUP(B90,Tabela_Auxiliar[],4,0)</f>
        <v>Imposto</v>
      </c>
      <c r="F90" t="str">
        <f>VLOOKUP(B90,Tabela_Auxiliar[],3,0)</f>
        <v>Saída</v>
      </c>
      <c r="G90" t="str">
        <f>UPPER(TEXT(Tabela_DB[[#This Row],[DATA]],"mmm"))</f>
        <v>JAN</v>
      </c>
      <c r="H90" t="str">
        <f>UPPER(TEXT(Tabela_DB[[#This Row],[DATA]],"aaaa"))</f>
        <v>2021</v>
      </c>
    </row>
    <row r="91" spans="1:8" x14ac:dyDescent="0.25">
      <c r="A91" s="2">
        <v>44202</v>
      </c>
      <c r="B91" t="s">
        <v>4</v>
      </c>
      <c r="C91">
        <v>12088</v>
      </c>
      <c r="D91" t="str">
        <f>VLOOKUP(B91,Tabela_Auxiliar[],2,0)</f>
        <v>1. Receita Operacional Bruta</v>
      </c>
      <c r="E91" t="str">
        <f>VLOOKUP(B91,Tabela_Auxiliar[],4,0)</f>
        <v>Receita Bruta</v>
      </c>
      <c r="F91" t="str">
        <f>VLOOKUP(B91,Tabela_Auxiliar[],3,0)</f>
        <v>Entrada</v>
      </c>
      <c r="G91" t="str">
        <f>UPPER(TEXT(Tabela_DB[[#This Row],[DATA]],"mmm"))</f>
        <v>JAN</v>
      </c>
      <c r="H91" t="str">
        <f>UPPER(TEXT(Tabela_DB[[#This Row],[DATA]],"aaaa"))</f>
        <v>2021</v>
      </c>
    </row>
    <row r="92" spans="1:8" x14ac:dyDescent="0.25">
      <c r="A92" s="2">
        <v>44202</v>
      </c>
      <c r="B92" t="s">
        <v>31</v>
      </c>
      <c r="C92">
        <v>-2057</v>
      </c>
      <c r="D92" t="str">
        <f>VLOOKUP(B92,Tabela_Auxiliar[],2,0)</f>
        <v>5. Resultado Financeiro</v>
      </c>
      <c r="E92" t="str">
        <f>VLOOKUP(B92,Tabela_Auxiliar[],4,0)</f>
        <v>Participação nos resultados</v>
      </c>
      <c r="F92" t="str">
        <f>VLOOKUP(B92,Tabela_Auxiliar[],3,0)</f>
        <v>Saída</v>
      </c>
      <c r="G92" t="str">
        <f>UPPER(TEXT(Tabela_DB[[#This Row],[DATA]],"mmm"))</f>
        <v>JAN</v>
      </c>
      <c r="H92" t="str">
        <f>UPPER(TEXT(Tabela_DB[[#This Row],[DATA]],"aaaa"))</f>
        <v>2021</v>
      </c>
    </row>
    <row r="93" spans="1:8" x14ac:dyDescent="0.25">
      <c r="A93" s="2">
        <v>44202</v>
      </c>
      <c r="B93" t="s">
        <v>86</v>
      </c>
      <c r="C93">
        <v>-1802</v>
      </c>
      <c r="D93" t="str">
        <f>VLOOKUP(B93,Tabela_Auxiliar[],2,0)</f>
        <v>4. Despesas Operacionais</v>
      </c>
      <c r="E93" t="str">
        <f>VLOOKUP(B93,Tabela_Auxiliar[],4,0)</f>
        <v>Despesa com Veículos</v>
      </c>
      <c r="F93" t="str">
        <f>VLOOKUP(B93,Tabela_Auxiliar[],3,0)</f>
        <v>Saída</v>
      </c>
      <c r="G93" t="str">
        <f>UPPER(TEXT(Tabela_DB[[#This Row],[DATA]],"mmm"))</f>
        <v>JAN</v>
      </c>
      <c r="H93" t="str">
        <f>UPPER(TEXT(Tabela_DB[[#This Row],[DATA]],"aaaa"))</f>
        <v>2021</v>
      </c>
    </row>
    <row r="94" spans="1:8" x14ac:dyDescent="0.25">
      <c r="A94" s="2">
        <v>44202</v>
      </c>
      <c r="B94" t="s">
        <v>3</v>
      </c>
      <c r="C94">
        <v>12475</v>
      </c>
      <c r="D94" t="str">
        <f>VLOOKUP(B94,Tabela_Auxiliar[],2,0)</f>
        <v>1. Receita Operacional Bruta</v>
      </c>
      <c r="E94" t="str">
        <f>VLOOKUP(B94,Tabela_Auxiliar[],4,0)</f>
        <v>Receita Bruta</v>
      </c>
      <c r="F94" t="str">
        <f>VLOOKUP(B94,Tabela_Auxiliar[],3,0)</f>
        <v>Entrada</v>
      </c>
      <c r="G94" t="str">
        <f>UPPER(TEXT(Tabela_DB[[#This Row],[DATA]],"mmm"))</f>
        <v>JAN</v>
      </c>
      <c r="H94" t="str">
        <f>UPPER(TEXT(Tabela_DB[[#This Row],[DATA]],"aaaa"))</f>
        <v>2021</v>
      </c>
    </row>
    <row r="95" spans="1:8" x14ac:dyDescent="0.25">
      <c r="A95" s="2">
        <v>44202</v>
      </c>
      <c r="B95" t="s">
        <v>72</v>
      </c>
      <c r="C95">
        <v>-1949</v>
      </c>
      <c r="D95" t="str">
        <f>VLOOKUP(B95,Tabela_Auxiliar[],2,0)</f>
        <v>4. Despesas Operacionais</v>
      </c>
      <c r="E95" t="str">
        <f>VLOOKUP(B95,Tabela_Auxiliar[],4,0)</f>
        <v>Despesa com Ocupação</v>
      </c>
      <c r="F95" t="str">
        <f>VLOOKUP(B95,Tabela_Auxiliar[],3,0)</f>
        <v>Saída</v>
      </c>
      <c r="G95" t="str">
        <f>UPPER(TEXT(Tabela_DB[[#This Row],[DATA]],"mmm"))</f>
        <v>JAN</v>
      </c>
      <c r="H95" t="str">
        <f>UPPER(TEXT(Tabela_DB[[#This Row],[DATA]],"aaaa"))</f>
        <v>2021</v>
      </c>
    </row>
    <row r="96" spans="1:8" x14ac:dyDescent="0.25">
      <c r="A96" s="2">
        <v>44202</v>
      </c>
      <c r="B96" t="s">
        <v>111</v>
      </c>
      <c r="C96">
        <v>-2335</v>
      </c>
      <c r="D96" t="str">
        <f>VLOOKUP(B96,Tabela_Auxiliar[],2,0)</f>
        <v>2. Deduções da Receita</v>
      </c>
      <c r="E96" t="str">
        <f>VLOOKUP(B96,Tabela_Auxiliar[],4,0)</f>
        <v>Imposto</v>
      </c>
      <c r="F96" t="str">
        <f>VLOOKUP(B96,Tabela_Auxiliar[],3,0)</f>
        <v>Saída</v>
      </c>
      <c r="G96" t="str">
        <f>UPPER(TEXT(Tabela_DB[[#This Row],[DATA]],"mmm"))</f>
        <v>JAN</v>
      </c>
      <c r="H96" t="str">
        <f>UPPER(TEXT(Tabela_DB[[#This Row],[DATA]],"aaaa"))</f>
        <v>2021</v>
      </c>
    </row>
    <row r="97" spans="1:8" x14ac:dyDescent="0.25">
      <c r="A97" s="2">
        <v>44202</v>
      </c>
      <c r="B97" t="s">
        <v>37</v>
      </c>
      <c r="C97">
        <v>-3558</v>
      </c>
      <c r="D97" t="str">
        <f>VLOOKUP(B97,Tabela_Auxiliar[],2,0)</f>
        <v>3. Custos do Produto/Mercadoria/Serviço</v>
      </c>
      <c r="E97" t="str">
        <f>VLOOKUP(B97,Tabela_Auxiliar[],4,0)</f>
        <v>Despesas c/ Produto</v>
      </c>
      <c r="F97" t="str">
        <f>VLOOKUP(B97,Tabela_Auxiliar[],3,0)</f>
        <v>Saída</v>
      </c>
      <c r="G97" t="str">
        <f>UPPER(TEXT(Tabela_DB[[#This Row],[DATA]],"mmm"))</f>
        <v>JAN</v>
      </c>
      <c r="H97" t="str">
        <f>UPPER(TEXT(Tabela_DB[[#This Row],[DATA]],"aaaa"))</f>
        <v>2021</v>
      </c>
    </row>
    <row r="98" spans="1:8" x14ac:dyDescent="0.25">
      <c r="A98" s="2">
        <v>44202</v>
      </c>
      <c r="B98" t="s">
        <v>3</v>
      </c>
      <c r="C98">
        <v>13919</v>
      </c>
      <c r="D98" t="str">
        <f>VLOOKUP(B98,Tabela_Auxiliar[],2,0)</f>
        <v>1. Receita Operacional Bruta</v>
      </c>
      <c r="E98" t="str">
        <f>VLOOKUP(B98,Tabela_Auxiliar[],4,0)</f>
        <v>Receita Bruta</v>
      </c>
      <c r="F98" t="str">
        <f>VLOOKUP(B98,Tabela_Auxiliar[],3,0)</f>
        <v>Entrada</v>
      </c>
      <c r="G98" t="str">
        <f>UPPER(TEXT(Tabela_DB[[#This Row],[DATA]],"mmm"))</f>
        <v>JAN</v>
      </c>
      <c r="H98" t="str">
        <f>UPPER(TEXT(Tabela_DB[[#This Row],[DATA]],"aaaa"))</f>
        <v>2021</v>
      </c>
    </row>
    <row r="99" spans="1:8" x14ac:dyDescent="0.25">
      <c r="A99" s="2">
        <v>44202</v>
      </c>
      <c r="B99" t="s">
        <v>4</v>
      </c>
      <c r="C99">
        <v>14922</v>
      </c>
      <c r="D99" t="str">
        <f>VLOOKUP(B99,Tabela_Auxiliar[],2,0)</f>
        <v>1. Receita Operacional Bruta</v>
      </c>
      <c r="E99" t="str">
        <f>VLOOKUP(B99,Tabela_Auxiliar[],4,0)</f>
        <v>Receita Bruta</v>
      </c>
      <c r="F99" t="str">
        <f>VLOOKUP(B99,Tabela_Auxiliar[],3,0)</f>
        <v>Entrada</v>
      </c>
      <c r="G99" t="str">
        <f>UPPER(TEXT(Tabela_DB[[#This Row],[DATA]],"mmm"))</f>
        <v>JAN</v>
      </c>
      <c r="H99" t="str">
        <f>UPPER(TEXT(Tabela_DB[[#This Row],[DATA]],"aaaa"))</f>
        <v>2021</v>
      </c>
    </row>
    <row r="100" spans="1:8" x14ac:dyDescent="0.25">
      <c r="A100" s="2">
        <v>44203</v>
      </c>
      <c r="B100" t="s">
        <v>59</v>
      </c>
      <c r="C100">
        <v>-1986</v>
      </c>
      <c r="D100" t="str">
        <f>VLOOKUP(B100,Tabela_Auxiliar[],2,0)</f>
        <v>4. Despesas Operacionais</v>
      </c>
      <c r="E100" t="str">
        <f>VLOOKUP(B100,Tabela_Auxiliar[],4,0)</f>
        <v>Despesa de Depreciação</v>
      </c>
      <c r="F100" t="str">
        <f>VLOOKUP(B100,Tabela_Auxiliar[],3,0)</f>
        <v>Saída</v>
      </c>
      <c r="G100" t="str">
        <f>UPPER(TEXT(Tabela_DB[[#This Row],[DATA]],"mmm"))</f>
        <v>JAN</v>
      </c>
      <c r="H100" t="str">
        <f>UPPER(TEXT(Tabela_DB[[#This Row],[DATA]],"aaaa"))</f>
        <v>2021</v>
      </c>
    </row>
    <row r="101" spans="1:8" x14ac:dyDescent="0.25">
      <c r="A101" s="2">
        <v>44203</v>
      </c>
      <c r="B101" t="s">
        <v>80</v>
      </c>
      <c r="C101">
        <v>-2057</v>
      </c>
      <c r="D101" t="str">
        <f>VLOOKUP(B101,Tabela_Auxiliar[],2,0)</f>
        <v>4. Despesas Operacionais</v>
      </c>
      <c r="E101" t="str">
        <f>VLOOKUP(B101,Tabela_Auxiliar[],4,0)</f>
        <v>Serviços Contratados</v>
      </c>
      <c r="F101" t="str">
        <f>VLOOKUP(B101,Tabela_Auxiliar[],3,0)</f>
        <v>Saída</v>
      </c>
      <c r="G101" t="str">
        <f>UPPER(TEXT(Tabela_DB[[#This Row],[DATA]],"mmm"))</f>
        <v>JAN</v>
      </c>
      <c r="H101" t="str">
        <f>UPPER(TEXT(Tabela_DB[[#This Row],[DATA]],"aaaa"))</f>
        <v>2021</v>
      </c>
    </row>
    <row r="102" spans="1:8" x14ac:dyDescent="0.25">
      <c r="A102" s="2">
        <v>44203</v>
      </c>
      <c r="B102" t="s">
        <v>4</v>
      </c>
      <c r="C102">
        <v>12920</v>
      </c>
      <c r="D102" t="str">
        <f>VLOOKUP(B102,Tabela_Auxiliar[],2,0)</f>
        <v>1. Receita Operacional Bruta</v>
      </c>
      <c r="E102" t="str">
        <f>VLOOKUP(B102,Tabela_Auxiliar[],4,0)</f>
        <v>Receita Bruta</v>
      </c>
      <c r="F102" t="str">
        <f>VLOOKUP(B102,Tabela_Auxiliar[],3,0)</f>
        <v>Entrada</v>
      </c>
      <c r="G102" t="str">
        <f>UPPER(TEXT(Tabela_DB[[#This Row],[DATA]],"mmm"))</f>
        <v>JAN</v>
      </c>
      <c r="H102" t="str">
        <f>UPPER(TEXT(Tabela_DB[[#This Row],[DATA]],"aaaa"))</f>
        <v>2021</v>
      </c>
    </row>
    <row r="103" spans="1:8" x14ac:dyDescent="0.25">
      <c r="A103" s="2">
        <v>44203</v>
      </c>
      <c r="B103" t="s">
        <v>37</v>
      </c>
      <c r="C103">
        <v>-3785</v>
      </c>
      <c r="D103" t="str">
        <f>VLOOKUP(B103,Tabela_Auxiliar[],2,0)</f>
        <v>3. Custos do Produto/Mercadoria/Serviço</v>
      </c>
      <c r="E103" t="str">
        <f>VLOOKUP(B103,Tabela_Auxiliar[],4,0)</f>
        <v>Despesas c/ Produto</v>
      </c>
      <c r="F103" t="str">
        <f>VLOOKUP(B103,Tabela_Auxiliar[],3,0)</f>
        <v>Saída</v>
      </c>
      <c r="G103" t="str">
        <f>UPPER(TEXT(Tabela_DB[[#This Row],[DATA]],"mmm"))</f>
        <v>JAN</v>
      </c>
      <c r="H103" t="str">
        <f>UPPER(TEXT(Tabela_DB[[#This Row],[DATA]],"aaaa"))</f>
        <v>2021</v>
      </c>
    </row>
    <row r="104" spans="1:8" x14ac:dyDescent="0.25">
      <c r="A104" s="2">
        <v>44203</v>
      </c>
      <c r="B104" t="s">
        <v>35</v>
      </c>
      <c r="C104">
        <v>-1070</v>
      </c>
      <c r="D104" t="str">
        <f>VLOOKUP(B104,Tabela_Auxiliar[],2,0)</f>
        <v>2. Deduções da Receita</v>
      </c>
      <c r="E104" t="str">
        <f>VLOOKUP(B104,Tabela_Auxiliar[],4,0)</f>
        <v>Imposto</v>
      </c>
      <c r="F104" t="str">
        <f>VLOOKUP(B104,Tabela_Auxiliar[],3,0)</f>
        <v>Saída</v>
      </c>
      <c r="G104" t="str">
        <f>UPPER(TEXT(Tabela_DB[[#This Row],[DATA]],"mmm"))</f>
        <v>JAN</v>
      </c>
      <c r="H104" t="str">
        <f>UPPER(TEXT(Tabela_DB[[#This Row],[DATA]],"aaaa"))</f>
        <v>2021</v>
      </c>
    </row>
    <row r="105" spans="1:8" x14ac:dyDescent="0.25">
      <c r="A105" s="2">
        <v>44203</v>
      </c>
      <c r="B105" t="s">
        <v>34</v>
      </c>
      <c r="C105">
        <v>-1320</v>
      </c>
      <c r="D105" t="str">
        <f>VLOOKUP(B105,Tabela_Auxiliar[],2,0)</f>
        <v>2. Deduções da Receita</v>
      </c>
      <c r="E105" t="str">
        <f>VLOOKUP(B105,Tabela_Auxiliar[],4,0)</f>
        <v>Imposto</v>
      </c>
      <c r="F105" t="str">
        <f>VLOOKUP(B105,Tabela_Auxiliar[],3,0)</f>
        <v>Saída</v>
      </c>
      <c r="G105" t="str">
        <f>UPPER(TEXT(Tabela_DB[[#This Row],[DATA]],"mmm"))</f>
        <v>JAN</v>
      </c>
      <c r="H105" t="str">
        <f>UPPER(TEXT(Tabela_DB[[#This Row],[DATA]],"aaaa"))</f>
        <v>2021</v>
      </c>
    </row>
    <row r="106" spans="1:8" x14ac:dyDescent="0.25">
      <c r="A106" s="2">
        <v>44203</v>
      </c>
      <c r="B106" t="s">
        <v>3</v>
      </c>
      <c r="C106">
        <v>14089</v>
      </c>
      <c r="D106" t="str">
        <f>VLOOKUP(B106,Tabela_Auxiliar[],2,0)</f>
        <v>1. Receita Operacional Bruta</v>
      </c>
      <c r="E106" t="str">
        <f>VLOOKUP(B106,Tabela_Auxiliar[],4,0)</f>
        <v>Receita Bruta</v>
      </c>
      <c r="F106" t="str">
        <f>VLOOKUP(B106,Tabela_Auxiliar[],3,0)</f>
        <v>Entrada</v>
      </c>
      <c r="G106" t="str">
        <f>UPPER(TEXT(Tabela_DB[[#This Row],[DATA]],"mmm"))</f>
        <v>JAN</v>
      </c>
      <c r="H106" t="str">
        <f>UPPER(TEXT(Tabela_DB[[#This Row],[DATA]],"aaaa"))</f>
        <v>2021</v>
      </c>
    </row>
    <row r="107" spans="1:8" x14ac:dyDescent="0.25">
      <c r="A107" s="2">
        <v>44203</v>
      </c>
      <c r="B107" t="s">
        <v>78</v>
      </c>
      <c r="C107">
        <v>-1028</v>
      </c>
      <c r="D107" t="str">
        <f>VLOOKUP(B107,Tabela_Auxiliar[],2,0)</f>
        <v>4. Despesas Operacionais</v>
      </c>
      <c r="E107" t="str">
        <f>VLOOKUP(B107,Tabela_Auxiliar[],4,0)</f>
        <v>Serviços Contratados</v>
      </c>
      <c r="F107" t="str">
        <f>VLOOKUP(B107,Tabela_Auxiliar[],3,0)</f>
        <v>Saída</v>
      </c>
      <c r="G107" t="str">
        <f>UPPER(TEXT(Tabela_DB[[#This Row],[DATA]],"mmm"))</f>
        <v>JAN</v>
      </c>
      <c r="H107" t="str">
        <f>UPPER(TEXT(Tabela_DB[[#This Row],[DATA]],"aaaa"))</f>
        <v>2021</v>
      </c>
    </row>
    <row r="108" spans="1:8" x14ac:dyDescent="0.25">
      <c r="A108" s="2">
        <v>44203</v>
      </c>
      <c r="B108" t="s">
        <v>111</v>
      </c>
      <c r="C108">
        <v>-1125</v>
      </c>
      <c r="D108" t="str">
        <f>VLOOKUP(B108,Tabela_Auxiliar[],2,0)</f>
        <v>2. Deduções da Receita</v>
      </c>
      <c r="E108" t="str">
        <f>VLOOKUP(B108,Tabela_Auxiliar[],4,0)</f>
        <v>Imposto</v>
      </c>
      <c r="F108" t="str">
        <f>VLOOKUP(B108,Tabela_Auxiliar[],3,0)</f>
        <v>Saída</v>
      </c>
      <c r="G108" t="str">
        <f>UPPER(TEXT(Tabela_DB[[#This Row],[DATA]],"mmm"))</f>
        <v>JAN</v>
      </c>
      <c r="H108" t="str">
        <f>UPPER(TEXT(Tabela_DB[[#This Row],[DATA]],"aaaa"))</f>
        <v>2021</v>
      </c>
    </row>
    <row r="109" spans="1:8" x14ac:dyDescent="0.25">
      <c r="A109" s="2">
        <v>44203</v>
      </c>
      <c r="B109" t="s">
        <v>101</v>
      </c>
      <c r="C109">
        <v>-1161</v>
      </c>
      <c r="D109" t="str">
        <f>VLOOKUP(B109,Tabela_Auxiliar[],2,0)</f>
        <v>5. Resultado Financeiro</v>
      </c>
      <c r="E109" t="str">
        <f>VLOOKUP(B109,Tabela_Auxiliar[],4,0)</f>
        <v>Despesa Financeira</v>
      </c>
      <c r="F109" t="str">
        <f>VLOOKUP(B109,Tabela_Auxiliar[],3,0)</f>
        <v>Saída</v>
      </c>
      <c r="G109" t="str">
        <f>UPPER(TEXT(Tabela_DB[[#This Row],[DATA]],"mmm"))</f>
        <v>JAN</v>
      </c>
      <c r="H109" t="str">
        <f>UPPER(TEXT(Tabela_DB[[#This Row],[DATA]],"aaaa"))</f>
        <v>2021</v>
      </c>
    </row>
    <row r="110" spans="1:8" x14ac:dyDescent="0.25">
      <c r="A110" s="2">
        <v>44203</v>
      </c>
      <c r="B110" t="s">
        <v>35</v>
      </c>
      <c r="C110">
        <v>-2385</v>
      </c>
      <c r="D110" t="str">
        <f>VLOOKUP(B110,Tabela_Auxiliar[],2,0)</f>
        <v>2. Deduções da Receita</v>
      </c>
      <c r="E110" t="str">
        <f>VLOOKUP(B110,Tabela_Auxiliar[],4,0)</f>
        <v>Imposto</v>
      </c>
      <c r="F110" t="str">
        <f>VLOOKUP(B110,Tabela_Auxiliar[],3,0)</f>
        <v>Saída</v>
      </c>
      <c r="G110" t="str">
        <f>UPPER(TEXT(Tabela_DB[[#This Row],[DATA]],"mmm"))</f>
        <v>JAN</v>
      </c>
      <c r="H110" t="str">
        <f>UPPER(TEXT(Tabela_DB[[#This Row],[DATA]],"aaaa"))</f>
        <v>2021</v>
      </c>
    </row>
    <row r="111" spans="1:8" x14ac:dyDescent="0.25">
      <c r="A111" s="2">
        <v>44203</v>
      </c>
      <c r="B111" t="s">
        <v>31</v>
      </c>
      <c r="C111">
        <v>-1068</v>
      </c>
      <c r="D111" t="str">
        <f>VLOOKUP(B111,Tabela_Auxiliar[],2,0)</f>
        <v>5. Resultado Financeiro</v>
      </c>
      <c r="E111" t="str">
        <f>VLOOKUP(B111,Tabela_Auxiliar[],4,0)</f>
        <v>Participação nos resultados</v>
      </c>
      <c r="F111" t="str">
        <f>VLOOKUP(B111,Tabela_Auxiliar[],3,0)</f>
        <v>Saída</v>
      </c>
      <c r="G111" t="str">
        <f>UPPER(TEXT(Tabela_DB[[#This Row],[DATA]],"mmm"))</f>
        <v>JAN</v>
      </c>
      <c r="H111" t="str">
        <f>UPPER(TEXT(Tabela_DB[[#This Row],[DATA]],"aaaa"))</f>
        <v>2021</v>
      </c>
    </row>
    <row r="112" spans="1:8" x14ac:dyDescent="0.25">
      <c r="A112" s="2">
        <v>44203</v>
      </c>
      <c r="B112" t="s">
        <v>4</v>
      </c>
      <c r="C112">
        <v>12582</v>
      </c>
      <c r="D112" t="str">
        <f>VLOOKUP(B112,Tabela_Auxiliar[],2,0)</f>
        <v>1. Receita Operacional Bruta</v>
      </c>
      <c r="E112" t="str">
        <f>VLOOKUP(B112,Tabela_Auxiliar[],4,0)</f>
        <v>Receita Bruta</v>
      </c>
      <c r="F112" t="str">
        <f>VLOOKUP(B112,Tabela_Auxiliar[],3,0)</f>
        <v>Entrada</v>
      </c>
      <c r="G112" t="str">
        <f>UPPER(TEXT(Tabela_DB[[#This Row],[DATA]],"mmm"))</f>
        <v>JAN</v>
      </c>
      <c r="H112" t="str">
        <f>UPPER(TEXT(Tabela_DB[[#This Row],[DATA]],"aaaa"))</f>
        <v>2021</v>
      </c>
    </row>
    <row r="113" spans="1:8" x14ac:dyDescent="0.25">
      <c r="A113" s="2">
        <v>44203</v>
      </c>
      <c r="B113" t="s">
        <v>111</v>
      </c>
      <c r="C113">
        <v>-2030</v>
      </c>
      <c r="D113" t="str">
        <f>VLOOKUP(B113,Tabela_Auxiliar[],2,0)</f>
        <v>2. Deduções da Receita</v>
      </c>
      <c r="E113" t="str">
        <f>VLOOKUP(B113,Tabela_Auxiliar[],4,0)</f>
        <v>Imposto</v>
      </c>
      <c r="F113" t="str">
        <f>VLOOKUP(B113,Tabela_Auxiliar[],3,0)</f>
        <v>Saída</v>
      </c>
      <c r="G113" t="str">
        <f>UPPER(TEXT(Tabela_DB[[#This Row],[DATA]],"mmm"))</f>
        <v>JAN</v>
      </c>
      <c r="H113" t="str">
        <f>UPPER(TEXT(Tabela_DB[[#This Row],[DATA]],"aaaa"))</f>
        <v>2021</v>
      </c>
    </row>
    <row r="114" spans="1:8" x14ac:dyDescent="0.25">
      <c r="A114" s="2">
        <v>44203</v>
      </c>
      <c r="B114" t="s">
        <v>111</v>
      </c>
      <c r="C114">
        <v>-1467</v>
      </c>
      <c r="D114" t="str">
        <f>VLOOKUP(B114,Tabela_Auxiliar[],2,0)</f>
        <v>2. Deduções da Receita</v>
      </c>
      <c r="E114" t="str">
        <f>VLOOKUP(B114,Tabela_Auxiliar[],4,0)</f>
        <v>Imposto</v>
      </c>
      <c r="F114" t="str">
        <f>VLOOKUP(B114,Tabela_Auxiliar[],3,0)</f>
        <v>Saída</v>
      </c>
      <c r="G114" t="str">
        <f>UPPER(TEXT(Tabela_DB[[#This Row],[DATA]],"mmm"))</f>
        <v>JAN</v>
      </c>
      <c r="H114" t="str">
        <f>UPPER(TEXT(Tabela_DB[[#This Row],[DATA]],"aaaa"))</f>
        <v>2021</v>
      </c>
    </row>
    <row r="115" spans="1:8" x14ac:dyDescent="0.25">
      <c r="A115" s="2">
        <v>44203</v>
      </c>
      <c r="B115" t="s">
        <v>66</v>
      </c>
      <c r="C115">
        <v>-1497</v>
      </c>
      <c r="D115" t="str">
        <f>VLOOKUP(B115,Tabela_Auxiliar[],2,0)</f>
        <v>4. Despesas Operacionais</v>
      </c>
      <c r="E115" t="str">
        <f>VLOOKUP(B115,Tabela_Auxiliar[],4,0)</f>
        <v>Despesa com Vendas</v>
      </c>
      <c r="F115" t="str">
        <f>VLOOKUP(B115,Tabela_Auxiliar[],3,0)</f>
        <v>Saída</v>
      </c>
      <c r="G115" t="str">
        <f>UPPER(TEXT(Tabela_DB[[#This Row],[DATA]],"mmm"))</f>
        <v>JAN</v>
      </c>
      <c r="H115" t="str">
        <f>UPPER(TEXT(Tabela_DB[[#This Row],[DATA]],"aaaa"))</f>
        <v>2021</v>
      </c>
    </row>
    <row r="116" spans="1:8" x14ac:dyDescent="0.25">
      <c r="A116" s="2">
        <v>44204</v>
      </c>
      <c r="B116" t="s">
        <v>67</v>
      </c>
      <c r="C116">
        <v>-1592</v>
      </c>
      <c r="D116" t="str">
        <f>VLOOKUP(B116,Tabela_Auxiliar[],2,0)</f>
        <v>4. Despesas Operacionais</v>
      </c>
      <c r="E116" t="str">
        <f>VLOOKUP(B116,Tabela_Auxiliar[],4,0)</f>
        <v>Despesa com Vendas</v>
      </c>
      <c r="F116" t="str">
        <f>VLOOKUP(B116,Tabela_Auxiliar[],3,0)</f>
        <v>Saída</v>
      </c>
      <c r="G116" t="str">
        <f>UPPER(TEXT(Tabela_DB[[#This Row],[DATA]],"mmm"))</f>
        <v>JAN</v>
      </c>
      <c r="H116" t="str">
        <f>UPPER(TEXT(Tabela_DB[[#This Row],[DATA]],"aaaa"))</f>
        <v>2021</v>
      </c>
    </row>
    <row r="117" spans="1:8" x14ac:dyDescent="0.25">
      <c r="A117" s="2">
        <v>44204</v>
      </c>
      <c r="B117" t="s">
        <v>89</v>
      </c>
      <c r="C117">
        <v>-1458</v>
      </c>
      <c r="D117" t="str">
        <f>VLOOKUP(B117,Tabela_Auxiliar[],2,0)</f>
        <v>4. Despesas Operacionais</v>
      </c>
      <c r="E117" t="str">
        <f>VLOOKUP(B117,Tabela_Auxiliar[],4,0)</f>
        <v>Despesa Tributária</v>
      </c>
      <c r="F117" t="str">
        <f>VLOOKUP(B117,Tabela_Auxiliar[],3,0)</f>
        <v>Saída</v>
      </c>
      <c r="G117" t="str">
        <f>UPPER(TEXT(Tabela_DB[[#This Row],[DATA]],"mmm"))</f>
        <v>JAN</v>
      </c>
      <c r="H117" t="str">
        <f>UPPER(TEXT(Tabela_DB[[#This Row],[DATA]],"aaaa"))</f>
        <v>2021</v>
      </c>
    </row>
    <row r="118" spans="1:8" x14ac:dyDescent="0.25">
      <c r="A118" s="2">
        <v>44204</v>
      </c>
      <c r="B118" t="s">
        <v>75</v>
      </c>
      <c r="C118">
        <v>-2316</v>
      </c>
      <c r="D118" t="str">
        <f>VLOOKUP(B118,Tabela_Auxiliar[],2,0)</f>
        <v>4. Despesas Operacionais</v>
      </c>
      <c r="E118" t="str">
        <f>VLOOKUP(B118,Tabela_Auxiliar[],4,0)</f>
        <v>Serviços Contratados</v>
      </c>
      <c r="F118" t="str">
        <f>VLOOKUP(B118,Tabela_Auxiliar[],3,0)</f>
        <v>Saída</v>
      </c>
      <c r="G118" t="str">
        <f>UPPER(TEXT(Tabela_DB[[#This Row],[DATA]],"mmm"))</f>
        <v>JAN</v>
      </c>
      <c r="H118" t="str">
        <f>UPPER(TEXT(Tabela_DB[[#This Row],[DATA]],"aaaa"))</f>
        <v>2021</v>
      </c>
    </row>
    <row r="119" spans="1:8" x14ac:dyDescent="0.25">
      <c r="A119" s="2">
        <v>44204</v>
      </c>
      <c r="B119" t="s">
        <v>66</v>
      </c>
      <c r="C119">
        <v>-2007</v>
      </c>
      <c r="D119" t="str">
        <f>VLOOKUP(B119,Tabela_Auxiliar[],2,0)</f>
        <v>4. Despesas Operacionais</v>
      </c>
      <c r="E119" t="str">
        <f>VLOOKUP(B119,Tabela_Auxiliar[],4,0)</f>
        <v>Despesa com Vendas</v>
      </c>
      <c r="F119" t="str">
        <f>VLOOKUP(B119,Tabela_Auxiliar[],3,0)</f>
        <v>Saída</v>
      </c>
      <c r="G119" t="str">
        <f>UPPER(TEXT(Tabela_DB[[#This Row],[DATA]],"mmm"))</f>
        <v>JAN</v>
      </c>
      <c r="H119" t="str">
        <f>UPPER(TEXT(Tabela_DB[[#This Row],[DATA]],"aaaa"))</f>
        <v>2021</v>
      </c>
    </row>
    <row r="120" spans="1:8" x14ac:dyDescent="0.25">
      <c r="A120" s="2">
        <v>44204</v>
      </c>
      <c r="B120" t="s">
        <v>38</v>
      </c>
      <c r="C120">
        <v>-1607</v>
      </c>
      <c r="D120" t="str">
        <f>VLOOKUP(B120,Tabela_Auxiliar[],2,0)</f>
        <v>2. Deduções da Receita</v>
      </c>
      <c r="E120" t="str">
        <f>VLOOKUP(B120,Tabela_Auxiliar[],4,0)</f>
        <v>Deduções</v>
      </c>
      <c r="F120" t="str">
        <f>VLOOKUP(B120,Tabela_Auxiliar[],3,0)</f>
        <v>Saída</v>
      </c>
      <c r="G120" t="str">
        <f>UPPER(TEXT(Tabela_DB[[#This Row],[DATA]],"mmm"))</f>
        <v>JAN</v>
      </c>
      <c r="H120" t="str">
        <f>UPPER(TEXT(Tabela_DB[[#This Row],[DATA]],"aaaa"))</f>
        <v>2021</v>
      </c>
    </row>
    <row r="121" spans="1:8" x14ac:dyDescent="0.25">
      <c r="A121" s="2">
        <v>44204</v>
      </c>
      <c r="B121" t="s">
        <v>53</v>
      </c>
      <c r="C121">
        <v>-1084</v>
      </c>
      <c r="D121" t="str">
        <f>VLOOKUP(B121,Tabela_Auxiliar[],2,0)</f>
        <v>4. Despesas Operacionais</v>
      </c>
      <c r="E121" t="str">
        <f>VLOOKUP(B121,Tabela_Auxiliar[],4,0)</f>
        <v>Despesa com Pessoal</v>
      </c>
      <c r="F121" t="str">
        <f>VLOOKUP(B121,Tabela_Auxiliar[],3,0)</f>
        <v>Saída</v>
      </c>
      <c r="G121" t="str">
        <f>UPPER(TEXT(Tabela_DB[[#This Row],[DATA]],"mmm"))</f>
        <v>JAN</v>
      </c>
      <c r="H121" t="str">
        <f>UPPER(TEXT(Tabela_DB[[#This Row],[DATA]],"aaaa"))</f>
        <v>2021</v>
      </c>
    </row>
    <row r="122" spans="1:8" x14ac:dyDescent="0.25">
      <c r="A122" s="2">
        <v>44204</v>
      </c>
      <c r="B122" t="s">
        <v>55</v>
      </c>
      <c r="C122">
        <v>-1444</v>
      </c>
      <c r="D122" t="str">
        <f>VLOOKUP(B122,Tabela_Auxiliar[],2,0)</f>
        <v>4. Despesas Operacionais</v>
      </c>
      <c r="E122" t="str">
        <f>VLOOKUP(B122,Tabela_Auxiliar[],4,0)</f>
        <v>Despesa com Pessoal</v>
      </c>
      <c r="F122" t="str">
        <f>VLOOKUP(B122,Tabela_Auxiliar[],3,0)</f>
        <v>Saída</v>
      </c>
      <c r="G122" t="str">
        <f>UPPER(TEXT(Tabela_DB[[#This Row],[DATA]],"mmm"))</f>
        <v>JAN</v>
      </c>
      <c r="H122" t="str">
        <f>UPPER(TEXT(Tabela_DB[[#This Row],[DATA]],"aaaa"))</f>
        <v>2021</v>
      </c>
    </row>
    <row r="123" spans="1:8" x14ac:dyDescent="0.25">
      <c r="A123" s="2">
        <v>44204</v>
      </c>
      <c r="B123" t="s">
        <v>111</v>
      </c>
      <c r="C123">
        <v>-1207</v>
      </c>
      <c r="D123" t="str">
        <f>VLOOKUP(B123,Tabela_Auxiliar[],2,0)</f>
        <v>2. Deduções da Receita</v>
      </c>
      <c r="E123" t="str">
        <f>VLOOKUP(B123,Tabela_Auxiliar[],4,0)</f>
        <v>Imposto</v>
      </c>
      <c r="F123" t="str">
        <f>VLOOKUP(B123,Tabela_Auxiliar[],3,0)</f>
        <v>Saída</v>
      </c>
      <c r="G123" t="str">
        <f>UPPER(TEXT(Tabela_DB[[#This Row],[DATA]],"mmm"))</f>
        <v>JAN</v>
      </c>
      <c r="H123" t="str">
        <f>UPPER(TEXT(Tabela_DB[[#This Row],[DATA]],"aaaa"))</f>
        <v>2021</v>
      </c>
    </row>
    <row r="124" spans="1:8" x14ac:dyDescent="0.25">
      <c r="A124" s="2">
        <v>44204</v>
      </c>
      <c r="B124" t="s">
        <v>4</v>
      </c>
      <c r="C124">
        <v>11510</v>
      </c>
      <c r="D124" t="str">
        <f>VLOOKUP(B124,Tabela_Auxiliar[],2,0)</f>
        <v>1. Receita Operacional Bruta</v>
      </c>
      <c r="E124" t="str">
        <f>VLOOKUP(B124,Tabela_Auxiliar[],4,0)</f>
        <v>Receita Bruta</v>
      </c>
      <c r="F124" t="str">
        <f>VLOOKUP(B124,Tabela_Auxiliar[],3,0)</f>
        <v>Entrada</v>
      </c>
      <c r="G124" t="str">
        <f>UPPER(TEXT(Tabela_DB[[#This Row],[DATA]],"mmm"))</f>
        <v>JAN</v>
      </c>
      <c r="H124" t="str">
        <f>UPPER(TEXT(Tabela_DB[[#This Row],[DATA]],"aaaa"))</f>
        <v>2021</v>
      </c>
    </row>
    <row r="125" spans="1:8" x14ac:dyDescent="0.25">
      <c r="A125" s="2">
        <v>44204</v>
      </c>
      <c r="B125" t="s">
        <v>3</v>
      </c>
      <c r="C125">
        <v>14032</v>
      </c>
      <c r="D125" t="str">
        <f>VLOOKUP(B125,Tabela_Auxiliar[],2,0)</f>
        <v>1. Receita Operacional Bruta</v>
      </c>
      <c r="E125" t="str">
        <f>VLOOKUP(B125,Tabela_Auxiliar[],4,0)</f>
        <v>Receita Bruta</v>
      </c>
      <c r="F125" t="str">
        <f>VLOOKUP(B125,Tabela_Auxiliar[],3,0)</f>
        <v>Entrada</v>
      </c>
      <c r="G125" t="str">
        <f>UPPER(TEXT(Tabela_DB[[#This Row],[DATA]],"mmm"))</f>
        <v>JAN</v>
      </c>
      <c r="H125" t="str">
        <f>UPPER(TEXT(Tabela_DB[[#This Row],[DATA]],"aaaa"))</f>
        <v>2021</v>
      </c>
    </row>
    <row r="126" spans="1:8" x14ac:dyDescent="0.25">
      <c r="A126" s="2">
        <v>44204</v>
      </c>
      <c r="B126" t="s">
        <v>34</v>
      </c>
      <c r="C126">
        <v>-2058</v>
      </c>
      <c r="D126" t="str">
        <f>VLOOKUP(B126,Tabela_Auxiliar[],2,0)</f>
        <v>2. Deduções da Receita</v>
      </c>
      <c r="E126" t="str">
        <f>VLOOKUP(B126,Tabela_Auxiliar[],4,0)</f>
        <v>Imposto</v>
      </c>
      <c r="F126" t="str">
        <f>VLOOKUP(B126,Tabela_Auxiliar[],3,0)</f>
        <v>Saída</v>
      </c>
      <c r="G126" t="str">
        <f>UPPER(TEXT(Tabela_DB[[#This Row],[DATA]],"mmm"))</f>
        <v>JAN</v>
      </c>
      <c r="H126" t="str">
        <f>UPPER(TEXT(Tabela_DB[[#This Row],[DATA]],"aaaa"))</f>
        <v>2021</v>
      </c>
    </row>
    <row r="127" spans="1:8" x14ac:dyDescent="0.25">
      <c r="A127" s="2">
        <v>44204</v>
      </c>
      <c r="B127" t="s">
        <v>64</v>
      </c>
      <c r="C127">
        <v>-1394</v>
      </c>
      <c r="D127" t="str">
        <f>VLOOKUP(B127,Tabela_Auxiliar[],2,0)</f>
        <v>4. Despesas Operacionais</v>
      </c>
      <c r="E127" t="str">
        <f>VLOOKUP(B127,Tabela_Auxiliar[],4,0)</f>
        <v>Despesa Gerais</v>
      </c>
      <c r="F127" t="str">
        <f>VLOOKUP(B127,Tabela_Auxiliar[],3,0)</f>
        <v>Saída</v>
      </c>
      <c r="G127" t="str">
        <f>UPPER(TEXT(Tabela_DB[[#This Row],[DATA]],"mmm"))</f>
        <v>JAN</v>
      </c>
      <c r="H127" t="str">
        <f>UPPER(TEXT(Tabela_DB[[#This Row],[DATA]],"aaaa"))</f>
        <v>2021</v>
      </c>
    </row>
    <row r="128" spans="1:8" x14ac:dyDescent="0.25">
      <c r="A128" s="2">
        <v>44204</v>
      </c>
      <c r="B128" t="s">
        <v>111</v>
      </c>
      <c r="C128">
        <v>-2048</v>
      </c>
      <c r="D128" t="str">
        <f>VLOOKUP(B128,Tabela_Auxiliar[],2,0)</f>
        <v>2. Deduções da Receita</v>
      </c>
      <c r="E128" t="str">
        <f>VLOOKUP(B128,Tabela_Auxiliar[],4,0)</f>
        <v>Imposto</v>
      </c>
      <c r="F128" t="str">
        <f>VLOOKUP(B128,Tabela_Auxiliar[],3,0)</f>
        <v>Saída</v>
      </c>
      <c r="G128" t="str">
        <f>UPPER(TEXT(Tabela_DB[[#This Row],[DATA]],"mmm"))</f>
        <v>JAN</v>
      </c>
      <c r="H128" t="str">
        <f>UPPER(TEXT(Tabela_DB[[#This Row],[DATA]],"aaaa"))</f>
        <v>2021</v>
      </c>
    </row>
    <row r="129" spans="1:8" x14ac:dyDescent="0.25">
      <c r="A129" s="2">
        <v>44204</v>
      </c>
      <c r="B129" t="s">
        <v>37</v>
      </c>
      <c r="C129">
        <v>-3944</v>
      </c>
      <c r="D129" t="str">
        <f>VLOOKUP(B129,Tabela_Auxiliar[],2,0)</f>
        <v>3. Custos do Produto/Mercadoria/Serviço</v>
      </c>
      <c r="E129" t="str">
        <f>VLOOKUP(B129,Tabela_Auxiliar[],4,0)</f>
        <v>Despesas c/ Produto</v>
      </c>
      <c r="F129" t="str">
        <f>VLOOKUP(B129,Tabela_Auxiliar[],3,0)</f>
        <v>Saída</v>
      </c>
      <c r="G129" t="str">
        <f>UPPER(TEXT(Tabela_DB[[#This Row],[DATA]],"mmm"))</f>
        <v>JAN</v>
      </c>
      <c r="H129" t="str">
        <f>UPPER(TEXT(Tabela_DB[[#This Row],[DATA]],"aaaa"))</f>
        <v>2021</v>
      </c>
    </row>
    <row r="130" spans="1:8" x14ac:dyDescent="0.25">
      <c r="A130" s="2">
        <v>44204</v>
      </c>
      <c r="B130" t="s">
        <v>111</v>
      </c>
      <c r="C130">
        <v>-1672</v>
      </c>
      <c r="D130" t="str">
        <f>VLOOKUP(B130,Tabela_Auxiliar[],2,0)</f>
        <v>2. Deduções da Receita</v>
      </c>
      <c r="E130" t="str">
        <f>VLOOKUP(B130,Tabela_Auxiliar[],4,0)</f>
        <v>Imposto</v>
      </c>
      <c r="F130" t="str">
        <f>VLOOKUP(B130,Tabela_Auxiliar[],3,0)</f>
        <v>Saída</v>
      </c>
      <c r="G130" t="str">
        <f>UPPER(TEXT(Tabela_DB[[#This Row],[DATA]],"mmm"))</f>
        <v>JAN</v>
      </c>
      <c r="H130" t="str">
        <f>UPPER(TEXT(Tabela_DB[[#This Row],[DATA]],"aaaa"))</f>
        <v>2021</v>
      </c>
    </row>
    <row r="131" spans="1:8" x14ac:dyDescent="0.25">
      <c r="A131" s="2">
        <v>44204</v>
      </c>
      <c r="B131" t="s">
        <v>38</v>
      </c>
      <c r="C131">
        <v>-2317</v>
      </c>
      <c r="D131" t="str">
        <f>VLOOKUP(B131,Tabela_Auxiliar[],2,0)</f>
        <v>2. Deduções da Receita</v>
      </c>
      <c r="E131" t="str">
        <f>VLOOKUP(B131,Tabela_Auxiliar[],4,0)</f>
        <v>Deduções</v>
      </c>
      <c r="F131" t="str">
        <f>VLOOKUP(B131,Tabela_Auxiliar[],3,0)</f>
        <v>Saída</v>
      </c>
      <c r="G131" t="str">
        <f>UPPER(TEXT(Tabela_DB[[#This Row],[DATA]],"mmm"))</f>
        <v>JAN</v>
      </c>
      <c r="H131" t="str">
        <f>UPPER(TEXT(Tabela_DB[[#This Row],[DATA]],"aaaa"))</f>
        <v>2021</v>
      </c>
    </row>
    <row r="132" spans="1:8" x14ac:dyDescent="0.25">
      <c r="A132" s="2">
        <v>44204</v>
      </c>
      <c r="B132" t="s">
        <v>34</v>
      </c>
      <c r="C132">
        <v>-1974</v>
      </c>
      <c r="D132" t="str">
        <f>VLOOKUP(B132,Tabela_Auxiliar[],2,0)</f>
        <v>2. Deduções da Receita</v>
      </c>
      <c r="E132" t="str">
        <f>VLOOKUP(B132,Tabela_Auxiliar[],4,0)</f>
        <v>Imposto</v>
      </c>
      <c r="F132" t="str">
        <f>VLOOKUP(B132,Tabela_Auxiliar[],3,0)</f>
        <v>Saída</v>
      </c>
      <c r="G132" t="str">
        <f>UPPER(TEXT(Tabela_DB[[#This Row],[DATA]],"mmm"))</f>
        <v>JAN</v>
      </c>
      <c r="H132" t="str">
        <f>UPPER(TEXT(Tabela_DB[[#This Row],[DATA]],"aaaa"))</f>
        <v>2021</v>
      </c>
    </row>
    <row r="133" spans="1:8" x14ac:dyDescent="0.25">
      <c r="A133" s="2">
        <v>44204</v>
      </c>
      <c r="B133" t="s">
        <v>4</v>
      </c>
      <c r="C133">
        <v>12345</v>
      </c>
      <c r="D133" t="str">
        <f>VLOOKUP(B133,Tabela_Auxiliar[],2,0)</f>
        <v>1. Receita Operacional Bruta</v>
      </c>
      <c r="E133" t="str">
        <f>VLOOKUP(B133,Tabela_Auxiliar[],4,0)</f>
        <v>Receita Bruta</v>
      </c>
      <c r="F133" t="str">
        <f>VLOOKUP(B133,Tabela_Auxiliar[],3,0)</f>
        <v>Entrada</v>
      </c>
      <c r="G133" t="str">
        <f>UPPER(TEXT(Tabela_DB[[#This Row],[DATA]],"mmm"))</f>
        <v>JAN</v>
      </c>
      <c r="H133" t="str">
        <f>UPPER(TEXT(Tabela_DB[[#This Row],[DATA]],"aaaa"))</f>
        <v>2021</v>
      </c>
    </row>
    <row r="134" spans="1:8" x14ac:dyDescent="0.25">
      <c r="A134" s="2">
        <v>44205</v>
      </c>
      <c r="B134" t="s">
        <v>4</v>
      </c>
      <c r="C134">
        <v>12978</v>
      </c>
      <c r="D134" t="str">
        <f>VLOOKUP(B134,Tabela_Auxiliar[],2,0)</f>
        <v>1. Receita Operacional Bruta</v>
      </c>
      <c r="E134" t="str">
        <f>VLOOKUP(B134,Tabela_Auxiliar[],4,0)</f>
        <v>Receita Bruta</v>
      </c>
      <c r="F134" t="str">
        <f>VLOOKUP(B134,Tabela_Auxiliar[],3,0)</f>
        <v>Entrada</v>
      </c>
      <c r="G134" t="str">
        <f>UPPER(TEXT(Tabela_DB[[#This Row],[DATA]],"mmm"))</f>
        <v>JAN</v>
      </c>
      <c r="H134" t="str">
        <f>UPPER(TEXT(Tabela_DB[[#This Row],[DATA]],"aaaa"))</f>
        <v>2021</v>
      </c>
    </row>
    <row r="135" spans="1:8" x14ac:dyDescent="0.25">
      <c r="A135" s="2">
        <v>44205</v>
      </c>
      <c r="B135" t="s">
        <v>3</v>
      </c>
      <c r="C135">
        <v>14839</v>
      </c>
      <c r="D135" t="str">
        <f>VLOOKUP(B135,Tabela_Auxiliar[],2,0)</f>
        <v>1. Receita Operacional Bruta</v>
      </c>
      <c r="E135" t="str">
        <f>VLOOKUP(B135,Tabela_Auxiliar[],4,0)</f>
        <v>Receita Bruta</v>
      </c>
      <c r="F135" t="str">
        <f>VLOOKUP(B135,Tabela_Auxiliar[],3,0)</f>
        <v>Entrada</v>
      </c>
      <c r="G135" t="str">
        <f>UPPER(TEXT(Tabela_DB[[#This Row],[DATA]],"mmm"))</f>
        <v>JAN</v>
      </c>
      <c r="H135" t="str">
        <f>UPPER(TEXT(Tabela_DB[[#This Row],[DATA]],"aaaa"))</f>
        <v>2021</v>
      </c>
    </row>
    <row r="136" spans="1:8" x14ac:dyDescent="0.25">
      <c r="A136" s="2">
        <v>44205</v>
      </c>
      <c r="B136" t="s">
        <v>111</v>
      </c>
      <c r="C136">
        <v>-1460</v>
      </c>
      <c r="D136" t="str">
        <f>VLOOKUP(B136,Tabela_Auxiliar[],2,0)</f>
        <v>2. Deduções da Receita</v>
      </c>
      <c r="E136" t="str">
        <f>VLOOKUP(B136,Tabela_Auxiliar[],4,0)</f>
        <v>Imposto</v>
      </c>
      <c r="F136" t="str">
        <f>VLOOKUP(B136,Tabela_Auxiliar[],3,0)</f>
        <v>Saída</v>
      </c>
      <c r="G136" t="str">
        <f>UPPER(TEXT(Tabela_DB[[#This Row],[DATA]],"mmm"))</f>
        <v>JAN</v>
      </c>
      <c r="H136" t="str">
        <f>UPPER(TEXT(Tabela_DB[[#This Row],[DATA]],"aaaa"))</f>
        <v>2021</v>
      </c>
    </row>
    <row r="137" spans="1:8" x14ac:dyDescent="0.25">
      <c r="A137" s="2">
        <v>44205</v>
      </c>
      <c r="B137" t="s">
        <v>3</v>
      </c>
      <c r="C137">
        <v>13680</v>
      </c>
      <c r="D137" t="str">
        <f>VLOOKUP(B137,Tabela_Auxiliar[],2,0)</f>
        <v>1. Receita Operacional Bruta</v>
      </c>
      <c r="E137" t="str">
        <f>VLOOKUP(B137,Tabela_Auxiliar[],4,0)</f>
        <v>Receita Bruta</v>
      </c>
      <c r="F137" t="str">
        <f>VLOOKUP(B137,Tabela_Auxiliar[],3,0)</f>
        <v>Entrada</v>
      </c>
      <c r="G137" t="str">
        <f>UPPER(TEXT(Tabela_DB[[#This Row],[DATA]],"mmm"))</f>
        <v>JAN</v>
      </c>
      <c r="H137" t="str">
        <f>UPPER(TEXT(Tabela_DB[[#This Row],[DATA]],"aaaa"))</f>
        <v>2021</v>
      </c>
    </row>
    <row r="138" spans="1:8" x14ac:dyDescent="0.25">
      <c r="A138" s="2">
        <v>44205</v>
      </c>
      <c r="B138" t="s">
        <v>35</v>
      </c>
      <c r="C138">
        <v>-1258</v>
      </c>
      <c r="D138" t="str">
        <f>VLOOKUP(B138,Tabela_Auxiliar[],2,0)</f>
        <v>2. Deduções da Receita</v>
      </c>
      <c r="E138" t="str">
        <f>VLOOKUP(B138,Tabela_Auxiliar[],4,0)</f>
        <v>Imposto</v>
      </c>
      <c r="F138" t="str">
        <f>VLOOKUP(B138,Tabela_Auxiliar[],3,0)</f>
        <v>Saída</v>
      </c>
      <c r="G138" t="str">
        <f>UPPER(TEXT(Tabela_DB[[#This Row],[DATA]],"mmm"))</f>
        <v>JAN</v>
      </c>
      <c r="H138" t="str">
        <f>UPPER(TEXT(Tabela_DB[[#This Row],[DATA]],"aaaa"))</f>
        <v>2021</v>
      </c>
    </row>
    <row r="139" spans="1:8" x14ac:dyDescent="0.25">
      <c r="A139" s="2">
        <v>44205</v>
      </c>
      <c r="B139" t="s">
        <v>3</v>
      </c>
      <c r="C139">
        <v>12328</v>
      </c>
      <c r="D139" t="str">
        <f>VLOOKUP(B139,Tabela_Auxiliar[],2,0)</f>
        <v>1. Receita Operacional Bruta</v>
      </c>
      <c r="E139" t="str">
        <f>VLOOKUP(B139,Tabela_Auxiliar[],4,0)</f>
        <v>Receita Bruta</v>
      </c>
      <c r="F139" t="str">
        <f>VLOOKUP(B139,Tabela_Auxiliar[],3,0)</f>
        <v>Entrada</v>
      </c>
      <c r="G139" t="str">
        <f>UPPER(TEXT(Tabela_DB[[#This Row],[DATA]],"mmm"))</f>
        <v>JAN</v>
      </c>
      <c r="H139" t="str">
        <f>UPPER(TEXT(Tabela_DB[[#This Row],[DATA]],"aaaa"))</f>
        <v>2021</v>
      </c>
    </row>
    <row r="140" spans="1:8" x14ac:dyDescent="0.25">
      <c r="A140" s="2">
        <v>44205</v>
      </c>
      <c r="B140" t="s">
        <v>111</v>
      </c>
      <c r="C140">
        <v>-1265</v>
      </c>
      <c r="D140" t="str">
        <f>VLOOKUP(B140,Tabela_Auxiliar[],2,0)</f>
        <v>2. Deduções da Receita</v>
      </c>
      <c r="E140" t="str">
        <f>VLOOKUP(B140,Tabela_Auxiliar[],4,0)</f>
        <v>Imposto</v>
      </c>
      <c r="F140" t="str">
        <f>VLOOKUP(B140,Tabela_Auxiliar[],3,0)</f>
        <v>Saída</v>
      </c>
      <c r="G140" t="str">
        <f>UPPER(TEXT(Tabela_DB[[#This Row],[DATA]],"mmm"))</f>
        <v>JAN</v>
      </c>
      <c r="H140" t="str">
        <f>UPPER(TEXT(Tabela_DB[[#This Row],[DATA]],"aaaa"))</f>
        <v>2021</v>
      </c>
    </row>
    <row r="141" spans="1:8" x14ac:dyDescent="0.25">
      <c r="A141" s="2">
        <v>44205</v>
      </c>
      <c r="B141" t="s">
        <v>111</v>
      </c>
      <c r="C141">
        <v>-2216</v>
      </c>
      <c r="D141" t="str">
        <f>VLOOKUP(B141,Tabela_Auxiliar[],2,0)</f>
        <v>2. Deduções da Receita</v>
      </c>
      <c r="E141" t="str">
        <f>VLOOKUP(B141,Tabela_Auxiliar[],4,0)</f>
        <v>Imposto</v>
      </c>
      <c r="F141" t="str">
        <f>VLOOKUP(B141,Tabela_Auxiliar[],3,0)</f>
        <v>Saída</v>
      </c>
      <c r="G141" t="str">
        <f>UPPER(TEXT(Tabela_DB[[#This Row],[DATA]],"mmm"))</f>
        <v>JAN</v>
      </c>
      <c r="H141" t="str">
        <f>UPPER(TEXT(Tabela_DB[[#This Row],[DATA]],"aaaa"))</f>
        <v>2021</v>
      </c>
    </row>
    <row r="142" spans="1:8" x14ac:dyDescent="0.25">
      <c r="A142" s="2">
        <v>44206</v>
      </c>
      <c r="B142" t="s">
        <v>4</v>
      </c>
      <c r="C142">
        <v>10579</v>
      </c>
      <c r="D142" t="str">
        <f>VLOOKUP(B142,Tabela_Auxiliar[],2,0)</f>
        <v>1. Receita Operacional Bruta</v>
      </c>
      <c r="E142" t="str">
        <f>VLOOKUP(B142,Tabela_Auxiliar[],4,0)</f>
        <v>Receita Bruta</v>
      </c>
      <c r="F142" t="str">
        <f>VLOOKUP(B142,Tabela_Auxiliar[],3,0)</f>
        <v>Entrada</v>
      </c>
      <c r="G142" t="str">
        <f>UPPER(TEXT(Tabela_DB[[#This Row],[DATA]],"mmm"))</f>
        <v>JAN</v>
      </c>
      <c r="H142" t="str">
        <f>UPPER(TEXT(Tabela_DB[[#This Row],[DATA]],"aaaa"))</f>
        <v>2021</v>
      </c>
    </row>
    <row r="143" spans="1:8" x14ac:dyDescent="0.25">
      <c r="A143" s="2">
        <v>44206</v>
      </c>
      <c r="B143" t="s">
        <v>44</v>
      </c>
      <c r="C143">
        <v>-1356</v>
      </c>
      <c r="D143" t="str">
        <f>VLOOKUP(B143,Tabela_Auxiliar[],2,0)</f>
        <v>4. Despesas Operacionais</v>
      </c>
      <c r="E143" t="str">
        <f>VLOOKUP(B143,Tabela_Auxiliar[],4,0)</f>
        <v>Despesa com Pessoal</v>
      </c>
      <c r="F143" t="str">
        <f>VLOOKUP(B143,Tabela_Auxiliar[],3,0)</f>
        <v>Saída</v>
      </c>
      <c r="G143" t="str">
        <f>UPPER(TEXT(Tabela_DB[[#This Row],[DATA]],"mmm"))</f>
        <v>JAN</v>
      </c>
      <c r="H143" t="str">
        <f>UPPER(TEXT(Tabela_DB[[#This Row],[DATA]],"aaaa"))</f>
        <v>2021</v>
      </c>
    </row>
    <row r="144" spans="1:8" x14ac:dyDescent="0.25">
      <c r="A144" s="2">
        <v>44206</v>
      </c>
      <c r="B144" t="s">
        <v>3</v>
      </c>
      <c r="C144">
        <v>12717</v>
      </c>
      <c r="D144" t="str">
        <f>VLOOKUP(B144,Tabela_Auxiliar[],2,0)</f>
        <v>1. Receita Operacional Bruta</v>
      </c>
      <c r="E144" t="str">
        <f>VLOOKUP(B144,Tabela_Auxiliar[],4,0)</f>
        <v>Receita Bruta</v>
      </c>
      <c r="F144" t="str">
        <f>VLOOKUP(B144,Tabela_Auxiliar[],3,0)</f>
        <v>Entrada</v>
      </c>
      <c r="G144" t="str">
        <f>UPPER(TEXT(Tabela_DB[[#This Row],[DATA]],"mmm"))</f>
        <v>JAN</v>
      </c>
      <c r="H144" t="str">
        <f>UPPER(TEXT(Tabela_DB[[#This Row],[DATA]],"aaaa"))</f>
        <v>2021</v>
      </c>
    </row>
    <row r="145" spans="1:8" x14ac:dyDescent="0.25">
      <c r="A145" s="2">
        <v>44206</v>
      </c>
      <c r="B145" t="s">
        <v>4</v>
      </c>
      <c r="C145">
        <v>13930</v>
      </c>
      <c r="D145" t="str">
        <f>VLOOKUP(B145,Tabela_Auxiliar[],2,0)</f>
        <v>1. Receita Operacional Bruta</v>
      </c>
      <c r="E145" t="str">
        <f>VLOOKUP(B145,Tabela_Auxiliar[],4,0)</f>
        <v>Receita Bruta</v>
      </c>
      <c r="F145" t="str">
        <f>VLOOKUP(B145,Tabela_Auxiliar[],3,0)</f>
        <v>Entrada</v>
      </c>
      <c r="G145" t="str">
        <f>UPPER(TEXT(Tabela_DB[[#This Row],[DATA]],"mmm"))</f>
        <v>JAN</v>
      </c>
      <c r="H145" t="str">
        <f>UPPER(TEXT(Tabela_DB[[#This Row],[DATA]],"aaaa"))</f>
        <v>2021</v>
      </c>
    </row>
    <row r="146" spans="1:8" x14ac:dyDescent="0.25">
      <c r="A146" s="2">
        <v>44206</v>
      </c>
      <c r="B146" t="s">
        <v>3</v>
      </c>
      <c r="C146">
        <v>13934</v>
      </c>
      <c r="D146" t="str">
        <f>VLOOKUP(B146,Tabela_Auxiliar[],2,0)</f>
        <v>1. Receita Operacional Bruta</v>
      </c>
      <c r="E146" t="str">
        <f>VLOOKUP(B146,Tabela_Auxiliar[],4,0)</f>
        <v>Receita Bruta</v>
      </c>
      <c r="F146" t="str">
        <f>VLOOKUP(B146,Tabela_Auxiliar[],3,0)</f>
        <v>Entrada</v>
      </c>
      <c r="G146" t="str">
        <f>UPPER(TEXT(Tabela_DB[[#This Row],[DATA]],"mmm"))</f>
        <v>JAN</v>
      </c>
      <c r="H146" t="str">
        <f>UPPER(TEXT(Tabela_DB[[#This Row],[DATA]],"aaaa"))</f>
        <v>2021</v>
      </c>
    </row>
    <row r="147" spans="1:8" x14ac:dyDescent="0.25">
      <c r="A147" s="2">
        <v>44206</v>
      </c>
      <c r="B147" t="s">
        <v>3</v>
      </c>
      <c r="C147">
        <v>11953</v>
      </c>
      <c r="D147" t="str">
        <f>VLOOKUP(B147,Tabela_Auxiliar[],2,0)</f>
        <v>1. Receita Operacional Bruta</v>
      </c>
      <c r="E147" t="str">
        <f>VLOOKUP(B147,Tabela_Auxiliar[],4,0)</f>
        <v>Receita Bruta</v>
      </c>
      <c r="F147" t="str">
        <f>VLOOKUP(B147,Tabela_Auxiliar[],3,0)</f>
        <v>Entrada</v>
      </c>
      <c r="G147" t="str">
        <f>UPPER(TEXT(Tabela_DB[[#This Row],[DATA]],"mmm"))</f>
        <v>JAN</v>
      </c>
      <c r="H147" t="str">
        <f>UPPER(TEXT(Tabela_DB[[#This Row],[DATA]],"aaaa"))</f>
        <v>2021</v>
      </c>
    </row>
    <row r="148" spans="1:8" x14ac:dyDescent="0.25">
      <c r="A148" s="2">
        <v>44206</v>
      </c>
      <c r="B148" t="s">
        <v>37</v>
      </c>
      <c r="C148">
        <v>-4217</v>
      </c>
      <c r="D148" t="str">
        <f>VLOOKUP(B148,Tabela_Auxiliar[],2,0)</f>
        <v>3. Custos do Produto/Mercadoria/Serviço</v>
      </c>
      <c r="E148" t="str">
        <f>VLOOKUP(B148,Tabela_Auxiliar[],4,0)</f>
        <v>Despesas c/ Produto</v>
      </c>
      <c r="F148" t="str">
        <f>VLOOKUP(B148,Tabela_Auxiliar[],3,0)</f>
        <v>Saída</v>
      </c>
      <c r="G148" t="str">
        <f>UPPER(TEXT(Tabela_DB[[#This Row],[DATA]],"mmm"))</f>
        <v>JAN</v>
      </c>
      <c r="H148" t="str">
        <f>UPPER(TEXT(Tabela_DB[[#This Row],[DATA]],"aaaa"))</f>
        <v>2021</v>
      </c>
    </row>
    <row r="149" spans="1:8" x14ac:dyDescent="0.25">
      <c r="A149" s="2">
        <v>44206</v>
      </c>
      <c r="B149" t="s">
        <v>34</v>
      </c>
      <c r="C149">
        <v>-1705</v>
      </c>
      <c r="D149" t="str">
        <f>VLOOKUP(B149,Tabela_Auxiliar[],2,0)</f>
        <v>2. Deduções da Receita</v>
      </c>
      <c r="E149" t="str">
        <f>VLOOKUP(B149,Tabela_Auxiliar[],4,0)</f>
        <v>Imposto</v>
      </c>
      <c r="F149" t="str">
        <f>VLOOKUP(B149,Tabela_Auxiliar[],3,0)</f>
        <v>Saída</v>
      </c>
      <c r="G149" t="str">
        <f>UPPER(TEXT(Tabela_DB[[#This Row],[DATA]],"mmm"))</f>
        <v>JAN</v>
      </c>
      <c r="H149" t="str">
        <f>UPPER(TEXT(Tabela_DB[[#This Row],[DATA]],"aaaa"))</f>
        <v>2021</v>
      </c>
    </row>
    <row r="150" spans="1:8" x14ac:dyDescent="0.25">
      <c r="A150" s="2">
        <v>44206</v>
      </c>
      <c r="B150" t="s">
        <v>56</v>
      </c>
      <c r="C150">
        <v>-1752</v>
      </c>
      <c r="D150" t="str">
        <f>VLOOKUP(B150,Tabela_Auxiliar[],2,0)</f>
        <v>4. Despesas Operacionais</v>
      </c>
      <c r="E150" t="str">
        <f>VLOOKUP(B150,Tabela_Auxiliar[],4,0)</f>
        <v>Despesa com Pessoal</v>
      </c>
      <c r="F150" t="str">
        <f>VLOOKUP(B150,Tabela_Auxiliar[],3,0)</f>
        <v>Saída</v>
      </c>
      <c r="G150" t="str">
        <f>UPPER(TEXT(Tabela_DB[[#This Row],[DATA]],"mmm"))</f>
        <v>JAN</v>
      </c>
      <c r="H150" t="str">
        <f>UPPER(TEXT(Tabela_DB[[#This Row],[DATA]],"aaaa"))</f>
        <v>2021</v>
      </c>
    </row>
    <row r="151" spans="1:8" x14ac:dyDescent="0.25">
      <c r="A151" s="2">
        <v>44206</v>
      </c>
      <c r="B151" t="s">
        <v>37</v>
      </c>
      <c r="C151">
        <v>-4025</v>
      </c>
      <c r="D151" t="str">
        <f>VLOOKUP(B151,Tabela_Auxiliar[],2,0)</f>
        <v>3. Custos do Produto/Mercadoria/Serviço</v>
      </c>
      <c r="E151" t="str">
        <f>VLOOKUP(B151,Tabela_Auxiliar[],4,0)</f>
        <v>Despesas c/ Produto</v>
      </c>
      <c r="F151" t="str">
        <f>VLOOKUP(B151,Tabela_Auxiliar[],3,0)</f>
        <v>Saída</v>
      </c>
      <c r="G151" t="str">
        <f>UPPER(TEXT(Tabela_DB[[#This Row],[DATA]],"mmm"))</f>
        <v>JAN</v>
      </c>
      <c r="H151" t="str">
        <f>UPPER(TEXT(Tabela_DB[[#This Row],[DATA]],"aaaa"))</f>
        <v>2021</v>
      </c>
    </row>
    <row r="152" spans="1:8" x14ac:dyDescent="0.25">
      <c r="A152" s="2">
        <v>44206</v>
      </c>
      <c r="B152" t="s">
        <v>70</v>
      </c>
      <c r="C152">
        <v>-1281</v>
      </c>
      <c r="D152" t="str">
        <f>VLOOKUP(B152,Tabela_Auxiliar[],2,0)</f>
        <v>4. Despesas Operacionais</v>
      </c>
      <c r="E152" t="str">
        <f>VLOOKUP(B152,Tabela_Auxiliar[],4,0)</f>
        <v>Despesa com Ocupação</v>
      </c>
      <c r="F152" t="str">
        <f>VLOOKUP(B152,Tabela_Auxiliar[],3,0)</f>
        <v>Saída</v>
      </c>
      <c r="G152" t="str">
        <f>UPPER(TEXT(Tabela_DB[[#This Row],[DATA]],"mmm"))</f>
        <v>JAN</v>
      </c>
      <c r="H152" t="str">
        <f>UPPER(TEXT(Tabela_DB[[#This Row],[DATA]],"aaaa"))</f>
        <v>2021</v>
      </c>
    </row>
    <row r="153" spans="1:8" x14ac:dyDescent="0.25">
      <c r="A153" s="2">
        <v>44206</v>
      </c>
      <c r="B153" t="s">
        <v>70</v>
      </c>
      <c r="C153">
        <v>-1321</v>
      </c>
      <c r="D153" t="str">
        <f>VLOOKUP(B153,Tabela_Auxiliar[],2,0)</f>
        <v>4. Despesas Operacionais</v>
      </c>
      <c r="E153" t="str">
        <f>VLOOKUP(B153,Tabela_Auxiliar[],4,0)</f>
        <v>Despesa com Ocupação</v>
      </c>
      <c r="F153" t="str">
        <f>VLOOKUP(B153,Tabela_Auxiliar[],3,0)</f>
        <v>Saída</v>
      </c>
      <c r="G153" t="str">
        <f>UPPER(TEXT(Tabela_DB[[#This Row],[DATA]],"mmm"))</f>
        <v>JAN</v>
      </c>
      <c r="H153" t="str">
        <f>UPPER(TEXT(Tabela_DB[[#This Row],[DATA]],"aaaa"))</f>
        <v>2021</v>
      </c>
    </row>
    <row r="154" spans="1:8" x14ac:dyDescent="0.25">
      <c r="A154" s="2">
        <v>44206</v>
      </c>
      <c r="B154" t="s">
        <v>111</v>
      </c>
      <c r="C154">
        <v>-1617</v>
      </c>
      <c r="D154" t="str">
        <f>VLOOKUP(B154,Tabela_Auxiliar[],2,0)</f>
        <v>2. Deduções da Receita</v>
      </c>
      <c r="E154" t="str">
        <f>VLOOKUP(B154,Tabela_Auxiliar[],4,0)</f>
        <v>Imposto</v>
      </c>
      <c r="F154" t="str">
        <f>VLOOKUP(B154,Tabela_Auxiliar[],3,0)</f>
        <v>Saída</v>
      </c>
      <c r="G154" t="str">
        <f>UPPER(TEXT(Tabela_DB[[#This Row],[DATA]],"mmm"))</f>
        <v>JAN</v>
      </c>
      <c r="H154" t="str">
        <f>UPPER(TEXT(Tabela_DB[[#This Row],[DATA]],"aaaa"))</f>
        <v>2021</v>
      </c>
    </row>
    <row r="155" spans="1:8" x14ac:dyDescent="0.25">
      <c r="A155" s="2">
        <v>44206</v>
      </c>
      <c r="B155" t="s">
        <v>84</v>
      </c>
      <c r="C155">
        <v>-2171</v>
      </c>
      <c r="D155" t="str">
        <f>VLOOKUP(B155,Tabela_Auxiliar[],2,0)</f>
        <v>4. Despesas Operacionais</v>
      </c>
      <c r="E155" t="str">
        <f>VLOOKUP(B155,Tabela_Auxiliar[],4,0)</f>
        <v>Despesa com Veículos</v>
      </c>
      <c r="F155" t="str">
        <f>VLOOKUP(B155,Tabela_Auxiliar[],3,0)</f>
        <v>Saída</v>
      </c>
      <c r="G155" t="str">
        <f>UPPER(TEXT(Tabela_DB[[#This Row],[DATA]],"mmm"))</f>
        <v>JAN</v>
      </c>
      <c r="H155" t="str">
        <f>UPPER(TEXT(Tabela_DB[[#This Row],[DATA]],"aaaa"))</f>
        <v>2021</v>
      </c>
    </row>
    <row r="156" spans="1:8" x14ac:dyDescent="0.25">
      <c r="A156" s="2">
        <v>44206</v>
      </c>
      <c r="B156" t="s">
        <v>4</v>
      </c>
      <c r="C156">
        <v>14631</v>
      </c>
      <c r="D156" t="str">
        <f>VLOOKUP(B156,Tabela_Auxiliar[],2,0)</f>
        <v>1. Receita Operacional Bruta</v>
      </c>
      <c r="E156" t="str">
        <f>VLOOKUP(B156,Tabela_Auxiliar[],4,0)</f>
        <v>Receita Bruta</v>
      </c>
      <c r="F156" t="str">
        <f>VLOOKUP(B156,Tabela_Auxiliar[],3,0)</f>
        <v>Entrada</v>
      </c>
      <c r="G156" t="str">
        <f>UPPER(TEXT(Tabela_DB[[#This Row],[DATA]],"mmm"))</f>
        <v>JAN</v>
      </c>
      <c r="H156" t="str">
        <f>UPPER(TEXT(Tabela_DB[[#This Row],[DATA]],"aaaa"))</f>
        <v>2021</v>
      </c>
    </row>
    <row r="157" spans="1:8" x14ac:dyDescent="0.25">
      <c r="A157" s="2">
        <v>44206</v>
      </c>
      <c r="B157" t="s">
        <v>59</v>
      </c>
      <c r="C157">
        <v>-1580</v>
      </c>
      <c r="D157" t="str">
        <f>VLOOKUP(B157,Tabela_Auxiliar[],2,0)</f>
        <v>4. Despesas Operacionais</v>
      </c>
      <c r="E157" t="str">
        <f>VLOOKUP(B157,Tabela_Auxiliar[],4,0)</f>
        <v>Despesa de Depreciação</v>
      </c>
      <c r="F157" t="str">
        <f>VLOOKUP(B157,Tabela_Auxiliar[],3,0)</f>
        <v>Saída</v>
      </c>
      <c r="G157" t="str">
        <f>UPPER(TEXT(Tabela_DB[[#This Row],[DATA]],"mmm"))</f>
        <v>JAN</v>
      </c>
      <c r="H157" t="str">
        <f>UPPER(TEXT(Tabela_DB[[#This Row],[DATA]],"aaaa"))</f>
        <v>2021</v>
      </c>
    </row>
    <row r="158" spans="1:8" x14ac:dyDescent="0.25">
      <c r="A158" s="2">
        <v>44207</v>
      </c>
      <c r="B158" t="s">
        <v>3</v>
      </c>
      <c r="C158">
        <v>13661</v>
      </c>
      <c r="D158" t="str">
        <f>VLOOKUP(B158,Tabela_Auxiliar[],2,0)</f>
        <v>1. Receita Operacional Bruta</v>
      </c>
      <c r="E158" t="str">
        <f>VLOOKUP(B158,Tabela_Auxiliar[],4,0)</f>
        <v>Receita Bruta</v>
      </c>
      <c r="F158" t="str">
        <f>VLOOKUP(B158,Tabela_Auxiliar[],3,0)</f>
        <v>Entrada</v>
      </c>
      <c r="G158" t="str">
        <f>UPPER(TEXT(Tabela_DB[[#This Row],[DATA]],"mmm"))</f>
        <v>JAN</v>
      </c>
      <c r="H158" t="str">
        <f>UPPER(TEXT(Tabela_DB[[#This Row],[DATA]],"aaaa"))</f>
        <v>2021</v>
      </c>
    </row>
    <row r="159" spans="1:8" x14ac:dyDescent="0.25">
      <c r="A159" s="2">
        <v>44207</v>
      </c>
      <c r="B159" t="s">
        <v>54</v>
      </c>
      <c r="C159">
        <v>-1331</v>
      </c>
      <c r="D159" t="str">
        <f>VLOOKUP(B159,Tabela_Auxiliar[],2,0)</f>
        <v>4. Despesas Operacionais</v>
      </c>
      <c r="E159" t="str">
        <f>VLOOKUP(B159,Tabela_Auxiliar[],4,0)</f>
        <v>Despesa com Pessoal</v>
      </c>
      <c r="F159" t="str">
        <f>VLOOKUP(B159,Tabela_Auxiliar[],3,0)</f>
        <v>Saída</v>
      </c>
      <c r="G159" t="str">
        <f>UPPER(TEXT(Tabela_DB[[#This Row],[DATA]],"mmm"))</f>
        <v>JAN</v>
      </c>
      <c r="H159" t="str">
        <f>UPPER(TEXT(Tabela_DB[[#This Row],[DATA]],"aaaa"))</f>
        <v>2021</v>
      </c>
    </row>
    <row r="160" spans="1:8" x14ac:dyDescent="0.25">
      <c r="A160" s="2">
        <v>44207</v>
      </c>
      <c r="B160" t="s">
        <v>73</v>
      </c>
      <c r="C160">
        <v>-1384</v>
      </c>
      <c r="D160" t="str">
        <f>VLOOKUP(B160,Tabela_Auxiliar[],2,0)</f>
        <v>4. Despesas Operacionais</v>
      </c>
      <c r="E160" t="str">
        <f>VLOOKUP(B160,Tabela_Auxiliar[],4,0)</f>
        <v>Despesa com Ocupação</v>
      </c>
      <c r="F160" t="str">
        <f>VLOOKUP(B160,Tabela_Auxiliar[],3,0)</f>
        <v>Saída</v>
      </c>
      <c r="G160" t="str">
        <f>UPPER(TEXT(Tabela_DB[[#This Row],[DATA]],"mmm"))</f>
        <v>JAN</v>
      </c>
      <c r="H160" t="str">
        <f>UPPER(TEXT(Tabela_DB[[#This Row],[DATA]],"aaaa"))</f>
        <v>2021</v>
      </c>
    </row>
    <row r="161" spans="1:8" x14ac:dyDescent="0.25">
      <c r="A161" s="2">
        <v>44207</v>
      </c>
      <c r="B161" t="s">
        <v>37</v>
      </c>
      <c r="C161">
        <v>-4418</v>
      </c>
      <c r="D161" t="str">
        <f>VLOOKUP(B161,Tabela_Auxiliar[],2,0)</f>
        <v>3. Custos do Produto/Mercadoria/Serviço</v>
      </c>
      <c r="E161" t="str">
        <f>VLOOKUP(B161,Tabela_Auxiliar[],4,0)</f>
        <v>Despesas c/ Produto</v>
      </c>
      <c r="F161" t="str">
        <f>VLOOKUP(B161,Tabela_Auxiliar[],3,0)</f>
        <v>Saída</v>
      </c>
      <c r="G161" t="str">
        <f>UPPER(TEXT(Tabela_DB[[#This Row],[DATA]],"mmm"))</f>
        <v>JAN</v>
      </c>
      <c r="H161" t="str">
        <f>UPPER(TEXT(Tabela_DB[[#This Row],[DATA]],"aaaa"))</f>
        <v>2021</v>
      </c>
    </row>
    <row r="162" spans="1:8" x14ac:dyDescent="0.25">
      <c r="A162" s="2">
        <v>44207</v>
      </c>
      <c r="B162" t="s">
        <v>35</v>
      </c>
      <c r="C162">
        <v>-1450</v>
      </c>
      <c r="D162" t="str">
        <f>VLOOKUP(B162,Tabela_Auxiliar[],2,0)</f>
        <v>2. Deduções da Receita</v>
      </c>
      <c r="E162" t="str">
        <f>VLOOKUP(B162,Tabela_Auxiliar[],4,0)</f>
        <v>Imposto</v>
      </c>
      <c r="F162" t="str">
        <f>VLOOKUP(B162,Tabela_Auxiliar[],3,0)</f>
        <v>Saída</v>
      </c>
      <c r="G162" t="str">
        <f>UPPER(TEXT(Tabela_DB[[#This Row],[DATA]],"mmm"))</f>
        <v>JAN</v>
      </c>
      <c r="H162" t="str">
        <f>UPPER(TEXT(Tabela_DB[[#This Row],[DATA]],"aaaa"))</f>
        <v>2021</v>
      </c>
    </row>
    <row r="163" spans="1:8" x14ac:dyDescent="0.25">
      <c r="A163" s="2">
        <v>44207</v>
      </c>
      <c r="B163" t="s">
        <v>4</v>
      </c>
      <c r="C163">
        <v>13503</v>
      </c>
      <c r="D163" t="str">
        <f>VLOOKUP(B163,Tabela_Auxiliar[],2,0)</f>
        <v>1. Receita Operacional Bruta</v>
      </c>
      <c r="E163" t="str">
        <f>VLOOKUP(B163,Tabela_Auxiliar[],4,0)</f>
        <v>Receita Bruta</v>
      </c>
      <c r="F163" t="str">
        <f>VLOOKUP(B163,Tabela_Auxiliar[],3,0)</f>
        <v>Entrada</v>
      </c>
      <c r="G163" t="str">
        <f>UPPER(TEXT(Tabela_DB[[#This Row],[DATA]],"mmm"))</f>
        <v>JAN</v>
      </c>
      <c r="H163" t="str">
        <f>UPPER(TEXT(Tabela_DB[[#This Row],[DATA]],"aaaa"))</f>
        <v>2021</v>
      </c>
    </row>
    <row r="164" spans="1:8" x14ac:dyDescent="0.25">
      <c r="A164" s="2">
        <v>44207</v>
      </c>
      <c r="B164" t="s">
        <v>4</v>
      </c>
      <c r="C164">
        <v>13160</v>
      </c>
      <c r="D164" t="str">
        <f>VLOOKUP(B164,Tabela_Auxiliar[],2,0)</f>
        <v>1. Receita Operacional Bruta</v>
      </c>
      <c r="E164" t="str">
        <f>VLOOKUP(B164,Tabela_Auxiliar[],4,0)</f>
        <v>Receita Bruta</v>
      </c>
      <c r="F164" t="str">
        <f>VLOOKUP(B164,Tabela_Auxiliar[],3,0)</f>
        <v>Entrada</v>
      </c>
      <c r="G164" t="str">
        <f>UPPER(TEXT(Tabela_DB[[#This Row],[DATA]],"mmm"))</f>
        <v>JAN</v>
      </c>
      <c r="H164" t="str">
        <f>UPPER(TEXT(Tabela_DB[[#This Row],[DATA]],"aaaa"))</f>
        <v>2021</v>
      </c>
    </row>
    <row r="165" spans="1:8" x14ac:dyDescent="0.25">
      <c r="A165" s="2">
        <v>44207</v>
      </c>
      <c r="B165" t="s">
        <v>35</v>
      </c>
      <c r="C165">
        <v>-2289</v>
      </c>
      <c r="D165" t="str">
        <f>VLOOKUP(B165,Tabela_Auxiliar[],2,0)</f>
        <v>2. Deduções da Receita</v>
      </c>
      <c r="E165" t="str">
        <f>VLOOKUP(B165,Tabela_Auxiliar[],4,0)</f>
        <v>Imposto</v>
      </c>
      <c r="F165" t="str">
        <f>VLOOKUP(B165,Tabela_Auxiliar[],3,0)</f>
        <v>Saída</v>
      </c>
      <c r="G165" t="str">
        <f>UPPER(TEXT(Tabela_DB[[#This Row],[DATA]],"mmm"))</f>
        <v>JAN</v>
      </c>
      <c r="H165" t="str">
        <f>UPPER(TEXT(Tabela_DB[[#This Row],[DATA]],"aaaa"))</f>
        <v>2021</v>
      </c>
    </row>
    <row r="166" spans="1:8" x14ac:dyDescent="0.25">
      <c r="A166" s="2">
        <v>44207</v>
      </c>
      <c r="B166" t="s">
        <v>72</v>
      </c>
      <c r="C166">
        <v>-1663</v>
      </c>
      <c r="D166" t="str">
        <f>VLOOKUP(B166,Tabela_Auxiliar[],2,0)</f>
        <v>4. Despesas Operacionais</v>
      </c>
      <c r="E166" t="str">
        <f>VLOOKUP(B166,Tabela_Auxiliar[],4,0)</f>
        <v>Despesa com Ocupação</v>
      </c>
      <c r="F166" t="str">
        <f>VLOOKUP(B166,Tabela_Auxiliar[],3,0)</f>
        <v>Saída</v>
      </c>
      <c r="G166" t="str">
        <f>UPPER(TEXT(Tabela_DB[[#This Row],[DATA]],"mmm"))</f>
        <v>JAN</v>
      </c>
      <c r="H166" t="str">
        <f>UPPER(TEXT(Tabela_DB[[#This Row],[DATA]],"aaaa"))</f>
        <v>2021</v>
      </c>
    </row>
    <row r="167" spans="1:8" x14ac:dyDescent="0.25">
      <c r="A167" s="2">
        <v>44207</v>
      </c>
      <c r="B167" t="s">
        <v>37</v>
      </c>
      <c r="C167">
        <v>-3741</v>
      </c>
      <c r="D167" t="str">
        <f>VLOOKUP(B167,Tabela_Auxiliar[],2,0)</f>
        <v>3. Custos do Produto/Mercadoria/Serviço</v>
      </c>
      <c r="E167" t="str">
        <f>VLOOKUP(B167,Tabela_Auxiliar[],4,0)</f>
        <v>Despesas c/ Produto</v>
      </c>
      <c r="F167" t="str">
        <f>VLOOKUP(B167,Tabela_Auxiliar[],3,0)</f>
        <v>Saída</v>
      </c>
      <c r="G167" t="str">
        <f>UPPER(TEXT(Tabela_DB[[#This Row],[DATA]],"mmm"))</f>
        <v>JAN</v>
      </c>
      <c r="H167" t="str">
        <f>UPPER(TEXT(Tabela_DB[[#This Row],[DATA]],"aaaa"))</f>
        <v>2021</v>
      </c>
    </row>
    <row r="168" spans="1:8" x14ac:dyDescent="0.25">
      <c r="A168" s="2">
        <v>44207</v>
      </c>
      <c r="B168" t="s">
        <v>35</v>
      </c>
      <c r="C168">
        <v>-1363</v>
      </c>
      <c r="D168" t="str">
        <f>VLOOKUP(B168,Tabela_Auxiliar[],2,0)</f>
        <v>2. Deduções da Receita</v>
      </c>
      <c r="E168" t="str">
        <f>VLOOKUP(B168,Tabela_Auxiliar[],4,0)</f>
        <v>Imposto</v>
      </c>
      <c r="F168" t="str">
        <f>VLOOKUP(B168,Tabela_Auxiliar[],3,0)</f>
        <v>Saída</v>
      </c>
      <c r="G168" t="str">
        <f>UPPER(TEXT(Tabela_DB[[#This Row],[DATA]],"mmm"))</f>
        <v>JAN</v>
      </c>
      <c r="H168" t="str">
        <f>UPPER(TEXT(Tabela_DB[[#This Row],[DATA]],"aaaa"))</f>
        <v>2021</v>
      </c>
    </row>
    <row r="169" spans="1:8" x14ac:dyDescent="0.25">
      <c r="A169" s="2">
        <v>44207</v>
      </c>
      <c r="B169" t="s">
        <v>34</v>
      </c>
      <c r="C169">
        <v>-1308</v>
      </c>
      <c r="D169" t="str">
        <f>VLOOKUP(B169,Tabela_Auxiliar[],2,0)</f>
        <v>2. Deduções da Receita</v>
      </c>
      <c r="E169" t="str">
        <f>VLOOKUP(B169,Tabela_Auxiliar[],4,0)</f>
        <v>Imposto</v>
      </c>
      <c r="F169" t="str">
        <f>VLOOKUP(B169,Tabela_Auxiliar[],3,0)</f>
        <v>Saída</v>
      </c>
      <c r="G169" t="str">
        <f>UPPER(TEXT(Tabela_DB[[#This Row],[DATA]],"mmm"))</f>
        <v>JAN</v>
      </c>
      <c r="H169" t="str">
        <f>UPPER(TEXT(Tabela_DB[[#This Row],[DATA]],"aaaa"))</f>
        <v>2021</v>
      </c>
    </row>
    <row r="170" spans="1:8" x14ac:dyDescent="0.25">
      <c r="A170" s="2">
        <v>44207</v>
      </c>
      <c r="B170" t="s">
        <v>111</v>
      </c>
      <c r="C170">
        <v>-1008</v>
      </c>
      <c r="D170" t="str">
        <f>VLOOKUP(B170,Tabela_Auxiliar[],2,0)</f>
        <v>2. Deduções da Receita</v>
      </c>
      <c r="E170" t="str">
        <f>VLOOKUP(B170,Tabela_Auxiliar[],4,0)</f>
        <v>Imposto</v>
      </c>
      <c r="F170" t="str">
        <f>VLOOKUP(B170,Tabela_Auxiliar[],3,0)</f>
        <v>Saída</v>
      </c>
      <c r="G170" t="str">
        <f>UPPER(TEXT(Tabela_DB[[#This Row],[DATA]],"mmm"))</f>
        <v>JAN</v>
      </c>
      <c r="H170" t="str">
        <f>UPPER(TEXT(Tabela_DB[[#This Row],[DATA]],"aaaa"))</f>
        <v>2021</v>
      </c>
    </row>
    <row r="171" spans="1:8" x14ac:dyDescent="0.25">
      <c r="A171" s="2">
        <v>44207</v>
      </c>
      <c r="B171" t="s">
        <v>111</v>
      </c>
      <c r="C171">
        <v>-1250</v>
      </c>
      <c r="D171" t="str">
        <f>VLOOKUP(B171,Tabela_Auxiliar[],2,0)</f>
        <v>2. Deduções da Receita</v>
      </c>
      <c r="E171" t="str">
        <f>VLOOKUP(B171,Tabela_Auxiliar[],4,0)</f>
        <v>Imposto</v>
      </c>
      <c r="F171" t="str">
        <f>VLOOKUP(B171,Tabela_Auxiliar[],3,0)</f>
        <v>Saída</v>
      </c>
      <c r="G171" t="str">
        <f>UPPER(TEXT(Tabela_DB[[#This Row],[DATA]],"mmm"))</f>
        <v>JAN</v>
      </c>
      <c r="H171" t="str">
        <f>UPPER(TEXT(Tabela_DB[[#This Row],[DATA]],"aaaa"))</f>
        <v>2021</v>
      </c>
    </row>
    <row r="172" spans="1:8" x14ac:dyDescent="0.25">
      <c r="A172" s="2">
        <v>44207</v>
      </c>
      <c r="B172" t="s">
        <v>31</v>
      </c>
      <c r="C172">
        <v>-1617</v>
      </c>
      <c r="D172" t="str">
        <f>VLOOKUP(B172,Tabela_Auxiliar[],2,0)</f>
        <v>5. Resultado Financeiro</v>
      </c>
      <c r="E172" t="str">
        <f>VLOOKUP(B172,Tabela_Auxiliar[],4,0)</f>
        <v>Participação nos resultados</v>
      </c>
      <c r="F172" t="str">
        <f>VLOOKUP(B172,Tabela_Auxiliar[],3,0)</f>
        <v>Saída</v>
      </c>
      <c r="G172" t="str">
        <f>UPPER(TEXT(Tabela_DB[[#This Row],[DATA]],"mmm"))</f>
        <v>JAN</v>
      </c>
      <c r="H172" t="str">
        <f>UPPER(TEXT(Tabela_DB[[#This Row],[DATA]],"aaaa"))</f>
        <v>2021</v>
      </c>
    </row>
    <row r="173" spans="1:8" x14ac:dyDescent="0.25">
      <c r="A173" s="2">
        <v>44207</v>
      </c>
      <c r="B173" t="s">
        <v>111</v>
      </c>
      <c r="C173">
        <v>-2384</v>
      </c>
      <c r="D173" t="str">
        <f>VLOOKUP(B173,Tabela_Auxiliar[],2,0)</f>
        <v>2. Deduções da Receita</v>
      </c>
      <c r="E173" t="str">
        <f>VLOOKUP(B173,Tabela_Auxiliar[],4,0)</f>
        <v>Imposto</v>
      </c>
      <c r="F173" t="str">
        <f>VLOOKUP(B173,Tabela_Auxiliar[],3,0)</f>
        <v>Saída</v>
      </c>
      <c r="G173" t="str">
        <f>UPPER(TEXT(Tabela_DB[[#This Row],[DATA]],"mmm"))</f>
        <v>JAN</v>
      </c>
      <c r="H173" t="str">
        <f>UPPER(TEXT(Tabela_DB[[#This Row],[DATA]],"aaaa"))</f>
        <v>2021</v>
      </c>
    </row>
    <row r="174" spans="1:8" x14ac:dyDescent="0.25">
      <c r="A174" s="2">
        <v>44207</v>
      </c>
      <c r="B174" t="s">
        <v>59</v>
      </c>
      <c r="C174">
        <v>-2016</v>
      </c>
      <c r="D174" t="str">
        <f>VLOOKUP(B174,Tabela_Auxiliar[],2,0)</f>
        <v>4. Despesas Operacionais</v>
      </c>
      <c r="E174" t="str">
        <f>VLOOKUP(B174,Tabela_Auxiliar[],4,0)</f>
        <v>Despesa de Depreciação</v>
      </c>
      <c r="F174" t="str">
        <f>VLOOKUP(B174,Tabela_Auxiliar[],3,0)</f>
        <v>Saída</v>
      </c>
      <c r="G174" t="str">
        <f>UPPER(TEXT(Tabela_DB[[#This Row],[DATA]],"mmm"))</f>
        <v>JAN</v>
      </c>
      <c r="H174" t="str">
        <f>UPPER(TEXT(Tabela_DB[[#This Row],[DATA]],"aaaa"))</f>
        <v>2021</v>
      </c>
    </row>
    <row r="175" spans="1:8" x14ac:dyDescent="0.25">
      <c r="A175" s="2">
        <v>44207</v>
      </c>
      <c r="B175" t="s">
        <v>40</v>
      </c>
      <c r="C175">
        <v>-2166</v>
      </c>
      <c r="D175" t="str">
        <f>VLOOKUP(B175,Tabela_Auxiliar[],2,0)</f>
        <v>4. Despesas Operacionais</v>
      </c>
      <c r="E175" t="str">
        <f>VLOOKUP(B175,Tabela_Auxiliar[],4,0)</f>
        <v>Despesa com Pessoal</v>
      </c>
      <c r="F175" t="str">
        <f>VLOOKUP(B175,Tabela_Auxiliar[],3,0)</f>
        <v>Saída</v>
      </c>
      <c r="G175" t="str">
        <f>UPPER(TEXT(Tabela_DB[[#This Row],[DATA]],"mmm"))</f>
        <v>JAN</v>
      </c>
      <c r="H175" t="str">
        <f>UPPER(TEXT(Tabela_DB[[#This Row],[DATA]],"aaaa"))</f>
        <v>2021</v>
      </c>
    </row>
    <row r="176" spans="1:8" x14ac:dyDescent="0.25">
      <c r="A176" s="2">
        <v>44207</v>
      </c>
      <c r="B176" t="s">
        <v>3</v>
      </c>
      <c r="C176">
        <v>13045</v>
      </c>
      <c r="D176" t="str">
        <f>VLOOKUP(B176,Tabela_Auxiliar[],2,0)</f>
        <v>1. Receita Operacional Bruta</v>
      </c>
      <c r="E176" t="str">
        <f>VLOOKUP(B176,Tabela_Auxiliar[],4,0)</f>
        <v>Receita Bruta</v>
      </c>
      <c r="F176" t="str">
        <f>VLOOKUP(B176,Tabela_Auxiliar[],3,0)</f>
        <v>Entrada</v>
      </c>
      <c r="G176" t="str">
        <f>UPPER(TEXT(Tabela_DB[[#This Row],[DATA]],"mmm"))</f>
        <v>JAN</v>
      </c>
      <c r="H176" t="str">
        <f>UPPER(TEXT(Tabela_DB[[#This Row],[DATA]],"aaaa"))</f>
        <v>2021</v>
      </c>
    </row>
    <row r="177" spans="1:8" x14ac:dyDescent="0.25">
      <c r="A177" s="2">
        <v>44207</v>
      </c>
      <c r="B177" t="s">
        <v>3</v>
      </c>
      <c r="C177">
        <v>10662</v>
      </c>
      <c r="D177" t="str">
        <f>VLOOKUP(B177,Tabela_Auxiliar[],2,0)</f>
        <v>1. Receita Operacional Bruta</v>
      </c>
      <c r="E177" t="str">
        <f>VLOOKUP(B177,Tabela_Auxiliar[],4,0)</f>
        <v>Receita Bruta</v>
      </c>
      <c r="F177" t="str">
        <f>VLOOKUP(B177,Tabela_Auxiliar[],3,0)</f>
        <v>Entrada</v>
      </c>
      <c r="G177" t="str">
        <f>UPPER(TEXT(Tabela_DB[[#This Row],[DATA]],"mmm"))</f>
        <v>JAN</v>
      </c>
      <c r="H177" t="str">
        <f>UPPER(TEXT(Tabela_DB[[#This Row],[DATA]],"aaaa"))</f>
        <v>2021</v>
      </c>
    </row>
    <row r="178" spans="1:8" x14ac:dyDescent="0.25">
      <c r="A178" s="2">
        <v>44207</v>
      </c>
      <c r="B178" t="s">
        <v>111</v>
      </c>
      <c r="C178">
        <v>-1990</v>
      </c>
      <c r="D178" t="str">
        <f>VLOOKUP(B178,Tabela_Auxiliar[],2,0)</f>
        <v>2. Deduções da Receita</v>
      </c>
      <c r="E178" t="str">
        <f>VLOOKUP(B178,Tabela_Auxiliar[],4,0)</f>
        <v>Imposto</v>
      </c>
      <c r="F178" t="str">
        <f>VLOOKUP(B178,Tabela_Auxiliar[],3,0)</f>
        <v>Saída</v>
      </c>
      <c r="G178" t="str">
        <f>UPPER(TEXT(Tabela_DB[[#This Row],[DATA]],"mmm"))</f>
        <v>JAN</v>
      </c>
      <c r="H178" t="str">
        <f>UPPER(TEXT(Tabela_DB[[#This Row],[DATA]],"aaaa"))</f>
        <v>2021</v>
      </c>
    </row>
    <row r="179" spans="1:8" x14ac:dyDescent="0.25">
      <c r="A179" s="2">
        <v>44207</v>
      </c>
      <c r="B179" t="s">
        <v>78</v>
      </c>
      <c r="C179">
        <v>-1125</v>
      </c>
      <c r="D179" t="str">
        <f>VLOOKUP(B179,Tabela_Auxiliar[],2,0)</f>
        <v>4. Despesas Operacionais</v>
      </c>
      <c r="E179" t="str">
        <f>VLOOKUP(B179,Tabela_Auxiliar[],4,0)</f>
        <v>Serviços Contratados</v>
      </c>
      <c r="F179" t="str">
        <f>VLOOKUP(B179,Tabela_Auxiliar[],3,0)</f>
        <v>Saída</v>
      </c>
      <c r="G179" t="str">
        <f>UPPER(TEXT(Tabela_DB[[#This Row],[DATA]],"mmm"))</f>
        <v>JAN</v>
      </c>
      <c r="H179" t="str">
        <f>UPPER(TEXT(Tabela_DB[[#This Row],[DATA]],"aaaa"))</f>
        <v>2021</v>
      </c>
    </row>
    <row r="180" spans="1:8" x14ac:dyDescent="0.25">
      <c r="A180" s="2">
        <v>44207</v>
      </c>
      <c r="B180" t="s">
        <v>4</v>
      </c>
      <c r="C180">
        <v>11993</v>
      </c>
      <c r="D180" t="str">
        <f>VLOOKUP(B180,Tabela_Auxiliar[],2,0)</f>
        <v>1. Receita Operacional Bruta</v>
      </c>
      <c r="E180" t="str">
        <f>VLOOKUP(B180,Tabela_Auxiliar[],4,0)</f>
        <v>Receita Bruta</v>
      </c>
      <c r="F180" t="str">
        <f>VLOOKUP(B180,Tabela_Auxiliar[],3,0)</f>
        <v>Entrada</v>
      </c>
      <c r="G180" t="str">
        <f>UPPER(TEXT(Tabela_DB[[#This Row],[DATA]],"mmm"))</f>
        <v>JAN</v>
      </c>
      <c r="H180" t="str">
        <f>UPPER(TEXT(Tabela_DB[[#This Row],[DATA]],"aaaa"))</f>
        <v>2021</v>
      </c>
    </row>
    <row r="181" spans="1:8" x14ac:dyDescent="0.25">
      <c r="A181" s="2">
        <v>44207</v>
      </c>
      <c r="B181" t="s">
        <v>34</v>
      </c>
      <c r="C181">
        <v>-1591</v>
      </c>
      <c r="D181" t="str">
        <f>VLOOKUP(B181,Tabela_Auxiliar[],2,0)</f>
        <v>2. Deduções da Receita</v>
      </c>
      <c r="E181" t="str">
        <f>VLOOKUP(B181,Tabela_Auxiliar[],4,0)</f>
        <v>Imposto</v>
      </c>
      <c r="F181" t="str">
        <f>VLOOKUP(B181,Tabela_Auxiliar[],3,0)</f>
        <v>Saída</v>
      </c>
      <c r="G181" t="str">
        <f>UPPER(TEXT(Tabela_DB[[#This Row],[DATA]],"mmm"))</f>
        <v>JAN</v>
      </c>
      <c r="H181" t="str">
        <f>UPPER(TEXT(Tabela_DB[[#This Row],[DATA]],"aaaa"))</f>
        <v>2021</v>
      </c>
    </row>
    <row r="182" spans="1:8" x14ac:dyDescent="0.25">
      <c r="A182" s="2">
        <v>44207</v>
      </c>
      <c r="B182" t="s">
        <v>3</v>
      </c>
      <c r="C182">
        <v>11527</v>
      </c>
      <c r="D182" t="str">
        <f>VLOOKUP(B182,Tabela_Auxiliar[],2,0)</f>
        <v>1. Receita Operacional Bruta</v>
      </c>
      <c r="E182" t="str">
        <f>VLOOKUP(B182,Tabela_Auxiliar[],4,0)</f>
        <v>Receita Bruta</v>
      </c>
      <c r="F182" t="str">
        <f>VLOOKUP(B182,Tabela_Auxiliar[],3,0)</f>
        <v>Entrada</v>
      </c>
      <c r="G182" t="str">
        <f>UPPER(TEXT(Tabela_DB[[#This Row],[DATA]],"mmm"))</f>
        <v>JAN</v>
      </c>
      <c r="H182" t="str">
        <f>UPPER(TEXT(Tabela_DB[[#This Row],[DATA]],"aaaa"))</f>
        <v>2021</v>
      </c>
    </row>
    <row r="183" spans="1:8" x14ac:dyDescent="0.25">
      <c r="A183" s="2">
        <v>44207</v>
      </c>
      <c r="B183" t="s">
        <v>66</v>
      </c>
      <c r="C183">
        <v>-2053</v>
      </c>
      <c r="D183" t="str">
        <f>VLOOKUP(B183,Tabela_Auxiliar[],2,0)</f>
        <v>4. Despesas Operacionais</v>
      </c>
      <c r="E183" t="str">
        <f>VLOOKUP(B183,Tabela_Auxiliar[],4,0)</f>
        <v>Despesa com Vendas</v>
      </c>
      <c r="F183" t="str">
        <f>VLOOKUP(B183,Tabela_Auxiliar[],3,0)</f>
        <v>Saída</v>
      </c>
      <c r="G183" t="str">
        <f>UPPER(TEXT(Tabela_DB[[#This Row],[DATA]],"mmm"))</f>
        <v>JAN</v>
      </c>
      <c r="H183" t="str">
        <f>UPPER(TEXT(Tabela_DB[[#This Row],[DATA]],"aaaa"))</f>
        <v>2021</v>
      </c>
    </row>
    <row r="184" spans="1:8" x14ac:dyDescent="0.25">
      <c r="A184" s="2">
        <v>44207</v>
      </c>
      <c r="B184" t="s">
        <v>4</v>
      </c>
      <c r="C184">
        <v>10135</v>
      </c>
      <c r="D184" t="str">
        <f>VLOOKUP(B184,Tabela_Auxiliar[],2,0)</f>
        <v>1. Receita Operacional Bruta</v>
      </c>
      <c r="E184" t="str">
        <f>VLOOKUP(B184,Tabela_Auxiliar[],4,0)</f>
        <v>Receita Bruta</v>
      </c>
      <c r="F184" t="str">
        <f>VLOOKUP(B184,Tabela_Auxiliar[],3,0)</f>
        <v>Entrada</v>
      </c>
      <c r="G184" t="str">
        <f>UPPER(TEXT(Tabela_DB[[#This Row],[DATA]],"mmm"))</f>
        <v>JAN</v>
      </c>
      <c r="H184" t="str">
        <f>UPPER(TEXT(Tabela_DB[[#This Row],[DATA]],"aaaa"))</f>
        <v>2021</v>
      </c>
    </row>
    <row r="185" spans="1:8" x14ac:dyDescent="0.25">
      <c r="A185" s="2">
        <v>44207</v>
      </c>
      <c r="B185" t="s">
        <v>3</v>
      </c>
      <c r="C185">
        <v>11567</v>
      </c>
      <c r="D185" t="str">
        <f>VLOOKUP(B185,Tabela_Auxiliar[],2,0)</f>
        <v>1. Receita Operacional Bruta</v>
      </c>
      <c r="E185" t="str">
        <f>VLOOKUP(B185,Tabela_Auxiliar[],4,0)</f>
        <v>Receita Bruta</v>
      </c>
      <c r="F185" t="str">
        <f>VLOOKUP(B185,Tabela_Auxiliar[],3,0)</f>
        <v>Entrada</v>
      </c>
      <c r="G185" t="str">
        <f>UPPER(TEXT(Tabela_DB[[#This Row],[DATA]],"mmm"))</f>
        <v>JAN</v>
      </c>
      <c r="H185" t="str">
        <f>UPPER(TEXT(Tabela_DB[[#This Row],[DATA]],"aaaa"))</f>
        <v>2021</v>
      </c>
    </row>
    <row r="186" spans="1:8" x14ac:dyDescent="0.25">
      <c r="A186" s="2">
        <v>44207</v>
      </c>
      <c r="B186" t="s">
        <v>111</v>
      </c>
      <c r="C186">
        <v>-2288</v>
      </c>
      <c r="D186" t="str">
        <f>VLOOKUP(B186,Tabela_Auxiliar[],2,0)</f>
        <v>2. Deduções da Receita</v>
      </c>
      <c r="E186" t="str">
        <f>VLOOKUP(B186,Tabela_Auxiliar[],4,0)</f>
        <v>Imposto</v>
      </c>
      <c r="F186" t="str">
        <f>VLOOKUP(B186,Tabela_Auxiliar[],3,0)</f>
        <v>Saída</v>
      </c>
      <c r="G186" t="str">
        <f>UPPER(TEXT(Tabela_DB[[#This Row],[DATA]],"mmm"))</f>
        <v>JAN</v>
      </c>
      <c r="H186" t="str">
        <f>UPPER(TEXT(Tabela_DB[[#This Row],[DATA]],"aaaa"))</f>
        <v>2021</v>
      </c>
    </row>
    <row r="187" spans="1:8" x14ac:dyDescent="0.25">
      <c r="A187" s="2">
        <v>44207</v>
      </c>
      <c r="B187" t="s">
        <v>4</v>
      </c>
      <c r="C187">
        <v>11491</v>
      </c>
      <c r="D187" t="str">
        <f>VLOOKUP(B187,Tabela_Auxiliar[],2,0)</f>
        <v>1. Receita Operacional Bruta</v>
      </c>
      <c r="E187" t="str">
        <f>VLOOKUP(B187,Tabela_Auxiliar[],4,0)</f>
        <v>Receita Bruta</v>
      </c>
      <c r="F187" t="str">
        <f>VLOOKUP(B187,Tabela_Auxiliar[],3,0)</f>
        <v>Entrada</v>
      </c>
      <c r="G187" t="str">
        <f>UPPER(TEXT(Tabela_DB[[#This Row],[DATA]],"mmm"))</f>
        <v>JAN</v>
      </c>
      <c r="H187" t="str">
        <f>UPPER(TEXT(Tabela_DB[[#This Row],[DATA]],"aaaa"))</f>
        <v>2021</v>
      </c>
    </row>
    <row r="188" spans="1:8" x14ac:dyDescent="0.25">
      <c r="A188" s="2">
        <v>44207</v>
      </c>
      <c r="B188" t="s">
        <v>38</v>
      </c>
      <c r="C188">
        <v>-1223</v>
      </c>
      <c r="D188" t="str">
        <f>VLOOKUP(B188,Tabela_Auxiliar[],2,0)</f>
        <v>2. Deduções da Receita</v>
      </c>
      <c r="E188" t="str">
        <f>VLOOKUP(B188,Tabela_Auxiliar[],4,0)</f>
        <v>Deduções</v>
      </c>
      <c r="F188" t="str">
        <f>VLOOKUP(B188,Tabela_Auxiliar[],3,0)</f>
        <v>Saída</v>
      </c>
      <c r="G188" t="str">
        <f>UPPER(TEXT(Tabela_DB[[#This Row],[DATA]],"mmm"))</f>
        <v>JAN</v>
      </c>
      <c r="H188" t="str">
        <f>UPPER(TEXT(Tabela_DB[[#This Row],[DATA]],"aaaa"))</f>
        <v>2021</v>
      </c>
    </row>
    <row r="189" spans="1:8" x14ac:dyDescent="0.25">
      <c r="A189" s="2">
        <v>44207</v>
      </c>
      <c r="B189" t="s">
        <v>111</v>
      </c>
      <c r="C189">
        <v>-1182</v>
      </c>
      <c r="D189" t="str">
        <f>VLOOKUP(B189,Tabela_Auxiliar[],2,0)</f>
        <v>2. Deduções da Receita</v>
      </c>
      <c r="E189" t="str">
        <f>VLOOKUP(B189,Tabela_Auxiliar[],4,0)</f>
        <v>Imposto</v>
      </c>
      <c r="F189" t="str">
        <f>VLOOKUP(B189,Tabela_Auxiliar[],3,0)</f>
        <v>Saída</v>
      </c>
      <c r="G189" t="str">
        <f>UPPER(TEXT(Tabela_DB[[#This Row],[DATA]],"mmm"))</f>
        <v>JAN</v>
      </c>
      <c r="H189" t="str">
        <f>UPPER(TEXT(Tabela_DB[[#This Row],[DATA]],"aaaa"))</f>
        <v>2021</v>
      </c>
    </row>
    <row r="190" spans="1:8" x14ac:dyDescent="0.25">
      <c r="A190" s="2">
        <v>44208</v>
      </c>
      <c r="B190" t="s">
        <v>37</v>
      </c>
      <c r="C190">
        <v>-3081</v>
      </c>
      <c r="D190" t="str">
        <f>VLOOKUP(B190,Tabela_Auxiliar[],2,0)</f>
        <v>3. Custos do Produto/Mercadoria/Serviço</v>
      </c>
      <c r="E190" t="str">
        <f>VLOOKUP(B190,Tabela_Auxiliar[],4,0)</f>
        <v>Despesas c/ Produto</v>
      </c>
      <c r="F190" t="str">
        <f>VLOOKUP(B190,Tabela_Auxiliar[],3,0)</f>
        <v>Saída</v>
      </c>
      <c r="G190" t="str">
        <f>UPPER(TEXT(Tabela_DB[[#This Row],[DATA]],"mmm"))</f>
        <v>JAN</v>
      </c>
      <c r="H190" t="str">
        <f>UPPER(TEXT(Tabela_DB[[#This Row],[DATA]],"aaaa"))</f>
        <v>2021</v>
      </c>
    </row>
    <row r="191" spans="1:8" x14ac:dyDescent="0.25">
      <c r="A191" s="2">
        <v>44208</v>
      </c>
      <c r="B191" t="s">
        <v>81</v>
      </c>
      <c r="C191">
        <v>-1684</v>
      </c>
      <c r="D191" t="str">
        <f>VLOOKUP(B191,Tabela_Auxiliar[],2,0)</f>
        <v>4. Despesas Operacionais</v>
      </c>
      <c r="E191" t="str">
        <f>VLOOKUP(B191,Tabela_Auxiliar[],4,0)</f>
        <v>Serviços Contratados</v>
      </c>
      <c r="F191" t="str">
        <f>VLOOKUP(B191,Tabela_Auxiliar[],3,0)</f>
        <v>Saída</v>
      </c>
      <c r="G191" t="str">
        <f>UPPER(TEXT(Tabela_DB[[#This Row],[DATA]],"mmm"))</f>
        <v>JAN</v>
      </c>
      <c r="H191" t="str">
        <f>UPPER(TEXT(Tabela_DB[[#This Row],[DATA]],"aaaa"))</f>
        <v>2021</v>
      </c>
    </row>
    <row r="192" spans="1:8" x14ac:dyDescent="0.25">
      <c r="A192" s="2">
        <v>44208</v>
      </c>
      <c r="B192" t="s">
        <v>34</v>
      </c>
      <c r="C192">
        <v>-2417</v>
      </c>
      <c r="D192" t="str">
        <f>VLOOKUP(B192,Tabela_Auxiliar[],2,0)</f>
        <v>2. Deduções da Receita</v>
      </c>
      <c r="E192" t="str">
        <f>VLOOKUP(B192,Tabela_Auxiliar[],4,0)</f>
        <v>Imposto</v>
      </c>
      <c r="F192" t="str">
        <f>VLOOKUP(B192,Tabela_Auxiliar[],3,0)</f>
        <v>Saída</v>
      </c>
      <c r="G192" t="str">
        <f>UPPER(TEXT(Tabela_DB[[#This Row],[DATA]],"mmm"))</f>
        <v>JAN</v>
      </c>
      <c r="H192" t="str">
        <f>UPPER(TEXT(Tabela_DB[[#This Row],[DATA]],"aaaa"))</f>
        <v>2021</v>
      </c>
    </row>
    <row r="193" spans="1:8" x14ac:dyDescent="0.25">
      <c r="A193" s="2">
        <v>44208</v>
      </c>
      <c r="B193" t="s">
        <v>78</v>
      </c>
      <c r="C193">
        <v>-1578</v>
      </c>
      <c r="D193" t="str">
        <f>VLOOKUP(B193,Tabela_Auxiliar[],2,0)</f>
        <v>4. Despesas Operacionais</v>
      </c>
      <c r="E193" t="str">
        <f>VLOOKUP(B193,Tabela_Auxiliar[],4,0)</f>
        <v>Serviços Contratados</v>
      </c>
      <c r="F193" t="str">
        <f>VLOOKUP(B193,Tabela_Auxiliar[],3,0)</f>
        <v>Saída</v>
      </c>
      <c r="G193" t="str">
        <f>UPPER(TEXT(Tabela_DB[[#This Row],[DATA]],"mmm"))</f>
        <v>JAN</v>
      </c>
      <c r="H193" t="str">
        <f>UPPER(TEXT(Tabela_DB[[#This Row],[DATA]],"aaaa"))</f>
        <v>2021</v>
      </c>
    </row>
    <row r="194" spans="1:8" x14ac:dyDescent="0.25">
      <c r="A194" s="2">
        <v>44208</v>
      </c>
      <c r="B194" t="s">
        <v>38</v>
      </c>
      <c r="C194">
        <v>-1915</v>
      </c>
      <c r="D194" t="str">
        <f>VLOOKUP(B194,Tabela_Auxiliar[],2,0)</f>
        <v>2. Deduções da Receita</v>
      </c>
      <c r="E194" t="str">
        <f>VLOOKUP(B194,Tabela_Auxiliar[],4,0)</f>
        <v>Deduções</v>
      </c>
      <c r="F194" t="str">
        <f>VLOOKUP(B194,Tabela_Auxiliar[],3,0)</f>
        <v>Saída</v>
      </c>
      <c r="G194" t="str">
        <f>UPPER(TEXT(Tabela_DB[[#This Row],[DATA]],"mmm"))</f>
        <v>JAN</v>
      </c>
      <c r="H194" t="str">
        <f>UPPER(TEXT(Tabela_DB[[#This Row],[DATA]],"aaaa"))</f>
        <v>2021</v>
      </c>
    </row>
    <row r="195" spans="1:8" x14ac:dyDescent="0.25">
      <c r="A195" s="2">
        <v>44208</v>
      </c>
      <c r="B195" t="s">
        <v>38</v>
      </c>
      <c r="C195">
        <v>-1009</v>
      </c>
      <c r="D195" t="str">
        <f>VLOOKUP(B195,Tabela_Auxiliar[],2,0)</f>
        <v>2. Deduções da Receita</v>
      </c>
      <c r="E195" t="str">
        <f>VLOOKUP(B195,Tabela_Auxiliar[],4,0)</f>
        <v>Deduções</v>
      </c>
      <c r="F195" t="str">
        <f>VLOOKUP(B195,Tabela_Auxiliar[],3,0)</f>
        <v>Saída</v>
      </c>
      <c r="G195" t="str">
        <f>UPPER(TEXT(Tabela_DB[[#This Row],[DATA]],"mmm"))</f>
        <v>JAN</v>
      </c>
      <c r="H195" t="str">
        <f>UPPER(TEXT(Tabela_DB[[#This Row],[DATA]],"aaaa"))</f>
        <v>2021</v>
      </c>
    </row>
    <row r="196" spans="1:8" x14ac:dyDescent="0.25">
      <c r="A196" s="2">
        <v>44208</v>
      </c>
      <c r="B196" t="s">
        <v>58</v>
      </c>
      <c r="C196">
        <v>-1985</v>
      </c>
      <c r="D196" t="str">
        <f>VLOOKUP(B196,Tabela_Auxiliar[],2,0)</f>
        <v>4. Despesas Operacionais</v>
      </c>
      <c r="E196" t="str">
        <f>VLOOKUP(B196,Tabela_Auxiliar[],4,0)</f>
        <v>Despesa de Depreciação</v>
      </c>
      <c r="F196" t="str">
        <f>VLOOKUP(B196,Tabela_Auxiliar[],3,0)</f>
        <v>Saída</v>
      </c>
      <c r="G196" t="str">
        <f>UPPER(TEXT(Tabela_DB[[#This Row],[DATA]],"mmm"))</f>
        <v>JAN</v>
      </c>
      <c r="H196" t="str">
        <f>UPPER(TEXT(Tabela_DB[[#This Row],[DATA]],"aaaa"))</f>
        <v>2021</v>
      </c>
    </row>
    <row r="197" spans="1:8" x14ac:dyDescent="0.25">
      <c r="A197" s="2">
        <v>44208</v>
      </c>
      <c r="B197" t="s">
        <v>3</v>
      </c>
      <c r="C197">
        <v>10823</v>
      </c>
      <c r="D197" t="str">
        <f>VLOOKUP(B197,Tabela_Auxiliar[],2,0)</f>
        <v>1. Receita Operacional Bruta</v>
      </c>
      <c r="E197" t="str">
        <f>VLOOKUP(B197,Tabela_Auxiliar[],4,0)</f>
        <v>Receita Bruta</v>
      </c>
      <c r="F197" t="str">
        <f>VLOOKUP(B197,Tabela_Auxiliar[],3,0)</f>
        <v>Entrada</v>
      </c>
      <c r="G197" t="str">
        <f>UPPER(TEXT(Tabela_DB[[#This Row],[DATA]],"mmm"))</f>
        <v>JAN</v>
      </c>
      <c r="H197" t="str">
        <f>UPPER(TEXT(Tabela_DB[[#This Row],[DATA]],"aaaa"))</f>
        <v>2021</v>
      </c>
    </row>
    <row r="198" spans="1:8" x14ac:dyDescent="0.25">
      <c r="A198" s="2">
        <v>44208</v>
      </c>
      <c r="B198" t="s">
        <v>37</v>
      </c>
      <c r="C198">
        <v>-2987</v>
      </c>
      <c r="D198" t="str">
        <f>VLOOKUP(B198,Tabela_Auxiliar[],2,0)</f>
        <v>3. Custos do Produto/Mercadoria/Serviço</v>
      </c>
      <c r="E198" t="str">
        <f>VLOOKUP(B198,Tabela_Auxiliar[],4,0)</f>
        <v>Despesas c/ Produto</v>
      </c>
      <c r="F198" t="str">
        <f>VLOOKUP(B198,Tabela_Auxiliar[],3,0)</f>
        <v>Saída</v>
      </c>
      <c r="G198" t="str">
        <f>UPPER(TEXT(Tabela_DB[[#This Row],[DATA]],"mmm"))</f>
        <v>JAN</v>
      </c>
      <c r="H198" t="str">
        <f>UPPER(TEXT(Tabela_DB[[#This Row],[DATA]],"aaaa"))</f>
        <v>2021</v>
      </c>
    </row>
    <row r="199" spans="1:8" x14ac:dyDescent="0.25">
      <c r="A199" s="2">
        <v>44208</v>
      </c>
      <c r="B199" t="s">
        <v>3</v>
      </c>
      <c r="C199">
        <v>13161</v>
      </c>
      <c r="D199" t="str">
        <f>VLOOKUP(B199,Tabela_Auxiliar[],2,0)</f>
        <v>1. Receita Operacional Bruta</v>
      </c>
      <c r="E199" t="str">
        <f>VLOOKUP(B199,Tabela_Auxiliar[],4,0)</f>
        <v>Receita Bruta</v>
      </c>
      <c r="F199" t="str">
        <f>VLOOKUP(B199,Tabela_Auxiliar[],3,0)</f>
        <v>Entrada</v>
      </c>
      <c r="G199" t="str">
        <f>UPPER(TEXT(Tabela_DB[[#This Row],[DATA]],"mmm"))</f>
        <v>JAN</v>
      </c>
      <c r="H199" t="str">
        <f>UPPER(TEXT(Tabela_DB[[#This Row],[DATA]],"aaaa"))</f>
        <v>2021</v>
      </c>
    </row>
    <row r="200" spans="1:8" x14ac:dyDescent="0.25">
      <c r="A200" s="2">
        <v>44208</v>
      </c>
      <c r="B200" t="s">
        <v>34</v>
      </c>
      <c r="C200">
        <v>-1446</v>
      </c>
      <c r="D200" t="str">
        <f>VLOOKUP(B200,Tabela_Auxiliar[],2,0)</f>
        <v>2. Deduções da Receita</v>
      </c>
      <c r="E200" t="str">
        <f>VLOOKUP(B200,Tabela_Auxiliar[],4,0)</f>
        <v>Imposto</v>
      </c>
      <c r="F200" t="str">
        <f>VLOOKUP(B200,Tabela_Auxiliar[],3,0)</f>
        <v>Saída</v>
      </c>
      <c r="G200" t="str">
        <f>UPPER(TEXT(Tabela_DB[[#This Row],[DATA]],"mmm"))</f>
        <v>JAN</v>
      </c>
      <c r="H200" t="str">
        <f>UPPER(TEXT(Tabela_DB[[#This Row],[DATA]],"aaaa"))</f>
        <v>2021</v>
      </c>
    </row>
    <row r="201" spans="1:8" x14ac:dyDescent="0.25">
      <c r="A201" s="2">
        <v>44208</v>
      </c>
      <c r="B201" t="s">
        <v>4</v>
      </c>
      <c r="C201">
        <v>10919</v>
      </c>
      <c r="D201" t="str">
        <f>VLOOKUP(B201,Tabela_Auxiliar[],2,0)</f>
        <v>1. Receita Operacional Bruta</v>
      </c>
      <c r="E201" t="str">
        <f>VLOOKUP(B201,Tabela_Auxiliar[],4,0)</f>
        <v>Receita Bruta</v>
      </c>
      <c r="F201" t="str">
        <f>VLOOKUP(B201,Tabela_Auxiliar[],3,0)</f>
        <v>Entrada</v>
      </c>
      <c r="G201" t="str">
        <f>UPPER(TEXT(Tabela_DB[[#This Row],[DATA]],"mmm"))</f>
        <v>JAN</v>
      </c>
      <c r="H201" t="str">
        <f>UPPER(TEXT(Tabela_DB[[#This Row],[DATA]],"aaaa"))</f>
        <v>2021</v>
      </c>
    </row>
    <row r="202" spans="1:8" x14ac:dyDescent="0.25">
      <c r="A202" s="2">
        <v>44208</v>
      </c>
      <c r="B202" t="s">
        <v>38</v>
      </c>
      <c r="C202">
        <v>-1430</v>
      </c>
      <c r="D202" t="str">
        <f>VLOOKUP(B202,Tabela_Auxiliar[],2,0)</f>
        <v>2. Deduções da Receita</v>
      </c>
      <c r="E202" t="str">
        <f>VLOOKUP(B202,Tabela_Auxiliar[],4,0)</f>
        <v>Deduções</v>
      </c>
      <c r="F202" t="str">
        <f>VLOOKUP(B202,Tabela_Auxiliar[],3,0)</f>
        <v>Saída</v>
      </c>
      <c r="G202" t="str">
        <f>UPPER(TEXT(Tabela_DB[[#This Row],[DATA]],"mmm"))</f>
        <v>JAN</v>
      </c>
      <c r="H202" t="str">
        <f>UPPER(TEXT(Tabela_DB[[#This Row],[DATA]],"aaaa"))</f>
        <v>2021</v>
      </c>
    </row>
    <row r="203" spans="1:8" x14ac:dyDescent="0.25">
      <c r="A203" s="2">
        <v>44208</v>
      </c>
      <c r="B203" t="s">
        <v>61</v>
      </c>
      <c r="C203">
        <v>-1351</v>
      </c>
      <c r="D203" t="str">
        <f>VLOOKUP(B203,Tabela_Auxiliar[],2,0)</f>
        <v>4. Despesas Operacionais</v>
      </c>
      <c r="E203" t="str">
        <f>VLOOKUP(B203,Tabela_Auxiliar[],4,0)</f>
        <v>Despesa de Depreciação</v>
      </c>
      <c r="F203" t="str">
        <f>VLOOKUP(B203,Tabela_Auxiliar[],3,0)</f>
        <v>Saída</v>
      </c>
      <c r="G203" t="str">
        <f>UPPER(TEXT(Tabela_DB[[#This Row],[DATA]],"mmm"))</f>
        <v>JAN</v>
      </c>
      <c r="H203" t="str">
        <f>UPPER(TEXT(Tabela_DB[[#This Row],[DATA]],"aaaa"))</f>
        <v>2021</v>
      </c>
    </row>
    <row r="204" spans="1:8" x14ac:dyDescent="0.25">
      <c r="A204" s="2">
        <v>44208</v>
      </c>
      <c r="B204" t="s">
        <v>61</v>
      </c>
      <c r="C204">
        <v>-1034</v>
      </c>
      <c r="D204" t="str">
        <f>VLOOKUP(B204,Tabela_Auxiliar[],2,0)</f>
        <v>4. Despesas Operacionais</v>
      </c>
      <c r="E204" t="str">
        <f>VLOOKUP(B204,Tabela_Auxiliar[],4,0)</f>
        <v>Despesa de Depreciação</v>
      </c>
      <c r="F204" t="str">
        <f>VLOOKUP(B204,Tabela_Auxiliar[],3,0)</f>
        <v>Saída</v>
      </c>
      <c r="G204" t="str">
        <f>UPPER(TEXT(Tabela_DB[[#This Row],[DATA]],"mmm"))</f>
        <v>JAN</v>
      </c>
      <c r="H204" t="str">
        <f>UPPER(TEXT(Tabela_DB[[#This Row],[DATA]],"aaaa"))</f>
        <v>2021</v>
      </c>
    </row>
    <row r="205" spans="1:8" x14ac:dyDescent="0.25">
      <c r="A205" s="2">
        <v>44208</v>
      </c>
      <c r="B205" t="s">
        <v>35</v>
      </c>
      <c r="C205">
        <v>-2419</v>
      </c>
      <c r="D205" t="str">
        <f>VLOOKUP(B205,Tabela_Auxiliar[],2,0)</f>
        <v>2. Deduções da Receita</v>
      </c>
      <c r="E205" t="str">
        <f>VLOOKUP(B205,Tabela_Auxiliar[],4,0)</f>
        <v>Imposto</v>
      </c>
      <c r="F205" t="str">
        <f>VLOOKUP(B205,Tabela_Auxiliar[],3,0)</f>
        <v>Saída</v>
      </c>
      <c r="G205" t="str">
        <f>UPPER(TEXT(Tabela_DB[[#This Row],[DATA]],"mmm"))</f>
        <v>JAN</v>
      </c>
      <c r="H205" t="str">
        <f>UPPER(TEXT(Tabela_DB[[#This Row],[DATA]],"aaaa"))</f>
        <v>2021</v>
      </c>
    </row>
    <row r="206" spans="1:8" x14ac:dyDescent="0.25">
      <c r="A206" s="2">
        <v>44209</v>
      </c>
      <c r="B206" t="s">
        <v>38</v>
      </c>
      <c r="C206">
        <v>-1784</v>
      </c>
      <c r="D206" t="str">
        <f>VLOOKUP(B206,Tabela_Auxiliar[],2,0)</f>
        <v>2. Deduções da Receita</v>
      </c>
      <c r="E206" t="str">
        <f>VLOOKUP(B206,Tabela_Auxiliar[],4,0)</f>
        <v>Deduções</v>
      </c>
      <c r="F206" t="str">
        <f>VLOOKUP(B206,Tabela_Auxiliar[],3,0)</f>
        <v>Saída</v>
      </c>
      <c r="G206" t="str">
        <f>UPPER(TEXT(Tabela_DB[[#This Row],[DATA]],"mmm"))</f>
        <v>JAN</v>
      </c>
      <c r="H206" t="str">
        <f>UPPER(TEXT(Tabela_DB[[#This Row],[DATA]],"aaaa"))</f>
        <v>2021</v>
      </c>
    </row>
    <row r="207" spans="1:8" x14ac:dyDescent="0.25">
      <c r="A207" s="2">
        <v>44209</v>
      </c>
      <c r="B207" t="s">
        <v>44</v>
      </c>
      <c r="C207">
        <v>-1817</v>
      </c>
      <c r="D207" t="str">
        <f>VLOOKUP(B207,Tabela_Auxiliar[],2,0)</f>
        <v>4. Despesas Operacionais</v>
      </c>
      <c r="E207" t="str">
        <f>VLOOKUP(B207,Tabela_Auxiliar[],4,0)</f>
        <v>Despesa com Pessoal</v>
      </c>
      <c r="F207" t="str">
        <f>VLOOKUP(B207,Tabela_Auxiliar[],3,0)</f>
        <v>Saída</v>
      </c>
      <c r="G207" t="str">
        <f>UPPER(TEXT(Tabela_DB[[#This Row],[DATA]],"mmm"))</f>
        <v>JAN</v>
      </c>
      <c r="H207" t="str">
        <f>UPPER(TEXT(Tabela_DB[[#This Row],[DATA]],"aaaa"))</f>
        <v>2021</v>
      </c>
    </row>
    <row r="208" spans="1:8" x14ac:dyDescent="0.25">
      <c r="A208" s="2">
        <v>44209</v>
      </c>
      <c r="B208" t="s">
        <v>38</v>
      </c>
      <c r="C208">
        <v>-1887</v>
      </c>
      <c r="D208" t="str">
        <f>VLOOKUP(B208,Tabela_Auxiliar[],2,0)</f>
        <v>2. Deduções da Receita</v>
      </c>
      <c r="E208" t="str">
        <f>VLOOKUP(B208,Tabela_Auxiliar[],4,0)</f>
        <v>Deduções</v>
      </c>
      <c r="F208" t="str">
        <f>VLOOKUP(B208,Tabela_Auxiliar[],3,0)</f>
        <v>Saída</v>
      </c>
      <c r="G208" t="str">
        <f>UPPER(TEXT(Tabela_DB[[#This Row],[DATA]],"mmm"))</f>
        <v>JAN</v>
      </c>
      <c r="H208" t="str">
        <f>UPPER(TEXT(Tabela_DB[[#This Row],[DATA]],"aaaa"))</f>
        <v>2021</v>
      </c>
    </row>
    <row r="209" spans="1:8" x14ac:dyDescent="0.25">
      <c r="A209" s="2">
        <v>44209</v>
      </c>
      <c r="B209" t="s">
        <v>76</v>
      </c>
      <c r="C209">
        <v>-1110</v>
      </c>
      <c r="D209" t="str">
        <f>VLOOKUP(B209,Tabela_Auxiliar[],2,0)</f>
        <v>4. Despesas Operacionais</v>
      </c>
      <c r="E209" t="str">
        <f>VLOOKUP(B209,Tabela_Auxiliar[],4,0)</f>
        <v>Serviços Contratados</v>
      </c>
      <c r="F209" t="str">
        <f>VLOOKUP(B209,Tabela_Auxiliar[],3,0)</f>
        <v>Saída</v>
      </c>
      <c r="G209" t="str">
        <f>UPPER(TEXT(Tabela_DB[[#This Row],[DATA]],"mmm"))</f>
        <v>JAN</v>
      </c>
      <c r="H209" t="str">
        <f>UPPER(TEXT(Tabela_DB[[#This Row],[DATA]],"aaaa"))</f>
        <v>2021</v>
      </c>
    </row>
    <row r="210" spans="1:8" x14ac:dyDescent="0.25">
      <c r="A210" s="2">
        <v>44209</v>
      </c>
      <c r="B210" t="s">
        <v>3</v>
      </c>
      <c r="C210">
        <v>10916</v>
      </c>
      <c r="D210" t="str">
        <f>VLOOKUP(B210,Tabela_Auxiliar[],2,0)</f>
        <v>1. Receita Operacional Bruta</v>
      </c>
      <c r="E210" t="str">
        <f>VLOOKUP(B210,Tabela_Auxiliar[],4,0)</f>
        <v>Receita Bruta</v>
      </c>
      <c r="F210" t="str">
        <f>VLOOKUP(B210,Tabela_Auxiliar[],3,0)</f>
        <v>Entrada</v>
      </c>
      <c r="G210" t="str">
        <f>UPPER(TEXT(Tabela_DB[[#This Row],[DATA]],"mmm"))</f>
        <v>JAN</v>
      </c>
      <c r="H210" t="str">
        <f>UPPER(TEXT(Tabela_DB[[#This Row],[DATA]],"aaaa"))</f>
        <v>2021</v>
      </c>
    </row>
    <row r="211" spans="1:8" x14ac:dyDescent="0.25">
      <c r="A211" s="2">
        <v>44209</v>
      </c>
      <c r="B211" t="s">
        <v>38</v>
      </c>
      <c r="C211">
        <v>-1408</v>
      </c>
      <c r="D211" t="str">
        <f>VLOOKUP(B211,Tabela_Auxiliar[],2,0)</f>
        <v>2. Deduções da Receita</v>
      </c>
      <c r="E211" t="str">
        <f>VLOOKUP(B211,Tabela_Auxiliar[],4,0)</f>
        <v>Deduções</v>
      </c>
      <c r="F211" t="str">
        <f>VLOOKUP(B211,Tabela_Auxiliar[],3,0)</f>
        <v>Saída</v>
      </c>
      <c r="G211" t="str">
        <f>UPPER(TEXT(Tabela_DB[[#This Row],[DATA]],"mmm"))</f>
        <v>JAN</v>
      </c>
      <c r="H211" t="str">
        <f>UPPER(TEXT(Tabela_DB[[#This Row],[DATA]],"aaaa"))</f>
        <v>2021</v>
      </c>
    </row>
    <row r="212" spans="1:8" x14ac:dyDescent="0.25">
      <c r="A212" s="2">
        <v>44209</v>
      </c>
      <c r="B212" t="s">
        <v>111</v>
      </c>
      <c r="C212">
        <v>-2205</v>
      </c>
      <c r="D212" t="str">
        <f>VLOOKUP(B212,Tabela_Auxiliar[],2,0)</f>
        <v>2. Deduções da Receita</v>
      </c>
      <c r="E212" t="str">
        <f>VLOOKUP(B212,Tabela_Auxiliar[],4,0)</f>
        <v>Imposto</v>
      </c>
      <c r="F212" t="str">
        <f>VLOOKUP(B212,Tabela_Auxiliar[],3,0)</f>
        <v>Saída</v>
      </c>
      <c r="G212" t="str">
        <f>UPPER(TEXT(Tabela_DB[[#This Row],[DATA]],"mmm"))</f>
        <v>JAN</v>
      </c>
      <c r="H212" t="str">
        <f>UPPER(TEXT(Tabela_DB[[#This Row],[DATA]],"aaaa"))</f>
        <v>2021</v>
      </c>
    </row>
    <row r="213" spans="1:8" x14ac:dyDescent="0.25">
      <c r="A213" s="2">
        <v>44209</v>
      </c>
      <c r="B213" t="s">
        <v>4</v>
      </c>
      <c r="C213">
        <v>13973</v>
      </c>
      <c r="D213" t="str">
        <f>VLOOKUP(B213,Tabela_Auxiliar[],2,0)</f>
        <v>1. Receita Operacional Bruta</v>
      </c>
      <c r="E213" t="str">
        <f>VLOOKUP(B213,Tabela_Auxiliar[],4,0)</f>
        <v>Receita Bruta</v>
      </c>
      <c r="F213" t="str">
        <f>VLOOKUP(B213,Tabela_Auxiliar[],3,0)</f>
        <v>Entrada</v>
      </c>
      <c r="G213" t="str">
        <f>UPPER(TEXT(Tabela_DB[[#This Row],[DATA]],"mmm"))</f>
        <v>JAN</v>
      </c>
      <c r="H213" t="str">
        <f>UPPER(TEXT(Tabela_DB[[#This Row],[DATA]],"aaaa"))</f>
        <v>2021</v>
      </c>
    </row>
    <row r="214" spans="1:8" x14ac:dyDescent="0.25">
      <c r="A214" s="2">
        <v>44209</v>
      </c>
      <c r="B214" t="s">
        <v>37</v>
      </c>
      <c r="C214">
        <v>-4054</v>
      </c>
      <c r="D214" t="str">
        <f>VLOOKUP(B214,Tabela_Auxiliar[],2,0)</f>
        <v>3. Custos do Produto/Mercadoria/Serviço</v>
      </c>
      <c r="E214" t="str">
        <f>VLOOKUP(B214,Tabela_Auxiliar[],4,0)</f>
        <v>Despesas c/ Produto</v>
      </c>
      <c r="F214" t="str">
        <f>VLOOKUP(B214,Tabela_Auxiliar[],3,0)</f>
        <v>Saída</v>
      </c>
      <c r="G214" t="str">
        <f>UPPER(TEXT(Tabela_DB[[#This Row],[DATA]],"mmm"))</f>
        <v>JAN</v>
      </c>
      <c r="H214" t="str">
        <f>UPPER(TEXT(Tabela_DB[[#This Row],[DATA]],"aaaa"))</f>
        <v>2021</v>
      </c>
    </row>
    <row r="215" spans="1:8" x14ac:dyDescent="0.25">
      <c r="A215" s="2">
        <v>44209</v>
      </c>
      <c r="B215" t="s">
        <v>64</v>
      </c>
      <c r="C215">
        <v>-2243</v>
      </c>
      <c r="D215" t="str">
        <f>VLOOKUP(B215,Tabela_Auxiliar[],2,0)</f>
        <v>4. Despesas Operacionais</v>
      </c>
      <c r="E215" t="str">
        <f>VLOOKUP(B215,Tabela_Auxiliar[],4,0)</f>
        <v>Despesa Gerais</v>
      </c>
      <c r="F215" t="str">
        <f>VLOOKUP(B215,Tabela_Auxiliar[],3,0)</f>
        <v>Saída</v>
      </c>
      <c r="G215" t="str">
        <f>UPPER(TEXT(Tabela_DB[[#This Row],[DATA]],"mmm"))</f>
        <v>JAN</v>
      </c>
      <c r="H215" t="str">
        <f>UPPER(TEXT(Tabela_DB[[#This Row],[DATA]],"aaaa"))</f>
        <v>2021</v>
      </c>
    </row>
    <row r="216" spans="1:8" x14ac:dyDescent="0.25">
      <c r="A216" s="2">
        <v>44209</v>
      </c>
      <c r="B216" t="s">
        <v>67</v>
      </c>
      <c r="C216">
        <v>-1945</v>
      </c>
      <c r="D216" t="str">
        <f>VLOOKUP(B216,Tabela_Auxiliar[],2,0)</f>
        <v>4. Despesas Operacionais</v>
      </c>
      <c r="E216" t="str">
        <f>VLOOKUP(B216,Tabela_Auxiliar[],4,0)</f>
        <v>Despesa com Vendas</v>
      </c>
      <c r="F216" t="str">
        <f>VLOOKUP(B216,Tabela_Auxiliar[],3,0)</f>
        <v>Saída</v>
      </c>
      <c r="G216" t="str">
        <f>UPPER(TEXT(Tabela_DB[[#This Row],[DATA]],"mmm"))</f>
        <v>JAN</v>
      </c>
      <c r="H216" t="str">
        <f>UPPER(TEXT(Tabela_DB[[#This Row],[DATA]],"aaaa"))</f>
        <v>2021</v>
      </c>
    </row>
    <row r="217" spans="1:8" x14ac:dyDescent="0.25">
      <c r="A217" s="2">
        <v>44209</v>
      </c>
      <c r="B217" t="s">
        <v>84</v>
      </c>
      <c r="C217">
        <v>-1316</v>
      </c>
      <c r="D217" t="str">
        <f>VLOOKUP(B217,Tabela_Auxiliar[],2,0)</f>
        <v>4. Despesas Operacionais</v>
      </c>
      <c r="E217" t="str">
        <f>VLOOKUP(B217,Tabela_Auxiliar[],4,0)</f>
        <v>Despesa com Veículos</v>
      </c>
      <c r="F217" t="str">
        <f>VLOOKUP(B217,Tabela_Auxiliar[],3,0)</f>
        <v>Saída</v>
      </c>
      <c r="G217" t="str">
        <f>UPPER(TEXT(Tabela_DB[[#This Row],[DATA]],"mmm"))</f>
        <v>JAN</v>
      </c>
      <c r="H217" t="str">
        <f>UPPER(TEXT(Tabela_DB[[#This Row],[DATA]],"aaaa"))</f>
        <v>2021</v>
      </c>
    </row>
    <row r="218" spans="1:8" x14ac:dyDescent="0.25">
      <c r="A218" s="2">
        <v>44209</v>
      </c>
      <c r="B218" t="s">
        <v>4</v>
      </c>
      <c r="C218">
        <v>11603</v>
      </c>
      <c r="D218" t="str">
        <f>VLOOKUP(B218,Tabela_Auxiliar[],2,0)</f>
        <v>1. Receita Operacional Bruta</v>
      </c>
      <c r="E218" t="str">
        <f>VLOOKUP(B218,Tabela_Auxiliar[],4,0)</f>
        <v>Receita Bruta</v>
      </c>
      <c r="F218" t="str">
        <f>VLOOKUP(B218,Tabela_Auxiliar[],3,0)</f>
        <v>Entrada</v>
      </c>
      <c r="G218" t="str">
        <f>UPPER(TEXT(Tabela_DB[[#This Row],[DATA]],"mmm"))</f>
        <v>JAN</v>
      </c>
      <c r="H218" t="str">
        <f>UPPER(TEXT(Tabela_DB[[#This Row],[DATA]],"aaaa"))</f>
        <v>2021</v>
      </c>
    </row>
    <row r="219" spans="1:8" x14ac:dyDescent="0.25">
      <c r="A219" s="2">
        <v>44209</v>
      </c>
      <c r="B219" t="s">
        <v>3</v>
      </c>
      <c r="C219">
        <v>10583</v>
      </c>
      <c r="D219" t="str">
        <f>VLOOKUP(B219,Tabela_Auxiliar[],2,0)</f>
        <v>1. Receita Operacional Bruta</v>
      </c>
      <c r="E219" t="str">
        <f>VLOOKUP(B219,Tabela_Auxiliar[],4,0)</f>
        <v>Receita Bruta</v>
      </c>
      <c r="F219" t="str">
        <f>VLOOKUP(B219,Tabela_Auxiliar[],3,0)</f>
        <v>Entrada</v>
      </c>
      <c r="G219" t="str">
        <f>UPPER(TEXT(Tabela_DB[[#This Row],[DATA]],"mmm"))</f>
        <v>JAN</v>
      </c>
      <c r="H219" t="str">
        <f>UPPER(TEXT(Tabela_DB[[#This Row],[DATA]],"aaaa"))</f>
        <v>2021</v>
      </c>
    </row>
    <row r="220" spans="1:8" x14ac:dyDescent="0.25">
      <c r="A220" s="2">
        <v>44209</v>
      </c>
      <c r="B220" t="s">
        <v>50</v>
      </c>
      <c r="C220">
        <v>-1857</v>
      </c>
      <c r="D220" t="str">
        <f>VLOOKUP(B220,Tabela_Auxiliar[],2,0)</f>
        <v>4. Despesas Operacionais</v>
      </c>
      <c r="E220" t="str">
        <f>VLOOKUP(B220,Tabela_Auxiliar[],4,0)</f>
        <v>Despesa com Pessoal</v>
      </c>
      <c r="F220" t="str">
        <f>VLOOKUP(B220,Tabela_Auxiliar[],3,0)</f>
        <v>Saída</v>
      </c>
      <c r="G220" t="str">
        <f>UPPER(TEXT(Tabela_DB[[#This Row],[DATA]],"mmm"))</f>
        <v>JAN</v>
      </c>
      <c r="H220" t="str">
        <f>UPPER(TEXT(Tabela_DB[[#This Row],[DATA]],"aaaa"))</f>
        <v>2021</v>
      </c>
    </row>
    <row r="221" spans="1:8" x14ac:dyDescent="0.25">
      <c r="A221" s="2">
        <v>44209</v>
      </c>
      <c r="B221" t="s">
        <v>57</v>
      </c>
      <c r="C221">
        <v>-1699</v>
      </c>
      <c r="D221" t="str">
        <f>VLOOKUP(B221,Tabela_Auxiliar[],2,0)</f>
        <v>4. Despesas Operacionais</v>
      </c>
      <c r="E221" t="str">
        <f>VLOOKUP(B221,Tabela_Auxiliar[],4,0)</f>
        <v>Despesa com Pessoal</v>
      </c>
      <c r="F221" t="str">
        <f>VLOOKUP(B221,Tabela_Auxiliar[],3,0)</f>
        <v>Saída</v>
      </c>
      <c r="G221" t="str">
        <f>UPPER(TEXT(Tabela_DB[[#This Row],[DATA]],"mmm"))</f>
        <v>JAN</v>
      </c>
      <c r="H221" t="str">
        <f>UPPER(TEXT(Tabela_DB[[#This Row],[DATA]],"aaaa"))</f>
        <v>2021</v>
      </c>
    </row>
    <row r="222" spans="1:8" x14ac:dyDescent="0.25">
      <c r="A222" s="2">
        <v>44210</v>
      </c>
      <c r="B222" t="s">
        <v>35</v>
      </c>
      <c r="C222">
        <v>-1885</v>
      </c>
      <c r="D222" t="str">
        <f>VLOOKUP(B222,Tabela_Auxiliar[],2,0)</f>
        <v>2. Deduções da Receita</v>
      </c>
      <c r="E222" t="str">
        <f>VLOOKUP(B222,Tabela_Auxiliar[],4,0)</f>
        <v>Imposto</v>
      </c>
      <c r="F222" t="str">
        <f>VLOOKUP(B222,Tabela_Auxiliar[],3,0)</f>
        <v>Saída</v>
      </c>
      <c r="G222" t="str">
        <f>UPPER(TEXT(Tabela_DB[[#This Row],[DATA]],"mmm"))</f>
        <v>JAN</v>
      </c>
      <c r="H222" t="str">
        <f>UPPER(TEXT(Tabela_DB[[#This Row],[DATA]],"aaaa"))</f>
        <v>2021</v>
      </c>
    </row>
    <row r="223" spans="1:8" x14ac:dyDescent="0.25">
      <c r="A223" s="2">
        <v>44210</v>
      </c>
      <c r="B223" t="s">
        <v>4</v>
      </c>
      <c r="C223">
        <v>12787</v>
      </c>
      <c r="D223" t="str">
        <f>VLOOKUP(B223,Tabela_Auxiliar[],2,0)</f>
        <v>1. Receita Operacional Bruta</v>
      </c>
      <c r="E223" t="str">
        <f>VLOOKUP(B223,Tabela_Auxiliar[],4,0)</f>
        <v>Receita Bruta</v>
      </c>
      <c r="F223" t="str">
        <f>VLOOKUP(B223,Tabela_Auxiliar[],3,0)</f>
        <v>Entrada</v>
      </c>
      <c r="G223" t="str">
        <f>UPPER(TEXT(Tabela_DB[[#This Row],[DATA]],"mmm"))</f>
        <v>JAN</v>
      </c>
      <c r="H223" t="str">
        <f>UPPER(TEXT(Tabela_DB[[#This Row],[DATA]],"aaaa"))</f>
        <v>2021</v>
      </c>
    </row>
    <row r="224" spans="1:8" x14ac:dyDescent="0.25">
      <c r="A224" s="2">
        <v>44210</v>
      </c>
      <c r="B224" t="s">
        <v>35</v>
      </c>
      <c r="C224">
        <v>-1721</v>
      </c>
      <c r="D224" t="str">
        <f>VLOOKUP(B224,Tabela_Auxiliar[],2,0)</f>
        <v>2. Deduções da Receita</v>
      </c>
      <c r="E224" t="str">
        <f>VLOOKUP(B224,Tabela_Auxiliar[],4,0)</f>
        <v>Imposto</v>
      </c>
      <c r="F224" t="str">
        <f>VLOOKUP(B224,Tabela_Auxiliar[],3,0)</f>
        <v>Saída</v>
      </c>
      <c r="G224" t="str">
        <f>UPPER(TEXT(Tabela_DB[[#This Row],[DATA]],"mmm"))</f>
        <v>JAN</v>
      </c>
      <c r="H224" t="str">
        <f>UPPER(TEXT(Tabela_DB[[#This Row],[DATA]],"aaaa"))</f>
        <v>2021</v>
      </c>
    </row>
    <row r="225" spans="1:8" x14ac:dyDescent="0.25">
      <c r="A225" s="2">
        <v>44210</v>
      </c>
      <c r="B225" t="s">
        <v>38</v>
      </c>
      <c r="C225">
        <v>-1136</v>
      </c>
      <c r="D225" t="str">
        <f>VLOOKUP(B225,Tabela_Auxiliar[],2,0)</f>
        <v>2. Deduções da Receita</v>
      </c>
      <c r="E225" t="str">
        <f>VLOOKUP(B225,Tabela_Auxiliar[],4,0)</f>
        <v>Deduções</v>
      </c>
      <c r="F225" t="str">
        <f>VLOOKUP(B225,Tabela_Auxiliar[],3,0)</f>
        <v>Saída</v>
      </c>
      <c r="G225" t="str">
        <f>UPPER(TEXT(Tabela_DB[[#This Row],[DATA]],"mmm"))</f>
        <v>JAN</v>
      </c>
      <c r="H225" t="str">
        <f>UPPER(TEXT(Tabela_DB[[#This Row],[DATA]],"aaaa"))</f>
        <v>2021</v>
      </c>
    </row>
    <row r="226" spans="1:8" x14ac:dyDescent="0.25">
      <c r="A226" s="2">
        <v>44210</v>
      </c>
      <c r="B226" t="s">
        <v>37</v>
      </c>
      <c r="C226">
        <v>-4121</v>
      </c>
      <c r="D226" t="str">
        <f>VLOOKUP(B226,Tabela_Auxiliar[],2,0)</f>
        <v>3. Custos do Produto/Mercadoria/Serviço</v>
      </c>
      <c r="E226" t="str">
        <f>VLOOKUP(B226,Tabela_Auxiliar[],4,0)</f>
        <v>Despesas c/ Produto</v>
      </c>
      <c r="F226" t="str">
        <f>VLOOKUP(B226,Tabela_Auxiliar[],3,0)</f>
        <v>Saída</v>
      </c>
      <c r="G226" t="str">
        <f>UPPER(TEXT(Tabela_DB[[#This Row],[DATA]],"mmm"))</f>
        <v>JAN</v>
      </c>
      <c r="H226" t="str">
        <f>UPPER(TEXT(Tabela_DB[[#This Row],[DATA]],"aaaa"))</f>
        <v>2021</v>
      </c>
    </row>
    <row r="227" spans="1:8" x14ac:dyDescent="0.25">
      <c r="A227" s="2">
        <v>44210</v>
      </c>
      <c r="B227" t="s">
        <v>44</v>
      </c>
      <c r="C227">
        <v>-1124</v>
      </c>
      <c r="D227" t="str">
        <f>VLOOKUP(B227,Tabela_Auxiliar[],2,0)</f>
        <v>4. Despesas Operacionais</v>
      </c>
      <c r="E227" t="str">
        <f>VLOOKUP(B227,Tabela_Auxiliar[],4,0)</f>
        <v>Despesa com Pessoal</v>
      </c>
      <c r="F227" t="str">
        <f>VLOOKUP(B227,Tabela_Auxiliar[],3,0)</f>
        <v>Saída</v>
      </c>
      <c r="G227" t="str">
        <f>UPPER(TEXT(Tabela_DB[[#This Row],[DATA]],"mmm"))</f>
        <v>JAN</v>
      </c>
      <c r="H227" t="str">
        <f>UPPER(TEXT(Tabela_DB[[#This Row],[DATA]],"aaaa"))</f>
        <v>2021</v>
      </c>
    </row>
    <row r="228" spans="1:8" x14ac:dyDescent="0.25">
      <c r="A228" s="2">
        <v>44210</v>
      </c>
      <c r="B228" t="s">
        <v>4</v>
      </c>
      <c r="C228">
        <v>12455</v>
      </c>
      <c r="D228" t="str">
        <f>VLOOKUP(B228,Tabela_Auxiliar[],2,0)</f>
        <v>1. Receita Operacional Bruta</v>
      </c>
      <c r="E228" t="str">
        <f>VLOOKUP(B228,Tabela_Auxiliar[],4,0)</f>
        <v>Receita Bruta</v>
      </c>
      <c r="F228" t="str">
        <f>VLOOKUP(B228,Tabela_Auxiliar[],3,0)</f>
        <v>Entrada</v>
      </c>
      <c r="G228" t="str">
        <f>UPPER(TEXT(Tabela_DB[[#This Row],[DATA]],"mmm"))</f>
        <v>JAN</v>
      </c>
      <c r="H228" t="str">
        <f>UPPER(TEXT(Tabela_DB[[#This Row],[DATA]],"aaaa"))</f>
        <v>2021</v>
      </c>
    </row>
    <row r="229" spans="1:8" x14ac:dyDescent="0.25">
      <c r="A229" s="2">
        <v>44210</v>
      </c>
      <c r="B229" t="s">
        <v>102</v>
      </c>
      <c r="C229">
        <v>-2126</v>
      </c>
      <c r="D229" t="str">
        <f>VLOOKUP(B229,Tabela_Auxiliar[],2,0)</f>
        <v>6. Resultado após o Resultado Financeiro</v>
      </c>
      <c r="E229" t="str">
        <f>VLOOKUP(B229,Tabela_Auxiliar[],4,0)</f>
        <v>EBTIDA</v>
      </c>
      <c r="F229" t="str">
        <f>VLOOKUP(B229,Tabela_Auxiliar[],3,0)</f>
        <v>Saída</v>
      </c>
      <c r="G229" t="str">
        <f>UPPER(TEXT(Tabela_DB[[#This Row],[DATA]],"mmm"))</f>
        <v>JAN</v>
      </c>
      <c r="H229" t="str">
        <f>UPPER(TEXT(Tabela_DB[[#This Row],[DATA]],"aaaa"))</f>
        <v>2021</v>
      </c>
    </row>
    <row r="230" spans="1:8" x14ac:dyDescent="0.25">
      <c r="A230" s="2">
        <v>44210</v>
      </c>
      <c r="B230" t="s">
        <v>37</v>
      </c>
      <c r="C230">
        <v>-2544</v>
      </c>
      <c r="D230" t="str">
        <f>VLOOKUP(B230,Tabela_Auxiliar[],2,0)</f>
        <v>3. Custos do Produto/Mercadoria/Serviço</v>
      </c>
      <c r="E230" t="str">
        <f>VLOOKUP(B230,Tabela_Auxiliar[],4,0)</f>
        <v>Despesas c/ Produto</v>
      </c>
      <c r="F230" t="str">
        <f>VLOOKUP(B230,Tabela_Auxiliar[],3,0)</f>
        <v>Saída</v>
      </c>
      <c r="G230" t="str">
        <f>UPPER(TEXT(Tabela_DB[[#This Row],[DATA]],"mmm"))</f>
        <v>JAN</v>
      </c>
      <c r="H230" t="str">
        <f>UPPER(TEXT(Tabela_DB[[#This Row],[DATA]],"aaaa"))</f>
        <v>2021</v>
      </c>
    </row>
    <row r="231" spans="1:8" x14ac:dyDescent="0.25">
      <c r="A231" s="2">
        <v>44210</v>
      </c>
      <c r="B231" t="s">
        <v>35</v>
      </c>
      <c r="C231">
        <v>-1768</v>
      </c>
      <c r="D231" t="str">
        <f>VLOOKUP(B231,Tabela_Auxiliar[],2,0)</f>
        <v>2. Deduções da Receita</v>
      </c>
      <c r="E231" t="str">
        <f>VLOOKUP(B231,Tabela_Auxiliar[],4,0)</f>
        <v>Imposto</v>
      </c>
      <c r="F231" t="str">
        <f>VLOOKUP(B231,Tabela_Auxiliar[],3,0)</f>
        <v>Saída</v>
      </c>
      <c r="G231" t="str">
        <f>UPPER(TEXT(Tabela_DB[[#This Row],[DATA]],"mmm"))</f>
        <v>JAN</v>
      </c>
      <c r="H231" t="str">
        <f>UPPER(TEXT(Tabela_DB[[#This Row],[DATA]],"aaaa"))</f>
        <v>2021</v>
      </c>
    </row>
    <row r="232" spans="1:8" x14ac:dyDescent="0.25">
      <c r="A232" s="2">
        <v>44210</v>
      </c>
      <c r="B232" t="s">
        <v>50</v>
      </c>
      <c r="C232">
        <v>-1544</v>
      </c>
      <c r="D232" t="str">
        <f>VLOOKUP(B232,Tabela_Auxiliar[],2,0)</f>
        <v>4. Despesas Operacionais</v>
      </c>
      <c r="E232" t="str">
        <f>VLOOKUP(B232,Tabela_Auxiliar[],4,0)</f>
        <v>Despesa com Pessoal</v>
      </c>
      <c r="F232" t="str">
        <f>VLOOKUP(B232,Tabela_Auxiliar[],3,0)</f>
        <v>Saída</v>
      </c>
      <c r="G232" t="str">
        <f>UPPER(TEXT(Tabela_DB[[#This Row],[DATA]],"mmm"))</f>
        <v>JAN</v>
      </c>
      <c r="H232" t="str">
        <f>UPPER(TEXT(Tabela_DB[[#This Row],[DATA]],"aaaa"))</f>
        <v>2021</v>
      </c>
    </row>
    <row r="233" spans="1:8" x14ac:dyDescent="0.25">
      <c r="A233" s="2">
        <v>44210</v>
      </c>
      <c r="B233" t="s">
        <v>4</v>
      </c>
      <c r="C233">
        <v>12581</v>
      </c>
      <c r="D233" t="str">
        <f>VLOOKUP(B233,Tabela_Auxiliar[],2,0)</f>
        <v>1. Receita Operacional Bruta</v>
      </c>
      <c r="E233" t="str">
        <f>VLOOKUP(B233,Tabela_Auxiliar[],4,0)</f>
        <v>Receita Bruta</v>
      </c>
      <c r="F233" t="str">
        <f>VLOOKUP(B233,Tabela_Auxiliar[],3,0)</f>
        <v>Entrada</v>
      </c>
      <c r="G233" t="str">
        <f>UPPER(TEXT(Tabela_DB[[#This Row],[DATA]],"mmm"))</f>
        <v>JAN</v>
      </c>
      <c r="H233" t="str">
        <f>UPPER(TEXT(Tabela_DB[[#This Row],[DATA]],"aaaa"))</f>
        <v>2021</v>
      </c>
    </row>
    <row r="234" spans="1:8" x14ac:dyDescent="0.25">
      <c r="A234" s="2">
        <v>44210</v>
      </c>
      <c r="B234" t="s">
        <v>34</v>
      </c>
      <c r="C234">
        <v>-1936</v>
      </c>
      <c r="D234" t="str">
        <f>VLOOKUP(B234,Tabela_Auxiliar[],2,0)</f>
        <v>2. Deduções da Receita</v>
      </c>
      <c r="E234" t="str">
        <f>VLOOKUP(B234,Tabela_Auxiliar[],4,0)</f>
        <v>Imposto</v>
      </c>
      <c r="F234" t="str">
        <f>VLOOKUP(B234,Tabela_Auxiliar[],3,0)</f>
        <v>Saída</v>
      </c>
      <c r="G234" t="str">
        <f>UPPER(TEXT(Tabela_DB[[#This Row],[DATA]],"mmm"))</f>
        <v>JAN</v>
      </c>
      <c r="H234" t="str">
        <f>UPPER(TEXT(Tabela_DB[[#This Row],[DATA]],"aaaa"))</f>
        <v>2021</v>
      </c>
    </row>
    <row r="235" spans="1:8" x14ac:dyDescent="0.25">
      <c r="A235" s="2">
        <v>44210</v>
      </c>
      <c r="B235" t="s">
        <v>4</v>
      </c>
      <c r="C235">
        <v>13640</v>
      </c>
      <c r="D235" t="str">
        <f>VLOOKUP(B235,Tabela_Auxiliar[],2,0)</f>
        <v>1. Receita Operacional Bruta</v>
      </c>
      <c r="E235" t="str">
        <f>VLOOKUP(B235,Tabela_Auxiliar[],4,0)</f>
        <v>Receita Bruta</v>
      </c>
      <c r="F235" t="str">
        <f>VLOOKUP(B235,Tabela_Auxiliar[],3,0)</f>
        <v>Entrada</v>
      </c>
      <c r="G235" t="str">
        <f>UPPER(TEXT(Tabela_DB[[#This Row],[DATA]],"mmm"))</f>
        <v>JAN</v>
      </c>
      <c r="H235" t="str">
        <f>UPPER(TEXT(Tabela_DB[[#This Row],[DATA]],"aaaa"))</f>
        <v>2021</v>
      </c>
    </row>
    <row r="236" spans="1:8" x14ac:dyDescent="0.25">
      <c r="A236" s="2">
        <v>44210</v>
      </c>
      <c r="B236" t="s">
        <v>46</v>
      </c>
      <c r="C236">
        <v>-1075</v>
      </c>
      <c r="D236" t="str">
        <f>VLOOKUP(B236,Tabela_Auxiliar[],2,0)</f>
        <v>4. Despesas Operacionais</v>
      </c>
      <c r="E236" t="str">
        <f>VLOOKUP(B236,Tabela_Auxiliar[],4,0)</f>
        <v>Despesa com Pessoal</v>
      </c>
      <c r="F236" t="str">
        <f>VLOOKUP(B236,Tabela_Auxiliar[],3,0)</f>
        <v>Saída</v>
      </c>
      <c r="G236" t="str">
        <f>UPPER(TEXT(Tabela_DB[[#This Row],[DATA]],"mmm"))</f>
        <v>JAN</v>
      </c>
      <c r="H236" t="str">
        <f>UPPER(TEXT(Tabela_DB[[#This Row],[DATA]],"aaaa"))</f>
        <v>2021</v>
      </c>
    </row>
    <row r="237" spans="1:8" x14ac:dyDescent="0.25">
      <c r="A237" s="2">
        <v>44210</v>
      </c>
      <c r="B237" t="s">
        <v>38</v>
      </c>
      <c r="C237">
        <v>-1428</v>
      </c>
      <c r="D237" t="str">
        <f>VLOOKUP(B237,Tabela_Auxiliar[],2,0)</f>
        <v>2. Deduções da Receita</v>
      </c>
      <c r="E237" t="str">
        <f>VLOOKUP(B237,Tabela_Auxiliar[],4,0)</f>
        <v>Deduções</v>
      </c>
      <c r="F237" t="str">
        <f>VLOOKUP(B237,Tabela_Auxiliar[],3,0)</f>
        <v>Saída</v>
      </c>
      <c r="G237" t="str">
        <f>UPPER(TEXT(Tabela_DB[[#This Row],[DATA]],"mmm"))</f>
        <v>JAN</v>
      </c>
      <c r="H237" t="str">
        <f>UPPER(TEXT(Tabela_DB[[#This Row],[DATA]],"aaaa"))</f>
        <v>2021</v>
      </c>
    </row>
    <row r="238" spans="1:8" x14ac:dyDescent="0.25">
      <c r="A238" s="2">
        <v>44210</v>
      </c>
      <c r="B238" t="s">
        <v>3</v>
      </c>
      <c r="C238">
        <v>12463</v>
      </c>
      <c r="D238" t="str">
        <f>VLOOKUP(B238,Tabela_Auxiliar[],2,0)</f>
        <v>1. Receita Operacional Bruta</v>
      </c>
      <c r="E238" t="str">
        <f>VLOOKUP(B238,Tabela_Auxiliar[],4,0)</f>
        <v>Receita Bruta</v>
      </c>
      <c r="F238" t="str">
        <f>VLOOKUP(B238,Tabela_Auxiliar[],3,0)</f>
        <v>Entrada</v>
      </c>
      <c r="G238" t="str">
        <f>UPPER(TEXT(Tabela_DB[[#This Row],[DATA]],"mmm"))</f>
        <v>JAN</v>
      </c>
      <c r="H238" t="str">
        <f>UPPER(TEXT(Tabela_DB[[#This Row],[DATA]],"aaaa"))</f>
        <v>2021</v>
      </c>
    </row>
    <row r="239" spans="1:8" x14ac:dyDescent="0.25">
      <c r="A239" s="2">
        <v>44210</v>
      </c>
      <c r="B239" t="s">
        <v>37</v>
      </c>
      <c r="C239">
        <v>-4817</v>
      </c>
      <c r="D239" t="str">
        <f>VLOOKUP(B239,Tabela_Auxiliar[],2,0)</f>
        <v>3. Custos do Produto/Mercadoria/Serviço</v>
      </c>
      <c r="E239" t="str">
        <f>VLOOKUP(B239,Tabela_Auxiliar[],4,0)</f>
        <v>Despesas c/ Produto</v>
      </c>
      <c r="F239" t="str">
        <f>VLOOKUP(B239,Tabela_Auxiliar[],3,0)</f>
        <v>Saída</v>
      </c>
      <c r="G239" t="str">
        <f>UPPER(TEXT(Tabela_DB[[#This Row],[DATA]],"mmm"))</f>
        <v>JAN</v>
      </c>
      <c r="H239" t="str">
        <f>UPPER(TEXT(Tabela_DB[[#This Row],[DATA]],"aaaa"))</f>
        <v>2021</v>
      </c>
    </row>
    <row r="240" spans="1:8" x14ac:dyDescent="0.25">
      <c r="A240" s="2">
        <v>44210</v>
      </c>
      <c r="B240" t="s">
        <v>37</v>
      </c>
      <c r="C240">
        <v>-3523</v>
      </c>
      <c r="D240" t="str">
        <f>VLOOKUP(B240,Tabela_Auxiliar[],2,0)</f>
        <v>3. Custos do Produto/Mercadoria/Serviço</v>
      </c>
      <c r="E240" t="str">
        <f>VLOOKUP(B240,Tabela_Auxiliar[],4,0)</f>
        <v>Despesas c/ Produto</v>
      </c>
      <c r="F240" t="str">
        <f>VLOOKUP(B240,Tabela_Auxiliar[],3,0)</f>
        <v>Saída</v>
      </c>
      <c r="G240" t="str">
        <f>UPPER(TEXT(Tabela_DB[[#This Row],[DATA]],"mmm"))</f>
        <v>JAN</v>
      </c>
      <c r="H240" t="str">
        <f>UPPER(TEXT(Tabela_DB[[#This Row],[DATA]],"aaaa"))</f>
        <v>2021</v>
      </c>
    </row>
    <row r="241" spans="1:8" x14ac:dyDescent="0.25">
      <c r="A241" s="2">
        <v>44210</v>
      </c>
      <c r="B241" t="s">
        <v>3</v>
      </c>
      <c r="C241">
        <v>14720</v>
      </c>
      <c r="D241" t="str">
        <f>VLOOKUP(B241,Tabela_Auxiliar[],2,0)</f>
        <v>1. Receita Operacional Bruta</v>
      </c>
      <c r="E241" t="str">
        <f>VLOOKUP(B241,Tabela_Auxiliar[],4,0)</f>
        <v>Receita Bruta</v>
      </c>
      <c r="F241" t="str">
        <f>VLOOKUP(B241,Tabela_Auxiliar[],3,0)</f>
        <v>Entrada</v>
      </c>
      <c r="G241" t="str">
        <f>UPPER(TEXT(Tabela_DB[[#This Row],[DATA]],"mmm"))</f>
        <v>JAN</v>
      </c>
      <c r="H241" t="str">
        <f>UPPER(TEXT(Tabela_DB[[#This Row],[DATA]],"aaaa"))</f>
        <v>2021</v>
      </c>
    </row>
    <row r="242" spans="1:8" x14ac:dyDescent="0.25">
      <c r="A242" s="2">
        <v>44211</v>
      </c>
      <c r="B242" t="s">
        <v>68</v>
      </c>
      <c r="C242">
        <v>-2175</v>
      </c>
      <c r="D242" t="str">
        <f>VLOOKUP(B242,Tabela_Auxiliar[],2,0)</f>
        <v>4. Despesas Operacionais</v>
      </c>
      <c r="E242" t="str">
        <f>VLOOKUP(B242,Tabela_Auxiliar[],4,0)</f>
        <v>Despesa com Ocupação</v>
      </c>
      <c r="F242" t="str">
        <f>VLOOKUP(B242,Tabela_Auxiliar[],3,0)</f>
        <v>Saída</v>
      </c>
      <c r="G242" t="str">
        <f>UPPER(TEXT(Tabela_DB[[#This Row],[DATA]],"mmm"))</f>
        <v>JAN</v>
      </c>
      <c r="H242" t="str">
        <f>UPPER(TEXT(Tabela_DB[[#This Row],[DATA]],"aaaa"))</f>
        <v>2021</v>
      </c>
    </row>
    <row r="243" spans="1:8" x14ac:dyDescent="0.25">
      <c r="A243" s="2">
        <v>44211</v>
      </c>
      <c r="B243" t="s">
        <v>3</v>
      </c>
      <c r="C243">
        <v>11848</v>
      </c>
      <c r="D243" t="str">
        <f>VLOOKUP(B243,Tabela_Auxiliar[],2,0)</f>
        <v>1. Receita Operacional Bruta</v>
      </c>
      <c r="E243" t="str">
        <f>VLOOKUP(B243,Tabela_Auxiliar[],4,0)</f>
        <v>Receita Bruta</v>
      </c>
      <c r="F243" t="str">
        <f>VLOOKUP(B243,Tabela_Auxiliar[],3,0)</f>
        <v>Entrada</v>
      </c>
      <c r="G243" t="str">
        <f>UPPER(TEXT(Tabela_DB[[#This Row],[DATA]],"mmm"))</f>
        <v>JAN</v>
      </c>
      <c r="H243" t="str">
        <f>UPPER(TEXT(Tabela_DB[[#This Row],[DATA]],"aaaa"))</f>
        <v>2021</v>
      </c>
    </row>
    <row r="244" spans="1:8" x14ac:dyDescent="0.25">
      <c r="A244" s="2">
        <v>44211</v>
      </c>
      <c r="B244" t="s">
        <v>38</v>
      </c>
      <c r="C244">
        <v>-1031</v>
      </c>
      <c r="D244" t="str">
        <f>VLOOKUP(B244,Tabela_Auxiliar[],2,0)</f>
        <v>2. Deduções da Receita</v>
      </c>
      <c r="E244" t="str">
        <f>VLOOKUP(B244,Tabela_Auxiliar[],4,0)</f>
        <v>Deduções</v>
      </c>
      <c r="F244" t="str">
        <f>VLOOKUP(B244,Tabela_Auxiliar[],3,0)</f>
        <v>Saída</v>
      </c>
      <c r="G244" t="str">
        <f>UPPER(TEXT(Tabela_DB[[#This Row],[DATA]],"mmm"))</f>
        <v>JAN</v>
      </c>
      <c r="H244" t="str">
        <f>UPPER(TEXT(Tabela_DB[[#This Row],[DATA]],"aaaa"))</f>
        <v>2021</v>
      </c>
    </row>
    <row r="245" spans="1:8" x14ac:dyDescent="0.25">
      <c r="A245" s="2">
        <v>44211</v>
      </c>
      <c r="B245" t="s">
        <v>35</v>
      </c>
      <c r="C245">
        <v>-1296</v>
      </c>
      <c r="D245" t="str">
        <f>VLOOKUP(B245,Tabela_Auxiliar[],2,0)</f>
        <v>2. Deduções da Receita</v>
      </c>
      <c r="E245" t="str">
        <f>VLOOKUP(B245,Tabela_Auxiliar[],4,0)</f>
        <v>Imposto</v>
      </c>
      <c r="F245" t="str">
        <f>VLOOKUP(B245,Tabela_Auxiliar[],3,0)</f>
        <v>Saída</v>
      </c>
      <c r="G245" t="str">
        <f>UPPER(TEXT(Tabela_DB[[#This Row],[DATA]],"mmm"))</f>
        <v>JAN</v>
      </c>
      <c r="H245" t="str">
        <f>UPPER(TEXT(Tabela_DB[[#This Row],[DATA]],"aaaa"))</f>
        <v>2021</v>
      </c>
    </row>
    <row r="246" spans="1:8" x14ac:dyDescent="0.25">
      <c r="A246" s="2">
        <v>44211</v>
      </c>
      <c r="B246" t="s">
        <v>35</v>
      </c>
      <c r="C246">
        <v>-2319</v>
      </c>
      <c r="D246" t="str">
        <f>VLOOKUP(B246,Tabela_Auxiliar[],2,0)</f>
        <v>2. Deduções da Receita</v>
      </c>
      <c r="E246" t="str">
        <f>VLOOKUP(B246,Tabela_Auxiliar[],4,0)</f>
        <v>Imposto</v>
      </c>
      <c r="F246" t="str">
        <f>VLOOKUP(B246,Tabela_Auxiliar[],3,0)</f>
        <v>Saída</v>
      </c>
      <c r="G246" t="str">
        <f>UPPER(TEXT(Tabela_DB[[#This Row],[DATA]],"mmm"))</f>
        <v>JAN</v>
      </c>
      <c r="H246" t="str">
        <f>UPPER(TEXT(Tabela_DB[[#This Row],[DATA]],"aaaa"))</f>
        <v>2021</v>
      </c>
    </row>
    <row r="247" spans="1:8" x14ac:dyDescent="0.25">
      <c r="A247" s="2">
        <v>44211</v>
      </c>
      <c r="B247" t="s">
        <v>62</v>
      </c>
      <c r="C247">
        <v>-1537</v>
      </c>
      <c r="D247" t="str">
        <f>VLOOKUP(B247,Tabela_Auxiliar[],2,0)</f>
        <v>4. Despesas Operacionais</v>
      </c>
      <c r="E247" t="str">
        <f>VLOOKUP(B247,Tabela_Auxiliar[],4,0)</f>
        <v>Despesa Gerais</v>
      </c>
      <c r="F247" t="str">
        <f>VLOOKUP(B247,Tabela_Auxiliar[],3,0)</f>
        <v>Saída</v>
      </c>
      <c r="G247" t="str">
        <f>UPPER(TEXT(Tabela_DB[[#This Row],[DATA]],"mmm"))</f>
        <v>JAN</v>
      </c>
      <c r="H247" t="str">
        <f>UPPER(TEXT(Tabela_DB[[#This Row],[DATA]],"aaaa"))</f>
        <v>2021</v>
      </c>
    </row>
    <row r="248" spans="1:8" x14ac:dyDescent="0.25">
      <c r="A248" s="2">
        <v>44211</v>
      </c>
      <c r="B248" t="s">
        <v>35</v>
      </c>
      <c r="C248">
        <v>-1389</v>
      </c>
      <c r="D248" t="str">
        <f>VLOOKUP(B248,Tabela_Auxiliar[],2,0)</f>
        <v>2. Deduções da Receita</v>
      </c>
      <c r="E248" t="str">
        <f>VLOOKUP(B248,Tabela_Auxiliar[],4,0)</f>
        <v>Imposto</v>
      </c>
      <c r="F248" t="str">
        <f>VLOOKUP(B248,Tabela_Auxiliar[],3,0)</f>
        <v>Saída</v>
      </c>
      <c r="G248" t="str">
        <f>UPPER(TEXT(Tabela_DB[[#This Row],[DATA]],"mmm"))</f>
        <v>JAN</v>
      </c>
      <c r="H248" t="str">
        <f>UPPER(TEXT(Tabela_DB[[#This Row],[DATA]],"aaaa"))</f>
        <v>2021</v>
      </c>
    </row>
    <row r="249" spans="1:8" x14ac:dyDescent="0.25">
      <c r="A249" s="2">
        <v>44211</v>
      </c>
      <c r="B249" t="s">
        <v>61</v>
      </c>
      <c r="C249">
        <v>-1099</v>
      </c>
      <c r="D249" t="str">
        <f>VLOOKUP(B249,Tabela_Auxiliar[],2,0)</f>
        <v>4. Despesas Operacionais</v>
      </c>
      <c r="E249" t="str">
        <f>VLOOKUP(B249,Tabela_Auxiliar[],4,0)</f>
        <v>Despesa de Depreciação</v>
      </c>
      <c r="F249" t="str">
        <f>VLOOKUP(B249,Tabela_Auxiliar[],3,0)</f>
        <v>Saída</v>
      </c>
      <c r="G249" t="str">
        <f>UPPER(TEXT(Tabela_DB[[#This Row],[DATA]],"mmm"))</f>
        <v>JAN</v>
      </c>
      <c r="H249" t="str">
        <f>UPPER(TEXT(Tabela_DB[[#This Row],[DATA]],"aaaa"))</f>
        <v>2021</v>
      </c>
    </row>
    <row r="250" spans="1:8" x14ac:dyDescent="0.25">
      <c r="A250" s="2">
        <v>44211</v>
      </c>
      <c r="B250" t="s">
        <v>38</v>
      </c>
      <c r="C250">
        <v>-1117</v>
      </c>
      <c r="D250" t="str">
        <f>VLOOKUP(B250,Tabela_Auxiliar[],2,0)</f>
        <v>2. Deduções da Receita</v>
      </c>
      <c r="E250" t="str">
        <f>VLOOKUP(B250,Tabela_Auxiliar[],4,0)</f>
        <v>Deduções</v>
      </c>
      <c r="F250" t="str">
        <f>VLOOKUP(B250,Tabela_Auxiliar[],3,0)</f>
        <v>Saída</v>
      </c>
      <c r="G250" t="str">
        <f>UPPER(TEXT(Tabela_DB[[#This Row],[DATA]],"mmm"))</f>
        <v>JAN</v>
      </c>
      <c r="H250" t="str">
        <f>UPPER(TEXT(Tabela_DB[[#This Row],[DATA]],"aaaa"))</f>
        <v>2021</v>
      </c>
    </row>
    <row r="251" spans="1:8" x14ac:dyDescent="0.25">
      <c r="A251" s="2">
        <v>44211</v>
      </c>
      <c r="B251" t="s">
        <v>4</v>
      </c>
      <c r="C251">
        <v>10351</v>
      </c>
      <c r="D251" t="str">
        <f>VLOOKUP(B251,Tabela_Auxiliar[],2,0)</f>
        <v>1. Receita Operacional Bruta</v>
      </c>
      <c r="E251" t="str">
        <f>VLOOKUP(B251,Tabela_Auxiliar[],4,0)</f>
        <v>Receita Bruta</v>
      </c>
      <c r="F251" t="str">
        <f>VLOOKUP(B251,Tabela_Auxiliar[],3,0)</f>
        <v>Entrada</v>
      </c>
      <c r="G251" t="str">
        <f>UPPER(TEXT(Tabela_DB[[#This Row],[DATA]],"mmm"))</f>
        <v>JAN</v>
      </c>
      <c r="H251" t="str">
        <f>UPPER(TEXT(Tabela_DB[[#This Row],[DATA]],"aaaa"))</f>
        <v>2021</v>
      </c>
    </row>
    <row r="252" spans="1:8" x14ac:dyDescent="0.25">
      <c r="A252" s="2">
        <v>44211</v>
      </c>
      <c r="B252" t="s">
        <v>62</v>
      </c>
      <c r="C252">
        <v>-1483</v>
      </c>
      <c r="D252" t="str">
        <f>VLOOKUP(B252,Tabela_Auxiliar[],2,0)</f>
        <v>4. Despesas Operacionais</v>
      </c>
      <c r="E252" t="str">
        <f>VLOOKUP(B252,Tabela_Auxiliar[],4,0)</f>
        <v>Despesa Gerais</v>
      </c>
      <c r="F252" t="str">
        <f>VLOOKUP(B252,Tabela_Auxiliar[],3,0)</f>
        <v>Saída</v>
      </c>
      <c r="G252" t="str">
        <f>UPPER(TEXT(Tabela_DB[[#This Row],[DATA]],"mmm"))</f>
        <v>JAN</v>
      </c>
      <c r="H252" t="str">
        <f>UPPER(TEXT(Tabela_DB[[#This Row],[DATA]],"aaaa"))</f>
        <v>2021</v>
      </c>
    </row>
    <row r="253" spans="1:8" x14ac:dyDescent="0.25">
      <c r="A253" s="2">
        <v>44211</v>
      </c>
      <c r="B253" t="s">
        <v>89</v>
      </c>
      <c r="C253">
        <v>-1530</v>
      </c>
      <c r="D253" t="str">
        <f>VLOOKUP(B253,Tabela_Auxiliar[],2,0)</f>
        <v>4. Despesas Operacionais</v>
      </c>
      <c r="E253" t="str">
        <f>VLOOKUP(B253,Tabela_Auxiliar[],4,0)</f>
        <v>Despesa Tributária</v>
      </c>
      <c r="F253" t="str">
        <f>VLOOKUP(B253,Tabela_Auxiliar[],3,0)</f>
        <v>Saída</v>
      </c>
      <c r="G253" t="str">
        <f>UPPER(TEXT(Tabela_DB[[#This Row],[DATA]],"mmm"))</f>
        <v>JAN</v>
      </c>
      <c r="H253" t="str">
        <f>UPPER(TEXT(Tabela_DB[[#This Row],[DATA]],"aaaa"))</f>
        <v>2021</v>
      </c>
    </row>
    <row r="254" spans="1:8" x14ac:dyDescent="0.25">
      <c r="A254" s="2">
        <v>44211</v>
      </c>
      <c r="B254" t="s">
        <v>37</v>
      </c>
      <c r="C254">
        <v>-3302</v>
      </c>
      <c r="D254" t="str">
        <f>VLOOKUP(B254,Tabela_Auxiliar[],2,0)</f>
        <v>3. Custos do Produto/Mercadoria/Serviço</v>
      </c>
      <c r="E254" t="str">
        <f>VLOOKUP(B254,Tabela_Auxiliar[],4,0)</f>
        <v>Despesas c/ Produto</v>
      </c>
      <c r="F254" t="str">
        <f>VLOOKUP(B254,Tabela_Auxiliar[],3,0)</f>
        <v>Saída</v>
      </c>
      <c r="G254" t="str">
        <f>UPPER(TEXT(Tabela_DB[[#This Row],[DATA]],"mmm"))</f>
        <v>JAN</v>
      </c>
      <c r="H254" t="str">
        <f>UPPER(TEXT(Tabela_DB[[#This Row],[DATA]],"aaaa"))</f>
        <v>2021</v>
      </c>
    </row>
    <row r="255" spans="1:8" x14ac:dyDescent="0.25">
      <c r="A255" s="2">
        <v>44211</v>
      </c>
      <c r="B255" t="s">
        <v>67</v>
      </c>
      <c r="C255">
        <v>-2131</v>
      </c>
      <c r="D255" t="str">
        <f>VLOOKUP(B255,Tabela_Auxiliar[],2,0)</f>
        <v>4. Despesas Operacionais</v>
      </c>
      <c r="E255" t="str">
        <f>VLOOKUP(B255,Tabela_Auxiliar[],4,0)</f>
        <v>Despesa com Vendas</v>
      </c>
      <c r="F255" t="str">
        <f>VLOOKUP(B255,Tabela_Auxiliar[],3,0)</f>
        <v>Saída</v>
      </c>
      <c r="G255" t="str">
        <f>UPPER(TEXT(Tabela_DB[[#This Row],[DATA]],"mmm"))</f>
        <v>JAN</v>
      </c>
      <c r="H255" t="str">
        <f>UPPER(TEXT(Tabela_DB[[#This Row],[DATA]],"aaaa"))</f>
        <v>2021</v>
      </c>
    </row>
    <row r="256" spans="1:8" x14ac:dyDescent="0.25">
      <c r="A256" s="2">
        <v>44211</v>
      </c>
      <c r="B256" t="s">
        <v>35</v>
      </c>
      <c r="C256">
        <v>-2366</v>
      </c>
      <c r="D256" t="str">
        <f>VLOOKUP(B256,Tabela_Auxiliar[],2,0)</f>
        <v>2. Deduções da Receita</v>
      </c>
      <c r="E256" t="str">
        <f>VLOOKUP(B256,Tabela_Auxiliar[],4,0)</f>
        <v>Imposto</v>
      </c>
      <c r="F256" t="str">
        <f>VLOOKUP(B256,Tabela_Auxiliar[],3,0)</f>
        <v>Saída</v>
      </c>
      <c r="G256" t="str">
        <f>UPPER(TEXT(Tabela_DB[[#This Row],[DATA]],"mmm"))</f>
        <v>JAN</v>
      </c>
      <c r="H256" t="str">
        <f>UPPER(TEXT(Tabela_DB[[#This Row],[DATA]],"aaaa"))</f>
        <v>2021</v>
      </c>
    </row>
    <row r="257" spans="1:8" x14ac:dyDescent="0.25">
      <c r="A257" s="2">
        <v>44211</v>
      </c>
      <c r="B257" t="s">
        <v>3</v>
      </c>
      <c r="C257">
        <v>14029</v>
      </c>
      <c r="D257" t="str">
        <f>VLOOKUP(B257,Tabela_Auxiliar[],2,0)</f>
        <v>1. Receita Operacional Bruta</v>
      </c>
      <c r="E257" t="str">
        <f>VLOOKUP(B257,Tabela_Auxiliar[],4,0)</f>
        <v>Receita Bruta</v>
      </c>
      <c r="F257" t="str">
        <f>VLOOKUP(B257,Tabela_Auxiliar[],3,0)</f>
        <v>Entrada</v>
      </c>
      <c r="G257" t="str">
        <f>UPPER(TEXT(Tabela_DB[[#This Row],[DATA]],"mmm"))</f>
        <v>JAN</v>
      </c>
      <c r="H257" t="str">
        <f>UPPER(TEXT(Tabela_DB[[#This Row],[DATA]],"aaaa"))</f>
        <v>2021</v>
      </c>
    </row>
    <row r="258" spans="1:8" x14ac:dyDescent="0.25">
      <c r="A258" s="2">
        <v>44211</v>
      </c>
      <c r="B258" t="s">
        <v>38</v>
      </c>
      <c r="C258">
        <v>-1007</v>
      </c>
      <c r="D258" t="str">
        <f>VLOOKUP(B258,Tabela_Auxiliar[],2,0)</f>
        <v>2. Deduções da Receita</v>
      </c>
      <c r="E258" t="str">
        <f>VLOOKUP(B258,Tabela_Auxiliar[],4,0)</f>
        <v>Deduções</v>
      </c>
      <c r="F258" t="str">
        <f>VLOOKUP(B258,Tabela_Auxiliar[],3,0)</f>
        <v>Saída</v>
      </c>
      <c r="G258" t="str">
        <f>UPPER(TEXT(Tabela_DB[[#This Row],[DATA]],"mmm"))</f>
        <v>JAN</v>
      </c>
      <c r="H258" t="str">
        <f>UPPER(TEXT(Tabela_DB[[#This Row],[DATA]],"aaaa"))</f>
        <v>2021</v>
      </c>
    </row>
    <row r="259" spans="1:8" x14ac:dyDescent="0.25">
      <c r="A259" s="2">
        <v>44211</v>
      </c>
      <c r="B259" t="s">
        <v>34</v>
      </c>
      <c r="C259">
        <v>-1322</v>
      </c>
      <c r="D259" t="str">
        <f>VLOOKUP(B259,Tabela_Auxiliar[],2,0)</f>
        <v>2. Deduções da Receita</v>
      </c>
      <c r="E259" t="str">
        <f>VLOOKUP(B259,Tabela_Auxiliar[],4,0)</f>
        <v>Imposto</v>
      </c>
      <c r="F259" t="str">
        <f>VLOOKUP(B259,Tabela_Auxiliar[],3,0)</f>
        <v>Saída</v>
      </c>
      <c r="G259" t="str">
        <f>UPPER(TEXT(Tabela_DB[[#This Row],[DATA]],"mmm"))</f>
        <v>JAN</v>
      </c>
      <c r="H259" t="str">
        <f>UPPER(TEXT(Tabela_DB[[#This Row],[DATA]],"aaaa"))</f>
        <v>2021</v>
      </c>
    </row>
    <row r="260" spans="1:8" x14ac:dyDescent="0.25">
      <c r="A260" s="2">
        <v>44212</v>
      </c>
      <c r="B260" t="s">
        <v>77</v>
      </c>
      <c r="C260">
        <v>-2041</v>
      </c>
      <c r="D260" t="str">
        <f>VLOOKUP(B260,Tabela_Auxiliar[],2,0)</f>
        <v>4. Despesas Operacionais</v>
      </c>
      <c r="E260" t="str">
        <f>VLOOKUP(B260,Tabela_Auxiliar[],4,0)</f>
        <v>Serviços Contratados</v>
      </c>
      <c r="F260" t="str">
        <f>VLOOKUP(B260,Tabela_Auxiliar[],3,0)</f>
        <v>Saída</v>
      </c>
      <c r="G260" t="str">
        <f>UPPER(TEXT(Tabela_DB[[#This Row],[DATA]],"mmm"))</f>
        <v>JAN</v>
      </c>
      <c r="H260" t="str">
        <f>UPPER(TEXT(Tabela_DB[[#This Row],[DATA]],"aaaa"))</f>
        <v>2021</v>
      </c>
    </row>
    <row r="261" spans="1:8" x14ac:dyDescent="0.25">
      <c r="A261" s="2">
        <v>44212</v>
      </c>
      <c r="B261" t="s">
        <v>3</v>
      </c>
      <c r="C261">
        <v>12788</v>
      </c>
      <c r="D261" t="str">
        <f>VLOOKUP(B261,Tabela_Auxiliar[],2,0)</f>
        <v>1. Receita Operacional Bruta</v>
      </c>
      <c r="E261" t="str">
        <f>VLOOKUP(B261,Tabela_Auxiliar[],4,0)</f>
        <v>Receita Bruta</v>
      </c>
      <c r="F261" t="str">
        <f>VLOOKUP(B261,Tabela_Auxiliar[],3,0)</f>
        <v>Entrada</v>
      </c>
      <c r="G261" t="str">
        <f>UPPER(TEXT(Tabela_DB[[#This Row],[DATA]],"mmm"))</f>
        <v>JAN</v>
      </c>
      <c r="H261" t="str">
        <f>UPPER(TEXT(Tabela_DB[[#This Row],[DATA]],"aaaa"))</f>
        <v>2021</v>
      </c>
    </row>
    <row r="262" spans="1:8" x14ac:dyDescent="0.25">
      <c r="A262" s="2">
        <v>44212</v>
      </c>
      <c r="B262" t="s">
        <v>87</v>
      </c>
      <c r="C262">
        <v>-1451</v>
      </c>
      <c r="D262" t="str">
        <f>VLOOKUP(B262,Tabela_Auxiliar[],2,0)</f>
        <v>4. Despesas Operacionais</v>
      </c>
      <c r="E262" t="str">
        <f>VLOOKUP(B262,Tabela_Auxiliar[],4,0)</f>
        <v>Despesa Tributária</v>
      </c>
      <c r="F262" t="str">
        <f>VLOOKUP(B262,Tabela_Auxiliar[],3,0)</f>
        <v>Saída</v>
      </c>
      <c r="G262" t="str">
        <f>UPPER(TEXT(Tabela_DB[[#This Row],[DATA]],"mmm"))</f>
        <v>JAN</v>
      </c>
      <c r="H262" t="str">
        <f>UPPER(TEXT(Tabela_DB[[#This Row],[DATA]],"aaaa"))</f>
        <v>2021</v>
      </c>
    </row>
    <row r="263" spans="1:8" x14ac:dyDescent="0.25">
      <c r="A263" s="2">
        <v>44212</v>
      </c>
      <c r="B263" t="s">
        <v>35</v>
      </c>
      <c r="C263">
        <v>-1833</v>
      </c>
      <c r="D263" t="str">
        <f>VLOOKUP(B263,Tabela_Auxiliar[],2,0)</f>
        <v>2. Deduções da Receita</v>
      </c>
      <c r="E263" t="str">
        <f>VLOOKUP(B263,Tabela_Auxiliar[],4,0)</f>
        <v>Imposto</v>
      </c>
      <c r="F263" t="str">
        <f>VLOOKUP(B263,Tabela_Auxiliar[],3,0)</f>
        <v>Saída</v>
      </c>
      <c r="G263" t="str">
        <f>UPPER(TEXT(Tabela_DB[[#This Row],[DATA]],"mmm"))</f>
        <v>JAN</v>
      </c>
      <c r="H263" t="str">
        <f>UPPER(TEXT(Tabela_DB[[#This Row],[DATA]],"aaaa"))</f>
        <v>2021</v>
      </c>
    </row>
    <row r="264" spans="1:8" x14ac:dyDescent="0.25">
      <c r="A264" s="2">
        <v>44212</v>
      </c>
      <c r="B264" t="s">
        <v>37</v>
      </c>
      <c r="C264">
        <v>-3238</v>
      </c>
      <c r="D264" t="str">
        <f>VLOOKUP(B264,Tabela_Auxiliar[],2,0)</f>
        <v>3. Custos do Produto/Mercadoria/Serviço</v>
      </c>
      <c r="E264" t="str">
        <f>VLOOKUP(B264,Tabela_Auxiliar[],4,0)</f>
        <v>Despesas c/ Produto</v>
      </c>
      <c r="F264" t="str">
        <f>VLOOKUP(B264,Tabela_Auxiliar[],3,0)</f>
        <v>Saída</v>
      </c>
      <c r="G264" t="str">
        <f>UPPER(TEXT(Tabela_DB[[#This Row],[DATA]],"mmm"))</f>
        <v>JAN</v>
      </c>
      <c r="H264" t="str">
        <f>UPPER(TEXT(Tabela_DB[[#This Row],[DATA]],"aaaa"))</f>
        <v>2021</v>
      </c>
    </row>
    <row r="265" spans="1:8" x14ac:dyDescent="0.25">
      <c r="A265" s="2">
        <v>44212</v>
      </c>
      <c r="B265" t="s">
        <v>84</v>
      </c>
      <c r="C265">
        <v>-1047</v>
      </c>
      <c r="D265" t="str">
        <f>VLOOKUP(B265,Tabela_Auxiliar[],2,0)</f>
        <v>4. Despesas Operacionais</v>
      </c>
      <c r="E265" t="str">
        <f>VLOOKUP(B265,Tabela_Auxiliar[],4,0)</f>
        <v>Despesa com Veículos</v>
      </c>
      <c r="F265" t="str">
        <f>VLOOKUP(B265,Tabela_Auxiliar[],3,0)</f>
        <v>Saída</v>
      </c>
      <c r="G265" t="str">
        <f>UPPER(TEXT(Tabela_DB[[#This Row],[DATA]],"mmm"))</f>
        <v>JAN</v>
      </c>
      <c r="H265" t="str">
        <f>UPPER(TEXT(Tabela_DB[[#This Row],[DATA]],"aaaa"))</f>
        <v>2021</v>
      </c>
    </row>
    <row r="266" spans="1:8" x14ac:dyDescent="0.25">
      <c r="A266" s="2">
        <v>44212</v>
      </c>
      <c r="B266" t="s">
        <v>88</v>
      </c>
      <c r="C266">
        <v>-1011</v>
      </c>
      <c r="D266" t="str">
        <f>VLOOKUP(B266,Tabela_Auxiliar[],2,0)</f>
        <v>4. Despesas Operacionais</v>
      </c>
      <c r="E266" t="str">
        <f>VLOOKUP(B266,Tabela_Auxiliar[],4,0)</f>
        <v>Despesa Tributária</v>
      </c>
      <c r="F266" t="str">
        <f>VLOOKUP(B266,Tabela_Auxiliar[],3,0)</f>
        <v>Saída</v>
      </c>
      <c r="G266" t="str">
        <f>UPPER(TEXT(Tabela_DB[[#This Row],[DATA]],"mmm"))</f>
        <v>JAN</v>
      </c>
      <c r="H266" t="str">
        <f>UPPER(TEXT(Tabela_DB[[#This Row],[DATA]],"aaaa"))</f>
        <v>2021</v>
      </c>
    </row>
    <row r="267" spans="1:8" x14ac:dyDescent="0.25">
      <c r="A267" s="2">
        <v>44212</v>
      </c>
      <c r="B267" t="s">
        <v>37</v>
      </c>
      <c r="C267">
        <v>-4286</v>
      </c>
      <c r="D267" t="str">
        <f>VLOOKUP(B267,Tabela_Auxiliar[],2,0)</f>
        <v>3. Custos do Produto/Mercadoria/Serviço</v>
      </c>
      <c r="E267" t="str">
        <f>VLOOKUP(B267,Tabela_Auxiliar[],4,0)</f>
        <v>Despesas c/ Produto</v>
      </c>
      <c r="F267" t="str">
        <f>VLOOKUP(B267,Tabela_Auxiliar[],3,0)</f>
        <v>Saída</v>
      </c>
      <c r="G267" t="str">
        <f>UPPER(TEXT(Tabela_DB[[#This Row],[DATA]],"mmm"))</f>
        <v>JAN</v>
      </c>
      <c r="H267" t="str">
        <f>UPPER(TEXT(Tabela_DB[[#This Row],[DATA]],"aaaa"))</f>
        <v>2021</v>
      </c>
    </row>
    <row r="268" spans="1:8" x14ac:dyDescent="0.25">
      <c r="A268" s="2">
        <v>44213</v>
      </c>
      <c r="B268" t="s">
        <v>38</v>
      </c>
      <c r="C268">
        <v>-1152</v>
      </c>
      <c r="D268" t="str">
        <f>VLOOKUP(B268,Tabela_Auxiliar[],2,0)</f>
        <v>2. Deduções da Receita</v>
      </c>
      <c r="E268" t="str">
        <f>VLOOKUP(B268,Tabela_Auxiliar[],4,0)</f>
        <v>Deduções</v>
      </c>
      <c r="F268" t="str">
        <f>VLOOKUP(B268,Tabela_Auxiliar[],3,0)</f>
        <v>Saída</v>
      </c>
      <c r="G268" t="str">
        <f>UPPER(TEXT(Tabela_DB[[#This Row],[DATA]],"mmm"))</f>
        <v>JAN</v>
      </c>
      <c r="H268" t="str">
        <f>UPPER(TEXT(Tabela_DB[[#This Row],[DATA]],"aaaa"))</f>
        <v>2021</v>
      </c>
    </row>
    <row r="269" spans="1:8" x14ac:dyDescent="0.25">
      <c r="A269" s="2">
        <v>44213</v>
      </c>
      <c r="B269" t="s">
        <v>84</v>
      </c>
      <c r="C269">
        <v>-1053</v>
      </c>
      <c r="D269" t="str">
        <f>VLOOKUP(B269,Tabela_Auxiliar[],2,0)</f>
        <v>4. Despesas Operacionais</v>
      </c>
      <c r="E269" t="str">
        <f>VLOOKUP(B269,Tabela_Auxiliar[],4,0)</f>
        <v>Despesa com Veículos</v>
      </c>
      <c r="F269" t="str">
        <f>VLOOKUP(B269,Tabela_Auxiliar[],3,0)</f>
        <v>Saída</v>
      </c>
      <c r="G269" t="str">
        <f>UPPER(TEXT(Tabela_DB[[#This Row],[DATA]],"mmm"))</f>
        <v>JAN</v>
      </c>
      <c r="H269" t="str">
        <f>UPPER(TEXT(Tabela_DB[[#This Row],[DATA]],"aaaa"))</f>
        <v>2021</v>
      </c>
    </row>
    <row r="270" spans="1:8" x14ac:dyDescent="0.25">
      <c r="A270" s="2">
        <v>44213</v>
      </c>
      <c r="B270" t="s">
        <v>34</v>
      </c>
      <c r="C270">
        <v>-1951</v>
      </c>
      <c r="D270" t="str">
        <f>VLOOKUP(B270,Tabela_Auxiliar[],2,0)</f>
        <v>2. Deduções da Receita</v>
      </c>
      <c r="E270" t="str">
        <f>VLOOKUP(B270,Tabela_Auxiliar[],4,0)</f>
        <v>Imposto</v>
      </c>
      <c r="F270" t="str">
        <f>VLOOKUP(B270,Tabela_Auxiliar[],3,0)</f>
        <v>Saída</v>
      </c>
      <c r="G270" t="str">
        <f>UPPER(TEXT(Tabela_DB[[#This Row],[DATA]],"mmm"))</f>
        <v>JAN</v>
      </c>
      <c r="H270" t="str">
        <f>UPPER(TEXT(Tabela_DB[[#This Row],[DATA]],"aaaa"))</f>
        <v>2021</v>
      </c>
    </row>
    <row r="271" spans="1:8" x14ac:dyDescent="0.25">
      <c r="A271" s="2">
        <v>44213</v>
      </c>
      <c r="B271" t="s">
        <v>34</v>
      </c>
      <c r="C271">
        <v>-1919</v>
      </c>
      <c r="D271" t="str">
        <f>VLOOKUP(B271,Tabela_Auxiliar[],2,0)</f>
        <v>2. Deduções da Receita</v>
      </c>
      <c r="E271" t="str">
        <f>VLOOKUP(B271,Tabela_Auxiliar[],4,0)</f>
        <v>Imposto</v>
      </c>
      <c r="F271" t="str">
        <f>VLOOKUP(B271,Tabela_Auxiliar[],3,0)</f>
        <v>Saída</v>
      </c>
      <c r="G271" t="str">
        <f>UPPER(TEXT(Tabela_DB[[#This Row],[DATA]],"mmm"))</f>
        <v>JAN</v>
      </c>
      <c r="H271" t="str">
        <f>UPPER(TEXT(Tabela_DB[[#This Row],[DATA]],"aaaa"))</f>
        <v>2021</v>
      </c>
    </row>
    <row r="272" spans="1:8" x14ac:dyDescent="0.25">
      <c r="A272" s="2">
        <v>44213</v>
      </c>
      <c r="B272" t="s">
        <v>35</v>
      </c>
      <c r="C272">
        <v>-2088</v>
      </c>
      <c r="D272" t="str">
        <f>VLOOKUP(B272,Tabela_Auxiliar[],2,0)</f>
        <v>2. Deduções da Receita</v>
      </c>
      <c r="E272" t="str">
        <f>VLOOKUP(B272,Tabela_Auxiliar[],4,0)</f>
        <v>Imposto</v>
      </c>
      <c r="F272" t="str">
        <f>VLOOKUP(B272,Tabela_Auxiliar[],3,0)</f>
        <v>Saída</v>
      </c>
      <c r="G272" t="str">
        <f>UPPER(TEXT(Tabela_DB[[#This Row],[DATA]],"mmm"))</f>
        <v>JAN</v>
      </c>
      <c r="H272" t="str">
        <f>UPPER(TEXT(Tabela_DB[[#This Row],[DATA]],"aaaa"))</f>
        <v>2021</v>
      </c>
    </row>
    <row r="273" spans="1:8" x14ac:dyDescent="0.25">
      <c r="A273" s="2">
        <v>44213</v>
      </c>
      <c r="B273" t="s">
        <v>3</v>
      </c>
      <c r="C273">
        <v>13369</v>
      </c>
      <c r="D273" t="str">
        <f>VLOOKUP(B273,Tabela_Auxiliar[],2,0)</f>
        <v>1. Receita Operacional Bruta</v>
      </c>
      <c r="E273" t="str">
        <f>VLOOKUP(B273,Tabela_Auxiliar[],4,0)</f>
        <v>Receita Bruta</v>
      </c>
      <c r="F273" t="str">
        <f>VLOOKUP(B273,Tabela_Auxiliar[],3,0)</f>
        <v>Entrada</v>
      </c>
      <c r="G273" t="str">
        <f>UPPER(TEXT(Tabela_DB[[#This Row],[DATA]],"mmm"))</f>
        <v>JAN</v>
      </c>
      <c r="H273" t="str">
        <f>UPPER(TEXT(Tabela_DB[[#This Row],[DATA]],"aaaa"))</f>
        <v>2021</v>
      </c>
    </row>
    <row r="274" spans="1:8" x14ac:dyDescent="0.25">
      <c r="A274" s="2">
        <v>44213</v>
      </c>
      <c r="B274" t="s">
        <v>3</v>
      </c>
      <c r="C274">
        <v>11506</v>
      </c>
      <c r="D274" t="str">
        <f>VLOOKUP(B274,Tabela_Auxiliar[],2,0)</f>
        <v>1. Receita Operacional Bruta</v>
      </c>
      <c r="E274" t="str">
        <f>VLOOKUP(B274,Tabela_Auxiliar[],4,0)</f>
        <v>Receita Bruta</v>
      </c>
      <c r="F274" t="str">
        <f>VLOOKUP(B274,Tabela_Auxiliar[],3,0)</f>
        <v>Entrada</v>
      </c>
      <c r="G274" t="str">
        <f>UPPER(TEXT(Tabela_DB[[#This Row],[DATA]],"mmm"))</f>
        <v>JAN</v>
      </c>
      <c r="H274" t="str">
        <f>UPPER(TEXT(Tabela_DB[[#This Row],[DATA]],"aaaa"))</f>
        <v>2021</v>
      </c>
    </row>
    <row r="275" spans="1:8" x14ac:dyDescent="0.25">
      <c r="A275" s="2">
        <v>44213</v>
      </c>
      <c r="B275" t="s">
        <v>3</v>
      </c>
      <c r="C275">
        <v>11366</v>
      </c>
      <c r="D275" t="str">
        <f>VLOOKUP(B275,Tabela_Auxiliar[],2,0)</f>
        <v>1. Receita Operacional Bruta</v>
      </c>
      <c r="E275" t="str">
        <f>VLOOKUP(B275,Tabela_Auxiliar[],4,0)</f>
        <v>Receita Bruta</v>
      </c>
      <c r="F275" t="str">
        <f>VLOOKUP(B275,Tabela_Auxiliar[],3,0)</f>
        <v>Entrada</v>
      </c>
      <c r="G275" t="str">
        <f>UPPER(TEXT(Tabela_DB[[#This Row],[DATA]],"mmm"))</f>
        <v>JAN</v>
      </c>
      <c r="H275" t="str">
        <f>UPPER(TEXT(Tabela_DB[[#This Row],[DATA]],"aaaa"))</f>
        <v>2021</v>
      </c>
    </row>
    <row r="276" spans="1:8" x14ac:dyDescent="0.25">
      <c r="A276" s="2">
        <v>44213</v>
      </c>
      <c r="B276" t="s">
        <v>34</v>
      </c>
      <c r="C276">
        <v>-2153</v>
      </c>
      <c r="D276" t="str">
        <f>VLOOKUP(B276,Tabela_Auxiliar[],2,0)</f>
        <v>2. Deduções da Receita</v>
      </c>
      <c r="E276" t="str">
        <f>VLOOKUP(B276,Tabela_Auxiliar[],4,0)</f>
        <v>Imposto</v>
      </c>
      <c r="F276" t="str">
        <f>VLOOKUP(B276,Tabela_Auxiliar[],3,0)</f>
        <v>Saída</v>
      </c>
      <c r="G276" t="str">
        <f>UPPER(TEXT(Tabela_DB[[#This Row],[DATA]],"mmm"))</f>
        <v>JAN</v>
      </c>
      <c r="H276" t="str">
        <f>UPPER(TEXT(Tabela_DB[[#This Row],[DATA]],"aaaa"))</f>
        <v>2021</v>
      </c>
    </row>
    <row r="277" spans="1:8" x14ac:dyDescent="0.25">
      <c r="A277" s="2">
        <v>44213</v>
      </c>
      <c r="B277" t="s">
        <v>38</v>
      </c>
      <c r="C277">
        <v>-1327</v>
      </c>
      <c r="D277" t="str">
        <f>VLOOKUP(B277,Tabela_Auxiliar[],2,0)</f>
        <v>2. Deduções da Receita</v>
      </c>
      <c r="E277" t="str">
        <f>VLOOKUP(B277,Tabela_Auxiliar[],4,0)</f>
        <v>Deduções</v>
      </c>
      <c r="F277" t="str">
        <f>VLOOKUP(B277,Tabela_Auxiliar[],3,0)</f>
        <v>Saída</v>
      </c>
      <c r="G277" t="str">
        <f>UPPER(TEXT(Tabela_DB[[#This Row],[DATA]],"mmm"))</f>
        <v>JAN</v>
      </c>
      <c r="H277" t="str">
        <f>UPPER(TEXT(Tabela_DB[[#This Row],[DATA]],"aaaa"))</f>
        <v>2021</v>
      </c>
    </row>
    <row r="278" spans="1:8" x14ac:dyDescent="0.25">
      <c r="A278" s="2">
        <v>44213</v>
      </c>
      <c r="B278" t="s">
        <v>37</v>
      </c>
      <c r="C278">
        <v>-4127</v>
      </c>
      <c r="D278" t="str">
        <f>VLOOKUP(B278,Tabela_Auxiliar[],2,0)</f>
        <v>3. Custos do Produto/Mercadoria/Serviço</v>
      </c>
      <c r="E278" t="str">
        <f>VLOOKUP(B278,Tabela_Auxiliar[],4,0)</f>
        <v>Despesas c/ Produto</v>
      </c>
      <c r="F278" t="str">
        <f>VLOOKUP(B278,Tabela_Auxiliar[],3,0)</f>
        <v>Saída</v>
      </c>
      <c r="G278" t="str">
        <f>UPPER(TEXT(Tabela_DB[[#This Row],[DATA]],"mmm"))</f>
        <v>JAN</v>
      </c>
      <c r="H278" t="str">
        <f>UPPER(TEXT(Tabela_DB[[#This Row],[DATA]],"aaaa"))</f>
        <v>2021</v>
      </c>
    </row>
    <row r="279" spans="1:8" x14ac:dyDescent="0.25">
      <c r="A279" s="2">
        <v>44213</v>
      </c>
      <c r="B279" t="s">
        <v>37</v>
      </c>
      <c r="C279">
        <v>-4912</v>
      </c>
      <c r="D279" t="str">
        <f>VLOOKUP(B279,Tabela_Auxiliar[],2,0)</f>
        <v>3. Custos do Produto/Mercadoria/Serviço</v>
      </c>
      <c r="E279" t="str">
        <f>VLOOKUP(B279,Tabela_Auxiliar[],4,0)</f>
        <v>Despesas c/ Produto</v>
      </c>
      <c r="F279" t="str">
        <f>VLOOKUP(B279,Tabela_Auxiliar[],3,0)</f>
        <v>Saída</v>
      </c>
      <c r="G279" t="str">
        <f>UPPER(TEXT(Tabela_DB[[#This Row],[DATA]],"mmm"))</f>
        <v>JAN</v>
      </c>
      <c r="H279" t="str">
        <f>UPPER(TEXT(Tabela_DB[[#This Row],[DATA]],"aaaa"))</f>
        <v>2021</v>
      </c>
    </row>
    <row r="280" spans="1:8" x14ac:dyDescent="0.25">
      <c r="A280" s="2">
        <v>44213</v>
      </c>
      <c r="B280" t="s">
        <v>4</v>
      </c>
      <c r="C280">
        <v>10386</v>
      </c>
      <c r="D280" t="str">
        <f>VLOOKUP(B280,Tabela_Auxiliar[],2,0)</f>
        <v>1. Receita Operacional Bruta</v>
      </c>
      <c r="E280" t="str">
        <f>VLOOKUP(B280,Tabela_Auxiliar[],4,0)</f>
        <v>Receita Bruta</v>
      </c>
      <c r="F280" t="str">
        <f>VLOOKUP(B280,Tabela_Auxiliar[],3,0)</f>
        <v>Entrada</v>
      </c>
      <c r="G280" t="str">
        <f>UPPER(TEXT(Tabela_DB[[#This Row],[DATA]],"mmm"))</f>
        <v>JAN</v>
      </c>
      <c r="H280" t="str">
        <f>UPPER(TEXT(Tabela_DB[[#This Row],[DATA]],"aaaa"))</f>
        <v>2021</v>
      </c>
    </row>
    <row r="281" spans="1:8" x14ac:dyDescent="0.25">
      <c r="A281" s="2">
        <v>44213</v>
      </c>
      <c r="B281" t="s">
        <v>4</v>
      </c>
      <c r="C281">
        <v>11711</v>
      </c>
      <c r="D281" t="str">
        <f>VLOOKUP(B281,Tabela_Auxiliar[],2,0)</f>
        <v>1. Receita Operacional Bruta</v>
      </c>
      <c r="E281" t="str">
        <f>VLOOKUP(B281,Tabela_Auxiliar[],4,0)</f>
        <v>Receita Bruta</v>
      </c>
      <c r="F281" t="str">
        <f>VLOOKUP(B281,Tabela_Auxiliar[],3,0)</f>
        <v>Entrada</v>
      </c>
      <c r="G281" t="str">
        <f>UPPER(TEXT(Tabela_DB[[#This Row],[DATA]],"mmm"))</f>
        <v>JAN</v>
      </c>
      <c r="H281" t="str">
        <f>UPPER(TEXT(Tabela_DB[[#This Row],[DATA]],"aaaa"))</f>
        <v>2021</v>
      </c>
    </row>
    <row r="282" spans="1:8" x14ac:dyDescent="0.25">
      <c r="A282" s="2">
        <v>44213</v>
      </c>
      <c r="B282" t="s">
        <v>38</v>
      </c>
      <c r="C282">
        <v>-1764</v>
      </c>
      <c r="D282" t="str">
        <f>VLOOKUP(B282,Tabela_Auxiliar[],2,0)</f>
        <v>2. Deduções da Receita</v>
      </c>
      <c r="E282" t="str">
        <f>VLOOKUP(B282,Tabela_Auxiliar[],4,0)</f>
        <v>Deduções</v>
      </c>
      <c r="F282" t="str">
        <f>VLOOKUP(B282,Tabela_Auxiliar[],3,0)</f>
        <v>Saída</v>
      </c>
      <c r="G282" t="str">
        <f>UPPER(TEXT(Tabela_DB[[#This Row],[DATA]],"mmm"))</f>
        <v>JAN</v>
      </c>
      <c r="H282" t="str">
        <f>UPPER(TEXT(Tabela_DB[[#This Row],[DATA]],"aaaa"))</f>
        <v>2021</v>
      </c>
    </row>
    <row r="283" spans="1:8" x14ac:dyDescent="0.25">
      <c r="A283" s="2">
        <v>44213</v>
      </c>
      <c r="B283" t="s">
        <v>34</v>
      </c>
      <c r="C283">
        <v>-1331</v>
      </c>
      <c r="D283" t="str">
        <f>VLOOKUP(B283,Tabela_Auxiliar[],2,0)</f>
        <v>2. Deduções da Receita</v>
      </c>
      <c r="E283" t="str">
        <f>VLOOKUP(B283,Tabela_Auxiliar[],4,0)</f>
        <v>Imposto</v>
      </c>
      <c r="F283" t="str">
        <f>VLOOKUP(B283,Tabela_Auxiliar[],3,0)</f>
        <v>Saída</v>
      </c>
      <c r="G283" t="str">
        <f>UPPER(TEXT(Tabela_DB[[#This Row],[DATA]],"mmm"))</f>
        <v>JAN</v>
      </c>
      <c r="H283" t="str">
        <f>UPPER(TEXT(Tabela_DB[[#This Row],[DATA]],"aaaa"))</f>
        <v>2021</v>
      </c>
    </row>
    <row r="284" spans="1:8" x14ac:dyDescent="0.25">
      <c r="A284" s="2">
        <v>44213</v>
      </c>
      <c r="B284" t="s">
        <v>37</v>
      </c>
      <c r="C284">
        <v>-4558</v>
      </c>
      <c r="D284" t="str">
        <f>VLOOKUP(B284,Tabela_Auxiliar[],2,0)</f>
        <v>3. Custos do Produto/Mercadoria/Serviço</v>
      </c>
      <c r="E284" t="str">
        <f>VLOOKUP(B284,Tabela_Auxiliar[],4,0)</f>
        <v>Despesas c/ Produto</v>
      </c>
      <c r="F284" t="str">
        <f>VLOOKUP(B284,Tabela_Auxiliar[],3,0)</f>
        <v>Saída</v>
      </c>
      <c r="G284" t="str">
        <f>UPPER(TEXT(Tabela_DB[[#This Row],[DATA]],"mmm"))</f>
        <v>JAN</v>
      </c>
      <c r="H284" t="str">
        <f>UPPER(TEXT(Tabela_DB[[#This Row],[DATA]],"aaaa"))</f>
        <v>2021</v>
      </c>
    </row>
    <row r="285" spans="1:8" x14ac:dyDescent="0.25">
      <c r="A285" s="2">
        <v>44213</v>
      </c>
      <c r="B285" t="s">
        <v>4</v>
      </c>
      <c r="C285">
        <v>10692</v>
      </c>
      <c r="D285" t="str">
        <f>VLOOKUP(B285,Tabela_Auxiliar[],2,0)</f>
        <v>1. Receita Operacional Bruta</v>
      </c>
      <c r="E285" t="str">
        <f>VLOOKUP(B285,Tabela_Auxiliar[],4,0)</f>
        <v>Receita Bruta</v>
      </c>
      <c r="F285" t="str">
        <f>VLOOKUP(B285,Tabela_Auxiliar[],3,0)</f>
        <v>Entrada</v>
      </c>
      <c r="G285" t="str">
        <f>UPPER(TEXT(Tabela_DB[[#This Row],[DATA]],"mmm"))</f>
        <v>JAN</v>
      </c>
      <c r="H285" t="str">
        <f>UPPER(TEXT(Tabela_DB[[#This Row],[DATA]],"aaaa"))</f>
        <v>2021</v>
      </c>
    </row>
    <row r="286" spans="1:8" x14ac:dyDescent="0.25">
      <c r="A286" s="2">
        <v>44213</v>
      </c>
      <c r="B286" t="s">
        <v>3</v>
      </c>
      <c r="C286">
        <v>10832</v>
      </c>
      <c r="D286" t="str">
        <f>VLOOKUP(B286,Tabela_Auxiliar[],2,0)</f>
        <v>1. Receita Operacional Bruta</v>
      </c>
      <c r="E286" t="str">
        <f>VLOOKUP(B286,Tabela_Auxiliar[],4,0)</f>
        <v>Receita Bruta</v>
      </c>
      <c r="F286" t="str">
        <f>VLOOKUP(B286,Tabela_Auxiliar[],3,0)</f>
        <v>Entrada</v>
      </c>
      <c r="G286" t="str">
        <f>UPPER(TEXT(Tabela_DB[[#This Row],[DATA]],"mmm"))</f>
        <v>JAN</v>
      </c>
      <c r="H286" t="str">
        <f>UPPER(TEXT(Tabela_DB[[#This Row],[DATA]],"aaaa"))</f>
        <v>2021</v>
      </c>
    </row>
    <row r="287" spans="1:8" x14ac:dyDescent="0.25">
      <c r="A287" s="2">
        <v>44213</v>
      </c>
      <c r="B287" t="s">
        <v>35</v>
      </c>
      <c r="C287">
        <v>-1350</v>
      </c>
      <c r="D287" t="str">
        <f>VLOOKUP(B287,Tabela_Auxiliar[],2,0)</f>
        <v>2. Deduções da Receita</v>
      </c>
      <c r="E287" t="str">
        <f>VLOOKUP(B287,Tabela_Auxiliar[],4,0)</f>
        <v>Imposto</v>
      </c>
      <c r="F287" t="str">
        <f>VLOOKUP(B287,Tabela_Auxiliar[],3,0)</f>
        <v>Saída</v>
      </c>
      <c r="G287" t="str">
        <f>UPPER(TEXT(Tabela_DB[[#This Row],[DATA]],"mmm"))</f>
        <v>JAN</v>
      </c>
      <c r="H287" t="str">
        <f>UPPER(TEXT(Tabela_DB[[#This Row],[DATA]],"aaaa"))</f>
        <v>2021</v>
      </c>
    </row>
    <row r="288" spans="1:8" x14ac:dyDescent="0.25">
      <c r="A288" s="2">
        <v>44214</v>
      </c>
      <c r="B288" t="s">
        <v>88</v>
      </c>
      <c r="C288">
        <v>-1818</v>
      </c>
      <c r="D288" t="str">
        <f>VLOOKUP(B288,Tabela_Auxiliar[],2,0)</f>
        <v>4. Despesas Operacionais</v>
      </c>
      <c r="E288" t="str">
        <f>VLOOKUP(B288,Tabela_Auxiliar[],4,0)</f>
        <v>Despesa Tributária</v>
      </c>
      <c r="F288" t="str">
        <f>VLOOKUP(B288,Tabela_Auxiliar[],3,0)</f>
        <v>Saída</v>
      </c>
      <c r="G288" t="str">
        <f>UPPER(TEXT(Tabela_DB[[#This Row],[DATA]],"mmm"))</f>
        <v>JAN</v>
      </c>
      <c r="H288" t="str">
        <f>UPPER(TEXT(Tabela_DB[[#This Row],[DATA]],"aaaa"))</f>
        <v>2021</v>
      </c>
    </row>
    <row r="289" spans="1:8" x14ac:dyDescent="0.25">
      <c r="A289" s="2">
        <v>44214</v>
      </c>
      <c r="B289" t="s">
        <v>34</v>
      </c>
      <c r="C289">
        <v>-1118</v>
      </c>
      <c r="D289" t="str">
        <f>VLOOKUP(B289,Tabela_Auxiliar[],2,0)</f>
        <v>2. Deduções da Receita</v>
      </c>
      <c r="E289" t="str">
        <f>VLOOKUP(B289,Tabela_Auxiliar[],4,0)</f>
        <v>Imposto</v>
      </c>
      <c r="F289" t="str">
        <f>VLOOKUP(B289,Tabela_Auxiliar[],3,0)</f>
        <v>Saída</v>
      </c>
      <c r="G289" t="str">
        <f>UPPER(TEXT(Tabela_DB[[#This Row],[DATA]],"mmm"))</f>
        <v>JAN</v>
      </c>
      <c r="H289" t="str">
        <f>UPPER(TEXT(Tabela_DB[[#This Row],[DATA]],"aaaa"))</f>
        <v>2021</v>
      </c>
    </row>
    <row r="290" spans="1:8" x14ac:dyDescent="0.25">
      <c r="A290" s="2">
        <v>44214</v>
      </c>
      <c r="B290" t="s">
        <v>38</v>
      </c>
      <c r="C290">
        <v>-1064</v>
      </c>
      <c r="D290" t="str">
        <f>VLOOKUP(B290,Tabela_Auxiliar[],2,0)</f>
        <v>2. Deduções da Receita</v>
      </c>
      <c r="E290" t="str">
        <f>VLOOKUP(B290,Tabela_Auxiliar[],4,0)</f>
        <v>Deduções</v>
      </c>
      <c r="F290" t="str">
        <f>VLOOKUP(B290,Tabela_Auxiliar[],3,0)</f>
        <v>Saída</v>
      </c>
      <c r="G290" t="str">
        <f>UPPER(TEXT(Tabela_DB[[#This Row],[DATA]],"mmm"))</f>
        <v>JAN</v>
      </c>
      <c r="H290" t="str">
        <f>UPPER(TEXT(Tabela_DB[[#This Row],[DATA]],"aaaa"))</f>
        <v>2021</v>
      </c>
    </row>
    <row r="291" spans="1:8" x14ac:dyDescent="0.25">
      <c r="A291" s="2">
        <v>44214</v>
      </c>
      <c r="B291" t="s">
        <v>35</v>
      </c>
      <c r="C291">
        <v>-2318</v>
      </c>
      <c r="D291" t="str">
        <f>VLOOKUP(B291,Tabela_Auxiliar[],2,0)</f>
        <v>2. Deduções da Receita</v>
      </c>
      <c r="E291" t="str">
        <f>VLOOKUP(B291,Tabela_Auxiliar[],4,0)</f>
        <v>Imposto</v>
      </c>
      <c r="F291" t="str">
        <f>VLOOKUP(B291,Tabela_Auxiliar[],3,0)</f>
        <v>Saída</v>
      </c>
      <c r="G291" t="str">
        <f>UPPER(TEXT(Tabela_DB[[#This Row],[DATA]],"mmm"))</f>
        <v>JAN</v>
      </c>
      <c r="H291" t="str">
        <f>UPPER(TEXT(Tabela_DB[[#This Row],[DATA]],"aaaa"))</f>
        <v>2021</v>
      </c>
    </row>
    <row r="292" spans="1:8" x14ac:dyDescent="0.25">
      <c r="A292" s="2">
        <v>44214</v>
      </c>
      <c r="B292" t="s">
        <v>3</v>
      </c>
      <c r="C292">
        <v>13453</v>
      </c>
      <c r="D292" t="str">
        <f>VLOOKUP(B292,Tabela_Auxiliar[],2,0)</f>
        <v>1. Receita Operacional Bruta</v>
      </c>
      <c r="E292" t="str">
        <f>VLOOKUP(B292,Tabela_Auxiliar[],4,0)</f>
        <v>Receita Bruta</v>
      </c>
      <c r="F292" t="str">
        <f>VLOOKUP(B292,Tabela_Auxiliar[],3,0)</f>
        <v>Entrada</v>
      </c>
      <c r="G292" t="str">
        <f>UPPER(TEXT(Tabela_DB[[#This Row],[DATA]],"mmm"))</f>
        <v>JAN</v>
      </c>
      <c r="H292" t="str">
        <f>UPPER(TEXT(Tabela_DB[[#This Row],[DATA]],"aaaa"))</f>
        <v>2021</v>
      </c>
    </row>
    <row r="293" spans="1:8" x14ac:dyDescent="0.25">
      <c r="A293" s="2">
        <v>44214</v>
      </c>
      <c r="B293" t="s">
        <v>111</v>
      </c>
      <c r="C293">
        <v>-1581</v>
      </c>
      <c r="D293" t="str">
        <f>VLOOKUP(B293,Tabela_Auxiliar[],2,0)</f>
        <v>2. Deduções da Receita</v>
      </c>
      <c r="E293" t="str">
        <f>VLOOKUP(B293,Tabela_Auxiliar[],4,0)</f>
        <v>Imposto</v>
      </c>
      <c r="F293" t="str">
        <f>VLOOKUP(B293,Tabela_Auxiliar[],3,0)</f>
        <v>Saída</v>
      </c>
      <c r="G293" t="str">
        <f>UPPER(TEXT(Tabela_DB[[#This Row],[DATA]],"mmm"))</f>
        <v>JAN</v>
      </c>
      <c r="H293" t="str">
        <f>UPPER(TEXT(Tabela_DB[[#This Row],[DATA]],"aaaa"))</f>
        <v>2021</v>
      </c>
    </row>
    <row r="294" spans="1:8" x14ac:dyDescent="0.25">
      <c r="A294" s="2">
        <v>44214</v>
      </c>
      <c r="B294" t="s">
        <v>34</v>
      </c>
      <c r="C294">
        <v>-2222</v>
      </c>
      <c r="D294" t="str">
        <f>VLOOKUP(B294,Tabela_Auxiliar[],2,0)</f>
        <v>2. Deduções da Receita</v>
      </c>
      <c r="E294" t="str">
        <f>VLOOKUP(B294,Tabela_Auxiliar[],4,0)</f>
        <v>Imposto</v>
      </c>
      <c r="F294" t="str">
        <f>VLOOKUP(B294,Tabela_Auxiliar[],3,0)</f>
        <v>Saída</v>
      </c>
      <c r="G294" t="str">
        <f>UPPER(TEXT(Tabela_DB[[#This Row],[DATA]],"mmm"))</f>
        <v>JAN</v>
      </c>
      <c r="H294" t="str">
        <f>UPPER(TEXT(Tabela_DB[[#This Row],[DATA]],"aaaa"))</f>
        <v>2021</v>
      </c>
    </row>
    <row r="295" spans="1:8" x14ac:dyDescent="0.25">
      <c r="A295" s="2">
        <v>44214</v>
      </c>
      <c r="B295" t="s">
        <v>84</v>
      </c>
      <c r="C295">
        <v>-1241</v>
      </c>
      <c r="D295" t="str">
        <f>VLOOKUP(B295,Tabela_Auxiliar[],2,0)</f>
        <v>4. Despesas Operacionais</v>
      </c>
      <c r="E295" t="str">
        <f>VLOOKUP(B295,Tabela_Auxiliar[],4,0)</f>
        <v>Despesa com Veículos</v>
      </c>
      <c r="F295" t="str">
        <f>VLOOKUP(B295,Tabela_Auxiliar[],3,0)</f>
        <v>Saída</v>
      </c>
      <c r="G295" t="str">
        <f>UPPER(TEXT(Tabela_DB[[#This Row],[DATA]],"mmm"))</f>
        <v>JAN</v>
      </c>
      <c r="H295" t="str">
        <f>UPPER(TEXT(Tabela_DB[[#This Row],[DATA]],"aaaa"))</f>
        <v>2021</v>
      </c>
    </row>
    <row r="296" spans="1:8" x14ac:dyDescent="0.25">
      <c r="A296" s="2">
        <v>44214</v>
      </c>
      <c r="B296" t="s">
        <v>3</v>
      </c>
      <c r="C296">
        <v>11615</v>
      </c>
      <c r="D296" t="str">
        <f>VLOOKUP(B296,Tabela_Auxiliar[],2,0)</f>
        <v>1. Receita Operacional Bruta</v>
      </c>
      <c r="E296" t="str">
        <f>VLOOKUP(B296,Tabela_Auxiliar[],4,0)</f>
        <v>Receita Bruta</v>
      </c>
      <c r="F296" t="str">
        <f>VLOOKUP(B296,Tabela_Auxiliar[],3,0)</f>
        <v>Entrada</v>
      </c>
      <c r="G296" t="str">
        <f>UPPER(TEXT(Tabela_DB[[#This Row],[DATA]],"mmm"))</f>
        <v>JAN</v>
      </c>
      <c r="H296" t="str">
        <f>UPPER(TEXT(Tabela_DB[[#This Row],[DATA]],"aaaa"))</f>
        <v>2021</v>
      </c>
    </row>
    <row r="297" spans="1:8" x14ac:dyDescent="0.25">
      <c r="A297" s="2">
        <v>44214</v>
      </c>
      <c r="B297" t="s">
        <v>57</v>
      </c>
      <c r="C297">
        <v>-1714</v>
      </c>
      <c r="D297" t="str">
        <f>VLOOKUP(B297,Tabela_Auxiliar[],2,0)</f>
        <v>4. Despesas Operacionais</v>
      </c>
      <c r="E297" t="str">
        <f>VLOOKUP(B297,Tabela_Auxiliar[],4,0)</f>
        <v>Despesa com Pessoal</v>
      </c>
      <c r="F297" t="str">
        <f>VLOOKUP(B297,Tabela_Auxiliar[],3,0)</f>
        <v>Saída</v>
      </c>
      <c r="G297" t="str">
        <f>UPPER(TEXT(Tabela_DB[[#This Row],[DATA]],"mmm"))</f>
        <v>JAN</v>
      </c>
      <c r="H297" t="str">
        <f>UPPER(TEXT(Tabela_DB[[#This Row],[DATA]],"aaaa"))</f>
        <v>2021</v>
      </c>
    </row>
    <row r="298" spans="1:8" x14ac:dyDescent="0.25">
      <c r="A298" s="2">
        <v>44214</v>
      </c>
      <c r="B298" t="s">
        <v>35</v>
      </c>
      <c r="C298">
        <v>-1322</v>
      </c>
      <c r="D298" t="str">
        <f>VLOOKUP(B298,Tabela_Auxiliar[],2,0)</f>
        <v>2. Deduções da Receita</v>
      </c>
      <c r="E298" t="str">
        <f>VLOOKUP(B298,Tabela_Auxiliar[],4,0)</f>
        <v>Imposto</v>
      </c>
      <c r="F298" t="str">
        <f>VLOOKUP(B298,Tabela_Auxiliar[],3,0)</f>
        <v>Saída</v>
      </c>
      <c r="G298" t="str">
        <f>UPPER(TEXT(Tabela_DB[[#This Row],[DATA]],"mmm"))</f>
        <v>JAN</v>
      </c>
      <c r="H298" t="str">
        <f>UPPER(TEXT(Tabela_DB[[#This Row],[DATA]],"aaaa"))</f>
        <v>2021</v>
      </c>
    </row>
    <row r="299" spans="1:8" x14ac:dyDescent="0.25">
      <c r="A299" s="2">
        <v>44214</v>
      </c>
      <c r="B299" t="s">
        <v>3</v>
      </c>
      <c r="C299">
        <v>13155</v>
      </c>
      <c r="D299" t="str">
        <f>VLOOKUP(B299,Tabela_Auxiliar[],2,0)</f>
        <v>1. Receita Operacional Bruta</v>
      </c>
      <c r="E299" t="str">
        <f>VLOOKUP(B299,Tabela_Auxiliar[],4,0)</f>
        <v>Receita Bruta</v>
      </c>
      <c r="F299" t="str">
        <f>VLOOKUP(B299,Tabela_Auxiliar[],3,0)</f>
        <v>Entrada</v>
      </c>
      <c r="G299" t="str">
        <f>UPPER(TEXT(Tabela_DB[[#This Row],[DATA]],"mmm"))</f>
        <v>JAN</v>
      </c>
      <c r="H299" t="str">
        <f>UPPER(TEXT(Tabela_DB[[#This Row],[DATA]],"aaaa"))</f>
        <v>2021</v>
      </c>
    </row>
    <row r="300" spans="1:8" x14ac:dyDescent="0.25">
      <c r="A300" s="2">
        <v>44214</v>
      </c>
      <c r="B300" t="s">
        <v>55</v>
      </c>
      <c r="C300">
        <v>-2168</v>
      </c>
      <c r="D300" t="str">
        <f>VLOOKUP(B300,Tabela_Auxiliar[],2,0)</f>
        <v>4. Despesas Operacionais</v>
      </c>
      <c r="E300" t="str">
        <f>VLOOKUP(B300,Tabela_Auxiliar[],4,0)</f>
        <v>Despesa com Pessoal</v>
      </c>
      <c r="F300" t="str">
        <f>VLOOKUP(B300,Tabela_Auxiliar[],3,0)</f>
        <v>Saída</v>
      </c>
      <c r="G300" t="str">
        <f>UPPER(TEXT(Tabela_DB[[#This Row],[DATA]],"mmm"))</f>
        <v>JAN</v>
      </c>
      <c r="H300" t="str">
        <f>UPPER(TEXT(Tabela_DB[[#This Row],[DATA]],"aaaa"))</f>
        <v>2021</v>
      </c>
    </row>
    <row r="301" spans="1:8" x14ac:dyDescent="0.25">
      <c r="A301" s="2">
        <v>44214</v>
      </c>
      <c r="B301" t="s">
        <v>38</v>
      </c>
      <c r="C301">
        <v>-2021</v>
      </c>
      <c r="D301" t="str">
        <f>VLOOKUP(B301,Tabela_Auxiliar[],2,0)</f>
        <v>2. Deduções da Receita</v>
      </c>
      <c r="E301" t="str">
        <f>VLOOKUP(B301,Tabela_Auxiliar[],4,0)</f>
        <v>Deduções</v>
      </c>
      <c r="F301" t="str">
        <f>VLOOKUP(B301,Tabela_Auxiliar[],3,0)</f>
        <v>Saída</v>
      </c>
      <c r="G301" t="str">
        <f>UPPER(TEXT(Tabela_DB[[#This Row],[DATA]],"mmm"))</f>
        <v>JAN</v>
      </c>
      <c r="H301" t="str">
        <f>UPPER(TEXT(Tabela_DB[[#This Row],[DATA]],"aaaa"))</f>
        <v>2021</v>
      </c>
    </row>
    <row r="302" spans="1:8" x14ac:dyDescent="0.25">
      <c r="A302" s="2">
        <v>44214</v>
      </c>
      <c r="B302" t="s">
        <v>34</v>
      </c>
      <c r="C302">
        <v>-1327</v>
      </c>
      <c r="D302" t="str">
        <f>VLOOKUP(B302,Tabela_Auxiliar[],2,0)</f>
        <v>2. Deduções da Receita</v>
      </c>
      <c r="E302" t="str">
        <f>VLOOKUP(B302,Tabela_Auxiliar[],4,0)</f>
        <v>Imposto</v>
      </c>
      <c r="F302" t="str">
        <f>VLOOKUP(B302,Tabela_Auxiliar[],3,0)</f>
        <v>Saída</v>
      </c>
      <c r="G302" t="str">
        <f>UPPER(TEXT(Tabela_DB[[#This Row],[DATA]],"mmm"))</f>
        <v>JAN</v>
      </c>
      <c r="H302" t="str">
        <f>UPPER(TEXT(Tabela_DB[[#This Row],[DATA]],"aaaa"))</f>
        <v>2021</v>
      </c>
    </row>
    <row r="303" spans="1:8" x14ac:dyDescent="0.25">
      <c r="A303" s="2">
        <v>44214</v>
      </c>
      <c r="B303" t="s">
        <v>4</v>
      </c>
      <c r="C303">
        <v>10625</v>
      </c>
      <c r="D303" t="str">
        <f>VLOOKUP(B303,Tabela_Auxiliar[],2,0)</f>
        <v>1. Receita Operacional Bruta</v>
      </c>
      <c r="E303" t="str">
        <f>VLOOKUP(B303,Tabela_Auxiliar[],4,0)</f>
        <v>Receita Bruta</v>
      </c>
      <c r="F303" t="str">
        <f>VLOOKUP(B303,Tabela_Auxiliar[],3,0)</f>
        <v>Entrada</v>
      </c>
      <c r="G303" t="str">
        <f>UPPER(TEXT(Tabela_DB[[#This Row],[DATA]],"mmm"))</f>
        <v>JAN</v>
      </c>
      <c r="H303" t="str">
        <f>UPPER(TEXT(Tabela_DB[[#This Row],[DATA]],"aaaa"))</f>
        <v>2021</v>
      </c>
    </row>
    <row r="304" spans="1:8" x14ac:dyDescent="0.25">
      <c r="A304" s="2">
        <v>44214</v>
      </c>
      <c r="B304" t="s">
        <v>37</v>
      </c>
      <c r="C304">
        <v>-4522</v>
      </c>
      <c r="D304" t="str">
        <f>VLOOKUP(B304,Tabela_Auxiliar[],2,0)</f>
        <v>3. Custos do Produto/Mercadoria/Serviço</v>
      </c>
      <c r="E304" t="str">
        <f>VLOOKUP(B304,Tabela_Auxiliar[],4,0)</f>
        <v>Despesas c/ Produto</v>
      </c>
      <c r="F304" t="str">
        <f>VLOOKUP(B304,Tabela_Auxiliar[],3,0)</f>
        <v>Saída</v>
      </c>
      <c r="G304" t="str">
        <f>UPPER(TEXT(Tabela_DB[[#This Row],[DATA]],"mmm"))</f>
        <v>JAN</v>
      </c>
      <c r="H304" t="str">
        <f>UPPER(TEXT(Tabela_DB[[#This Row],[DATA]],"aaaa"))</f>
        <v>2021</v>
      </c>
    </row>
    <row r="305" spans="1:8" x14ac:dyDescent="0.25">
      <c r="A305" s="2">
        <v>44214</v>
      </c>
      <c r="B305" t="s">
        <v>4</v>
      </c>
      <c r="C305">
        <v>12345</v>
      </c>
      <c r="D305" t="str">
        <f>VLOOKUP(B305,Tabela_Auxiliar[],2,0)</f>
        <v>1. Receita Operacional Bruta</v>
      </c>
      <c r="E305" t="str">
        <f>VLOOKUP(B305,Tabela_Auxiliar[],4,0)</f>
        <v>Receita Bruta</v>
      </c>
      <c r="F305" t="str">
        <f>VLOOKUP(B305,Tabela_Auxiliar[],3,0)</f>
        <v>Entrada</v>
      </c>
      <c r="G305" t="str">
        <f>UPPER(TEXT(Tabela_DB[[#This Row],[DATA]],"mmm"))</f>
        <v>JAN</v>
      </c>
      <c r="H305" t="str">
        <f>UPPER(TEXT(Tabela_DB[[#This Row],[DATA]],"aaaa"))</f>
        <v>2021</v>
      </c>
    </row>
    <row r="306" spans="1:8" x14ac:dyDescent="0.25">
      <c r="A306" s="2">
        <v>44215</v>
      </c>
      <c r="B306" t="s">
        <v>37</v>
      </c>
      <c r="C306">
        <v>-4186</v>
      </c>
      <c r="D306" t="str">
        <f>VLOOKUP(B306,Tabela_Auxiliar[],2,0)</f>
        <v>3. Custos do Produto/Mercadoria/Serviço</v>
      </c>
      <c r="E306" t="str">
        <f>VLOOKUP(B306,Tabela_Auxiliar[],4,0)</f>
        <v>Despesas c/ Produto</v>
      </c>
      <c r="F306" t="str">
        <f>VLOOKUP(B306,Tabela_Auxiliar[],3,0)</f>
        <v>Saída</v>
      </c>
      <c r="G306" t="str">
        <f>UPPER(TEXT(Tabela_DB[[#This Row],[DATA]],"mmm"))</f>
        <v>JAN</v>
      </c>
      <c r="H306" t="str">
        <f>UPPER(TEXT(Tabela_DB[[#This Row],[DATA]],"aaaa"))</f>
        <v>2021</v>
      </c>
    </row>
    <row r="307" spans="1:8" x14ac:dyDescent="0.25">
      <c r="A307" s="2">
        <v>44215</v>
      </c>
      <c r="B307" t="s">
        <v>3</v>
      </c>
      <c r="C307">
        <v>11149</v>
      </c>
      <c r="D307" t="str">
        <f>VLOOKUP(B307,Tabela_Auxiliar[],2,0)</f>
        <v>1. Receita Operacional Bruta</v>
      </c>
      <c r="E307" t="str">
        <f>VLOOKUP(B307,Tabela_Auxiliar[],4,0)</f>
        <v>Receita Bruta</v>
      </c>
      <c r="F307" t="str">
        <f>VLOOKUP(B307,Tabela_Auxiliar[],3,0)</f>
        <v>Entrada</v>
      </c>
      <c r="G307" t="str">
        <f>UPPER(TEXT(Tabela_DB[[#This Row],[DATA]],"mmm"))</f>
        <v>JAN</v>
      </c>
      <c r="H307" t="str">
        <f>UPPER(TEXT(Tabela_DB[[#This Row],[DATA]],"aaaa"))</f>
        <v>2021</v>
      </c>
    </row>
    <row r="308" spans="1:8" x14ac:dyDescent="0.25">
      <c r="A308" s="2">
        <v>44215</v>
      </c>
      <c r="B308" t="s">
        <v>3</v>
      </c>
      <c r="C308">
        <v>13090</v>
      </c>
      <c r="D308" t="str">
        <f>VLOOKUP(B308,Tabela_Auxiliar[],2,0)</f>
        <v>1. Receita Operacional Bruta</v>
      </c>
      <c r="E308" t="str">
        <f>VLOOKUP(B308,Tabela_Auxiliar[],4,0)</f>
        <v>Receita Bruta</v>
      </c>
      <c r="F308" t="str">
        <f>VLOOKUP(B308,Tabela_Auxiliar[],3,0)</f>
        <v>Entrada</v>
      </c>
      <c r="G308" t="str">
        <f>UPPER(TEXT(Tabela_DB[[#This Row],[DATA]],"mmm"))</f>
        <v>JAN</v>
      </c>
      <c r="H308" t="str">
        <f>UPPER(TEXT(Tabela_DB[[#This Row],[DATA]],"aaaa"))</f>
        <v>2021</v>
      </c>
    </row>
    <row r="309" spans="1:8" x14ac:dyDescent="0.25">
      <c r="A309" s="2">
        <v>44215</v>
      </c>
      <c r="B309" t="s">
        <v>78</v>
      </c>
      <c r="C309">
        <v>-1863</v>
      </c>
      <c r="D309" t="str">
        <f>VLOOKUP(B309,Tabela_Auxiliar[],2,0)</f>
        <v>4. Despesas Operacionais</v>
      </c>
      <c r="E309" t="str">
        <f>VLOOKUP(B309,Tabela_Auxiliar[],4,0)</f>
        <v>Serviços Contratados</v>
      </c>
      <c r="F309" t="str">
        <f>VLOOKUP(B309,Tabela_Auxiliar[],3,0)</f>
        <v>Saída</v>
      </c>
      <c r="G309" t="str">
        <f>UPPER(TEXT(Tabela_DB[[#This Row],[DATA]],"mmm"))</f>
        <v>JAN</v>
      </c>
      <c r="H309" t="str">
        <f>UPPER(TEXT(Tabela_DB[[#This Row],[DATA]],"aaaa"))</f>
        <v>2021</v>
      </c>
    </row>
    <row r="310" spans="1:8" x14ac:dyDescent="0.25">
      <c r="A310" s="2">
        <v>44215</v>
      </c>
      <c r="B310" t="s">
        <v>44</v>
      </c>
      <c r="C310">
        <v>-1785</v>
      </c>
      <c r="D310" t="str">
        <f>VLOOKUP(B310,Tabela_Auxiliar[],2,0)</f>
        <v>4. Despesas Operacionais</v>
      </c>
      <c r="E310" t="str">
        <f>VLOOKUP(B310,Tabela_Auxiliar[],4,0)</f>
        <v>Despesa com Pessoal</v>
      </c>
      <c r="F310" t="str">
        <f>VLOOKUP(B310,Tabela_Auxiliar[],3,0)</f>
        <v>Saída</v>
      </c>
      <c r="G310" t="str">
        <f>UPPER(TEXT(Tabela_DB[[#This Row],[DATA]],"mmm"))</f>
        <v>JAN</v>
      </c>
      <c r="H310" t="str">
        <f>UPPER(TEXT(Tabela_DB[[#This Row],[DATA]],"aaaa"))</f>
        <v>2021</v>
      </c>
    </row>
    <row r="311" spans="1:8" x14ac:dyDescent="0.25">
      <c r="A311" s="2">
        <v>44215</v>
      </c>
      <c r="B311" t="s">
        <v>3</v>
      </c>
      <c r="C311">
        <v>12202</v>
      </c>
      <c r="D311" t="str">
        <f>VLOOKUP(B311,Tabela_Auxiliar[],2,0)</f>
        <v>1. Receita Operacional Bruta</v>
      </c>
      <c r="E311" t="str">
        <f>VLOOKUP(B311,Tabela_Auxiliar[],4,0)</f>
        <v>Receita Bruta</v>
      </c>
      <c r="F311" t="str">
        <f>VLOOKUP(B311,Tabela_Auxiliar[],3,0)</f>
        <v>Entrada</v>
      </c>
      <c r="G311" t="str">
        <f>UPPER(TEXT(Tabela_DB[[#This Row],[DATA]],"mmm"))</f>
        <v>JAN</v>
      </c>
      <c r="H311" t="str">
        <f>UPPER(TEXT(Tabela_DB[[#This Row],[DATA]],"aaaa"))</f>
        <v>2021</v>
      </c>
    </row>
    <row r="312" spans="1:8" x14ac:dyDescent="0.25">
      <c r="A312" s="2">
        <v>44215</v>
      </c>
      <c r="B312" t="s">
        <v>111</v>
      </c>
      <c r="C312">
        <v>-1538</v>
      </c>
      <c r="D312" t="str">
        <f>VLOOKUP(B312,Tabela_Auxiliar[],2,0)</f>
        <v>2. Deduções da Receita</v>
      </c>
      <c r="E312" t="str">
        <f>VLOOKUP(B312,Tabela_Auxiliar[],4,0)</f>
        <v>Imposto</v>
      </c>
      <c r="F312" t="str">
        <f>VLOOKUP(B312,Tabela_Auxiliar[],3,0)</f>
        <v>Saída</v>
      </c>
      <c r="G312" t="str">
        <f>UPPER(TEXT(Tabela_DB[[#This Row],[DATA]],"mmm"))</f>
        <v>JAN</v>
      </c>
      <c r="H312" t="str">
        <f>UPPER(TEXT(Tabela_DB[[#This Row],[DATA]],"aaaa"))</f>
        <v>2021</v>
      </c>
    </row>
    <row r="313" spans="1:8" x14ac:dyDescent="0.25">
      <c r="A313" s="2">
        <v>44215</v>
      </c>
      <c r="B313" t="s">
        <v>102</v>
      </c>
      <c r="C313">
        <v>-1607</v>
      </c>
      <c r="D313" t="str">
        <f>VLOOKUP(B313,Tabela_Auxiliar[],2,0)</f>
        <v>6. Resultado após o Resultado Financeiro</v>
      </c>
      <c r="E313" t="str">
        <f>VLOOKUP(B313,Tabela_Auxiliar[],4,0)</f>
        <v>EBTIDA</v>
      </c>
      <c r="F313" t="str">
        <f>VLOOKUP(B313,Tabela_Auxiliar[],3,0)</f>
        <v>Saída</v>
      </c>
      <c r="G313" t="str">
        <f>UPPER(TEXT(Tabela_DB[[#This Row],[DATA]],"mmm"))</f>
        <v>JAN</v>
      </c>
      <c r="H313" t="str">
        <f>UPPER(TEXT(Tabela_DB[[#This Row],[DATA]],"aaaa"))</f>
        <v>2021</v>
      </c>
    </row>
    <row r="314" spans="1:8" x14ac:dyDescent="0.25">
      <c r="A314" s="2">
        <v>44215</v>
      </c>
      <c r="B314" t="s">
        <v>90</v>
      </c>
      <c r="C314">
        <v>-1360</v>
      </c>
      <c r="D314" t="str">
        <f>VLOOKUP(B314,Tabela_Auxiliar[],2,0)</f>
        <v>4. Despesas Operacionais</v>
      </c>
      <c r="E314" t="str">
        <f>VLOOKUP(B314,Tabela_Auxiliar[],4,0)</f>
        <v>Despesa Tributária</v>
      </c>
      <c r="F314" t="str">
        <f>VLOOKUP(B314,Tabela_Auxiliar[],3,0)</f>
        <v>Saída</v>
      </c>
      <c r="G314" t="str">
        <f>UPPER(TEXT(Tabela_DB[[#This Row],[DATA]],"mmm"))</f>
        <v>JAN</v>
      </c>
      <c r="H314" t="str">
        <f>UPPER(TEXT(Tabela_DB[[#This Row],[DATA]],"aaaa"))</f>
        <v>2021</v>
      </c>
    </row>
    <row r="315" spans="1:8" x14ac:dyDescent="0.25">
      <c r="A315" s="2">
        <v>44215</v>
      </c>
      <c r="B315" t="s">
        <v>42</v>
      </c>
      <c r="C315">
        <v>-1201</v>
      </c>
      <c r="D315" t="str">
        <f>VLOOKUP(B315,Tabela_Auxiliar[],2,0)</f>
        <v>4. Despesas Operacionais</v>
      </c>
      <c r="E315" t="str">
        <f>VLOOKUP(B315,Tabela_Auxiliar[],4,0)</f>
        <v>Despesa com Pessoal</v>
      </c>
      <c r="F315" t="str">
        <f>VLOOKUP(B315,Tabela_Auxiliar[],3,0)</f>
        <v>Saída</v>
      </c>
      <c r="G315" t="str">
        <f>UPPER(TEXT(Tabela_DB[[#This Row],[DATA]],"mmm"))</f>
        <v>JAN</v>
      </c>
      <c r="H315" t="str">
        <f>UPPER(TEXT(Tabela_DB[[#This Row],[DATA]],"aaaa"))</f>
        <v>2021</v>
      </c>
    </row>
    <row r="316" spans="1:8" x14ac:dyDescent="0.25">
      <c r="A316" s="2">
        <v>44215</v>
      </c>
      <c r="B316" t="s">
        <v>35</v>
      </c>
      <c r="C316">
        <v>-2310</v>
      </c>
      <c r="D316" t="str">
        <f>VLOOKUP(B316,Tabela_Auxiliar[],2,0)</f>
        <v>2. Deduções da Receita</v>
      </c>
      <c r="E316" t="str">
        <f>VLOOKUP(B316,Tabela_Auxiliar[],4,0)</f>
        <v>Imposto</v>
      </c>
      <c r="F316" t="str">
        <f>VLOOKUP(B316,Tabela_Auxiliar[],3,0)</f>
        <v>Saída</v>
      </c>
      <c r="G316" t="str">
        <f>UPPER(TEXT(Tabela_DB[[#This Row],[DATA]],"mmm"))</f>
        <v>JAN</v>
      </c>
      <c r="H316" t="str">
        <f>UPPER(TEXT(Tabela_DB[[#This Row],[DATA]],"aaaa"))</f>
        <v>2021</v>
      </c>
    </row>
    <row r="317" spans="1:8" x14ac:dyDescent="0.25">
      <c r="A317" s="2">
        <v>44215</v>
      </c>
      <c r="B317" t="s">
        <v>79</v>
      </c>
      <c r="C317">
        <v>-1094</v>
      </c>
      <c r="D317" t="str">
        <f>VLOOKUP(B317,Tabela_Auxiliar[],2,0)</f>
        <v>4. Despesas Operacionais</v>
      </c>
      <c r="E317" t="str">
        <f>VLOOKUP(B317,Tabela_Auxiliar[],4,0)</f>
        <v>Serviços Contratados</v>
      </c>
      <c r="F317" t="str">
        <f>VLOOKUP(B317,Tabela_Auxiliar[],3,0)</f>
        <v>Saída</v>
      </c>
      <c r="G317" t="str">
        <f>UPPER(TEXT(Tabela_DB[[#This Row],[DATA]],"mmm"))</f>
        <v>JAN</v>
      </c>
      <c r="H317" t="str">
        <f>UPPER(TEXT(Tabela_DB[[#This Row],[DATA]],"aaaa"))</f>
        <v>2021</v>
      </c>
    </row>
    <row r="318" spans="1:8" x14ac:dyDescent="0.25">
      <c r="A318" s="2">
        <v>44216</v>
      </c>
      <c r="B318" t="s">
        <v>3</v>
      </c>
      <c r="C318">
        <v>11061</v>
      </c>
      <c r="D318" t="str">
        <f>VLOOKUP(B318,Tabela_Auxiliar[],2,0)</f>
        <v>1. Receita Operacional Bruta</v>
      </c>
      <c r="E318" t="str">
        <f>VLOOKUP(B318,Tabela_Auxiliar[],4,0)</f>
        <v>Receita Bruta</v>
      </c>
      <c r="F318" t="str">
        <f>VLOOKUP(B318,Tabela_Auxiliar[],3,0)</f>
        <v>Entrada</v>
      </c>
      <c r="G318" t="str">
        <f>UPPER(TEXT(Tabela_DB[[#This Row],[DATA]],"mmm"))</f>
        <v>JAN</v>
      </c>
      <c r="H318" t="str">
        <f>UPPER(TEXT(Tabela_DB[[#This Row],[DATA]],"aaaa"))</f>
        <v>2021</v>
      </c>
    </row>
    <row r="319" spans="1:8" x14ac:dyDescent="0.25">
      <c r="A319" s="2">
        <v>44216</v>
      </c>
      <c r="B319" t="s">
        <v>35</v>
      </c>
      <c r="C319">
        <v>-1372</v>
      </c>
      <c r="D319" t="str">
        <f>VLOOKUP(B319,Tabela_Auxiliar[],2,0)</f>
        <v>2. Deduções da Receita</v>
      </c>
      <c r="E319" t="str">
        <f>VLOOKUP(B319,Tabela_Auxiliar[],4,0)</f>
        <v>Imposto</v>
      </c>
      <c r="F319" t="str">
        <f>VLOOKUP(B319,Tabela_Auxiliar[],3,0)</f>
        <v>Saída</v>
      </c>
      <c r="G319" t="str">
        <f>UPPER(TEXT(Tabela_DB[[#This Row],[DATA]],"mmm"))</f>
        <v>JAN</v>
      </c>
      <c r="H319" t="str">
        <f>UPPER(TEXT(Tabela_DB[[#This Row],[DATA]],"aaaa"))</f>
        <v>2021</v>
      </c>
    </row>
    <row r="320" spans="1:8" x14ac:dyDescent="0.25">
      <c r="A320" s="2">
        <v>44216</v>
      </c>
      <c r="B320" t="s">
        <v>111</v>
      </c>
      <c r="C320">
        <v>-2370</v>
      </c>
      <c r="D320" t="str">
        <f>VLOOKUP(B320,Tabela_Auxiliar[],2,0)</f>
        <v>2. Deduções da Receita</v>
      </c>
      <c r="E320" t="str">
        <f>VLOOKUP(B320,Tabela_Auxiliar[],4,0)</f>
        <v>Imposto</v>
      </c>
      <c r="F320" t="str">
        <f>VLOOKUP(B320,Tabela_Auxiliar[],3,0)</f>
        <v>Saída</v>
      </c>
      <c r="G320" t="str">
        <f>UPPER(TEXT(Tabela_DB[[#This Row],[DATA]],"mmm"))</f>
        <v>JAN</v>
      </c>
      <c r="H320" t="str">
        <f>UPPER(TEXT(Tabela_DB[[#This Row],[DATA]],"aaaa"))</f>
        <v>2021</v>
      </c>
    </row>
    <row r="321" spans="1:8" x14ac:dyDescent="0.25">
      <c r="A321" s="2">
        <v>44216</v>
      </c>
      <c r="B321" t="s">
        <v>4</v>
      </c>
      <c r="C321">
        <v>10717</v>
      </c>
      <c r="D321" t="str">
        <f>VLOOKUP(B321,Tabela_Auxiliar[],2,0)</f>
        <v>1. Receita Operacional Bruta</v>
      </c>
      <c r="E321" t="str">
        <f>VLOOKUP(B321,Tabela_Auxiliar[],4,0)</f>
        <v>Receita Bruta</v>
      </c>
      <c r="F321" t="str">
        <f>VLOOKUP(B321,Tabela_Auxiliar[],3,0)</f>
        <v>Entrada</v>
      </c>
      <c r="G321" t="str">
        <f>UPPER(TEXT(Tabela_DB[[#This Row],[DATA]],"mmm"))</f>
        <v>JAN</v>
      </c>
      <c r="H321" t="str">
        <f>UPPER(TEXT(Tabela_DB[[#This Row],[DATA]],"aaaa"))</f>
        <v>2021</v>
      </c>
    </row>
    <row r="322" spans="1:8" x14ac:dyDescent="0.25">
      <c r="A322" s="2">
        <v>44216</v>
      </c>
      <c r="B322" t="s">
        <v>80</v>
      </c>
      <c r="C322">
        <v>-1410</v>
      </c>
      <c r="D322" t="str">
        <f>VLOOKUP(B322,Tabela_Auxiliar[],2,0)</f>
        <v>4. Despesas Operacionais</v>
      </c>
      <c r="E322" t="str">
        <f>VLOOKUP(B322,Tabela_Auxiliar[],4,0)</f>
        <v>Serviços Contratados</v>
      </c>
      <c r="F322" t="str">
        <f>VLOOKUP(B322,Tabela_Auxiliar[],3,0)</f>
        <v>Saída</v>
      </c>
      <c r="G322" t="str">
        <f>UPPER(TEXT(Tabela_DB[[#This Row],[DATA]],"mmm"))</f>
        <v>JAN</v>
      </c>
      <c r="H322" t="str">
        <f>UPPER(TEXT(Tabela_DB[[#This Row],[DATA]],"aaaa"))</f>
        <v>2021</v>
      </c>
    </row>
    <row r="323" spans="1:8" x14ac:dyDescent="0.25">
      <c r="A323" s="2">
        <v>44216</v>
      </c>
      <c r="B323" t="s">
        <v>4</v>
      </c>
      <c r="C323">
        <v>10208</v>
      </c>
      <c r="D323" t="str">
        <f>VLOOKUP(B323,Tabela_Auxiliar[],2,0)</f>
        <v>1. Receita Operacional Bruta</v>
      </c>
      <c r="E323" t="str">
        <f>VLOOKUP(B323,Tabela_Auxiliar[],4,0)</f>
        <v>Receita Bruta</v>
      </c>
      <c r="F323" t="str">
        <f>VLOOKUP(B323,Tabela_Auxiliar[],3,0)</f>
        <v>Entrada</v>
      </c>
      <c r="G323" t="str">
        <f>UPPER(TEXT(Tabela_DB[[#This Row],[DATA]],"mmm"))</f>
        <v>JAN</v>
      </c>
      <c r="H323" t="str">
        <f>UPPER(TEXT(Tabela_DB[[#This Row],[DATA]],"aaaa"))</f>
        <v>2021</v>
      </c>
    </row>
    <row r="324" spans="1:8" x14ac:dyDescent="0.25">
      <c r="A324" s="2">
        <v>44216</v>
      </c>
      <c r="B324" t="s">
        <v>64</v>
      </c>
      <c r="C324">
        <v>-2386</v>
      </c>
      <c r="D324" t="str">
        <f>VLOOKUP(B324,Tabela_Auxiliar[],2,0)</f>
        <v>4. Despesas Operacionais</v>
      </c>
      <c r="E324" t="str">
        <f>VLOOKUP(B324,Tabela_Auxiliar[],4,0)</f>
        <v>Despesa Gerais</v>
      </c>
      <c r="F324" t="str">
        <f>VLOOKUP(B324,Tabela_Auxiliar[],3,0)</f>
        <v>Saída</v>
      </c>
      <c r="G324" t="str">
        <f>UPPER(TEXT(Tabela_DB[[#This Row],[DATA]],"mmm"))</f>
        <v>JAN</v>
      </c>
      <c r="H324" t="str">
        <f>UPPER(TEXT(Tabela_DB[[#This Row],[DATA]],"aaaa"))</f>
        <v>2021</v>
      </c>
    </row>
    <row r="325" spans="1:8" x14ac:dyDescent="0.25">
      <c r="A325" s="2">
        <v>44216</v>
      </c>
      <c r="B325" t="s">
        <v>38</v>
      </c>
      <c r="C325">
        <v>-2261</v>
      </c>
      <c r="D325" t="str">
        <f>VLOOKUP(B325,Tabela_Auxiliar[],2,0)</f>
        <v>2. Deduções da Receita</v>
      </c>
      <c r="E325" t="str">
        <f>VLOOKUP(B325,Tabela_Auxiliar[],4,0)</f>
        <v>Deduções</v>
      </c>
      <c r="F325" t="str">
        <f>VLOOKUP(B325,Tabela_Auxiliar[],3,0)</f>
        <v>Saída</v>
      </c>
      <c r="G325" t="str">
        <f>UPPER(TEXT(Tabela_DB[[#This Row],[DATA]],"mmm"))</f>
        <v>JAN</v>
      </c>
      <c r="H325" t="str">
        <f>UPPER(TEXT(Tabela_DB[[#This Row],[DATA]],"aaaa"))</f>
        <v>2021</v>
      </c>
    </row>
    <row r="326" spans="1:8" x14ac:dyDescent="0.25">
      <c r="A326" s="2">
        <v>44216</v>
      </c>
      <c r="B326" t="s">
        <v>70</v>
      </c>
      <c r="C326">
        <v>-2160</v>
      </c>
      <c r="D326" t="str">
        <f>VLOOKUP(B326,Tabela_Auxiliar[],2,0)</f>
        <v>4. Despesas Operacionais</v>
      </c>
      <c r="E326" t="str">
        <f>VLOOKUP(B326,Tabela_Auxiliar[],4,0)</f>
        <v>Despesa com Ocupação</v>
      </c>
      <c r="F326" t="str">
        <f>VLOOKUP(B326,Tabela_Auxiliar[],3,0)</f>
        <v>Saída</v>
      </c>
      <c r="G326" t="str">
        <f>UPPER(TEXT(Tabela_DB[[#This Row],[DATA]],"mmm"))</f>
        <v>JAN</v>
      </c>
      <c r="H326" t="str">
        <f>UPPER(TEXT(Tabela_DB[[#This Row],[DATA]],"aaaa"))</f>
        <v>2021</v>
      </c>
    </row>
    <row r="327" spans="1:8" x14ac:dyDescent="0.25">
      <c r="A327" s="2">
        <v>44216</v>
      </c>
      <c r="B327" t="s">
        <v>38</v>
      </c>
      <c r="C327">
        <v>-2458</v>
      </c>
      <c r="D327" t="str">
        <f>VLOOKUP(B327,Tabela_Auxiliar[],2,0)</f>
        <v>2. Deduções da Receita</v>
      </c>
      <c r="E327" t="str">
        <f>VLOOKUP(B327,Tabela_Auxiliar[],4,0)</f>
        <v>Deduções</v>
      </c>
      <c r="F327" t="str">
        <f>VLOOKUP(B327,Tabela_Auxiliar[],3,0)</f>
        <v>Saída</v>
      </c>
      <c r="G327" t="str">
        <f>UPPER(TEXT(Tabela_DB[[#This Row],[DATA]],"mmm"))</f>
        <v>JAN</v>
      </c>
      <c r="H327" t="str">
        <f>UPPER(TEXT(Tabela_DB[[#This Row],[DATA]],"aaaa"))</f>
        <v>2021</v>
      </c>
    </row>
    <row r="328" spans="1:8" x14ac:dyDescent="0.25">
      <c r="A328" s="2">
        <v>44216</v>
      </c>
      <c r="B328" t="s">
        <v>86</v>
      </c>
      <c r="C328">
        <v>-2334</v>
      </c>
      <c r="D328" t="str">
        <f>VLOOKUP(B328,Tabela_Auxiliar[],2,0)</f>
        <v>4. Despesas Operacionais</v>
      </c>
      <c r="E328" t="str">
        <f>VLOOKUP(B328,Tabela_Auxiliar[],4,0)</f>
        <v>Despesa com Veículos</v>
      </c>
      <c r="F328" t="str">
        <f>VLOOKUP(B328,Tabela_Auxiliar[],3,0)</f>
        <v>Saída</v>
      </c>
      <c r="G328" t="str">
        <f>UPPER(TEXT(Tabela_DB[[#This Row],[DATA]],"mmm"))</f>
        <v>JAN</v>
      </c>
      <c r="H328" t="str">
        <f>UPPER(TEXT(Tabela_DB[[#This Row],[DATA]],"aaaa"))</f>
        <v>2021</v>
      </c>
    </row>
    <row r="329" spans="1:8" x14ac:dyDescent="0.25">
      <c r="A329" s="2">
        <v>44216</v>
      </c>
      <c r="B329" t="s">
        <v>35</v>
      </c>
      <c r="C329">
        <v>-1626</v>
      </c>
      <c r="D329" t="str">
        <f>VLOOKUP(B329,Tabela_Auxiliar[],2,0)</f>
        <v>2. Deduções da Receita</v>
      </c>
      <c r="E329" t="str">
        <f>VLOOKUP(B329,Tabela_Auxiliar[],4,0)</f>
        <v>Imposto</v>
      </c>
      <c r="F329" t="str">
        <f>VLOOKUP(B329,Tabela_Auxiliar[],3,0)</f>
        <v>Saída</v>
      </c>
      <c r="G329" t="str">
        <f>UPPER(TEXT(Tabela_DB[[#This Row],[DATA]],"mmm"))</f>
        <v>JAN</v>
      </c>
      <c r="H329" t="str">
        <f>UPPER(TEXT(Tabela_DB[[#This Row],[DATA]],"aaaa"))</f>
        <v>2021</v>
      </c>
    </row>
    <row r="330" spans="1:8" x14ac:dyDescent="0.25">
      <c r="A330" s="2">
        <v>44216</v>
      </c>
      <c r="B330" t="s">
        <v>111</v>
      </c>
      <c r="C330">
        <v>-2045</v>
      </c>
      <c r="D330" t="str">
        <f>VLOOKUP(B330,Tabela_Auxiliar[],2,0)</f>
        <v>2. Deduções da Receita</v>
      </c>
      <c r="E330" t="str">
        <f>VLOOKUP(B330,Tabela_Auxiliar[],4,0)</f>
        <v>Imposto</v>
      </c>
      <c r="F330" t="str">
        <f>VLOOKUP(B330,Tabela_Auxiliar[],3,0)</f>
        <v>Saída</v>
      </c>
      <c r="G330" t="str">
        <f>UPPER(TEXT(Tabela_DB[[#This Row],[DATA]],"mmm"))</f>
        <v>JAN</v>
      </c>
      <c r="H330" t="str">
        <f>UPPER(TEXT(Tabela_DB[[#This Row],[DATA]],"aaaa"))</f>
        <v>2021</v>
      </c>
    </row>
    <row r="331" spans="1:8" x14ac:dyDescent="0.25">
      <c r="A331" s="2">
        <v>44216</v>
      </c>
      <c r="B331" t="s">
        <v>54</v>
      </c>
      <c r="C331">
        <v>-2486</v>
      </c>
      <c r="D331" t="str">
        <f>VLOOKUP(B331,Tabela_Auxiliar[],2,0)</f>
        <v>4. Despesas Operacionais</v>
      </c>
      <c r="E331" t="str">
        <f>VLOOKUP(B331,Tabela_Auxiliar[],4,0)</f>
        <v>Despesa com Pessoal</v>
      </c>
      <c r="F331" t="str">
        <f>VLOOKUP(B331,Tabela_Auxiliar[],3,0)</f>
        <v>Saída</v>
      </c>
      <c r="G331" t="str">
        <f>UPPER(TEXT(Tabela_DB[[#This Row],[DATA]],"mmm"))</f>
        <v>JAN</v>
      </c>
      <c r="H331" t="str">
        <f>UPPER(TEXT(Tabela_DB[[#This Row],[DATA]],"aaaa"))</f>
        <v>2021</v>
      </c>
    </row>
    <row r="332" spans="1:8" x14ac:dyDescent="0.25">
      <c r="A332" s="2">
        <v>44216</v>
      </c>
      <c r="B332" t="s">
        <v>111</v>
      </c>
      <c r="C332">
        <v>-1791</v>
      </c>
      <c r="D332" t="str">
        <f>VLOOKUP(B332,Tabela_Auxiliar[],2,0)</f>
        <v>2. Deduções da Receita</v>
      </c>
      <c r="E332" t="str">
        <f>VLOOKUP(B332,Tabela_Auxiliar[],4,0)</f>
        <v>Imposto</v>
      </c>
      <c r="F332" t="str">
        <f>VLOOKUP(B332,Tabela_Auxiliar[],3,0)</f>
        <v>Saída</v>
      </c>
      <c r="G332" t="str">
        <f>UPPER(TEXT(Tabela_DB[[#This Row],[DATA]],"mmm"))</f>
        <v>JAN</v>
      </c>
      <c r="H332" t="str">
        <f>UPPER(TEXT(Tabela_DB[[#This Row],[DATA]],"aaaa"))</f>
        <v>2021</v>
      </c>
    </row>
    <row r="333" spans="1:8" x14ac:dyDescent="0.25">
      <c r="A333" s="2">
        <v>44216</v>
      </c>
      <c r="B333" t="s">
        <v>3</v>
      </c>
      <c r="C333">
        <v>14459</v>
      </c>
      <c r="D333" t="str">
        <f>VLOOKUP(B333,Tabela_Auxiliar[],2,0)</f>
        <v>1. Receita Operacional Bruta</v>
      </c>
      <c r="E333" t="str">
        <f>VLOOKUP(B333,Tabela_Auxiliar[],4,0)</f>
        <v>Receita Bruta</v>
      </c>
      <c r="F333" t="str">
        <f>VLOOKUP(B333,Tabela_Auxiliar[],3,0)</f>
        <v>Entrada</v>
      </c>
      <c r="G333" t="str">
        <f>UPPER(TEXT(Tabela_DB[[#This Row],[DATA]],"mmm"))</f>
        <v>JAN</v>
      </c>
      <c r="H333" t="str">
        <f>UPPER(TEXT(Tabela_DB[[#This Row],[DATA]],"aaaa"))</f>
        <v>2021</v>
      </c>
    </row>
    <row r="334" spans="1:8" x14ac:dyDescent="0.25">
      <c r="A334" s="2">
        <v>44216</v>
      </c>
      <c r="B334" t="s">
        <v>35</v>
      </c>
      <c r="C334">
        <v>-1736</v>
      </c>
      <c r="D334" t="str">
        <f>VLOOKUP(B334,Tabela_Auxiliar[],2,0)</f>
        <v>2. Deduções da Receita</v>
      </c>
      <c r="E334" t="str">
        <f>VLOOKUP(B334,Tabela_Auxiliar[],4,0)</f>
        <v>Imposto</v>
      </c>
      <c r="F334" t="str">
        <f>VLOOKUP(B334,Tabela_Auxiliar[],3,0)</f>
        <v>Saída</v>
      </c>
      <c r="G334" t="str">
        <f>UPPER(TEXT(Tabela_DB[[#This Row],[DATA]],"mmm"))</f>
        <v>JAN</v>
      </c>
      <c r="H334" t="str">
        <f>UPPER(TEXT(Tabela_DB[[#This Row],[DATA]],"aaaa"))</f>
        <v>2021</v>
      </c>
    </row>
    <row r="335" spans="1:8" x14ac:dyDescent="0.25">
      <c r="A335" s="2">
        <v>44216</v>
      </c>
      <c r="B335" t="s">
        <v>4</v>
      </c>
      <c r="C335">
        <v>10623</v>
      </c>
      <c r="D335" t="str">
        <f>VLOOKUP(B335,Tabela_Auxiliar[],2,0)</f>
        <v>1. Receita Operacional Bruta</v>
      </c>
      <c r="E335" t="str">
        <f>VLOOKUP(B335,Tabela_Auxiliar[],4,0)</f>
        <v>Receita Bruta</v>
      </c>
      <c r="F335" t="str">
        <f>VLOOKUP(B335,Tabela_Auxiliar[],3,0)</f>
        <v>Entrada</v>
      </c>
      <c r="G335" t="str">
        <f>UPPER(TEXT(Tabela_DB[[#This Row],[DATA]],"mmm"))</f>
        <v>JAN</v>
      </c>
      <c r="H335" t="str">
        <f>UPPER(TEXT(Tabela_DB[[#This Row],[DATA]],"aaaa"))</f>
        <v>2021</v>
      </c>
    </row>
    <row r="336" spans="1:8" x14ac:dyDescent="0.25">
      <c r="A336" s="2">
        <v>44216</v>
      </c>
      <c r="B336" t="s">
        <v>86</v>
      </c>
      <c r="C336">
        <v>-1431</v>
      </c>
      <c r="D336" t="str">
        <f>VLOOKUP(B336,Tabela_Auxiliar[],2,0)</f>
        <v>4. Despesas Operacionais</v>
      </c>
      <c r="E336" t="str">
        <f>VLOOKUP(B336,Tabela_Auxiliar[],4,0)</f>
        <v>Despesa com Veículos</v>
      </c>
      <c r="F336" t="str">
        <f>VLOOKUP(B336,Tabela_Auxiliar[],3,0)</f>
        <v>Saída</v>
      </c>
      <c r="G336" t="str">
        <f>UPPER(TEXT(Tabela_DB[[#This Row],[DATA]],"mmm"))</f>
        <v>JAN</v>
      </c>
      <c r="H336" t="str">
        <f>UPPER(TEXT(Tabela_DB[[#This Row],[DATA]],"aaaa"))</f>
        <v>2021</v>
      </c>
    </row>
    <row r="337" spans="1:8" x14ac:dyDescent="0.25">
      <c r="A337" s="2">
        <v>44216</v>
      </c>
      <c r="B337" t="s">
        <v>34</v>
      </c>
      <c r="C337">
        <v>-1677</v>
      </c>
      <c r="D337" t="str">
        <f>VLOOKUP(B337,Tabela_Auxiliar[],2,0)</f>
        <v>2. Deduções da Receita</v>
      </c>
      <c r="E337" t="str">
        <f>VLOOKUP(B337,Tabela_Auxiliar[],4,0)</f>
        <v>Imposto</v>
      </c>
      <c r="F337" t="str">
        <f>VLOOKUP(B337,Tabela_Auxiliar[],3,0)</f>
        <v>Saída</v>
      </c>
      <c r="G337" t="str">
        <f>UPPER(TEXT(Tabela_DB[[#This Row],[DATA]],"mmm"))</f>
        <v>JAN</v>
      </c>
      <c r="H337" t="str">
        <f>UPPER(TEXT(Tabela_DB[[#This Row],[DATA]],"aaaa"))</f>
        <v>2021</v>
      </c>
    </row>
    <row r="338" spans="1:8" x14ac:dyDescent="0.25">
      <c r="A338" s="2">
        <v>44216</v>
      </c>
      <c r="B338" t="s">
        <v>3</v>
      </c>
      <c r="C338">
        <v>12929</v>
      </c>
      <c r="D338" t="str">
        <f>VLOOKUP(B338,Tabela_Auxiliar[],2,0)</f>
        <v>1. Receita Operacional Bruta</v>
      </c>
      <c r="E338" t="str">
        <f>VLOOKUP(B338,Tabela_Auxiliar[],4,0)</f>
        <v>Receita Bruta</v>
      </c>
      <c r="F338" t="str">
        <f>VLOOKUP(B338,Tabela_Auxiliar[],3,0)</f>
        <v>Entrada</v>
      </c>
      <c r="G338" t="str">
        <f>UPPER(TEXT(Tabela_DB[[#This Row],[DATA]],"mmm"))</f>
        <v>JAN</v>
      </c>
      <c r="H338" t="str">
        <f>UPPER(TEXT(Tabela_DB[[#This Row],[DATA]],"aaaa"))</f>
        <v>2021</v>
      </c>
    </row>
    <row r="339" spans="1:8" x14ac:dyDescent="0.25">
      <c r="A339" s="2">
        <v>44216</v>
      </c>
      <c r="B339" t="s">
        <v>38</v>
      </c>
      <c r="C339">
        <v>-1909</v>
      </c>
      <c r="D339" t="str">
        <f>VLOOKUP(B339,Tabela_Auxiliar[],2,0)</f>
        <v>2. Deduções da Receita</v>
      </c>
      <c r="E339" t="str">
        <f>VLOOKUP(B339,Tabela_Auxiliar[],4,0)</f>
        <v>Deduções</v>
      </c>
      <c r="F339" t="str">
        <f>VLOOKUP(B339,Tabela_Auxiliar[],3,0)</f>
        <v>Saída</v>
      </c>
      <c r="G339" t="str">
        <f>UPPER(TEXT(Tabela_DB[[#This Row],[DATA]],"mmm"))</f>
        <v>JAN</v>
      </c>
      <c r="H339" t="str">
        <f>UPPER(TEXT(Tabela_DB[[#This Row],[DATA]],"aaaa"))</f>
        <v>2021</v>
      </c>
    </row>
    <row r="340" spans="1:8" x14ac:dyDescent="0.25">
      <c r="A340" s="2">
        <v>44217</v>
      </c>
      <c r="B340" t="s">
        <v>37</v>
      </c>
      <c r="C340">
        <v>-4514</v>
      </c>
      <c r="D340" t="str">
        <f>VLOOKUP(B340,Tabela_Auxiliar[],2,0)</f>
        <v>3. Custos do Produto/Mercadoria/Serviço</v>
      </c>
      <c r="E340" t="str">
        <f>VLOOKUP(B340,Tabela_Auxiliar[],4,0)</f>
        <v>Despesas c/ Produto</v>
      </c>
      <c r="F340" t="str">
        <f>VLOOKUP(B340,Tabela_Auxiliar[],3,0)</f>
        <v>Saída</v>
      </c>
      <c r="G340" t="str">
        <f>UPPER(TEXT(Tabela_DB[[#This Row],[DATA]],"mmm"))</f>
        <v>JAN</v>
      </c>
      <c r="H340" t="str">
        <f>UPPER(TEXT(Tabela_DB[[#This Row],[DATA]],"aaaa"))</f>
        <v>2021</v>
      </c>
    </row>
    <row r="341" spans="1:8" x14ac:dyDescent="0.25">
      <c r="A341" s="2">
        <v>44217</v>
      </c>
      <c r="B341" t="s">
        <v>35</v>
      </c>
      <c r="C341">
        <v>-1236</v>
      </c>
      <c r="D341" t="str">
        <f>VLOOKUP(B341,Tabela_Auxiliar[],2,0)</f>
        <v>2. Deduções da Receita</v>
      </c>
      <c r="E341" t="str">
        <f>VLOOKUP(B341,Tabela_Auxiliar[],4,0)</f>
        <v>Imposto</v>
      </c>
      <c r="F341" t="str">
        <f>VLOOKUP(B341,Tabela_Auxiliar[],3,0)</f>
        <v>Saída</v>
      </c>
      <c r="G341" t="str">
        <f>UPPER(TEXT(Tabela_DB[[#This Row],[DATA]],"mmm"))</f>
        <v>JAN</v>
      </c>
      <c r="H341" t="str">
        <f>UPPER(TEXT(Tabela_DB[[#This Row],[DATA]],"aaaa"))</f>
        <v>2021</v>
      </c>
    </row>
    <row r="342" spans="1:8" x14ac:dyDescent="0.25">
      <c r="A342" s="2">
        <v>44217</v>
      </c>
      <c r="B342" t="s">
        <v>4</v>
      </c>
      <c r="C342">
        <v>12248</v>
      </c>
      <c r="D342" t="str">
        <f>VLOOKUP(B342,Tabela_Auxiliar[],2,0)</f>
        <v>1. Receita Operacional Bruta</v>
      </c>
      <c r="E342" t="str">
        <f>VLOOKUP(B342,Tabela_Auxiliar[],4,0)</f>
        <v>Receita Bruta</v>
      </c>
      <c r="F342" t="str">
        <f>VLOOKUP(B342,Tabela_Auxiliar[],3,0)</f>
        <v>Entrada</v>
      </c>
      <c r="G342" t="str">
        <f>UPPER(TEXT(Tabela_DB[[#This Row],[DATA]],"mmm"))</f>
        <v>JAN</v>
      </c>
      <c r="H342" t="str">
        <f>UPPER(TEXT(Tabela_DB[[#This Row],[DATA]],"aaaa"))</f>
        <v>2021</v>
      </c>
    </row>
    <row r="343" spans="1:8" x14ac:dyDescent="0.25">
      <c r="A343" s="2">
        <v>44217</v>
      </c>
      <c r="B343" t="s">
        <v>34</v>
      </c>
      <c r="C343">
        <v>-2298</v>
      </c>
      <c r="D343" t="str">
        <f>VLOOKUP(B343,Tabela_Auxiliar[],2,0)</f>
        <v>2. Deduções da Receita</v>
      </c>
      <c r="E343" t="str">
        <f>VLOOKUP(B343,Tabela_Auxiliar[],4,0)</f>
        <v>Imposto</v>
      </c>
      <c r="F343" t="str">
        <f>VLOOKUP(B343,Tabela_Auxiliar[],3,0)</f>
        <v>Saída</v>
      </c>
      <c r="G343" t="str">
        <f>UPPER(TEXT(Tabela_DB[[#This Row],[DATA]],"mmm"))</f>
        <v>JAN</v>
      </c>
      <c r="H343" t="str">
        <f>UPPER(TEXT(Tabela_DB[[#This Row],[DATA]],"aaaa"))</f>
        <v>2021</v>
      </c>
    </row>
    <row r="344" spans="1:8" x14ac:dyDescent="0.25">
      <c r="A344" s="2">
        <v>44217</v>
      </c>
      <c r="B344" t="s">
        <v>3</v>
      </c>
      <c r="C344">
        <v>13081</v>
      </c>
      <c r="D344" t="str">
        <f>VLOOKUP(B344,Tabela_Auxiliar[],2,0)</f>
        <v>1. Receita Operacional Bruta</v>
      </c>
      <c r="E344" t="str">
        <f>VLOOKUP(B344,Tabela_Auxiliar[],4,0)</f>
        <v>Receita Bruta</v>
      </c>
      <c r="F344" t="str">
        <f>VLOOKUP(B344,Tabela_Auxiliar[],3,0)</f>
        <v>Entrada</v>
      </c>
      <c r="G344" t="str">
        <f>UPPER(TEXT(Tabela_DB[[#This Row],[DATA]],"mmm"))</f>
        <v>JAN</v>
      </c>
      <c r="H344" t="str">
        <f>UPPER(TEXT(Tabela_DB[[#This Row],[DATA]],"aaaa"))</f>
        <v>2021</v>
      </c>
    </row>
    <row r="345" spans="1:8" x14ac:dyDescent="0.25">
      <c r="A345" s="2">
        <v>44217</v>
      </c>
      <c r="B345" t="s">
        <v>4</v>
      </c>
      <c r="C345">
        <v>10692</v>
      </c>
      <c r="D345" t="str">
        <f>VLOOKUP(B345,Tabela_Auxiliar[],2,0)</f>
        <v>1. Receita Operacional Bruta</v>
      </c>
      <c r="E345" t="str">
        <f>VLOOKUP(B345,Tabela_Auxiliar[],4,0)</f>
        <v>Receita Bruta</v>
      </c>
      <c r="F345" t="str">
        <f>VLOOKUP(B345,Tabela_Auxiliar[],3,0)</f>
        <v>Entrada</v>
      </c>
      <c r="G345" t="str">
        <f>UPPER(TEXT(Tabela_DB[[#This Row],[DATA]],"mmm"))</f>
        <v>JAN</v>
      </c>
      <c r="H345" t="str">
        <f>UPPER(TEXT(Tabela_DB[[#This Row],[DATA]],"aaaa"))</f>
        <v>2021</v>
      </c>
    </row>
    <row r="346" spans="1:8" x14ac:dyDescent="0.25">
      <c r="A346" s="2">
        <v>44217</v>
      </c>
      <c r="B346" t="s">
        <v>34</v>
      </c>
      <c r="C346">
        <v>-1985</v>
      </c>
      <c r="D346" t="str">
        <f>VLOOKUP(B346,Tabela_Auxiliar[],2,0)</f>
        <v>2. Deduções da Receita</v>
      </c>
      <c r="E346" t="str">
        <f>VLOOKUP(B346,Tabela_Auxiliar[],4,0)</f>
        <v>Imposto</v>
      </c>
      <c r="F346" t="str">
        <f>VLOOKUP(B346,Tabela_Auxiliar[],3,0)</f>
        <v>Saída</v>
      </c>
      <c r="G346" t="str">
        <f>UPPER(TEXT(Tabela_DB[[#This Row],[DATA]],"mmm"))</f>
        <v>JAN</v>
      </c>
      <c r="H346" t="str">
        <f>UPPER(TEXT(Tabela_DB[[#This Row],[DATA]],"aaaa"))</f>
        <v>2021</v>
      </c>
    </row>
    <row r="347" spans="1:8" x14ac:dyDescent="0.25">
      <c r="A347" s="2">
        <v>44217</v>
      </c>
      <c r="B347" t="s">
        <v>34</v>
      </c>
      <c r="C347">
        <v>-2295</v>
      </c>
      <c r="D347" t="str">
        <f>VLOOKUP(B347,Tabela_Auxiliar[],2,0)</f>
        <v>2. Deduções da Receita</v>
      </c>
      <c r="E347" t="str">
        <f>VLOOKUP(B347,Tabela_Auxiliar[],4,0)</f>
        <v>Imposto</v>
      </c>
      <c r="F347" t="str">
        <f>VLOOKUP(B347,Tabela_Auxiliar[],3,0)</f>
        <v>Saída</v>
      </c>
      <c r="G347" t="str">
        <f>UPPER(TEXT(Tabela_DB[[#This Row],[DATA]],"mmm"))</f>
        <v>JAN</v>
      </c>
      <c r="H347" t="str">
        <f>UPPER(TEXT(Tabela_DB[[#This Row],[DATA]],"aaaa"))</f>
        <v>2021</v>
      </c>
    </row>
    <row r="348" spans="1:8" x14ac:dyDescent="0.25">
      <c r="A348" s="2">
        <v>44217</v>
      </c>
      <c r="B348" t="s">
        <v>88</v>
      </c>
      <c r="C348">
        <v>-2050</v>
      </c>
      <c r="D348" t="str">
        <f>VLOOKUP(B348,Tabela_Auxiliar[],2,0)</f>
        <v>4. Despesas Operacionais</v>
      </c>
      <c r="E348" t="str">
        <f>VLOOKUP(B348,Tabela_Auxiliar[],4,0)</f>
        <v>Despesa Tributária</v>
      </c>
      <c r="F348" t="str">
        <f>VLOOKUP(B348,Tabela_Auxiliar[],3,0)</f>
        <v>Saída</v>
      </c>
      <c r="G348" t="str">
        <f>UPPER(TEXT(Tabela_DB[[#This Row],[DATA]],"mmm"))</f>
        <v>JAN</v>
      </c>
      <c r="H348" t="str">
        <f>UPPER(TEXT(Tabela_DB[[#This Row],[DATA]],"aaaa"))</f>
        <v>2021</v>
      </c>
    </row>
    <row r="349" spans="1:8" x14ac:dyDescent="0.25">
      <c r="A349" s="2">
        <v>44217</v>
      </c>
      <c r="B349" t="s">
        <v>85</v>
      </c>
      <c r="C349">
        <v>-1978</v>
      </c>
      <c r="D349" t="str">
        <f>VLOOKUP(B349,Tabela_Auxiliar[],2,0)</f>
        <v>4. Despesas Operacionais</v>
      </c>
      <c r="E349" t="str">
        <f>VLOOKUP(B349,Tabela_Auxiliar[],4,0)</f>
        <v>Despesa com Veículos</v>
      </c>
      <c r="F349" t="str">
        <f>VLOOKUP(B349,Tabela_Auxiliar[],3,0)</f>
        <v>Saída</v>
      </c>
      <c r="G349" t="str">
        <f>UPPER(TEXT(Tabela_DB[[#This Row],[DATA]],"mmm"))</f>
        <v>JAN</v>
      </c>
      <c r="H349" t="str">
        <f>UPPER(TEXT(Tabela_DB[[#This Row],[DATA]],"aaaa"))</f>
        <v>2021</v>
      </c>
    </row>
    <row r="350" spans="1:8" x14ac:dyDescent="0.25">
      <c r="A350" s="2">
        <v>44217</v>
      </c>
      <c r="B350" t="s">
        <v>37</v>
      </c>
      <c r="C350">
        <v>-3249</v>
      </c>
      <c r="D350" t="str">
        <f>VLOOKUP(B350,Tabela_Auxiliar[],2,0)</f>
        <v>3. Custos do Produto/Mercadoria/Serviço</v>
      </c>
      <c r="E350" t="str">
        <f>VLOOKUP(B350,Tabela_Auxiliar[],4,0)</f>
        <v>Despesas c/ Produto</v>
      </c>
      <c r="F350" t="str">
        <f>VLOOKUP(B350,Tabela_Auxiliar[],3,0)</f>
        <v>Saída</v>
      </c>
      <c r="G350" t="str">
        <f>UPPER(TEXT(Tabela_DB[[#This Row],[DATA]],"mmm"))</f>
        <v>JAN</v>
      </c>
      <c r="H350" t="str">
        <f>UPPER(TEXT(Tabela_DB[[#This Row],[DATA]],"aaaa"))</f>
        <v>2021</v>
      </c>
    </row>
    <row r="351" spans="1:8" x14ac:dyDescent="0.25">
      <c r="A351" s="2">
        <v>44217</v>
      </c>
      <c r="B351" t="s">
        <v>4</v>
      </c>
      <c r="C351">
        <v>12062</v>
      </c>
      <c r="D351" t="str">
        <f>VLOOKUP(B351,Tabela_Auxiliar[],2,0)</f>
        <v>1. Receita Operacional Bruta</v>
      </c>
      <c r="E351" t="str">
        <f>VLOOKUP(B351,Tabela_Auxiliar[],4,0)</f>
        <v>Receita Bruta</v>
      </c>
      <c r="F351" t="str">
        <f>VLOOKUP(B351,Tabela_Auxiliar[],3,0)</f>
        <v>Entrada</v>
      </c>
      <c r="G351" t="str">
        <f>UPPER(TEXT(Tabela_DB[[#This Row],[DATA]],"mmm"))</f>
        <v>JAN</v>
      </c>
      <c r="H351" t="str">
        <f>UPPER(TEXT(Tabela_DB[[#This Row],[DATA]],"aaaa"))</f>
        <v>2021</v>
      </c>
    </row>
    <row r="352" spans="1:8" x14ac:dyDescent="0.25">
      <c r="A352" s="2">
        <v>44217</v>
      </c>
      <c r="B352" t="s">
        <v>53</v>
      </c>
      <c r="C352">
        <v>-2134</v>
      </c>
      <c r="D352" t="str">
        <f>VLOOKUP(B352,Tabela_Auxiliar[],2,0)</f>
        <v>4. Despesas Operacionais</v>
      </c>
      <c r="E352" t="str">
        <f>VLOOKUP(B352,Tabela_Auxiliar[],4,0)</f>
        <v>Despesa com Pessoal</v>
      </c>
      <c r="F352" t="str">
        <f>VLOOKUP(B352,Tabela_Auxiliar[],3,0)</f>
        <v>Saída</v>
      </c>
      <c r="G352" t="str">
        <f>UPPER(TEXT(Tabela_DB[[#This Row],[DATA]],"mmm"))</f>
        <v>JAN</v>
      </c>
      <c r="H352" t="str">
        <f>UPPER(TEXT(Tabela_DB[[#This Row],[DATA]],"aaaa"))</f>
        <v>2021</v>
      </c>
    </row>
    <row r="353" spans="1:8" x14ac:dyDescent="0.25">
      <c r="A353" s="2">
        <v>44217</v>
      </c>
      <c r="B353" t="s">
        <v>38</v>
      </c>
      <c r="C353">
        <v>-1488</v>
      </c>
      <c r="D353" t="str">
        <f>VLOOKUP(B353,Tabela_Auxiliar[],2,0)</f>
        <v>2. Deduções da Receita</v>
      </c>
      <c r="E353" t="str">
        <f>VLOOKUP(B353,Tabela_Auxiliar[],4,0)</f>
        <v>Deduções</v>
      </c>
      <c r="F353" t="str">
        <f>VLOOKUP(B353,Tabela_Auxiliar[],3,0)</f>
        <v>Saída</v>
      </c>
      <c r="G353" t="str">
        <f>UPPER(TEXT(Tabela_DB[[#This Row],[DATA]],"mmm"))</f>
        <v>JAN</v>
      </c>
      <c r="H353" t="str">
        <f>UPPER(TEXT(Tabela_DB[[#This Row],[DATA]],"aaaa"))</f>
        <v>2021</v>
      </c>
    </row>
    <row r="354" spans="1:8" x14ac:dyDescent="0.25">
      <c r="A354" s="2">
        <v>44217</v>
      </c>
      <c r="B354" t="s">
        <v>4</v>
      </c>
      <c r="C354">
        <v>14319</v>
      </c>
      <c r="D354" t="str">
        <f>VLOOKUP(B354,Tabela_Auxiliar[],2,0)</f>
        <v>1. Receita Operacional Bruta</v>
      </c>
      <c r="E354" t="str">
        <f>VLOOKUP(B354,Tabela_Auxiliar[],4,0)</f>
        <v>Receita Bruta</v>
      </c>
      <c r="F354" t="str">
        <f>VLOOKUP(B354,Tabela_Auxiliar[],3,0)</f>
        <v>Entrada</v>
      </c>
      <c r="G354" t="str">
        <f>UPPER(TEXT(Tabela_DB[[#This Row],[DATA]],"mmm"))</f>
        <v>JAN</v>
      </c>
      <c r="H354" t="str">
        <f>UPPER(TEXT(Tabela_DB[[#This Row],[DATA]],"aaaa"))</f>
        <v>2021</v>
      </c>
    </row>
    <row r="355" spans="1:8" x14ac:dyDescent="0.25">
      <c r="A355" s="2">
        <v>44217</v>
      </c>
      <c r="B355" t="s">
        <v>4</v>
      </c>
      <c r="C355">
        <v>12832</v>
      </c>
      <c r="D355" t="str">
        <f>VLOOKUP(B355,Tabela_Auxiliar[],2,0)</f>
        <v>1. Receita Operacional Bruta</v>
      </c>
      <c r="E355" t="str">
        <f>VLOOKUP(B355,Tabela_Auxiliar[],4,0)</f>
        <v>Receita Bruta</v>
      </c>
      <c r="F355" t="str">
        <f>VLOOKUP(B355,Tabela_Auxiliar[],3,0)</f>
        <v>Entrada</v>
      </c>
      <c r="G355" t="str">
        <f>UPPER(TEXT(Tabela_DB[[#This Row],[DATA]],"mmm"))</f>
        <v>JAN</v>
      </c>
      <c r="H355" t="str">
        <f>UPPER(TEXT(Tabela_DB[[#This Row],[DATA]],"aaaa"))</f>
        <v>2021</v>
      </c>
    </row>
    <row r="356" spans="1:8" x14ac:dyDescent="0.25">
      <c r="A356" s="2">
        <v>44218</v>
      </c>
      <c r="B356" t="s">
        <v>111</v>
      </c>
      <c r="C356">
        <v>-2239</v>
      </c>
      <c r="D356" t="str">
        <f>VLOOKUP(B356,Tabela_Auxiliar[],2,0)</f>
        <v>2. Deduções da Receita</v>
      </c>
      <c r="E356" t="str">
        <f>VLOOKUP(B356,Tabela_Auxiliar[],4,0)</f>
        <v>Imposto</v>
      </c>
      <c r="F356" t="str">
        <f>VLOOKUP(B356,Tabela_Auxiliar[],3,0)</f>
        <v>Saída</v>
      </c>
      <c r="G356" t="str">
        <f>UPPER(TEXT(Tabela_DB[[#This Row],[DATA]],"mmm"))</f>
        <v>JAN</v>
      </c>
      <c r="H356" t="str">
        <f>UPPER(TEXT(Tabela_DB[[#This Row],[DATA]],"aaaa"))</f>
        <v>2021</v>
      </c>
    </row>
    <row r="357" spans="1:8" x14ac:dyDescent="0.25">
      <c r="A357" s="2">
        <v>44218</v>
      </c>
      <c r="B357" t="s">
        <v>4</v>
      </c>
      <c r="C357">
        <v>11582</v>
      </c>
      <c r="D357" t="str">
        <f>VLOOKUP(B357,Tabela_Auxiliar[],2,0)</f>
        <v>1. Receita Operacional Bruta</v>
      </c>
      <c r="E357" t="str">
        <f>VLOOKUP(B357,Tabela_Auxiliar[],4,0)</f>
        <v>Receita Bruta</v>
      </c>
      <c r="F357" t="str">
        <f>VLOOKUP(B357,Tabela_Auxiliar[],3,0)</f>
        <v>Entrada</v>
      </c>
      <c r="G357" t="str">
        <f>UPPER(TEXT(Tabela_DB[[#This Row],[DATA]],"mmm"))</f>
        <v>JAN</v>
      </c>
      <c r="H357" t="str">
        <f>UPPER(TEXT(Tabela_DB[[#This Row],[DATA]],"aaaa"))</f>
        <v>2021</v>
      </c>
    </row>
    <row r="358" spans="1:8" x14ac:dyDescent="0.25">
      <c r="A358" s="2">
        <v>44218</v>
      </c>
      <c r="B358" t="s">
        <v>3</v>
      </c>
      <c r="C358">
        <v>10320</v>
      </c>
      <c r="D358" t="str">
        <f>VLOOKUP(B358,Tabela_Auxiliar[],2,0)</f>
        <v>1. Receita Operacional Bruta</v>
      </c>
      <c r="E358" t="str">
        <f>VLOOKUP(B358,Tabela_Auxiliar[],4,0)</f>
        <v>Receita Bruta</v>
      </c>
      <c r="F358" t="str">
        <f>VLOOKUP(B358,Tabela_Auxiliar[],3,0)</f>
        <v>Entrada</v>
      </c>
      <c r="G358" t="str">
        <f>UPPER(TEXT(Tabela_DB[[#This Row],[DATA]],"mmm"))</f>
        <v>JAN</v>
      </c>
      <c r="H358" t="str">
        <f>UPPER(TEXT(Tabela_DB[[#This Row],[DATA]],"aaaa"))</f>
        <v>2021</v>
      </c>
    </row>
    <row r="359" spans="1:8" x14ac:dyDescent="0.25">
      <c r="A359" s="2">
        <v>44218</v>
      </c>
      <c r="B359" t="s">
        <v>68</v>
      </c>
      <c r="C359">
        <v>-1567</v>
      </c>
      <c r="D359" t="str">
        <f>VLOOKUP(B359,Tabela_Auxiliar[],2,0)</f>
        <v>4. Despesas Operacionais</v>
      </c>
      <c r="E359" t="str">
        <f>VLOOKUP(B359,Tabela_Auxiliar[],4,0)</f>
        <v>Despesa com Ocupação</v>
      </c>
      <c r="F359" t="str">
        <f>VLOOKUP(B359,Tabela_Auxiliar[],3,0)</f>
        <v>Saída</v>
      </c>
      <c r="G359" t="str">
        <f>UPPER(TEXT(Tabela_DB[[#This Row],[DATA]],"mmm"))</f>
        <v>JAN</v>
      </c>
      <c r="H359" t="str">
        <f>UPPER(TEXT(Tabela_DB[[#This Row],[DATA]],"aaaa"))</f>
        <v>2021</v>
      </c>
    </row>
    <row r="360" spans="1:8" x14ac:dyDescent="0.25">
      <c r="A360" s="2">
        <v>44218</v>
      </c>
      <c r="B360" t="s">
        <v>3</v>
      </c>
      <c r="C360">
        <v>11687</v>
      </c>
      <c r="D360" t="str">
        <f>VLOOKUP(B360,Tabela_Auxiliar[],2,0)</f>
        <v>1. Receita Operacional Bruta</v>
      </c>
      <c r="E360" t="str">
        <f>VLOOKUP(B360,Tabela_Auxiliar[],4,0)</f>
        <v>Receita Bruta</v>
      </c>
      <c r="F360" t="str">
        <f>VLOOKUP(B360,Tabela_Auxiliar[],3,0)</f>
        <v>Entrada</v>
      </c>
      <c r="G360" t="str">
        <f>UPPER(TEXT(Tabela_DB[[#This Row],[DATA]],"mmm"))</f>
        <v>JAN</v>
      </c>
      <c r="H360" t="str">
        <f>UPPER(TEXT(Tabela_DB[[#This Row],[DATA]],"aaaa"))</f>
        <v>2021</v>
      </c>
    </row>
    <row r="361" spans="1:8" x14ac:dyDescent="0.25">
      <c r="A361" s="2">
        <v>44218</v>
      </c>
      <c r="B361" t="s">
        <v>58</v>
      </c>
      <c r="C361">
        <v>-1940</v>
      </c>
      <c r="D361" t="str">
        <f>VLOOKUP(B361,Tabela_Auxiliar[],2,0)</f>
        <v>4. Despesas Operacionais</v>
      </c>
      <c r="E361" t="str">
        <f>VLOOKUP(B361,Tabela_Auxiliar[],4,0)</f>
        <v>Despesa de Depreciação</v>
      </c>
      <c r="F361" t="str">
        <f>VLOOKUP(B361,Tabela_Auxiliar[],3,0)</f>
        <v>Saída</v>
      </c>
      <c r="G361" t="str">
        <f>UPPER(TEXT(Tabela_DB[[#This Row],[DATA]],"mmm"))</f>
        <v>JAN</v>
      </c>
      <c r="H361" t="str">
        <f>UPPER(TEXT(Tabela_DB[[#This Row],[DATA]],"aaaa"))</f>
        <v>2021</v>
      </c>
    </row>
    <row r="362" spans="1:8" x14ac:dyDescent="0.25">
      <c r="A362" s="2">
        <v>44218</v>
      </c>
      <c r="B362" t="s">
        <v>35</v>
      </c>
      <c r="C362">
        <v>-1531</v>
      </c>
      <c r="D362" t="str">
        <f>VLOOKUP(B362,Tabela_Auxiliar[],2,0)</f>
        <v>2. Deduções da Receita</v>
      </c>
      <c r="E362" t="str">
        <f>VLOOKUP(B362,Tabela_Auxiliar[],4,0)</f>
        <v>Imposto</v>
      </c>
      <c r="F362" t="str">
        <f>VLOOKUP(B362,Tabela_Auxiliar[],3,0)</f>
        <v>Saída</v>
      </c>
      <c r="G362" t="str">
        <f>UPPER(TEXT(Tabela_DB[[#This Row],[DATA]],"mmm"))</f>
        <v>JAN</v>
      </c>
      <c r="H362" t="str">
        <f>UPPER(TEXT(Tabela_DB[[#This Row],[DATA]],"aaaa"))</f>
        <v>2021</v>
      </c>
    </row>
    <row r="363" spans="1:8" x14ac:dyDescent="0.25">
      <c r="A363" s="2">
        <v>44218</v>
      </c>
      <c r="B363" t="s">
        <v>57</v>
      </c>
      <c r="C363">
        <v>-1712</v>
      </c>
      <c r="D363" t="str">
        <f>VLOOKUP(B363,Tabela_Auxiliar[],2,0)</f>
        <v>4. Despesas Operacionais</v>
      </c>
      <c r="E363" t="str">
        <f>VLOOKUP(B363,Tabela_Auxiliar[],4,0)</f>
        <v>Despesa com Pessoal</v>
      </c>
      <c r="F363" t="str">
        <f>VLOOKUP(B363,Tabela_Auxiliar[],3,0)</f>
        <v>Saída</v>
      </c>
      <c r="G363" t="str">
        <f>UPPER(TEXT(Tabela_DB[[#This Row],[DATA]],"mmm"))</f>
        <v>JAN</v>
      </c>
      <c r="H363" t="str">
        <f>UPPER(TEXT(Tabela_DB[[#This Row],[DATA]],"aaaa"))</f>
        <v>2021</v>
      </c>
    </row>
    <row r="364" spans="1:8" x14ac:dyDescent="0.25">
      <c r="A364" s="2">
        <v>44218</v>
      </c>
      <c r="B364" t="s">
        <v>37</v>
      </c>
      <c r="C364">
        <v>-3535</v>
      </c>
      <c r="D364" t="str">
        <f>VLOOKUP(B364,Tabela_Auxiliar[],2,0)</f>
        <v>3. Custos do Produto/Mercadoria/Serviço</v>
      </c>
      <c r="E364" t="str">
        <f>VLOOKUP(B364,Tabela_Auxiliar[],4,0)</f>
        <v>Despesas c/ Produto</v>
      </c>
      <c r="F364" t="str">
        <f>VLOOKUP(B364,Tabela_Auxiliar[],3,0)</f>
        <v>Saída</v>
      </c>
      <c r="G364" t="str">
        <f>UPPER(TEXT(Tabela_DB[[#This Row],[DATA]],"mmm"))</f>
        <v>JAN</v>
      </c>
      <c r="H364" t="str">
        <f>UPPER(TEXT(Tabela_DB[[#This Row],[DATA]],"aaaa"))</f>
        <v>2021</v>
      </c>
    </row>
    <row r="365" spans="1:8" x14ac:dyDescent="0.25">
      <c r="A365" s="2">
        <v>44218</v>
      </c>
      <c r="B365" t="s">
        <v>38</v>
      </c>
      <c r="C365">
        <v>-2205</v>
      </c>
      <c r="D365" t="str">
        <f>VLOOKUP(B365,Tabela_Auxiliar[],2,0)</f>
        <v>2. Deduções da Receita</v>
      </c>
      <c r="E365" t="str">
        <f>VLOOKUP(B365,Tabela_Auxiliar[],4,0)</f>
        <v>Deduções</v>
      </c>
      <c r="F365" t="str">
        <f>VLOOKUP(B365,Tabela_Auxiliar[],3,0)</f>
        <v>Saída</v>
      </c>
      <c r="G365" t="str">
        <f>UPPER(TEXT(Tabela_DB[[#This Row],[DATA]],"mmm"))</f>
        <v>JAN</v>
      </c>
      <c r="H365" t="str">
        <f>UPPER(TEXT(Tabela_DB[[#This Row],[DATA]],"aaaa"))</f>
        <v>2021</v>
      </c>
    </row>
    <row r="366" spans="1:8" x14ac:dyDescent="0.25">
      <c r="A366" s="2">
        <v>44218</v>
      </c>
      <c r="B366" t="s">
        <v>38</v>
      </c>
      <c r="C366">
        <v>-2119</v>
      </c>
      <c r="D366" t="str">
        <f>VLOOKUP(B366,Tabela_Auxiliar[],2,0)</f>
        <v>2. Deduções da Receita</v>
      </c>
      <c r="E366" t="str">
        <f>VLOOKUP(B366,Tabela_Auxiliar[],4,0)</f>
        <v>Deduções</v>
      </c>
      <c r="F366" t="str">
        <f>VLOOKUP(B366,Tabela_Auxiliar[],3,0)</f>
        <v>Saída</v>
      </c>
      <c r="G366" t="str">
        <f>UPPER(TEXT(Tabela_DB[[#This Row],[DATA]],"mmm"))</f>
        <v>JAN</v>
      </c>
      <c r="H366" t="str">
        <f>UPPER(TEXT(Tabela_DB[[#This Row],[DATA]],"aaaa"))</f>
        <v>2021</v>
      </c>
    </row>
    <row r="367" spans="1:8" x14ac:dyDescent="0.25">
      <c r="A367" s="2">
        <v>44218</v>
      </c>
      <c r="B367" t="s">
        <v>48</v>
      </c>
      <c r="C367">
        <v>-1885</v>
      </c>
      <c r="D367" t="str">
        <f>VLOOKUP(B367,Tabela_Auxiliar[],2,0)</f>
        <v>4. Despesas Operacionais</v>
      </c>
      <c r="E367" t="str">
        <f>VLOOKUP(B367,Tabela_Auxiliar[],4,0)</f>
        <v>Despesa com Pessoal</v>
      </c>
      <c r="F367" t="str">
        <f>VLOOKUP(B367,Tabela_Auxiliar[],3,0)</f>
        <v>Saída</v>
      </c>
      <c r="G367" t="str">
        <f>UPPER(TEXT(Tabela_DB[[#This Row],[DATA]],"mmm"))</f>
        <v>JAN</v>
      </c>
      <c r="H367" t="str">
        <f>UPPER(TEXT(Tabela_DB[[#This Row],[DATA]],"aaaa"))</f>
        <v>2021</v>
      </c>
    </row>
    <row r="368" spans="1:8" x14ac:dyDescent="0.25">
      <c r="A368" s="2">
        <v>44219</v>
      </c>
      <c r="B368" t="s">
        <v>3</v>
      </c>
      <c r="C368">
        <v>10047</v>
      </c>
      <c r="D368" t="str">
        <f>VLOOKUP(B368,Tabela_Auxiliar[],2,0)</f>
        <v>1. Receita Operacional Bruta</v>
      </c>
      <c r="E368" t="str">
        <f>VLOOKUP(B368,Tabela_Auxiliar[],4,0)</f>
        <v>Receita Bruta</v>
      </c>
      <c r="F368" t="str">
        <f>VLOOKUP(B368,Tabela_Auxiliar[],3,0)</f>
        <v>Entrada</v>
      </c>
      <c r="G368" t="str">
        <f>UPPER(TEXT(Tabela_DB[[#This Row],[DATA]],"mmm"))</f>
        <v>JAN</v>
      </c>
      <c r="H368" t="str">
        <f>UPPER(TEXT(Tabela_DB[[#This Row],[DATA]],"aaaa"))</f>
        <v>2021</v>
      </c>
    </row>
    <row r="369" spans="1:8" x14ac:dyDescent="0.25">
      <c r="A369" s="2">
        <v>44219</v>
      </c>
      <c r="B369" t="s">
        <v>89</v>
      </c>
      <c r="C369">
        <v>-1960</v>
      </c>
      <c r="D369" t="str">
        <f>VLOOKUP(B369,Tabela_Auxiliar[],2,0)</f>
        <v>4. Despesas Operacionais</v>
      </c>
      <c r="E369" t="str">
        <f>VLOOKUP(B369,Tabela_Auxiliar[],4,0)</f>
        <v>Despesa Tributária</v>
      </c>
      <c r="F369" t="str">
        <f>VLOOKUP(B369,Tabela_Auxiliar[],3,0)</f>
        <v>Saída</v>
      </c>
      <c r="G369" t="str">
        <f>UPPER(TEXT(Tabela_DB[[#This Row],[DATA]],"mmm"))</f>
        <v>JAN</v>
      </c>
      <c r="H369" t="str">
        <f>UPPER(TEXT(Tabela_DB[[#This Row],[DATA]],"aaaa"))</f>
        <v>2021</v>
      </c>
    </row>
    <row r="370" spans="1:8" x14ac:dyDescent="0.25">
      <c r="A370" s="2">
        <v>44219</v>
      </c>
      <c r="B370" t="s">
        <v>35</v>
      </c>
      <c r="C370">
        <v>-1418</v>
      </c>
      <c r="D370" t="str">
        <f>VLOOKUP(B370,Tabela_Auxiliar[],2,0)</f>
        <v>2. Deduções da Receita</v>
      </c>
      <c r="E370" t="str">
        <f>VLOOKUP(B370,Tabela_Auxiliar[],4,0)</f>
        <v>Imposto</v>
      </c>
      <c r="F370" t="str">
        <f>VLOOKUP(B370,Tabela_Auxiliar[],3,0)</f>
        <v>Saída</v>
      </c>
      <c r="G370" t="str">
        <f>UPPER(TEXT(Tabela_DB[[#This Row],[DATA]],"mmm"))</f>
        <v>JAN</v>
      </c>
      <c r="H370" t="str">
        <f>UPPER(TEXT(Tabela_DB[[#This Row],[DATA]],"aaaa"))</f>
        <v>2021</v>
      </c>
    </row>
    <row r="371" spans="1:8" x14ac:dyDescent="0.25">
      <c r="A371" s="2">
        <v>44219</v>
      </c>
      <c r="B371" t="s">
        <v>37</v>
      </c>
      <c r="C371">
        <v>-3107</v>
      </c>
      <c r="D371" t="str">
        <f>VLOOKUP(B371,Tabela_Auxiliar[],2,0)</f>
        <v>3. Custos do Produto/Mercadoria/Serviço</v>
      </c>
      <c r="E371" t="str">
        <f>VLOOKUP(B371,Tabela_Auxiliar[],4,0)</f>
        <v>Despesas c/ Produto</v>
      </c>
      <c r="F371" t="str">
        <f>VLOOKUP(B371,Tabela_Auxiliar[],3,0)</f>
        <v>Saída</v>
      </c>
      <c r="G371" t="str">
        <f>UPPER(TEXT(Tabela_DB[[#This Row],[DATA]],"mmm"))</f>
        <v>JAN</v>
      </c>
      <c r="H371" t="str">
        <f>UPPER(TEXT(Tabela_DB[[#This Row],[DATA]],"aaaa"))</f>
        <v>2021</v>
      </c>
    </row>
    <row r="372" spans="1:8" x14ac:dyDescent="0.25">
      <c r="A372" s="2">
        <v>44219</v>
      </c>
      <c r="B372" t="s">
        <v>37</v>
      </c>
      <c r="C372">
        <v>-3342</v>
      </c>
      <c r="D372" t="str">
        <f>VLOOKUP(B372,Tabela_Auxiliar[],2,0)</f>
        <v>3. Custos do Produto/Mercadoria/Serviço</v>
      </c>
      <c r="E372" t="str">
        <f>VLOOKUP(B372,Tabela_Auxiliar[],4,0)</f>
        <v>Despesas c/ Produto</v>
      </c>
      <c r="F372" t="str">
        <f>VLOOKUP(B372,Tabela_Auxiliar[],3,0)</f>
        <v>Saída</v>
      </c>
      <c r="G372" t="str">
        <f>UPPER(TEXT(Tabela_DB[[#This Row],[DATA]],"mmm"))</f>
        <v>JAN</v>
      </c>
      <c r="H372" t="str">
        <f>UPPER(TEXT(Tabela_DB[[#This Row],[DATA]],"aaaa"))</f>
        <v>2021</v>
      </c>
    </row>
    <row r="373" spans="1:8" x14ac:dyDescent="0.25">
      <c r="A373" s="2">
        <v>44219</v>
      </c>
      <c r="B373" t="s">
        <v>38</v>
      </c>
      <c r="C373">
        <v>-1527</v>
      </c>
      <c r="D373" t="str">
        <f>VLOOKUP(B373,Tabela_Auxiliar[],2,0)</f>
        <v>2. Deduções da Receita</v>
      </c>
      <c r="E373" t="str">
        <f>VLOOKUP(B373,Tabela_Auxiliar[],4,0)</f>
        <v>Deduções</v>
      </c>
      <c r="F373" t="str">
        <f>VLOOKUP(B373,Tabela_Auxiliar[],3,0)</f>
        <v>Saída</v>
      </c>
      <c r="G373" t="str">
        <f>UPPER(TEXT(Tabela_DB[[#This Row],[DATA]],"mmm"))</f>
        <v>JAN</v>
      </c>
      <c r="H373" t="str">
        <f>UPPER(TEXT(Tabela_DB[[#This Row],[DATA]],"aaaa"))</f>
        <v>2021</v>
      </c>
    </row>
    <row r="374" spans="1:8" x14ac:dyDescent="0.25">
      <c r="A374" s="2">
        <v>44219</v>
      </c>
      <c r="B374" t="s">
        <v>42</v>
      </c>
      <c r="C374">
        <v>-2179</v>
      </c>
      <c r="D374" t="str">
        <f>VLOOKUP(B374,Tabela_Auxiliar[],2,0)</f>
        <v>4. Despesas Operacionais</v>
      </c>
      <c r="E374" t="str">
        <f>VLOOKUP(B374,Tabela_Auxiliar[],4,0)</f>
        <v>Despesa com Pessoal</v>
      </c>
      <c r="F374" t="str">
        <f>VLOOKUP(B374,Tabela_Auxiliar[],3,0)</f>
        <v>Saída</v>
      </c>
      <c r="G374" t="str">
        <f>UPPER(TEXT(Tabela_DB[[#This Row],[DATA]],"mmm"))</f>
        <v>JAN</v>
      </c>
      <c r="H374" t="str">
        <f>UPPER(TEXT(Tabela_DB[[#This Row],[DATA]],"aaaa"))</f>
        <v>2021</v>
      </c>
    </row>
    <row r="375" spans="1:8" x14ac:dyDescent="0.25">
      <c r="A375" s="2">
        <v>44219</v>
      </c>
      <c r="B375" t="s">
        <v>38</v>
      </c>
      <c r="C375">
        <v>-1918</v>
      </c>
      <c r="D375" t="str">
        <f>VLOOKUP(B375,Tabela_Auxiliar[],2,0)</f>
        <v>2. Deduções da Receita</v>
      </c>
      <c r="E375" t="str">
        <f>VLOOKUP(B375,Tabela_Auxiliar[],4,0)</f>
        <v>Deduções</v>
      </c>
      <c r="F375" t="str">
        <f>VLOOKUP(B375,Tabela_Auxiliar[],3,0)</f>
        <v>Saída</v>
      </c>
      <c r="G375" t="str">
        <f>UPPER(TEXT(Tabela_DB[[#This Row],[DATA]],"mmm"))</f>
        <v>JAN</v>
      </c>
      <c r="H375" t="str">
        <f>UPPER(TEXT(Tabela_DB[[#This Row],[DATA]],"aaaa"))</f>
        <v>2021</v>
      </c>
    </row>
    <row r="376" spans="1:8" x14ac:dyDescent="0.25">
      <c r="A376" s="2">
        <v>44219</v>
      </c>
      <c r="B376" t="s">
        <v>4</v>
      </c>
      <c r="C376">
        <v>13145</v>
      </c>
      <c r="D376" t="str">
        <f>VLOOKUP(B376,Tabela_Auxiliar[],2,0)</f>
        <v>1. Receita Operacional Bruta</v>
      </c>
      <c r="E376" t="str">
        <f>VLOOKUP(B376,Tabela_Auxiliar[],4,0)</f>
        <v>Receita Bruta</v>
      </c>
      <c r="F376" t="str">
        <f>VLOOKUP(B376,Tabela_Auxiliar[],3,0)</f>
        <v>Entrada</v>
      </c>
      <c r="G376" t="str">
        <f>UPPER(TEXT(Tabela_DB[[#This Row],[DATA]],"mmm"))</f>
        <v>JAN</v>
      </c>
      <c r="H376" t="str">
        <f>UPPER(TEXT(Tabela_DB[[#This Row],[DATA]],"aaaa"))</f>
        <v>2021</v>
      </c>
    </row>
    <row r="377" spans="1:8" x14ac:dyDescent="0.25">
      <c r="A377" s="2">
        <v>44219</v>
      </c>
      <c r="B377" t="s">
        <v>35</v>
      </c>
      <c r="C377">
        <v>-1307</v>
      </c>
      <c r="D377" t="str">
        <f>VLOOKUP(B377,Tabela_Auxiliar[],2,0)</f>
        <v>2. Deduções da Receita</v>
      </c>
      <c r="E377" t="str">
        <f>VLOOKUP(B377,Tabela_Auxiliar[],4,0)</f>
        <v>Imposto</v>
      </c>
      <c r="F377" t="str">
        <f>VLOOKUP(B377,Tabela_Auxiliar[],3,0)</f>
        <v>Saída</v>
      </c>
      <c r="G377" t="str">
        <f>UPPER(TEXT(Tabela_DB[[#This Row],[DATA]],"mmm"))</f>
        <v>JAN</v>
      </c>
      <c r="H377" t="str">
        <f>UPPER(TEXT(Tabela_DB[[#This Row],[DATA]],"aaaa"))</f>
        <v>2021</v>
      </c>
    </row>
    <row r="378" spans="1:8" x14ac:dyDescent="0.25">
      <c r="A378" s="2">
        <v>44219</v>
      </c>
      <c r="B378" t="s">
        <v>3</v>
      </c>
      <c r="C378">
        <v>14409</v>
      </c>
      <c r="D378" t="str">
        <f>VLOOKUP(B378,Tabela_Auxiliar[],2,0)</f>
        <v>1. Receita Operacional Bruta</v>
      </c>
      <c r="E378" t="str">
        <f>VLOOKUP(B378,Tabela_Auxiliar[],4,0)</f>
        <v>Receita Bruta</v>
      </c>
      <c r="F378" t="str">
        <f>VLOOKUP(B378,Tabela_Auxiliar[],3,0)</f>
        <v>Entrada</v>
      </c>
      <c r="G378" t="str">
        <f>UPPER(TEXT(Tabela_DB[[#This Row],[DATA]],"mmm"))</f>
        <v>JAN</v>
      </c>
      <c r="H378" t="str">
        <f>UPPER(TEXT(Tabela_DB[[#This Row],[DATA]],"aaaa"))</f>
        <v>2021</v>
      </c>
    </row>
    <row r="379" spans="1:8" x14ac:dyDescent="0.25">
      <c r="A379" s="2">
        <v>44219</v>
      </c>
      <c r="B379" t="s">
        <v>3</v>
      </c>
      <c r="C379">
        <v>12120</v>
      </c>
      <c r="D379" t="str">
        <f>VLOOKUP(B379,Tabela_Auxiliar[],2,0)</f>
        <v>1. Receita Operacional Bruta</v>
      </c>
      <c r="E379" t="str">
        <f>VLOOKUP(B379,Tabela_Auxiliar[],4,0)</f>
        <v>Receita Bruta</v>
      </c>
      <c r="F379" t="str">
        <f>VLOOKUP(B379,Tabela_Auxiliar[],3,0)</f>
        <v>Entrada</v>
      </c>
      <c r="G379" t="str">
        <f>UPPER(TEXT(Tabela_DB[[#This Row],[DATA]],"mmm"))</f>
        <v>JAN</v>
      </c>
      <c r="H379" t="str">
        <f>UPPER(TEXT(Tabela_DB[[#This Row],[DATA]],"aaaa"))</f>
        <v>2021</v>
      </c>
    </row>
    <row r="380" spans="1:8" x14ac:dyDescent="0.25">
      <c r="A380" s="2">
        <v>44219</v>
      </c>
      <c r="B380" t="s">
        <v>38</v>
      </c>
      <c r="C380">
        <v>-2251</v>
      </c>
      <c r="D380" t="str">
        <f>VLOOKUP(B380,Tabela_Auxiliar[],2,0)</f>
        <v>2. Deduções da Receita</v>
      </c>
      <c r="E380" t="str">
        <f>VLOOKUP(B380,Tabela_Auxiliar[],4,0)</f>
        <v>Deduções</v>
      </c>
      <c r="F380" t="str">
        <f>VLOOKUP(B380,Tabela_Auxiliar[],3,0)</f>
        <v>Saída</v>
      </c>
      <c r="G380" t="str">
        <f>UPPER(TEXT(Tabela_DB[[#This Row],[DATA]],"mmm"))</f>
        <v>JAN</v>
      </c>
      <c r="H380" t="str">
        <f>UPPER(TEXT(Tabela_DB[[#This Row],[DATA]],"aaaa"))</f>
        <v>2021</v>
      </c>
    </row>
    <row r="381" spans="1:8" x14ac:dyDescent="0.25">
      <c r="A381" s="2">
        <v>44219</v>
      </c>
      <c r="B381" t="s">
        <v>111</v>
      </c>
      <c r="C381">
        <v>-1338</v>
      </c>
      <c r="D381" t="str">
        <f>VLOOKUP(B381,Tabela_Auxiliar[],2,0)</f>
        <v>2. Deduções da Receita</v>
      </c>
      <c r="E381" t="str">
        <f>VLOOKUP(B381,Tabela_Auxiliar[],4,0)</f>
        <v>Imposto</v>
      </c>
      <c r="F381" t="str">
        <f>VLOOKUP(B381,Tabela_Auxiliar[],3,0)</f>
        <v>Saída</v>
      </c>
      <c r="G381" t="str">
        <f>UPPER(TEXT(Tabela_DB[[#This Row],[DATA]],"mmm"))</f>
        <v>JAN</v>
      </c>
      <c r="H381" t="str">
        <f>UPPER(TEXT(Tabela_DB[[#This Row],[DATA]],"aaaa"))</f>
        <v>2021</v>
      </c>
    </row>
    <row r="382" spans="1:8" x14ac:dyDescent="0.25">
      <c r="A382" s="2">
        <v>44220</v>
      </c>
      <c r="B382" t="s">
        <v>35</v>
      </c>
      <c r="C382">
        <v>-1361</v>
      </c>
      <c r="D382" t="str">
        <f>VLOOKUP(B382,Tabela_Auxiliar[],2,0)</f>
        <v>2. Deduções da Receita</v>
      </c>
      <c r="E382" t="str">
        <f>VLOOKUP(B382,Tabela_Auxiliar[],4,0)</f>
        <v>Imposto</v>
      </c>
      <c r="F382" t="str">
        <f>VLOOKUP(B382,Tabela_Auxiliar[],3,0)</f>
        <v>Saída</v>
      </c>
      <c r="G382" t="str">
        <f>UPPER(TEXT(Tabela_DB[[#This Row],[DATA]],"mmm"))</f>
        <v>JAN</v>
      </c>
      <c r="H382" t="str">
        <f>UPPER(TEXT(Tabela_DB[[#This Row],[DATA]],"aaaa"))</f>
        <v>2021</v>
      </c>
    </row>
    <row r="383" spans="1:8" x14ac:dyDescent="0.25">
      <c r="A383" s="2">
        <v>44220</v>
      </c>
      <c r="B383" t="s">
        <v>111</v>
      </c>
      <c r="C383">
        <v>-2262</v>
      </c>
      <c r="D383" t="str">
        <f>VLOOKUP(B383,Tabela_Auxiliar[],2,0)</f>
        <v>2. Deduções da Receita</v>
      </c>
      <c r="E383" t="str">
        <f>VLOOKUP(B383,Tabela_Auxiliar[],4,0)</f>
        <v>Imposto</v>
      </c>
      <c r="F383" t="str">
        <f>VLOOKUP(B383,Tabela_Auxiliar[],3,0)</f>
        <v>Saída</v>
      </c>
      <c r="G383" t="str">
        <f>UPPER(TEXT(Tabela_DB[[#This Row],[DATA]],"mmm"))</f>
        <v>JAN</v>
      </c>
      <c r="H383" t="str">
        <f>UPPER(TEXT(Tabela_DB[[#This Row],[DATA]],"aaaa"))</f>
        <v>2021</v>
      </c>
    </row>
    <row r="384" spans="1:8" x14ac:dyDescent="0.25">
      <c r="A384" s="2">
        <v>44220</v>
      </c>
      <c r="B384" t="s">
        <v>35</v>
      </c>
      <c r="C384">
        <v>-2409</v>
      </c>
      <c r="D384" t="str">
        <f>VLOOKUP(B384,Tabela_Auxiliar[],2,0)</f>
        <v>2. Deduções da Receita</v>
      </c>
      <c r="E384" t="str">
        <f>VLOOKUP(B384,Tabela_Auxiliar[],4,0)</f>
        <v>Imposto</v>
      </c>
      <c r="F384" t="str">
        <f>VLOOKUP(B384,Tabela_Auxiliar[],3,0)</f>
        <v>Saída</v>
      </c>
      <c r="G384" t="str">
        <f>UPPER(TEXT(Tabela_DB[[#This Row],[DATA]],"mmm"))</f>
        <v>JAN</v>
      </c>
      <c r="H384" t="str">
        <f>UPPER(TEXT(Tabela_DB[[#This Row],[DATA]],"aaaa"))</f>
        <v>2021</v>
      </c>
    </row>
    <row r="385" spans="1:8" x14ac:dyDescent="0.25">
      <c r="A385" s="2">
        <v>44220</v>
      </c>
      <c r="B385" t="s">
        <v>87</v>
      </c>
      <c r="C385">
        <v>-2123</v>
      </c>
      <c r="D385" t="str">
        <f>VLOOKUP(B385,Tabela_Auxiliar[],2,0)</f>
        <v>4. Despesas Operacionais</v>
      </c>
      <c r="E385" t="str">
        <f>VLOOKUP(B385,Tabela_Auxiliar[],4,0)</f>
        <v>Despesa Tributária</v>
      </c>
      <c r="F385" t="str">
        <f>VLOOKUP(B385,Tabela_Auxiliar[],3,0)</f>
        <v>Saída</v>
      </c>
      <c r="G385" t="str">
        <f>UPPER(TEXT(Tabela_DB[[#This Row],[DATA]],"mmm"))</f>
        <v>JAN</v>
      </c>
      <c r="H385" t="str">
        <f>UPPER(TEXT(Tabela_DB[[#This Row],[DATA]],"aaaa"))</f>
        <v>2021</v>
      </c>
    </row>
    <row r="386" spans="1:8" x14ac:dyDescent="0.25">
      <c r="A386" s="2">
        <v>44220</v>
      </c>
      <c r="B386" t="s">
        <v>4</v>
      </c>
      <c r="C386">
        <v>11939</v>
      </c>
      <c r="D386" t="str">
        <f>VLOOKUP(B386,Tabela_Auxiliar[],2,0)</f>
        <v>1. Receita Operacional Bruta</v>
      </c>
      <c r="E386" t="str">
        <f>VLOOKUP(B386,Tabela_Auxiliar[],4,0)</f>
        <v>Receita Bruta</v>
      </c>
      <c r="F386" t="str">
        <f>VLOOKUP(B386,Tabela_Auxiliar[],3,0)</f>
        <v>Entrada</v>
      </c>
      <c r="G386" t="str">
        <f>UPPER(TEXT(Tabela_DB[[#This Row],[DATA]],"mmm"))</f>
        <v>JAN</v>
      </c>
      <c r="H386" t="str">
        <f>UPPER(TEXT(Tabela_DB[[#This Row],[DATA]],"aaaa"))</f>
        <v>2021</v>
      </c>
    </row>
    <row r="387" spans="1:8" x14ac:dyDescent="0.25">
      <c r="A387" s="2">
        <v>44220</v>
      </c>
      <c r="B387" t="s">
        <v>45</v>
      </c>
      <c r="C387">
        <v>-1700</v>
      </c>
      <c r="D387" t="str">
        <f>VLOOKUP(B387,Tabela_Auxiliar[],2,0)</f>
        <v>4. Despesas Operacionais</v>
      </c>
      <c r="E387" t="str">
        <f>VLOOKUP(B387,Tabela_Auxiliar[],4,0)</f>
        <v>Despesa com Pessoal</v>
      </c>
      <c r="F387" t="str">
        <f>VLOOKUP(B387,Tabela_Auxiliar[],3,0)</f>
        <v>Saída</v>
      </c>
      <c r="G387" t="str">
        <f>UPPER(TEXT(Tabela_DB[[#This Row],[DATA]],"mmm"))</f>
        <v>JAN</v>
      </c>
      <c r="H387" t="str">
        <f>UPPER(TEXT(Tabela_DB[[#This Row],[DATA]],"aaaa"))</f>
        <v>2021</v>
      </c>
    </row>
    <row r="388" spans="1:8" x14ac:dyDescent="0.25">
      <c r="A388" s="2">
        <v>44220</v>
      </c>
      <c r="B388" t="s">
        <v>74</v>
      </c>
      <c r="C388">
        <v>-1796</v>
      </c>
      <c r="D388" t="str">
        <f>VLOOKUP(B388,Tabela_Auxiliar[],2,0)</f>
        <v>4. Despesas Operacionais</v>
      </c>
      <c r="E388" t="str">
        <f>VLOOKUP(B388,Tabela_Auxiliar[],4,0)</f>
        <v>Serviços Contratados</v>
      </c>
      <c r="F388" t="str">
        <f>VLOOKUP(B388,Tabela_Auxiliar[],3,0)</f>
        <v>Saída</v>
      </c>
      <c r="G388" t="str">
        <f>UPPER(TEXT(Tabela_DB[[#This Row],[DATA]],"mmm"))</f>
        <v>JAN</v>
      </c>
      <c r="H388" t="str">
        <f>UPPER(TEXT(Tabela_DB[[#This Row],[DATA]],"aaaa"))</f>
        <v>2021</v>
      </c>
    </row>
    <row r="389" spans="1:8" x14ac:dyDescent="0.25">
      <c r="A389" s="2">
        <v>44220</v>
      </c>
      <c r="B389" t="s">
        <v>4</v>
      </c>
      <c r="C389">
        <v>12387</v>
      </c>
      <c r="D389" t="str">
        <f>VLOOKUP(B389,Tabela_Auxiliar[],2,0)</f>
        <v>1. Receita Operacional Bruta</v>
      </c>
      <c r="E389" t="str">
        <f>VLOOKUP(B389,Tabela_Auxiliar[],4,0)</f>
        <v>Receita Bruta</v>
      </c>
      <c r="F389" t="str">
        <f>VLOOKUP(B389,Tabela_Auxiliar[],3,0)</f>
        <v>Entrada</v>
      </c>
      <c r="G389" t="str">
        <f>UPPER(TEXT(Tabela_DB[[#This Row],[DATA]],"mmm"))</f>
        <v>JAN</v>
      </c>
      <c r="H389" t="str">
        <f>UPPER(TEXT(Tabela_DB[[#This Row],[DATA]],"aaaa"))</f>
        <v>2021</v>
      </c>
    </row>
    <row r="390" spans="1:8" x14ac:dyDescent="0.25">
      <c r="A390" s="2">
        <v>44220</v>
      </c>
      <c r="B390" t="s">
        <v>64</v>
      </c>
      <c r="C390">
        <v>-2286</v>
      </c>
      <c r="D390" t="str">
        <f>VLOOKUP(B390,Tabela_Auxiliar[],2,0)</f>
        <v>4. Despesas Operacionais</v>
      </c>
      <c r="E390" t="str">
        <f>VLOOKUP(B390,Tabela_Auxiliar[],4,0)</f>
        <v>Despesa Gerais</v>
      </c>
      <c r="F390" t="str">
        <f>VLOOKUP(B390,Tabela_Auxiliar[],3,0)</f>
        <v>Saída</v>
      </c>
      <c r="G390" t="str">
        <f>UPPER(TEXT(Tabela_DB[[#This Row],[DATA]],"mmm"))</f>
        <v>JAN</v>
      </c>
      <c r="H390" t="str">
        <f>UPPER(TEXT(Tabela_DB[[#This Row],[DATA]],"aaaa"))</f>
        <v>2021</v>
      </c>
    </row>
    <row r="391" spans="1:8" x14ac:dyDescent="0.25">
      <c r="A391" s="2">
        <v>44220</v>
      </c>
      <c r="B391" t="s">
        <v>3</v>
      </c>
      <c r="C391">
        <v>11281</v>
      </c>
      <c r="D391" t="str">
        <f>VLOOKUP(B391,Tabela_Auxiliar[],2,0)</f>
        <v>1. Receita Operacional Bruta</v>
      </c>
      <c r="E391" t="str">
        <f>VLOOKUP(B391,Tabela_Auxiliar[],4,0)</f>
        <v>Receita Bruta</v>
      </c>
      <c r="F391" t="str">
        <f>VLOOKUP(B391,Tabela_Auxiliar[],3,0)</f>
        <v>Entrada</v>
      </c>
      <c r="G391" t="str">
        <f>UPPER(TEXT(Tabela_DB[[#This Row],[DATA]],"mmm"))</f>
        <v>JAN</v>
      </c>
      <c r="H391" t="str">
        <f>UPPER(TEXT(Tabela_DB[[#This Row],[DATA]],"aaaa"))</f>
        <v>2021</v>
      </c>
    </row>
    <row r="392" spans="1:8" x14ac:dyDescent="0.25">
      <c r="A392" s="2">
        <v>44220</v>
      </c>
      <c r="B392" t="s">
        <v>89</v>
      </c>
      <c r="C392">
        <v>-1523</v>
      </c>
      <c r="D392" t="str">
        <f>VLOOKUP(B392,Tabela_Auxiliar[],2,0)</f>
        <v>4. Despesas Operacionais</v>
      </c>
      <c r="E392" t="str">
        <f>VLOOKUP(B392,Tabela_Auxiliar[],4,0)</f>
        <v>Despesa Tributária</v>
      </c>
      <c r="F392" t="str">
        <f>VLOOKUP(B392,Tabela_Auxiliar[],3,0)</f>
        <v>Saída</v>
      </c>
      <c r="G392" t="str">
        <f>UPPER(TEXT(Tabela_DB[[#This Row],[DATA]],"mmm"))</f>
        <v>JAN</v>
      </c>
      <c r="H392" t="str">
        <f>UPPER(TEXT(Tabela_DB[[#This Row],[DATA]],"aaaa"))</f>
        <v>2021</v>
      </c>
    </row>
    <row r="393" spans="1:8" x14ac:dyDescent="0.25">
      <c r="A393" s="2">
        <v>44220</v>
      </c>
      <c r="B393" t="s">
        <v>5</v>
      </c>
      <c r="C393">
        <v>-2198</v>
      </c>
      <c r="D393" t="str">
        <f>VLOOKUP(B393,Tabela_Auxiliar[],2,0)</f>
        <v>4. Despesas Operacionais</v>
      </c>
      <c r="E393" t="str">
        <f>VLOOKUP(B393,Tabela_Auxiliar[],4,0)</f>
        <v>Despesa com Pessoal</v>
      </c>
      <c r="F393" t="str">
        <f>VLOOKUP(B393,Tabela_Auxiliar[],3,0)</f>
        <v>Saída</v>
      </c>
      <c r="G393" t="str">
        <f>UPPER(TEXT(Tabela_DB[[#This Row],[DATA]],"mmm"))</f>
        <v>JAN</v>
      </c>
      <c r="H393" t="str">
        <f>UPPER(TEXT(Tabela_DB[[#This Row],[DATA]],"aaaa"))</f>
        <v>2021</v>
      </c>
    </row>
    <row r="394" spans="1:8" x14ac:dyDescent="0.25">
      <c r="A394" s="2">
        <v>44220</v>
      </c>
      <c r="B394" t="s">
        <v>111</v>
      </c>
      <c r="C394">
        <v>-1297</v>
      </c>
      <c r="D394" t="str">
        <f>VLOOKUP(B394,Tabela_Auxiliar[],2,0)</f>
        <v>2. Deduções da Receita</v>
      </c>
      <c r="E394" t="str">
        <f>VLOOKUP(B394,Tabela_Auxiliar[],4,0)</f>
        <v>Imposto</v>
      </c>
      <c r="F394" t="str">
        <f>VLOOKUP(B394,Tabela_Auxiliar[],3,0)</f>
        <v>Saída</v>
      </c>
      <c r="G394" t="str">
        <f>UPPER(TEXT(Tabela_DB[[#This Row],[DATA]],"mmm"))</f>
        <v>JAN</v>
      </c>
      <c r="H394" t="str">
        <f>UPPER(TEXT(Tabela_DB[[#This Row],[DATA]],"aaaa"))</f>
        <v>2021</v>
      </c>
    </row>
    <row r="395" spans="1:8" x14ac:dyDescent="0.25">
      <c r="A395" s="2">
        <v>44220</v>
      </c>
      <c r="B395" t="s">
        <v>3</v>
      </c>
      <c r="C395">
        <v>10405</v>
      </c>
      <c r="D395" t="str">
        <f>VLOOKUP(B395,Tabela_Auxiliar[],2,0)</f>
        <v>1. Receita Operacional Bruta</v>
      </c>
      <c r="E395" t="str">
        <f>VLOOKUP(B395,Tabela_Auxiliar[],4,0)</f>
        <v>Receita Bruta</v>
      </c>
      <c r="F395" t="str">
        <f>VLOOKUP(B395,Tabela_Auxiliar[],3,0)</f>
        <v>Entrada</v>
      </c>
      <c r="G395" t="str">
        <f>UPPER(TEXT(Tabela_DB[[#This Row],[DATA]],"mmm"))</f>
        <v>JAN</v>
      </c>
      <c r="H395" t="str">
        <f>UPPER(TEXT(Tabela_DB[[#This Row],[DATA]],"aaaa"))</f>
        <v>2021</v>
      </c>
    </row>
    <row r="396" spans="1:8" x14ac:dyDescent="0.25">
      <c r="A396" s="2">
        <v>44220</v>
      </c>
      <c r="B396" t="s">
        <v>37</v>
      </c>
      <c r="C396">
        <v>-3489</v>
      </c>
      <c r="D396" t="str">
        <f>VLOOKUP(B396,Tabela_Auxiliar[],2,0)</f>
        <v>3. Custos do Produto/Mercadoria/Serviço</v>
      </c>
      <c r="E396" t="str">
        <f>VLOOKUP(B396,Tabela_Auxiliar[],4,0)</f>
        <v>Despesas c/ Produto</v>
      </c>
      <c r="F396" t="str">
        <f>VLOOKUP(B396,Tabela_Auxiliar[],3,0)</f>
        <v>Saída</v>
      </c>
      <c r="G396" t="str">
        <f>UPPER(TEXT(Tabela_DB[[#This Row],[DATA]],"mmm"))</f>
        <v>JAN</v>
      </c>
      <c r="H396" t="str">
        <f>UPPER(TEXT(Tabela_DB[[#This Row],[DATA]],"aaaa"))</f>
        <v>2021</v>
      </c>
    </row>
    <row r="397" spans="1:8" x14ac:dyDescent="0.25">
      <c r="A397" s="2">
        <v>44220</v>
      </c>
      <c r="B397" t="s">
        <v>3</v>
      </c>
      <c r="C397">
        <v>14421</v>
      </c>
      <c r="D397" t="str">
        <f>VLOOKUP(B397,Tabela_Auxiliar[],2,0)</f>
        <v>1. Receita Operacional Bruta</v>
      </c>
      <c r="E397" t="str">
        <f>VLOOKUP(B397,Tabela_Auxiliar[],4,0)</f>
        <v>Receita Bruta</v>
      </c>
      <c r="F397" t="str">
        <f>VLOOKUP(B397,Tabela_Auxiliar[],3,0)</f>
        <v>Entrada</v>
      </c>
      <c r="G397" t="str">
        <f>UPPER(TEXT(Tabela_DB[[#This Row],[DATA]],"mmm"))</f>
        <v>JAN</v>
      </c>
      <c r="H397" t="str">
        <f>UPPER(TEXT(Tabela_DB[[#This Row],[DATA]],"aaaa"))</f>
        <v>2021</v>
      </c>
    </row>
    <row r="398" spans="1:8" x14ac:dyDescent="0.25">
      <c r="A398" s="2">
        <v>44220</v>
      </c>
      <c r="B398" t="s">
        <v>3</v>
      </c>
      <c r="C398">
        <v>13158</v>
      </c>
      <c r="D398" t="str">
        <f>VLOOKUP(B398,Tabela_Auxiliar[],2,0)</f>
        <v>1. Receita Operacional Bruta</v>
      </c>
      <c r="E398" t="str">
        <f>VLOOKUP(B398,Tabela_Auxiliar[],4,0)</f>
        <v>Receita Bruta</v>
      </c>
      <c r="F398" t="str">
        <f>VLOOKUP(B398,Tabela_Auxiliar[],3,0)</f>
        <v>Entrada</v>
      </c>
      <c r="G398" t="str">
        <f>UPPER(TEXT(Tabela_DB[[#This Row],[DATA]],"mmm"))</f>
        <v>JAN</v>
      </c>
      <c r="H398" t="str">
        <f>UPPER(TEXT(Tabela_DB[[#This Row],[DATA]],"aaaa"))</f>
        <v>2021</v>
      </c>
    </row>
    <row r="399" spans="1:8" x14ac:dyDescent="0.25">
      <c r="A399" s="2">
        <v>44220</v>
      </c>
      <c r="B399" t="s">
        <v>45</v>
      </c>
      <c r="C399">
        <v>-2292</v>
      </c>
      <c r="D399" t="str">
        <f>VLOOKUP(B399,Tabela_Auxiliar[],2,0)</f>
        <v>4. Despesas Operacionais</v>
      </c>
      <c r="E399" t="str">
        <f>VLOOKUP(B399,Tabela_Auxiliar[],4,0)</f>
        <v>Despesa com Pessoal</v>
      </c>
      <c r="F399" t="str">
        <f>VLOOKUP(B399,Tabela_Auxiliar[],3,0)</f>
        <v>Saída</v>
      </c>
      <c r="G399" t="str">
        <f>UPPER(TEXT(Tabela_DB[[#This Row],[DATA]],"mmm"))</f>
        <v>JAN</v>
      </c>
      <c r="H399" t="str">
        <f>UPPER(TEXT(Tabela_DB[[#This Row],[DATA]],"aaaa"))</f>
        <v>2021</v>
      </c>
    </row>
    <row r="400" spans="1:8" x14ac:dyDescent="0.25">
      <c r="A400" s="2">
        <v>44220</v>
      </c>
      <c r="B400" t="s">
        <v>37</v>
      </c>
      <c r="C400">
        <v>-3156</v>
      </c>
      <c r="D400" t="str">
        <f>VLOOKUP(B400,Tabela_Auxiliar[],2,0)</f>
        <v>3. Custos do Produto/Mercadoria/Serviço</v>
      </c>
      <c r="E400" t="str">
        <f>VLOOKUP(B400,Tabela_Auxiliar[],4,0)</f>
        <v>Despesas c/ Produto</v>
      </c>
      <c r="F400" t="str">
        <f>VLOOKUP(B400,Tabela_Auxiliar[],3,0)</f>
        <v>Saída</v>
      </c>
      <c r="G400" t="str">
        <f>UPPER(TEXT(Tabela_DB[[#This Row],[DATA]],"mmm"))</f>
        <v>JAN</v>
      </c>
      <c r="H400" t="str">
        <f>UPPER(TEXT(Tabela_DB[[#This Row],[DATA]],"aaaa"))</f>
        <v>2021</v>
      </c>
    </row>
    <row r="401" spans="1:8" x14ac:dyDescent="0.25">
      <c r="A401" s="2">
        <v>44220</v>
      </c>
      <c r="B401" t="s">
        <v>37</v>
      </c>
      <c r="C401">
        <v>-2879</v>
      </c>
      <c r="D401" t="str">
        <f>VLOOKUP(B401,Tabela_Auxiliar[],2,0)</f>
        <v>3. Custos do Produto/Mercadoria/Serviço</v>
      </c>
      <c r="E401" t="str">
        <f>VLOOKUP(B401,Tabela_Auxiliar[],4,0)</f>
        <v>Despesas c/ Produto</v>
      </c>
      <c r="F401" t="str">
        <f>VLOOKUP(B401,Tabela_Auxiliar[],3,0)</f>
        <v>Saída</v>
      </c>
      <c r="G401" t="str">
        <f>UPPER(TEXT(Tabela_DB[[#This Row],[DATA]],"mmm"))</f>
        <v>JAN</v>
      </c>
      <c r="H401" t="str">
        <f>UPPER(TEXT(Tabela_DB[[#This Row],[DATA]],"aaaa"))</f>
        <v>2021</v>
      </c>
    </row>
    <row r="402" spans="1:8" x14ac:dyDescent="0.25">
      <c r="A402" s="2">
        <v>44220</v>
      </c>
      <c r="B402" t="s">
        <v>37</v>
      </c>
      <c r="C402">
        <v>-4107</v>
      </c>
      <c r="D402" t="str">
        <f>VLOOKUP(B402,Tabela_Auxiliar[],2,0)</f>
        <v>3. Custos do Produto/Mercadoria/Serviço</v>
      </c>
      <c r="E402" t="str">
        <f>VLOOKUP(B402,Tabela_Auxiliar[],4,0)</f>
        <v>Despesas c/ Produto</v>
      </c>
      <c r="F402" t="str">
        <f>VLOOKUP(B402,Tabela_Auxiliar[],3,0)</f>
        <v>Saída</v>
      </c>
      <c r="G402" t="str">
        <f>UPPER(TEXT(Tabela_DB[[#This Row],[DATA]],"mmm"))</f>
        <v>JAN</v>
      </c>
      <c r="H402" t="str">
        <f>UPPER(TEXT(Tabela_DB[[#This Row],[DATA]],"aaaa"))</f>
        <v>2021</v>
      </c>
    </row>
    <row r="403" spans="1:8" x14ac:dyDescent="0.25">
      <c r="A403" s="2">
        <v>44220</v>
      </c>
      <c r="B403" t="s">
        <v>38</v>
      </c>
      <c r="C403">
        <v>-1431</v>
      </c>
      <c r="D403" t="str">
        <f>VLOOKUP(B403,Tabela_Auxiliar[],2,0)</f>
        <v>2. Deduções da Receita</v>
      </c>
      <c r="E403" t="str">
        <f>VLOOKUP(B403,Tabela_Auxiliar[],4,0)</f>
        <v>Deduções</v>
      </c>
      <c r="F403" t="str">
        <f>VLOOKUP(B403,Tabela_Auxiliar[],3,0)</f>
        <v>Saída</v>
      </c>
      <c r="G403" t="str">
        <f>UPPER(TEXT(Tabela_DB[[#This Row],[DATA]],"mmm"))</f>
        <v>JAN</v>
      </c>
      <c r="H403" t="str">
        <f>UPPER(TEXT(Tabela_DB[[#This Row],[DATA]],"aaaa"))</f>
        <v>2021</v>
      </c>
    </row>
    <row r="404" spans="1:8" x14ac:dyDescent="0.25">
      <c r="A404" s="2">
        <v>44220</v>
      </c>
      <c r="B404" t="s">
        <v>63</v>
      </c>
      <c r="C404">
        <v>-1122</v>
      </c>
      <c r="D404" t="str">
        <f>VLOOKUP(B404,Tabela_Auxiliar[],2,0)</f>
        <v>4. Despesas Operacionais</v>
      </c>
      <c r="E404" t="str">
        <f>VLOOKUP(B404,Tabela_Auxiliar[],4,0)</f>
        <v>Despesa Gerais</v>
      </c>
      <c r="F404" t="str">
        <f>VLOOKUP(B404,Tabela_Auxiliar[],3,0)</f>
        <v>Saída</v>
      </c>
      <c r="G404" t="str">
        <f>UPPER(TEXT(Tabela_DB[[#This Row],[DATA]],"mmm"))</f>
        <v>JAN</v>
      </c>
      <c r="H404" t="str">
        <f>UPPER(TEXT(Tabela_DB[[#This Row],[DATA]],"aaaa"))</f>
        <v>2021</v>
      </c>
    </row>
    <row r="405" spans="1:8" x14ac:dyDescent="0.25">
      <c r="A405" s="2">
        <v>44220</v>
      </c>
      <c r="B405" t="s">
        <v>34</v>
      </c>
      <c r="C405">
        <v>-1691</v>
      </c>
      <c r="D405" t="str">
        <f>VLOOKUP(B405,Tabela_Auxiliar[],2,0)</f>
        <v>2. Deduções da Receita</v>
      </c>
      <c r="E405" t="str">
        <f>VLOOKUP(B405,Tabela_Auxiliar[],4,0)</f>
        <v>Imposto</v>
      </c>
      <c r="F405" t="str">
        <f>VLOOKUP(B405,Tabela_Auxiliar[],3,0)</f>
        <v>Saída</v>
      </c>
      <c r="G405" t="str">
        <f>UPPER(TEXT(Tabela_DB[[#This Row],[DATA]],"mmm"))</f>
        <v>JAN</v>
      </c>
      <c r="H405" t="str">
        <f>UPPER(TEXT(Tabela_DB[[#This Row],[DATA]],"aaaa"))</f>
        <v>2021</v>
      </c>
    </row>
    <row r="406" spans="1:8" x14ac:dyDescent="0.25">
      <c r="A406" s="2">
        <v>44220</v>
      </c>
      <c r="B406" t="s">
        <v>48</v>
      </c>
      <c r="C406">
        <v>-2024</v>
      </c>
      <c r="D406" t="str">
        <f>VLOOKUP(B406,Tabela_Auxiliar[],2,0)</f>
        <v>4. Despesas Operacionais</v>
      </c>
      <c r="E406" t="str">
        <f>VLOOKUP(B406,Tabela_Auxiliar[],4,0)</f>
        <v>Despesa com Pessoal</v>
      </c>
      <c r="F406" t="str">
        <f>VLOOKUP(B406,Tabela_Auxiliar[],3,0)</f>
        <v>Saída</v>
      </c>
      <c r="G406" t="str">
        <f>UPPER(TEXT(Tabela_DB[[#This Row],[DATA]],"mmm"))</f>
        <v>JAN</v>
      </c>
      <c r="H406" t="str">
        <f>UPPER(TEXT(Tabela_DB[[#This Row],[DATA]],"aaaa"))</f>
        <v>2021</v>
      </c>
    </row>
    <row r="407" spans="1:8" x14ac:dyDescent="0.25">
      <c r="A407" s="2">
        <v>44220</v>
      </c>
      <c r="B407" t="s">
        <v>5</v>
      </c>
      <c r="C407">
        <v>-1209</v>
      </c>
      <c r="D407" t="str">
        <f>VLOOKUP(B407,Tabela_Auxiliar[],2,0)</f>
        <v>4. Despesas Operacionais</v>
      </c>
      <c r="E407" t="str">
        <f>VLOOKUP(B407,Tabela_Auxiliar[],4,0)</f>
        <v>Despesa com Pessoal</v>
      </c>
      <c r="F407" t="str">
        <f>VLOOKUP(B407,Tabela_Auxiliar[],3,0)</f>
        <v>Saída</v>
      </c>
      <c r="G407" t="str">
        <f>UPPER(TEXT(Tabela_DB[[#This Row],[DATA]],"mmm"))</f>
        <v>JAN</v>
      </c>
      <c r="H407" t="str">
        <f>UPPER(TEXT(Tabela_DB[[#This Row],[DATA]],"aaaa"))</f>
        <v>2021</v>
      </c>
    </row>
    <row r="408" spans="1:8" x14ac:dyDescent="0.25">
      <c r="A408" s="2">
        <v>44220</v>
      </c>
      <c r="B408" t="s">
        <v>34</v>
      </c>
      <c r="C408">
        <v>-1409</v>
      </c>
      <c r="D408" t="str">
        <f>VLOOKUP(B408,Tabela_Auxiliar[],2,0)</f>
        <v>2. Deduções da Receita</v>
      </c>
      <c r="E408" t="str">
        <f>VLOOKUP(B408,Tabela_Auxiliar[],4,0)</f>
        <v>Imposto</v>
      </c>
      <c r="F408" t="str">
        <f>VLOOKUP(B408,Tabela_Auxiliar[],3,0)</f>
        <v>Saída</v>
      </c>
      <c r="G408" t="str">
        <f>UPPER(TEXT(Tabela_DB[[#This Row],[DATA]],"mmm"))</f>
        <v>JAN</v>
      </c>
      <c r="H408" t="str">
        <f>UPPER(TEXT(Tabela_DB[[#This Row],[DATA]],"aaaa"))</f>
        <v>2021</v>
      </c>
    </row>
    <row r="409" spans="1:8" x14ac:dyDescent="0.25">
      <c r="A409" s="2">
        <v>44220</v>
      </c>
      <c r="B409" t="s">
        <v>4</v>
      </c>
      <c r="C409">
        <v>11429</v>
      </c>
      <c r="D409" t="str">
        <f>VLOOKUP(B409,Tabela_Auxiliar[],2,0)</f>
        <v>1. Receita Operacional Bruta</v>
      </c>
      <c r="E409" t="str">
        <f>VLOOKUP(B409,Tabela_Auxiliar[],4,0)</f>
        <v>Receita Bruta</v>
      </c>
      <c r="F409" t="str">
        <f>VLOOKUP(B409,Tabela_Auxiliar[],3,0)</f>
        <v>Entrada</v>
      </c>
      <c r="G409" t="str">
        <f>UPPER(TEXT(Tabela_DB[[#This Row],[DATA]],"mmm"))</f>
        <v>JAN</v>
      </c>
      <c r="H409" t="str">
        <f>UPPER(TEXT(Tabela_DB[[#This Row],[DATA]],"aaaa"))</f>
        <v>2021</v>
      </c>
    </row>
    <row r="410" spans="1:8" x14ac:dyDescent="0.25">
      <c r="A410" s="2">
        <v>44221</v>
      </c>
      <c r="B410" t="s">
        <v>35</v>
      </c>
      <c r="C410">
        <v>-2106</v>
      </c>
      <c r="D410" t="str">
        <f>VLOOKUP(B410,Tabela_Auxiliar[],2,0)</f>
        <v>2. Deduções da Receita</v>
      </c>
      <c r="E410" t="str">
        <f>VLOOKUP(B410,Tabela_Auxiliar[],4,0)</f>
        <v>Imposto</v>
      </c>
      <c r="F410" t="str">
        <f>VLOOKUP(B410,Tabela_Auxiliar[],3,0)</f>
        <v>Saída</v>
      </c>
      <c r="G410" t="str">
        <f>UPPER(TEXT(Tabela_DB[[#This Row],[DATA]],"mmm"))</f>
        <v>JAN</v>
      </c>
      <c r="H410" t="str">
        <f>UPPER(TEXT(Tabela_DB[[#This Row],[DATA]],"aaaa"))</f>
        <v>2021</v>
      </c>
    </row>
    <row r="411" spans="1:8" x14ac:dyDescent="0.25">
      <c r="A411" s="2">
        <v>44221</v>
      </c>
      <c r="B411" t="s">
        <v>34</v>
      </c>
      <c r="C411">
        <v>-1909</v>
      </c>
      <c r="D411" t="str">
        <f>VLOOKUP(B411,Tabela_Auxiliar[],2,0)</f>
        <v>2. Deduções da Receita</v>
      </c>
      <c r="E411" t="str">
        <f>VLOOKUP(B411,Tabela_Auxiliar[],4,0)</f>
        <v>Imposto</v>
      </c>
      <c r="F411" t="str">
        <f>VLOOKUP(B411,Tabela_Auxiliar[],3,0)</f>
        <v>Saída</v>
      </c>
      <c r="G411" t="str">
        <f>UPPER(TEXT(Tabela_DB[[#This Row],[DATA]],"mmm"))</f>
        <v>JAN</v>
      </c>
      <c r="H411" t="str">
        <f>UPPER(TEXT(Tabela_DB[[#This Row],[DATA]],"aaaa"))</f>
        <v>2021</v>
      </c>
    </row>
    <row r="412" spans="1:8" x14ac:dyDescent="0.25">
      <c r="A412" s="2">
        <v>44221</v>
      </c>
      <c r="B412" t="s">
        <v>4</v>
      </c>
      <c r="C412">
        <v>11705</v>
      </c>
      <c r="D412" t="str">
        <f>VLOOKUP(B412,Tabela_Auxiliar[],2,0)</f>
        <v>1. Receita Operacional Bruta</v>
      </c>
      <c r="E412" t="str">
        <f>VLOOKUP(B412,Tabela_Auxiliar[],4,0)</f>
        <v>Receita Bruta</v>
      </c>
      <c r="F412" t="str">
        <f>VLOOKUP(B412,Tabela_Auxiliar[],3,0)</f>
        <v>Entrada</v>
      </c>
      <c r="G412" t="str">
        <f>UPPER(TEXT(Tabela_DB[[#This Row],[DATA]],"mmm"))</f>
        <v>JAN</v>
      </c>
      <c r="H412" t="str">
        <f>UPPER(TEXT(Tabela_DB[[#This Row],[DATA]],"aaaa"))</f>
        <v>2021</v>
      </c>
    </row>
    <row r="413" spans="1:8" x14ac:dyDescent="0.25">
      <c r="A413" s="2">
        <v>44221</v>
      </c>
      <c r="B413" t="s">
        <v>88</v>
      </c>
      <c r="C413">
        <v>-1292</v>
      </c>
      <c r="D413" t="str">
        <f>VLOOKUP(B413,Tabela_Auxiliar[],2,0)</f>
        <v>4. Despesas Operacionais</v>
      </c>
      <c r="E413" t="str">
        <f>VLOOKUP(B413,Tabela_Auxiliar[],4,0)</f>
        <v>Despesa Tributária</v>
      </c>
      <c r="F413" t="str">
        <f>VLOOKUP(B413,Tabela_Auxiliar[],3,0)</f>
        <v>Saída</v>
      </c>
      <c r="G413" t="str">
        <f>UPPER(TEXT(Tabela_DB[[#This Row],[DATA]],"mmm"))</f>
        <v>JAN</v>
      </c>
      <c r="H413" t="str">
        <f>UPPER(TEXT(Tabela_DB[[#This Row],[DATA]],"aaaa"))</f>
        <v>2021</v>
      </c>
    </row>
    <row r="414" spans="1:8" x14ac:dyDescent="0.25">
      <c r="A414" s="2">
        <v>44221</v>
      </c>
      <c r="B414" t="s">
        <v>37</v>
      </c>
      <c r="C414">
        <v>-2922</v>
      </c>
      <c r="D414" t="str">
        <f>VLOOKUP(B414,Tabela_Auxiliar[],2,0)</f>
        <v>3. Custos do Produto/Mercadoria/Serviço</v>
      </c>
      <c r="E414" t="str">
        <f>VLOOKUP(B414,Tabela_Auxiliar[],4,0)</f>
        <v>Despesas c/ Produto</v>
      </c>
      <c r="F414" t="str">
        <f>VLOOKUP(B414,Tabela_Auxiliar[],3,0)</f>
        <v>Saída</v>
      </c>
      <c r="G414" t="str">
        <f>UPPER(TEXT(Tabela_DB[[#This Row],[DATA]],"mmm"))</f>
        <v>JAN</v>
      </c>
      <c r="H414" t="str">
        <f>UPPER(TEXT(Tabela_DB[[#This Row],[DATA]],"aaaa"))</f>
        <v>2021</v>
      </c>
    </row>
    <row r="415" spans="1:8" x14ac:dyDescent="0.25">
      <c r="A415" s="2">
        <v>44221</v>
      </c>
      <c r="B415" t="s">
        <v>3</v>
      </c>
      <c r="C415">
        <v>11010</v>
      </c>
      <c r="D415" t="str">
        <f>VLOOKUP(B415,Tabela_Auxiliar[],2,0)</f>
        <v>1. Receita Operacional Bruta</v>
      </c>
      <c r="E415" t="str">
        <f>VLOOKUP(B415,Tabela_Auxiliar[],4,0)</f>
        <v>Receita Bruta</v>
      </c>
      <c r="F415" t="str">
        <f>VLOOKUP(B415,Tabela_Auxiliar[],3,0)</f>
        <v>Entrada</v>
      </c>
      <c r="G415" t="str">
        <f>UPPER(TEXT(Tabela_DB[[#This Row],[DATA]],"mmm"))</f>
        <v>JAN</v>
      </c>
      <c r="H415" t="str">
        <f>UPPER(TEXT(Tabela_DB[[#This Row],[DATA]],"aaaa"))</f>
        <v>2021</v>
      </c>
    </row>
    <row r="416" spans="1:8" x14ac:dyDescent="0.25">
      <c r="A416" s="2">
        <v>44221</v>
      </c>
      <c r="B416" t="s">
        <v>34</v>
      </c>
      <c r="C416">
        <v>-1109</v>
      </c>
      <c r="D416" t="str">
        <f>VLOOKUP(B416,Tabela_Auxiliar[],2,0)</f>
        <v>2. Deduções da Receita</v>
      </c>
      <c r="E416" t="str">
        <f>VLOOKUP(B416,Tabela_Auxiliar[],4,0)</f>
        <v>Imposto</v>
      </c>
      <c r="F416" t="str">
        <f>VLOOKUP(B416,Tabela_Auxiliar[],3,0)</f>
        <v>Saída</v>
      </c>
      <c r="G416" t="str">
        <f>UPPER(TEXT(Tabela_DB[[#This Row],[DATA]],"mmm"))</f>
        <v>JAN</v>
      </c>
      <c r="H416" t="str">
        <f>UPPER(TEXT(Tabela_DB[[#This Row],[DATA]],"aaaa"))</f>
        <v>2021</v>
      </c>
    </row>
    <row r="417" spans="1:8" x14ac:dyDescent="0.25">
      <c r="A417" s="2">
        <v>44221</v>
      </c>
      <c r="B417" t="s">
        <v>3</v>
      </c>
      <c r="C417">
        <v>13570</v>
      </c>
      <c r="D417" t="str">
        <f>VLOOKUP(B417,Tabela_Auxiliar[],2,0)</f>
        <v>1. Receita Operacional Bruta</v>
      </c>
      <c r="E417" t="str">
        <f>VLOOKUP(B417,Tabela_Auxiliar[],4,0)</f>
        <v>Receita Bruta</v>
      </c>
      <c r="F417" t="str">
        <f>VLOOKUP(B417,Tabela_Auxiliar[],3,0)</f>
        <v>Entrada</v>
      </c>
      <c r="G417" t="str">
        <f>UPPER(TEXT(Tabela_DB[[#This Row],[DATA]],"mmm"))</f>
        <v>JAN</v>
      </c>
      <c r="H417" t="str">
        <f>UPPER(TEXT(Tabela_DB[[#This Row],[DATA]],"aaaa"))</f>
        <v>2021</v>
      </c>
    </row>
    <row r="418" spans="1:8" x14ac:dyDescent="0.25">
      <c r="A418" s="2">
        <v>44221</v>
      </c>
      <c r="B418" t="s">
        <v>38</v>
      </c>
      <c r="C418">
        <v>-1022</v>
      </c>
      <c r="D418" t="str">
        <f>VLOOKUP(B418,Tabela_Auxiliar[],2,0)</f>
        <v>2. Deduções da Receita</v>
      </c>
      <c r="E418" t="str">
        <f>VLOOKUP(B418,Tabela_Auxiliar[],4,0)</f>
        <v>Deduções</v>
      </c>
      <c r="F418" t="str">
        <f>VLOOKUP(B418,Tabela_Auxiliar[],3,0)</f>
        <v>Saída</v>
      </c>
      <c r="G418" t="str">
        <f>UPPER(TEXT(Tabela_DB[[#This Row],[DATA]],"mmm"))</f>
        <v>JAN</v>
      </c>
      <c r="H418" t="str">
        <f>UPPER(TEXT(Tabela_DB[[#This Row],[DATA]],"aaaa"))</f>
        <v>2021</v>
      </c>
    </row>
    <row r="419" spans="1:8" x14ac:dyDescent="0.25">
      <c r="A419" s="2">
        <v>44221</v>
      </c>
      <c r="B419" t="s">
        <v>37</v>
      </c>
      <c r="C419">
        <v>-2863</v>
      </c>
      <c r="D419" t="str">
        <f>VLOOKUP(B419,Tabela_Auxiliar[],2,0)</f>
        <v>3. Custos do Produto/Mercadoria/Serviço</v>
      </c>
      <c r="E419" t="str">
        <f>VLOOKUP(B419,Tabela_Auxiliar[],4,0)</f>
        <v>Despesas c/ Produto</v>
      </c>
      <c r="F419" t="str">
        <f>VLOOKUP(B419,Tabela_Auxiliar[],3,0)</f>
        <v>Saída</v>
      </c>
      <c r="G419" t="str">
        <f>UPPER(TEXT(Tabela_DB[[#This Row],[DATA]],"mmm"))</f>
        <v>JAN</v>
      </c>
      <c r="H419" t="str">
        <f>UPPER(TEXT(Tabela_DB[[#This Row],[DATA]],"aaaa"))</f>
        <v>2021</v>
      </c>
    </row>
    <row r="420" spans="1:8" x14ac:dyDescent="0.25">
      <c r="A420" s="2">
        <v>44221</v>
      </c>
      <c r="B420" t="s">
        <v>35</v>
      </c>
      <c r="C420">
        <v>-2373</v>
      </c>
      <c r="D420" t="str">
        <f>VLOOKUP(B420,Tabela_Auxiliar[],2,0)</f>
        <v>2. Deduções da Receita</v>
      </c>
      <c r="E420" t="str">
        <f>VLOOKUP(B420,Tabela_Auxiliar[],4,0)</f>
        <v>Imposto</v>
      </c>
      <c r="F420" t="str">
        <f>VLOOKUP(B420,Tabela_Auxiliar[],3,0)</f>
        <v>Saída</v>
      </c>
      <c r="G420" t="str">
        <f>UPPER(TEXT(Tabela_DB[[#This Row],[DATA]],"mmm"))</f>
        <v>JAN</v>
      </c>
      <c r="H420" t="str">
        <f>UPPER(TEXT(Tabela_DB[[#This Row],[DATA]],"aaaa"))</f>
        <v>2021</v>
      </c>
    </row>
    <row r="421" spans="1:8" x14ac:dyDescent="0.25">
      <c r="A421" s="2">
        <v>44221</v>
      </c>
      <c r="B421" t="s">
        <v>57</v>
      </c>
      <c r="C421">
        <v>-1467</v>
      </c>
      <c r="D421" t="str">
        <f>VLOOKUP(B421,Tabela_Auxiliar[],2,0)</f>
        <v>4. Despesas Operacionais</v>
      </c>
      <c r="E421" t="str">
        <f>VLOOKUP(B421,Tabela_Auxiliar[],4,0)</f>
        <v>Despesa com Pessoal</v>
      </c>
      <c r="F421" t="str">
        <f>VLOOKUP(B421,Tabela_Auxiliar[],3,0)</f>
        <v>Saída</v>
      </c>
      <c r="G421" t="str">
        <f>UPPER(TEXT(Tabela_DB[[#This Row],[DATA]],"mmm"))</f>
        <v>JAN</v>
      </c>
      <c r="H421" t="str">
        <f>UPPER(TEXT(Tabela_DB[[#This Row],[DATA]],"aaaa"))</f>
        <v>2021</v>
      </c>
    </row>
    <row r="422" spans="1:8" x14ac:dyDescent="0.25">
      <c r="A422" s="2">
        <v>44221</v>
      </c>
      <c r="B422" t="s">
        <v>3</v>
      </c>
      <c r="C422">
        <v>12383</v>
      </c>
      <c r="D422" t="str">
        <f>VLOOKUP(B422,Tabela_Auxiliar[],2,0)</f>
        <v>1. Receita Operacional Bruta</v>
      </c>
      <c r="E422" t="str">
        <f>VLOOKUP(B422,Tabela_Auxiliar[],4,0)</f>
        <v>Receita Bruta</v>
      </c>
      <c r="F422" t="str">
        <f>VLOOKUP(B422,Tabela_Auxiliar[],3,0)</f>
        <v>Entrada</v>
      </c>
      <c r="G422" t="str">
        <f>UPPER(TEXT(Tabela_DB[[#This Row],[DATA]],"mmm"))</f>
        <v>JAN</v>
      </c>
      <c r="H422" t="str">
        <f>UPPER(TEXT(Tabela_DB[[#This Row],[DATA]],"aaaa"))</f>
        <v>2021</v>
      </c>
    </row>
    <row r="423" spans="1:8" x14ac:dyDescent="0.25">
      <c r="A423" s="2">
        <v>44221</v>
      </c>
      <c r="B423" t="s">
        <v>37</v>
      </c>
      <c r="C423">
        <v>-4155</v>
      </c>
      <c r="D423" t="str">
        <f>VLOOKUP(B423,Tabela_Auxiliar[],2,0)</f>
        <v>3. Custos do Produto/Mercadoria/Serviço</v>
      </c>
      <c r="E423" t="str">
        <f>VLOOKUP(B423,Tabela_Auxiliar[],4,0)</f>
        <v>Despesas c/ Produto</v>
      </c>
      <c r="F423" t="str">
        <f>VLOOKUP(B423,Tabela_Auxiliar[],3,0)</f>
        <v>Saída</v>
      </c>
      <c r="G423" t="str">
        <f>UPPER(TEXT(Tabela_DB[[#This Row],[DATA]],"mmm"))</f>
        <v>JAN</v>
      </c>
      <c r="H423" t="str">
        <f>UPPER(TEXT(Tabela_DB[[#This Row],[DATA]],"aaaa"))</f>
        <v>2021</v>
      </c>
    </row>
    <row r="424" spans="1:8" x14ac:dyDescent="0.25">
      <c r="A424" s="2">
        <v>44221</v>
      </c>
      <c r="B424" t="s">
        <v>4</v>
      </c>
      <c r="C424">
        <v>14922</v>
      </c>
      <c r="D424" t="str">
        <f>VLOOKUP(B424,Tabela_Auxiliar[],2,0)</f>
        <v>1. Receita Operacional Bruta</v>
      </c>
      <c r="E424" t="str">
        <f>VLOOKUP(B424,Tabela_Auxiliar[],4,0)</f>
        <v>Receita Bruta</v>
      </c>
      <c r="F424" t="str">
        <f>VLOOKUP(B424,Tabela_Auxiliar[],3,0)</f>
        <v>Entrada</v>
      </c>
      <c r="G424" t="str">
        <f>UPPER(TEXT(Tabela_DB[[#This Row],[DATA]],"mmm"))</f>
        <v>JAN</v>
      </c>
      <c r="H424" t="str">
        <f>UPPER(TEXT(Tabela_DB[[#This Row],[DATA]],"aaaa"))</f>
        <v>2021</v>
      </c>
    </row>
    <row r="425" spans="1:8" x14ac:dyDescent="0.25">
      <c r="A425" s="2">
        <v>44221</v>
      </c>
      <c r="B425" t="s">
        <v>55</v>
      </c>
      <c r="C425">
        <v>-2447</v>
      </c>
      <c r="D425" t="str">
        <f>VLOOKUP(B425,Tabela_Auxiliar[],2,0)</f>
        <v>4. Despesas Operacionais</v>
      </c>
      <c r="E425" t="str">
        <f>VLOOKUP(B425,Tabela_Auxiliar[],4,0)</f>
        <v>Despesa com Pessoal</v>
      </c>
      <c r="F425" t="str">
        <f>VLOOKUP(B425,Tabela_Auxiliar[],3,0)</f>
        <v>Saída</v>
      </c>
      <c r="G425" t="str">
        <f>UPPER(TEXT(Tabela_DB[[#This Row],[DATA]],"mmm"))</f>
        <v>JAN</v>
      </c>
      <c r="H425" t="str">
        <f>UPPER(TEXT(Tabela_DB[[#This Row],[DATA]],"aaaa"))</f>
        <v>2021</v>
      </c>
    </row>
    <row r="426" spans="1:8" x14ac:dyDescent="0.25">
      <c r="A426" s="2">
        <v>44221</v>
      </c>
      <c r="B426" t="s">
        <v>37</v>
      </c>
      <c r="C426">
        <v>-2636</v>
      </c>
      <c r="D426" t="str">
        <f>VLOOKUP(B426,Tabela_Auxiliar[],2,0)</f>
        <v>3. Custos do Produto/Mercadoria/Serviço</v>
      </c>
      <c r="E426" t="str">
        <f>VLOOKUP(B426,Tabela_Auxiliar[],4,0)</f>
        <v>Despesas c/ Produto</v>
      </c>
      <c r="F426" t="str">
        <f>VLOOKUP(B426,Tabela_Auxiliar[],3,0)</f>
        <v>Saída</v>
      </c>
      <c r="G426" t="str">
        <f>UPPER(TEXT(Tabela_DB[[#This Row],[DATA]],"mmm"))</f>
        <v>JAN</v>
      </c>
      <c r="H426" t="str">
        <f>UPPER(TEXT(Tabela_DB[[#This Row],[DATA]],"aaaa"))</f>
        <v>2021</v>
      </c>
    </row>
    <row r="427" spans="1:8" x14ac:dyDescent="0.25">
      <c r="A427" s="2">
        <v>44221</v>
      </c>
      <c r="B427" t="s">
        <v>111</v>
      </c>
      <c r="C427">
        <v>-2230</v>
      </c>
      <c r="D427" t="str">
        <f>VLOOKUP(B427,Tabela_Auxiliar[],2,0)</f>
        <v>2. Deduções da Receita</v>
      </c>
      <c r="E427" t="str">
        <f>VLOOKUP(B427,Tabela_Auxiliar[],4,0)</f>
        <v>Imposto</v>
      </c>
      <c r="F427" t="str">
        <f>VLOOKUP(B427,Tabela_Auxiliar[],3,0)</f>
        <v>Saída</v>
      </c>
      <c r="G427" t="str">
        <f>UPPER(TEXT(Tabela_DB[[#This Row],[DATA]],"mmm"))</f>
        <v>JAN</v>
      </c>
      <c r="H427" t="str">
        <f>UPPER(TEXT(Tabela_DB[[#This Row],[DATA]],"aaaa"))</f>
        <v>2021</v>
      </c>
    </row>
    <row r="428" spans="1:8" x14ac:dyDescent="0.25">
      <c r="A428" s="2">
        <v>44221</v>
      </c>
      <c r="B428" t="s">
        <v>76</v>
      </c>
      <c r="C428">
        <v>-1371</v>
      </c>
      <c r="D428" t="str">
        <f>VLOOKUP(B428,Tabela_Auxiliar[],2,0)</f>
        <v>4. Despesas Operacionais</v>
      </c>
      <c r="E428" t="str">
        <f>VLOOKUP(B428,Tabela_Auxiliar[],4,0)</f>
        <v>Serviços Contratados</v>
      </c>
      <c r="F428" t="str">
        <f>VLOOKUP(B428,Tabela_Auxiliar[],3,0)</f>
        <v>Saída</v>
      </c>
      <c r="G428" t="str">
        <f>UPPER(TEXT(Tabela_DB[[#This Row],[DATA]],"mmm"))</f>
        <v>JAN</v>
      </c>
      <c r="H428" t="str">
        <f>UPPER(TEXT(Tabela_DB[[#This Row],[DATA]],"aaaa"))</f>
        <v>2021</v>
      </c>
    </row>
    <row r="429" spans="1:8" x14ac:dyDescent="0.25">
      <c r="A429" s="2">
        <v>44221</v>
      </c>
      <c r="B429" t="s">
        <v>34</v>
      </c>
      <c r="C429">
        <v>-1763</v>
      </c>
      <c r="D429" t="str">
        <f>VLOOKUP(B429,Tabela_Auxiliar[],2,0)</f>
        <v>2. Deduções da Receita</v>
      </c>
      <c r="E429" t="str">
        <f>VLOOKUP(B429,Tabela_Auxiliar[],4,0)</f>
        <v>Imposto</v>
      </c>
      <c r="F429" t="str">
        <f>VLOOKUP(B429,Tabela_Auxiliar[],3,0)</f>
        <v>Saída</v>
      </c>
      <c r="G429" t="str">
        <f>UPPER(TEXT(Tabela_DB[[#This Row],[DATA]],"mmm"))</f>
        <v>JAN</v>
      </c>
      <c r="H429" t="str">
        <f>UPPER(TEXT(Tabela_DB[[#This Row],[DATA]],"aaaa"))</f>
        <v>2021</v>
      </c>
    </row>
    <row r="430" spans="1:8" x14ac:dyDescent="0.25">
      <c r="A430" s="2">
        <v>44222</v>
      </c>
      <c r="B430" t="s">
        <v>80</v>
      </c>
      <c r="C430">
        <v>-2239</v>
      </c>
      <c r="D430" t="str">
        <f>VLOOKUP(B430,Tabela_Auxiliar[],2,0)</f>
        <v>4. Despesas Operacionais</v>
      </c>
      <c r="E430" t="str">
        <f>VLOOKUP(B430,Tabela_Auxiliar[],4,0)</f>
        <v>Serviços Contratados</v>
      </c>
      <c r="F430" t="str">
        <f>VLOOKUP(B430,Tabela_Auxiliar[],3,0)</f>
        <v>Saída</v>
      </c>
      <c r="G430" t="str">
        <f>UPPER(TEXT(Tabela_DB[[#This Row],[DATA]],"mmm"))</f>
        <v>JAN</v>
      </c>
      <c r="H430" t="str">
        <f>UPPER(TEXT(Tabela_DB[[#This Row],[DATA]],"aaaa"))</f>
        <v>2021</v>
      </c>
    </row>
    <row r="431" spans="1:8" x14ac:dyDescent="0.25">
      <c r="A431" s="2">
        <v>44222</v>
      </c>
      <c r="B431" t="s">
        <v>111</v>
      </c>
      <c r="C431">
        <v>-2447</v>
      </c>
      <c r="D431" t="str">
        <f>VLOOKUP(B431,Tabela_Auxiliar[],2,0)</f>
        <v>2. Deduções da Receita</v>
      </c>
      <c r="E431" t="str">
        <f>VLOOKUP(B431,Tabela_Auxiliar[],4,0)</f>
        <v>Imposto</v>
      </c>
      <c r="F431" t="str">
        <f>VLOOKUP(B431,Tabela_Auxiliar[],3,0)</f>
        <v>Saída</v>
      </c>
      <c r="G431" t="str">
        <f>UPPER(TEXT(Tabela_DB[[#This Row],[DATA]],"mmm"))</f>
        <v>JAN</v>
      </c>
      <c r="H431" t="str">
        <f>UPPER(TEXT(Tabela_DB[[#This Row],[DATA]],"aaaa"))</f>
        <v>2021</v>
      </c>
    </row>
    <row r="432" spans="1:8" x14ac:dyDescent="0.25">
      <c r="A432" s="2">
        <v>44222</v>
      </c>
      <c r="B432" t="s">
        <v>38</v>
      </c>
      <c r="C432">
        <v>-1799</v>
      </c>
      <c r="D432" t="str">
        <f>VLOOKUP(B432,Tabela_Auxiliar[],2,0)</f>
        <v>2. Deduções da Receita</v>
      </c>
      <c r="E432" t="str">
        <f>VLOOKUP(B432,Tabela_Auxiliar[],4,0)</f>
        <v>Deduções</v>
      </c>
      <c r="F432" t="str">
        <f>VLOOKUP(B432,Tabela_Auxiliar[],3,0)</f>
        <v>Saída</v>
      </c>
      <c r="G432" t="str">
        <f>UPPER(TEXT(Tabela_DB[[#This Row],[DATA]],"mmm"))</f>
        <v>JAN</v>
      </c>
      <c r="H432" t="str">
        <f>UPPER(TEXT(Tabela_DB[[#This Row],[DATA]],"aaaa"))</f>
        <v>2021</v>
      </c>
    </row>
    <row r="433" spans="1:8" x14ac:dyDescent="0.25">
      <c r="A433" s="2">
        <v>44222</v>
      </c>
      <c r="B433" t="s">
        <v>66</v>
      </c>
      <c r="C433">
        <v>-1488</v>
      </c>
      <c r="D433" t="str">
        <f>VLOOKUP(B433,Tabela_Auxiliar[],2,0)</f>
        <v>4. Despesas Operacionais</v>
      </c>
      <c r="E433" t="str">
        <f>VLOOKUP(B433,Tabela_Auxiliar[],4,0)</f>
        <v>Despesa com Vendas</v>
      </c>
      <c r="F433" t="str">
        <f>VLOOKUP(B433,Tabela_Auxiliar[],3,0)</f>
        <v>Saída</v>
      </c>
      <c r="G433" t="str">
        <f>UPPER(TEXT(Tabela_DB[[#This Row],[DATA]],"mmm"))</f>
        <v>JAN</v>
      </c>
      <c r="H433" t="str">
        <f>UPPER(TEXT(Tabela_DB[[#This Row],[DATA]],"aaaa"))</f>
        <v>2021</v>
      </c>
    </row>
    <row r="434" spans="1:8" x14ac:dyDescent="0.25">
      <c r="A434" s="2">
        <v>44222</v>
      </c>
      <c r="B434" t="s">
        <v>37</v>
      </c>
      <c r="C434">
        <v>-4528</v>
      </c>
      <c r="D434" t="str">
        <f>VLOOKUP(B434,Tabela_Auxiliar[],2,0)</f>
        <v>3. Custos do Produto/Mercadoria/Serviço</v>
      </c>
      <c r="E434" t="str">
        <f>VLOOKUP(B434,Tabela_Auxiliar[],4,0)</f>
        <v>Despesas c/ Produto</v>
      </c>
      <c r="F434" t="str">
        <f>VLOOKUP(B434,Tabela_Auxiliar[],3,0)</f>
        <v>Saída</v>
      </c>
      <c r="G434" t="str">
        <f>UPPER(TEXT(Tabela_DB[[#This Row],[DATA]],"mmm"))</f>
        <v>JAN</v>
      </c>
      <c r="H434" t="str">
        <f>UPPER(TEXT(Tabela_DB[[#This Row],[DATA]],"aaaa"))</f>
        <v>2021</v>
      </c>
    </row>
    <row r="435" spans="1:8" x14ac:dyDescent="0.25">
      <c r="A435" s="2">
        <v>44222</v>
      </c>
      <c r="B435" t="s">
        <v>35</v>
      </c>
      <c r="C435">
        <v>-1740</v>
      </c>
      <c r="D435" t="str">
        <f>VLOOKUP(B435,Tabela_Auxiliar[],2,0)</f>
        <v>2. Deduções da Receita</v>
      </c>
      <c r="E435" t="str">
        <f>VLOOKUP(B435,Tabela_Auxiliar[],4,0)</f>
        <v>Imposto</v>
      </c>
      <c r="F435" t="str">
        <f>VLOOKUP(B435,Tabela_Auxiliar[],3,0)</f>
        <v>Saída</v>
      </c>
      <c r="G435" t="str">
        <f>UPPER(TEXT(Tabela_DB[[#This Row],[DATA]],"mmm"))</f>
        <v>JAN</v>
      </c>
      <c r="H435" t="str">
        <f>UPPER(TEXT(Tabela_DB[[#This Row],[DATA]],"aaaa"))</f>
        <v>2021</v>
      </c>
    </row>
    <row r="436" spans="1:8" x14ac:dyDescent="0.25">
      <c r="A436" s="2">
        <v>44222</v>
      </c>
      <c r="B436" t="s">
        <v>61</v>
      </c>
      <c r="C436">
        <v>-1826</v>
      </c>
      <c r="D436" t="str">
        <f>VLOOKUP(B436,Tabela_Auxiliar[],2,0)</f>
        <v>4. Despesas Operacionais</v>
      </c>
      <c r="E436" t="str">
        <f>VLOOKUP(B436,Tabela_Auxiliar[],4,0)</f>
        <v>Despesa de Depreciação</v>
      </c>
      <c r="F436" t="str">
        <f>VLOOKUP(B436,Tabela_Auxiliar[],3,0)</f>
        <v>Saída</v>
      </c>
      <c r="G436" t="str">
        <f>UPPER(TEXT(Tabela_DB[[#This Row],[DATA]],"mmm"))</f>
        <v>JAN</v>
      </c>
      <c r="H436" t="str">
        <f>UPPER(TEXT(Tabela_DB[[#This Row],[DATA]],"aaaa"))</f>
        <v>2021</v>
      </c>
    </row>
    <row r="437" spans="1:8" x14ac:dyDescent="0.25">
      <c r="A437" s="2">
        <v>44222</v>
      </c>
      <c r="B437" t="s">
        <v>34</v>
      </c>
      <c r="C437">
        <v>-2451</v>
      </c>
      <c r="D437" t="str">
        <f>VLOOKUP(B437,Tabela_Auxiliar[],2,0)</f>
        <v>2. Deduções da Receita</v>
      </c>
      <c r="E437" t="str">
        <f>VLOOKUP(B437,Tabela_Auxiliar[],4,0)</f>
        <v>Imposto</v>
      </c>
      <c r="F437" t="str">
        <f>VLOOKUP(B437,Tabela_Auxiliar[],3,0)</f>
        <v>Saída</v>
      </c>
      <c r="G437" t="str">
        <f>UPPER(TEXT(Tabela_DB[[#This Row],[DATA]],"mmm"))</f>
        <v>JAN</v>
      </c>
      <c r="H437" t="str">
        <f>UPPER(TEXT(Tabela_DB[[#This Row],[DATA]],"aaaa"))</f>
        <v>2021</v>
      </c>
    </row>
    <row r="438" spans="1:8" x14ac:dyDescent="0.25">
      <c r="A438" s="2">
        <v>44222</v>
      </c>
      <c r="B438" t="s">
        <v>34</v>
      </c>
      <c r="C438">
        <v>-2229</v>
      </c>
      <c r="D438" t="str">
        <f>VLOOKUP(B438,Tabela_Auxiliar[],2,0)</f>
        <v>2. Deduções da Receita</v>
      </c>
      <c r="E438" t="str">
        <f>VLOOKUP(B438,Tabela_Auxiliar[],4,0)</f>
        <v>Imposto</v>
      </c>
      <c r="F438" t="str">
        <f>VLOOKUP(B438,Tabela_Auxiliar[],3,0)</f>
        <v>Saída</v>
      </c>
      <c r="G438" t="str">
        <f>UPPER(TEXT(Tabela_DB[[#This Row],[DATA]],"mmm"))</f>
        <v>JAN</v>
      </c>
      <c r="H438" t="str">
        <f>UPPER(TEXT(Tabela_DB[[#This Row],[DATA]],"aaaa"))</f>
        <v>2021</v>
      </c>
    </row>
    <row r="439" spans="1:8" x14ac:dyDescent="0.25">
      <c r="A439" s="2">
        <v>44222</v>
      </c>
      <c r="B439" t="s">
        <v>34</v>
      </c>
      <c r="C439">
        <v>-2480</v>
      </c>
      <c r="D439" t="str">
        <f>VLOOKUP(B439,Tabela_Auxiliar[],2,0)</f>
        <v>2. Deduções da Receita</v>
      </c>
      <c r="E439" t="str">
        <f>VLOOKUP(B439,Tabela_Auxiliar[],4,0)</f>
        <v>Imposto</v>
      </c>
      <c r="F439" t="str">
        <f>VLOOKUP(B439,Tabela_Auxiliar[],3,0)</f>
        <v>Saída</v>
      </c>
      <c r="G439" t="str">
        <f>UPPER(TEXT(Tabela_DB[[#This Row],[DATA]],"mmm"))</f>
        <v>JAN</v>
      </c>
      <c r="H439" t="str">
        <f>UPPER(TEXT(Tabela_DB[[#This Row],[DATA]],"aaaa"))</f>
        <v>2021</v>
      </c>
    </row>
    <row r="440" spans="1:8" x14ac:dyDescent="0.25">
      <c r="A440" s="2">
        <v>44222</v>
      </c>
      <c r="B440" t="s">
        <v>38</v>
      </c>
      <c r="C440">
        <v>-1947</v>
      </c>
      <c r="D440" t="str">
        <f>VLOOKUP(B440,Tabela_Auxiliar[],2,0)</f>
        <v>2. Deduções da Receita</v>
      </c>
      <c r="E440" t="str">
        <f>VLOOKUP(B440,Tabela_Auxiliar[],4,0)</f>
        <v>Deduções</v>
      </c>
      <c r="F440" t="str">
        <f>VLOOKUP(B440,Tabela_Auxiliar[],3,0)</f>
        <v>Saída</v>
      </c>
      <c r="G440" t="str">
        <f>UPPER(TEXT(Tabela_DB[[#This Row],[DATA]],"mmm"))</f>
        <v>JAN</v>
      </c>
      <c r="H440" t="str">
        <f>UPPER(TEXT(Tabela_DB[[#This Row],[DATA]],"aaaa"))</f>
        <v>2021</v>
      </c>
    </row>
    <row r="441" spans="1:8" x14ac:dyDescent="0.25">
      <c r="A441" s="2">
        <v>44222</v>
      </c>
      <c r="B441" t="s">
        <v>65</v>
      </c>
      <c r="C441">
        <v>-2264</v>
      </c>
      <c r="D441" t="str">
        <f>VLOOKUP(B441,Tabela_Auxiliar[],2,0)</f>
        <v>4. Despesas Operacionais</v>
      </c>
      <c r="E441" t="str">
        <f>VLOOKUP(B441,Tabela_Auxiliar[],4,0)</f>
        <v>Despesa Gerais</v>
      </c>
      <c r="F441" t="str">
        <f>VLOOKUP(B441,Tabela_Auxiliar[],3,0)</f>
        <v>Saída</v>
      </c>
      <c r="G441" t="str">
        <f>UPPER(TEXT(Tabela_DB[[#This Row],[DATA]],"mmm"))</f>
        <v>JAN</v>
      </c>
      <c r="H441" t="str">
        <f>UPPER(TEXT(Tabela_DB[[#This Row],[DATA]],"aaaa"))</f>
        <v>2021</v>
      </c>
    </row>
    <row r="442" spans="1:8" x14ac:dyDescent="0.25">
      <c r="A442" s="2">
        <v>44222</v>
      </c>
      <c r="B442" t="s">
        <v>3</v>
      </c>
      <c r="C442">
        <v>12340</v>
      </c>
      <c r="D442" t="str">
        <f>VLOOKUP(B442,Tabela_Auxiliar[],2,0)</f>
        <v>1. Receita Operacional Bruta</v>
      </c>
      <c r="E442" t="str">
        <f>VLOOKUP(B442,Tabela_Auxiliar[],4,0)</f>
        <v>Receita Bruta</v>
      </c>
      <c r="F442" t="str">
        <f>VLOOKUP(B442,Tabela_Auxiliar[],3,0)</f>
        <v>Entrada</v>
      </c>
      <c r="G442" t="str">
        <f>UPPER(TEXT(Tabela_DB[[#This Row],[DATA]],"mmm"))</f>
        <v>JAN</v>
      </c>
      <c r="H442" t="str">
        <f>UPPER(TEXT(Tabela_DB[[#This Row],[DATA]],"aaaa"))</f>
        <v>2021</v>
      </c>
    </row>
    <row r="443" spans="1:8" x14ac:dyDescent="0.25">
      <c r="A443" s="2">
        <v>44222</v>
      </c>
      <c r="B443" t="s">
        <v>4</v>
      </c>
      <c r="C443">
        <v>13520</v>
      </c>
      <c r="D443" t="str">
        <f>VLOOKUP(B443,Tabela_Auxiliar[],2,0)</f>
        <v>1. Receita Operacional Bruta</v>
      </c>
      <c r="E443" t="str">
        <f>VLOOKUP(B443,Tabela_Auxiliar[],4,0)</f>
        <v>Receita Bruta</v>
      </c>
      <c r="F443" t="str">
        <f>VLOOKUP(B443,Tabela_Auxiliar[],3,0)</f>
        <v>Entrada</v>
      </c>
      <c r="G443" t="str">
        <f>UPPER(TEXT(Tabela_DB[[#This Row],[DATA]],"mmm"))</f>
        <v>JAN</v>
      </c>
      <c r="H443" t="str">
        <f>UPPER(TEXT(Tabela_DB[[#This Row],[DATA]],"aaaa"))</f>
        <v>2021</v>
      </c>
    </row>
    <row r="444" spans="1:8" x14ac:dyDescent="0.25">
      <c r="A444" s="2">
        <v>44222</v>
      </c>
      <c r="B444" t="s">
        <v>111</v>
      </c>
      <c r="C444">
        <v>-1737</v>
      </c>
      <c r="D444" t="str">
        <f>VLOOKUP(B444,Tabela_Auxiliar[],2,0)</f>
        <v>2. Deduções da Receita</v>
      </c>
      <c r="E444" t="str">
        <f>VLOOKUP(B444,Tabela_Auxiliar[],4,0)</f>
        <v>Imposto</v>
      </c>
      <c r="F444" t="str">
        <f>VLOOKUP(B444,Tabela_Auxiliar[],3,0)</f>
        <v>Saída</v>
      </c>
      <c r="G444" t="str">
        <f>UPPER(TEXT(Tabela_DB[[#This Row],[DATA]],"mmm"))</f>
        <v>JAN</v>
      </c>
      <c r="H444" t="str">
        <f>UPPER(TEXT(Tabela_DB[[#This Row],[DATA]],"aaaa"))</f>
        <v>2021</v>
      </c>
    </row>
    <row r="445" spans="1:8" x14ac:dyDescent="0.25">
      <c r="A445" s="2">
        <v>44222</v>
      </c>
      <c r="B445" t="s">
        <v>4</v>
      </c>
      <c r="C445">
        <v>10821</v>
      </c>
      <c r="D445" t="str">
        <f>VLOOKUP(B445,Tabela_Auxiliar[],2,0)</f>
        <v>1. Receita Operacional Bruta</v>
      </c>
      <c r="E445" t="str">
        <f>VLOOKUP(B445,Tabela_Auxiliar[],4,0)</f>
        <v>Receita Bruta</v>
      </c>
      <c r="F445" t="str">
        <f>VLOOKUP(B445,Tabela_Auxiliar[],3,0)</f>
        <v>Entrada</v>
      </c>
      <c r="G445" t="str">
        <f>UPPER(TEXT(Tabela_DB[[#This Row],[DATA]],"mmm"))</f>
        <v>JAN</v>
      </c>
      <c r="H445" t="str">
        <f>UPPER(TEXT(Tabela_DB[[#This Row],[DATA]],"aaaa"))</f>
        <v>2021</v>
      </c>
    </row>
    <row r="446" spans="1:8" x14ac:dyDescent="0.25">
      <c r="A446" s="2">
        <v>44223</v>
      </c>
      <c r="B446" t="s">
        <v>4</v>
      </c>
      <c r="C446">
        <v>13094</v>
      </c>
      <c r="D446" t="str">
        <f>VLOOKUP(B446,Tabela_Auxiliar[],2,0)</f>
        <v>1. Receita Operacional Bruta</v>
      </c>
      <c r="E446" t="str">
        <f>VLOOKUP(B446,Tabela_Auxiliar[],4,0)</f>
        <v>Receita Bruta</v>
      </c>
      <c r="F446" t="str">
        <f>VLOOKUP(B446,Tabela_Auxiliar[],3,0)</f>
        <v>Entrada</v>
      </c>
      <c r="G446" t="str">
        <f>UPPER(TEXT(Tabela_DB[[#This Row],[DATA]],"mmm"))</f>
        <v>JAN</v>
      </c>
      <c r="H446" t="str">
        <f>UPPER(TEXT(Tabela_DB[[#This Row],[DATA]],"aaaa"))</f>
        <v>2021</v>
      </c>
    </row>
    <row r="447" spans="1:8" x14ac:dyDescent="0.25">
      <c r="A447" s="2">
        <v>44223</v>
      </c>
      <c r="B447" t="s">
        <v>35</v>
      </c>
      <c r="C447">
        <v>-1945</v>
      </c>
      <c r="D447" t="str">
        <f>VLOOKUP(B447,Tabela_Auxiliar[],2,0)</f>
        <v>2. Deduções da Receita</v>
      </c>
      <c r="E447" t="str">
        <f>VLOOKUP(B447,Tabela_Auxiliar[],4,0)</f>
        <v>Imposto</v>
      </c>
      <c r="F447" t="str">
        <f>VLOOKUP(B447,Tabela_Auxiliar[],3,0)</f>
        <v>Saída</v>
      </c>
      <c r="G447" t="str">
        <f>UPPER(TEXT(Tabela_DB[[#This Row],[DATA]],"mmm"))</f>
        <v>JAN</v>
      </c>
      <c r="H447" t="str">
        <f>UPPER(TEXT(Tabela_DB[[#This Row],[DATA]],"aaaa"))</f>
        <v>2021</v>
      </c>
    </row>
    <row r="448" spans="1:8" x14ac:dyDescent="0.25">
      <c r="A448" s="2">
        <v>44223</v>
      </c>
      <c r="B448" t="s">
        <v>49</v>
      </c>
      <c r="C448">
        <v>-1481</v>
      </c>
      <c r="D448" t="str">
        <f>VLOOKUP(B448,Tabela_Auxiliar[],2,0)</f>
        <v>4. Despesas Operacionais</v>
      </c>
      <c r="E448" t="str">
        <f>VLOOKUP(B448,Tabela_Auxiliar[],4,0)</f>
        <v>Despesa com Pessoal</v>
      </c>
      <c r="F448" t="str">
        <f>VLOOKUP(B448,Tabela_Auxiliar[],3,0)</f>
        <v>Saída</v>
      </c>
      <c r="G448" t="str">
        <f>UPPER(TEXT(Tabela_DB[[#This Row],[DATA]],"mmm"))</f>
        <v>JAN</v>
      </c>
      <c r="H448" t="str">
        <f>UPPER(TEXT(Tabela_DB[[#This Row],[DATA]],"aaaa"))</f>
        <v>2021</v>
      </c>
    </row>
    <row r="449" spans="1:8" x14ac:dyDescent="0.25">
      <c r="A449" s="2">
        <v>44223</v>
      </c>
      <c r="B449" t="s">
        <v>100</v>
      </c>
      <c r="C449">
        <v>1086</v>
      </c>
      <c r="D449" t="str">
        <f>VLOOKUP(B449,Tabela_Auxiliar[],2,0)</f>
        <v>5. Resultado Financeiro</v>
      </c>
      <c r="E449" t="str">
        <f>VLOOKUP(B449,Tabela_Auxiliar[],4,0)</f>
        <v>Receita Financeira</v>
      </c>
      <c r="F449" t="str">
        <f>VLOOKUP(B449,Tabela_Auxiliar[],3,0)</f>
        <v>Saída</v>
      </c>
      <c r="G449" t="str">
        <f>UPPER(TEXT(Tabela_DB[[#This Row],[DATA]],"mmm"))</f>
        <v>JAN</v>
      </c>
      <c r="H449" t="str">
        <f>UPPER(TEXT(Tabela_DB[[#This Row],[DATA]],"aaaa"))</f>
        <v>2021</v>
      </c>
    </row>
    <row r="450" spans="1:8" x14ac:dyDescent="0.25">
      <c r="A450" s="2">
        <v>44223</v>
      </c>
      <c r="B450" t="s">
        <v>5</v>
      </c>
      <c r="C450">
        <v>-1372</v>
      </c>
      <c r="D450" t="str">
        <f>VLOOKUP(B450,Tabela_Auxiliar[],2,0)</f>
        <v>4. Despesas Operacionais</v>
      </c>
      <c r="E450" t="str">
        <f>VLOOKUP(B450,Tabela_Auxiliar[],4,0)</f>
        <v>Despesa com Pessoal</v>
      </c>
      <c r="F450" t="str">
        <f>VLOOKUP(B450,Tabela_Auxiliar[],3,0)</f>
        <v>Saída</v>
      </c>
      <c r="G450" t="str">
        <f>UPPER(TEXT(Tabela_DB[[#This Row],[DATA]],"mmm"))</f>
        <v>JAN</v>
      </c>
      <c r="H450" t="str">
        <f>UPPER(TEXT(Tabela_DB[[#This Row],[DATA]],"aaaa"))</f>
        <v>2021</v>
      </c>
    </row>
    <row r="451" spans="1:8" x14ac:dyDescent="0.25">
      <c r="A451" s="2">
        <v>44223</v>
      </c>
      <c r="B451" t="s">
        <v>38</v>
      </c>
      <c r="C451">
        <v>-2215</v>
      </c>
      <c r="D451" t="str">
        <f>VLOOKUP(B451,Tabela_Auxiliar[],2,0)</f>
        <v>2. Deduções da Receita</v>
      </c>
      <c r="E451" t="str">
        <f>VLOOKUP(B451,Tabela_Auxiliar[],4,0)</f>
        <v>Deduções</v>
      </c>
      <c r="F451" t="str">
        <f>VLOOKUP(B451,Tabela_Auxiliar[],3,0)</f>
        <v>Saída</v>
      </c>
      <c r="G451" t="str">
        <f>UPPER(TEXT(Tabela_DB[[#This Row],[DATA]],"mmm"))</f>
        <v>JAN</v>
      </c>
      <c r="H451" t="str">
        <f>UPPER(TEXT(Tabela_DB[[#This Row],[DATA]],"aaaa"))</f>
        <v>2021</v>
      </c>
    </row>
    <row r="452" spans="1:8" x14ac:dyDescent="0.25">
      <c r="A452" s="2">
        <v>44223</v>
      </c>
      <c r="B452" t="s">
        <v>34</v>
      </c>
      <c r="C452">
        <v>-1687</v>
      </c>
      <c r="D452" t="str">
        <f>VLOOKUP(B452,Tabela_Auxiliar[],2,0)</f>
        <v>2. Deduções da Receita</v>
      </c>
      <c r="E452" t="str">
        <f>VLOOKUP(B452,Tabela_Auxiliar[],4,0)</f>
        <v>Imposto</v>
      </c>
      <c r="F452" t="str">
        <f>VLOOKUP(B452,Tabela_Auxiliar[],3,0)</f>
        <v>Saída</v>
      </c>
      <c r="G452" t="str">
        <f>UPPER(TEXT(Tabela_DB[[#This Row],[DATA]],"mmm"))</f>
        <v>JAN</v>
      </c>
      <c r="H452" t="str">
        <f>UPPER(TEXT(Tabela_DB[[#This Row],[DATA]],"aaaa"))</f>
        <v>2021</v>
      </c>
    </row>
    <row r="453" spans="1:8" x14ac:dyDescent="0.25">
      <c r="A453" s="2">
        <v>44223</v>
      </c>
      <c r="B453" t="s">
        <v>74</v>
      </c>
      <c r="C453">
        <v>-1165</v>
      </c>
      <c r="D453" t="str">
        <f>VLOOKUP(B453,Tabela_Auxiliar[],2,0)</f>
        <v>4. Despesas Operacionais</v>
      </c>
      <c r="E453" t="str">
        <f>VLOOKUP(B453,Tabela_Auxiliar[],4,0)</f>
        <v>Serviços Contratados</v>
      </c>
      <c r="F453" t="str">
        <f>VLOOKUP(B453,Tabela_Auxiliar[],3,0)</f>
        <v>Saída</v>
      </c>
      <c r="G453" t="str">
        <f>UPPER(TEXT(Tabela_DB[[#This Row],[DATA]],"mmm"))</f>
        <v>JAN</v>
      </c>
      <c r="H453" t="str">
        <f>UPPER(TEXT(Tabela_DB[[#This Row],[DATA]],"aaaa"))</f>
        <v>2021</v>
      </c>
    </row>
    <row r="454" spans="1:8" x14ac:dyDescent="0.25">
      <c r="A454" s="2">
        <v>44223</v>
      </c>
      <c r="B454" t="s">
        <v>4</v>
      </c>
      <c r="C454">
        <v>12801</v>
      </c>
      <c r="D454" t="str">
        <f>VLOOKUP(B454,Tabela_Auxiliar[],2,0)</f>
        <v>1. Receita Operacional Bruta</v>
      </c>
      <c r="E454" t="str">
        <f>VLOOKUP(B454,Tabela_Auxiliar[],4,0)</f>
        <v>Receita Bruta</v>
      </c>
      <c r="F454" t="str">
        <f>VLOOKUP(B454,Tabela_Auxiliar[],3,0)</f>
        <v>Entrada</v>
      </c>
      <c r="G454" t="str">
        <f>UPPER(TEXT(Tabela_DB[[#This Row],[DATA]],"mmm"))</f>
        <v>JAN</v>
      </c>
      <c r="H454" t="str">
        <f>UPPER(TEXT(Tabela_DB[[#This Row],[DATA]],"aaaa"))</f>
        <v>2021</v>
      </c>
    </row>
    <row r="455" spans="1:8" x14ac:dyDescent="0.25">
      <c r="A455" s="2">
        <v>44223</v>
      </c>
      <c r="B455" t="s">
        <v>3</v>
      </c>
      <c r="C455">
        <v>13740</v>
      </c>
      <c r="D455" t="str">
        <f>VLOOKUP(B455,Tabela_Auxiliar[],2,0)</f>
        <v>1. Receita Operacional Bruta</v>
      </c>
      <c r="E455" t="str">
        <f>VLOOKUP(B455,Tabela_Auxiliar[],4,0)</f>
        <v>Receita Bruta</v>
      </c>
      <c r="F455" t="str">
        <f>VLOOKUP(B455,Tabela_Auxiliar[],3,0)</f>
        <v>Entrada</v>
      </c>
      <c r="G455" t="str">
        <f>UPPER(TEXT(Tabela_DB[[#This Row],[DATA]],"mmm"))</f>
        <v>JAN</v>
      </c>
      <c r="H455" t="str">
        <f>UPPER(TEXT(Tabela_DB[[#This Row],[DATA]],"aaaa"))</f>
        <v>2021</v>
      </c>
    </row>
    <row r="456" spans="1:8" x14ac:dyDescent="0.25">
      <c r="A456" s="2">
        <v>44223</v>
      </c>
      <c r="B456" t="s">
        <v>86</v>
      </c>
      <c r="C456">
        <v>-1705</v>
      </c>
      <c r="D456" t="str">
        <f>VLOOKUP(B456,Tabela_Auxiliar[],2,0)</f>
        <v>4. Despesas Operacionais</v>
      </c>
      <c r="E456" t="str">
        <f>VLOOKUP(B456,Tabela_Auxiliar[],4,0)</f>
        <v>Despesa com Veículos</v>
      </c>
      <c r="F456" t="str">
        <f>VLOOKUP(B456,Tabela_Auxiliar[],3,0)</f>
        <v>Saída</v>
      </c>
      <c r="G456" t="str">
        <f>UPPER(TEXT(Tabela_DB[[#This Row],[DATA]],"mmm"))</f>
        <v>JAN</v>
      </c>
      <c r="H456" t="str">
        <f>UPPER(TEXT(Tabela_DB[[#This Row],[DATA]],"aaaa"))</f>
        <v>2021</v>
      </c>
    </row>
    <row r="457" spans="1:8" x14ac:dyDescent="0.25">
      <c r="A457" s="2">
        <v>44223</v>
      </c>
      <c r="B457" t="s">
        <v>37</v>
      </c>
      <c r="C457">
        <v>-4706</v>
      </c>
      <c r="D457" t="str">
        <f>VLOOKUP(B457,Tabela_Auxiliar[],2,0)</f>
        <v>3. Custos do Produto/Mercadoria/Serviço</v>
      </c>
      <c r="E457" t="str">
        <f>VLOOKUP(B457,Tabela_Auxiliar[],4,0)</f>
        <v>Despesas c/ Produto</v>
      </c>
      <c r="F457" t="str">
        <f>VLOOKUP(B457,Tabela_Auxiliar[],3,0)</f>
        <v>Saída</v>
      </c>
      <c r="G457" t="str">
        <f>UPPER(TEXT(Tabela_DB[[#This Row],[DATA]],"mmm"))</f>
        <v>JAN</v>
      </c>
      <c r="H457" t="str">
        <f>UPPER(TEXT(Tabela_DB[[#This Row],[DATA]],"aaaa"))</f>
        <v>2021</v>
      </c>
    </row>
    <row r="458" spans="1:8" x14ac:dyDescent="0.25">
      <c r="A458" s="2">
        <v>44223</v>
      </c>
      <c r="B458" t="s">
        <v>34</v>
      </c>
      <c r="C458">
        <v>-2129</v>
      </c>
      <c r="D458" t="str">
        <f>VLOOKUP(B458,Tabela_Auxiliar[],2,0)</f>
        <v>2. Deduções da Receita</v>
      </c>
      <c r="E458" t="str">
        <f>VLOOKUP(B458,Tabela_Auxiliar[],4,0)</f>
        <v>Imposto</v>
      </c>
      <c r="F458" t="str">
        <f>VLOOKUP(B458,Tabela_Auxiliar[],3,0)</f>
        <v>Saída</v>
      </c>
      <c r="G458" t="str">
        <f>UPPER(TEXT(Tabela_DB[[#This Row],[DATA]],"mmm"))</f>
        <v>JAN</v>
      </c>
      <c r="H458" t="str">
        <f>UPPER(TEXT(Tabela_DB[[#This Row],[DATA]],"aaaa"))</f>
        <v>2021</v>
      </c>
    </row>
    <row r="459" spans="1:8" x14ac:dyDescent="0.25">
      <c r="A459" s="2">
        <v>44223</v>
      </c>
      <c r="B459" t="s">
        <v>65</v>
      </c>
      <c r="C459">
        <v>-1874</v>
      </c>
      <c r="D459" t="str">
        <f>VLOOKUP(B459,Tabela_Auxiliar[],2,0)</f>
        <v>4. Despesas Operacionais</v>
      </c>
      <c r="E459" t="str">
        <f>VLOOKUP(B459,Tabela_Auxiliar[],4,0)</f>
        <v>Despesa Gerais</v>
      </c>
      <c r="F459" t="str">
        <f>VLOOKUP(B459,Tabela_Auxiliar[],3,0)</f>
        <v>Saída</v>
      </c>
      <c r="G459" t="str">
        <f>UPPER(TEXT(Tabela_DB[[#This Row],[DATA]],"mmm"))</f>
        <v>JAN</v>
      </c>
      <c r="H459" t="str">
        <f>UPPER(TEXT(Tabela_DB[[#This Row],[DATA]],"aaaa"))</f>
        <v>2021</v>
      </c>
    </row>
    <row r="460" spans="1:8" x14ac:dyDescent="0.25">
      <c r="A460" s="2">
        <v>44223</v>
      </c>
      <c r="B460" t="s">
        <v>111</v>
      </c>
      <c r="C460">
        <v>-1828</v>
      </c>
      <c r="D460" t="str">
        <f>VLOOKUP(B460,Tabela_Auxiliar[],2,0)</f>
        <v>2. Deduções da Receita</v>
      </c>
      <c r="E460" t="str">
        <f>VLOOKUP(B460,Tabela_Auxiliar[],4,0)</f>
        <v>Imposto</v>
      </c>
      <c r="F460" t="str">
        <f>VLOOKUP(B460,Tabela_Auxiliar[],3,0)</f>
        <v>Saída</v>
      </c>
      <c r="G460" t="str">
        <f>UPPER(TEXT(Tabela_DB[[#This Row],[DATA]],"mmm"))</f>
        <v>JAN</v>
      </c>
      <c r="H460" t="str">
        <f>UPPER(TEXT(Tabela_DB[[#This Row],[DATA]],"aaaa"))</f>
        <v>2021</v>
      </c>
    </row>
    <row r="461" spans="1:8" x14ac:dyDescent="0.25">
      <c r="A461" s="2">
        <v>44223</v>
      </c>
      <c r="B461" t="s">
        <v>4</v>
      </c>
      <c r="C461">
        <v>10181</v>
      </c>
      <c r="D461" t="str">
        <f>VLOOKUP(B461,Tabela_Auxiliar[],2,0)</f>
        <v>1. Receita Operacional Bruta</v>
      </c>
      <c r="E461" t="str">
        <f>VLOOKUP(B461,Tabela_Auxiliar[],4,0)</f>
        <v>Receita Bruta</v>
      </c>
      <c r="F461" t="str">
        <f>VLOOKUP(B461,Tabela_Auxiliar[],3,0)</f>
        <v>Entrada</v>
      </c>
      <c r="G461" t="str">
        <f>UPPER(TEXT(Tabela_DB[[#This Row],[DATA]],"mmm"))</f>
        <v>JAN</v>
      </c>
      <c r="H461" t="str">
        <f>UPPER(TEXT(Tabela_DB[[#This Row],[DATA]],"aaaa"))</f>
        <v>2021</v>
      </c>
    </row>
    <row r="462" spans="1:8" x14ac:dyDescent="0.25">
      <c r="A462" s="2">
        <v>44223</v>
      </c>
      <c r="B462" t="s">
        <v>77</v>
      </c>
      <c r="C462">
        <v>-1335</v>
      </c>
      <c r="D462" t="str">
        <f>VLOOKUP(B462,Tabela_Auxiliar[],2,0)</f>
        <v>4. Despesas Operacionais</v>
      </c>
      <c r="E462" t="str">
        <f>VLOOKUP(B462,Tabela_Auxiliar[],4,0)</f>
        <v>Serviços Contratados</v>
      </c>
      <c r="F462" t="str">
        <f>VLOOKUP(B462,Tabela_Auxiliar[],3,0)</f>
        <v>Saída</v>
      </c>
      <c r="G462" t="str">
        <f>UPPER(TEXT(Tabela_DB[[#This Row],[DATA]],"mmm"))</f>
        <v>JAN</v>
      </c>
      <c r="H462" t="str">
        <f>UPPER(TEXT(Tabela_DB[[#This Row],[DATA]],"aaaa"))</f>
        <v>2021</v>
      </c>
    </row>
    <row r="463" spans="1:8" x14ac:dyDescent="0.25">
      <c r="A463" s="2">
        <v>44223</v>
      </c>
      <c r="B463" t="s">
        <v>8</v>
      </c>
      <c r="C463">
        <v>-1856</v>
      </c>
      <c r="D463" t="str">
        <f>VLOOKUP(B463,Tabela_Auxiliar[],2,0)</f>
        <v>4. Despesas Operacionais</v>
      </c>
      <c r="E463" t="str">
        <f>VLOOKUP(B463,Tabela_Auxiliar[],4,0)</f>
        <v>Despesa com Pessoal</v>
      </c>
      <c r="F463" t="str">
        <f>VLOOKUP(B463,Tabela_Auxiliar[],3,0)</f>
        <v>Saída</v>
      </c>
      <c r="G463" t="str">
        <f>UPPER(TEXT(Tabela_DB[[#This Row],[DATA]],"mmm"))</f>
        <v>JAN</v>
      </c>
      <c r="H463" t="str">
        <f>UPPER(TEXT(Tabela_DB[[#This Row],[DATA]],"aaaa"))</f>
        <v>2021</v>
      </c>
    </row>
    <row r="464" spans="1:8" x14ac:dyDescent="0.25">
      <c r="A464" s="2">
        <v>44223</v>
      </c>
      <c r="B464" t="s">
        <v>46</v>
      </c>
      <c r="C464">
        <v>-1617</v>
      </c>
      <c r="D464" t="str">
        <f>VLOOKUP(B464,Tabela_Auxiliar[],2,0)</f>
        <v>4. Despesas Operacionais</v>
      </c>
      <c r="E464" t="str">
        <f>VLOOKUP(B464,Tabela_Auxiliar[],4,0)</f>
        <v>Despesa com Pessoal</v>
      </c>
      <c r="F464" t="str">
        <f>VLOOKUP(B464,Tabela_Auxiliar[],3,0)</f>
        <v>Saída</v>
      </c>
      <c r="G464" t="str">
        <f>UPPER(TEXT(Tabela_DB[[#This Row],[DATA]],"mmm"))</f>
        <v>JAN</v>
      </c>
      <c r="H464" t="str">
        <f>UPPER(TEXT(Tabela_DB[[#This Row],[DATA]],"aaaa"))</f>
        <v>2021</v>
      </c>
    </row>
    <row r="465" spans="1:8" x14ac:dyDescent="0.25">
      <c r="A465" s="2">
        <v>44223</v>
      </c>
      <c r="B465" t="s">
        <v>89</v>
      </c>
      <c r="C465">
        <v>-1819</v>
      </c>
      <c r="D465" t="str">
        <f>VLOOKUP(B465,Tabela_Auxiliar[],2,0)</f>
        <v>4. Despesas Operacionais</v>
      </c>
      <c r="E465" t="str">
        <f>VLOOKUP(B465,Tabela_Auxiliar[],4,0)</f>
        <v>Despesa Tributária</v>
      </c>
      <c r="F465" t="str">
        <f>VLOOKUP(B465,Tabela_Auxiliar[],3,0)</f>
        <v>Saída</v>
      </c>
      <c r="G465" t="str">
        <f>UPPER(TEXT(Tabela_DB[[#This Row],[DATA]],"mmm"))</f>
        <v>JAN</v>
      </c>
      <c r="H465" t="str">
        <f>UPPER(TEXT(Tabela_DB[[#This Row],[DATA]],"aaaa"))</f>
        <v>2021</v>
      </c>
    </row>
    <row r="466" spans="1:8" x14ac:dyDescent="0.25">
      <c r="A466" s="2">
        <v>44224</v>
      </c>
      <c r="B466" t="s">
        <v>56</v>
      </c>
      <c r="C466">
        <v>-1683</v>
      </c>
      <c r="D466" t="str">
        <f>VLOOKUP(B466,Tabela_Auxiliar[],2,0)</f>
        <v>4. Despesas Operacionais</v>
      </c>
      <c r="E466" t="str">
        <f>VLOOKUP(B466,Tabela_Auxiliar[],4,0)</f>
        <v>Despesa com Pessoal</v>
      </c>
      <c r="F466" t="str">
        <f>VLOOKUP(B466,Tabela_Auxiliar[],3,0)</f>
        <v>Saída</v>
      </c>
      <c r="G466" t="str">
        <f>UPPER(TEXT(Tabela_DB[[#This Row],[DATA]],"mmm"))</f>
        <v>JAN</v>
      </c>
      <c r="H466" t="str">
        <f>UPPER(TEXT(Tabela_DB[[#This Row],[DATA]],"aaaa"))</f>
        <v>2021</v>
      </c>
    </row>
    <row r="467" spans="1:8" x14ac:dyDescent="0.25">
      <c r="A467" s="2">
        <v>44224</v>
      </c>
      <c r="B467" t="s">
        <v>8</v>
      </c>
      <c r="C467">
        <v>-1171</v>
      </c>
      <c r="D467" t="str">
        <f>VLOOKUP(B467,Tabela_Auxiliar[],2,0)</f>
        <v>4. Despesas Operacionais</v>
      </c>
      <c r="E467" t="str">
        <f>VLOOKUP(B467,Tabela_Auxiliar[],4,0)</f>
        <v>Despesa com Pessoal</v>
      </c>
      <c r="F467" t="str">
        <f>VLOOKUP(B467,Tabela_Auxiliar[],3,0)</f>
        <v>Saída</v>
      </c>
      <c r="G467" t="str">
        <f>UPPER(TEXT(Tabela_DB[[#This Row],[DATA]],"mmm"))</f>
        <v>JAN</v>
      </c>
      <c r="H467" t="str">
        <f>UPPER(TEXT(Tabela_DB[[#This Row],[DATA]],"aaaa"))</f>
        <v>2021</v>
      </c>
    </row>
    <row r="468" spans="1:8" x14ac:dyDescent="0.25">
      <c r="A468" s="2">
        <v>44224</v>
      </c>
      <c r="B468" t="s">
        <v>37</v>
      </c>
      <c r="C468">
        <v>-3499</v>
      </c>
      <c r="D468" t="str">
        <f>VLOOKUP(B468,Tabela_Auxiliar[],2,0)</f>
        <v>3. Custos do Produto/Mercadoria/Serviço</v>
      </c>
      <c r="E468" t="str">
        <f>VLOOKUP(B468,Tabela_Auxiliar[],4,0)</f>
        <v>Despesas c/ Produto</v>
      </c>
      <c r="F468" t="str">
        <f>VLOOKUP(B468,Tabela_Auxiliar[],3,0)</f>
        <v>Saída</v>
      </c>
      <c r="G468" t="str">
        <f>UPPER(TEXT(Tabela_DB[[#This Row],[DATA]],"mmm"))</f>
        <v>JAN</v>
      </c>
      <c r="H468" t="str">
        <f>UPPER(TEXT(Tabela_DB[[#This Row],[DATA]],"aaaa"))</f>
        <v>2021</v>
      </c>
    </row>
    <row r="469" spans="1:8" x14ac:dyDescent="0.25">
      <c r="A469" s="2">
        <v>44224</v>
      </c>
      <c r="B469" t="s">
        <v>37</v>
      </c>
      <c r="C469">
        <v>-2715</v>
      </c>
      <c r="D469" t="str">
        <f>VLOOKUP(B469,Tabela_Auxiliar[],2,0)</f>
        <v>3. Custos do Produto/Mercadoria/Serviço</v>
      </c>
      <c r="E469" t="str">
        <f>VLOOKUP(B469,Tabela_Auxiliar[],4,0)</f>
        <v>Despesas c/ Produto</v>
      </c>
      <c r="F469" t="str">
        <f>VLOOKUP(B469,Tabela_Auxiliar[],3,0)</f>
        <v>Saída</v>
      </c>
      <c r="G469" t="str">
        <f>UPPER(TEXT(Tabela_DB[[#This Row],[DATA]],"mmm"))</f>
        <v>JAN</v>
      </c>
      <c r="H469" t="str">
        <f>UPPER(TEXT(Tabela_DB[[#This Row],[DATA]],"aaaa"))</f>
        <v>2021</v>
      </c>
    </row>
    <row r="470" spans="1:8" x14ac:dyDescent="0.25">
      <c r="A470" s="2">
        <v>44224</v>
      </c>
      <c r="B470" t="s">
        <v>86</v>
      </c>
      <c r="C470">
        <v>-1936</v>
      </c>
      <c r="D470" t="str">
        <f>VLOOKUP(B470,Tabela_Auxiliar[],2,0)</f>
        <v>4. Despesas Operacionais</v>
      </c>
      <c r="E470" t="str">
        <f>VLOOKUP(B470,Tabela_Auxiliar[],4,0)</f>
        <v>Despesa com Veículos</v>
      </c>
      <c r="F470" t="str">
        <f>VLOOKUP(B470,Tabela_Auxiliar[],3,0)</f>
        <v>Saída</v>
      </c>
      <c r="G470" t="str">
        <f>UPPER(TEXT(Tabela_DB[[#This Row],[DATA]],"mmm"))</f>
        <v>JAN</v>
      </c>
      <c r="H470" t="str">
        <f>UPPER(TEXT(Tabela_DB[[#This Row],[DATA]],"aaaa"))</f>
        <v>2021</v>
      </c>
    </row>
    <row r="471" spans="1:8" x14ac:dyDescent="0.25">
      <c r="A471" s="2">
        <v>44224</v>
      </c>
      <c r="B471" t="s">
        <v>111</v>
      </c>
      <c r="C471">
        <v>-2070</v>
      </c>
      <c r="D471" t="str">
        <f>VLOOKUP(B471,Tabela_Auxiliar[],2,0)</f>
        <v>2. Deduções da Receita</v>
      </c>
      <c r="E471" t="str">
        <f>VLOOKUP(B471,Tabela_Auxiliar[],4,0)</f>
        <v>Imposto</v>
      </c>
      <c r="F471" t="str">
        <f>VLOOKUP(B471,Tabela_Auxiliar[],3,0)</f>
        <v>Saída</v>
      </c>
      <c r="G471" t="str">
        <f>UPPER(TEXT(Tabela_DB[[#This Row],[DATA]],"mmm"))</f>
        <v>JAN</v>
      </c>
      <c r="H471" t="str">
        <f>UPPER(TEXT(Tabela_DB[[#This Row],[DATA]],"aaaa"))</f>
        <v>2021</v>
      </c>
    </row>
    <row r="472" spans="1:8" x14ac:dyDescent="0.25">
      <c r="A472" s="2">
        <v>44224</v>
      </c>
      <c r="B472" t="s">
        <v>3</v>
      </c>
      <c r="C472">
        <v>10842</v>
      </c>
      <c r="D472" t="str">
        <f>VLOOKUP(B472,Tabela_Auxiliar[],2,0)</f>
        <v>1. Receita Operacional Bruta</v>
      </c>
      <c r="E472" t="str">
        <f>VLOOKUP(B472,Tabela_Auxiliar[],4,0)</f>
        <v>Receita Bruta</v>
      </c>
      <c r="F472" t="str">
        <f>VLOOKUP(B472,Tabela_Auxiliar[],3,0)</f>
        <v>Entrada</v>
      </c>
      <c r="G472" t="str">
        <f>UPPER(TEXT(Tabela_DB[[#This Row],[DATA]],"mmm"))</f>
        <v>JAN</v>
      </c>
      <c r="H472" t="str">
        <f>UPPER(TEXT(Tabela_DB[[#This Row],[DATA]],"aaaa"))</f>
        <v>2021</v>
      </c>
    </row>
    <row r="473" spans="1:8" x14ac:dyDescent="0.25">
      <c r="A473" s="2">
        <v>44224</v>
      </c>
      <c r="B473" t="s">
        <v>8</v>
      </c>
      <c r="C473">
        <v>-2320</v>
      </c>
      <c r="D473" t="str">
        <f>VLOOKUP(B473,Tabela_Auxiliar[],2,0)</f>
        <v>4. Despesas Operacionais</v>
      </c>
      <c r="E473" t="str">
        <f>VLOOKUP(B473,Tabela_Auxiliar[],4,0)</f>
        <v>Despesa com Pessoal</v>
      </c>
      <c r="F473" t="str">
        <f>VLOOKUP(B473,Tabela_Auxiliar[],3,0)</f>
        <v>Saída</v>
      </c>
      <c r="G473" t="str">
        <f>UPPER(TEXT(Tabela_DB[[#This Row],[DATA]],"mmm"))</f>
        <v>JAN</v>
      </c>
      <c r="H473" t="str">
        <f>UPPER(TEXT(Tabela_DB[[#This Row],[DATA]],"aaaa"))</f>
        <v>2021</v>
      </c>
    </row>
    <row r="474" spans="1:8" x14ac:dyDescent="0.25">
      <c r="A474" s="2">
        <v>44224</v>
      </c>
      <c r="B474" t="s">
        <v>35</v>
      </c>
      <c r="C474">
        <v>-1926</v>
      </c>
      <c r="D474" t="str">
        <f>VLOOKUP(B474,Tabela_Auxiliar[],2,0)</f>
        <v>2. Deduções da Receita</v>
      </c>
      <c r="E474" t="str">
        <f>VLOOKUP(B474,Tabela_Auxiliar[],4,0)</f>
        <v>Imposto</v>
      </c>
      <c r="F474" t="str">
        <f>VLOOKUP(B474,Tabela_Auxiliar[],3,0)</f>
        <v>Saída</v>
      </c>
      <c r="G474" t="str">
        <f>UPPER(TEXT(Tabela_DB[[#This Row],[DATA]],"mmm"))</f>
        <v>JAN</v>
      </c>
      <c r="H474" t="str">
        <f>UPPER(TEXT(Tabela_DB[[#This Row],[DATA]],"aaaa"))</f>
        <v>2021</v>
      </c>
    </row>
    <row r="475" spans="1:8" x14ac:dyDescent="0.25">
      <c r="A475" s="2">
        <v>44224</v>
      </c>
      <c r="B475" t="s">
        <v>37</v>
      </c>
      <c r="C475">
        <v>-3597</v>
      </c>
      <c r="D475" t="str">
        <f>VLOOKUP(B475,Tabela_Auxiliar[],2,0)</f>
        <v>3. Custos do Produto/Mercadoria/Serviço</v>
      </c>
      <c r="E475" t="str">
        <f>VLOOKUP(B475,Tabela_Auxiliar[],4,0)</f>
        <v>Despesas c/ Produto</v>
      </c>
      <c r="F475" t="str">
        <f>VLOOKUP(B475,Tabela_Auxiliar[],3,0)</f>
        <v>Saída</v>
      </c>
      <c r="G475" t="str">
        <f>UPPER(TEXT(Tabela_DB[[#This Row],[DATA]],"mmm"))</f>
        <v>JAN</v>
      </c>
      <c r="H475" t="str">
        <f>UPPER(TEXT(Tabela_DB[[#This Row],[DATA]],"aaaa"))</f>
        <v>2021</v>
      </c>
    </row>
    <row r="476" spans="1:8" x14ac:dyDescent="0.25">
      <c r="A476" s="2">
        <v>44224</v>
      </c>
      <c r="B476" t="s">
        <v>4</v>
      </c>
      <c r="C476">
        <v>14629</v>
      </c>
      <c r="D476" t="str">
        <f>VLOOKUP(B476,Tabela_Auxiliar[],2,0)</f>
        <v>1. Receita Operacional Bruta</v>
      </c>
      <c r="E476" t="str">
        <f>VLOOKUP(B476,Tabela_Auxiliar[],4,0)</f>
        <v>Receita Bruta</v>
      </c>
      <c r="F476" t="str">
        <f>VLOOKUP(B476,Tabela_Auxiliar[],3,0)</f>
        <v>Entrada</v>
      </c>
      <c r="G476" t="str">
        <f>UPPER(TEXT(Tabela_DB[[#This Row],[DATA]],"mmm"))</f>
        <v>JAN</v>
      </c>
      <c r="H476" t="str">
        <f>UPPER(TEXT(Tabela_DB[[#This Row],[DATA]],"aaaa"))</f>
        <v>2021</v>
      </c>
    </row>
    <row r="477" spans="1:8" x14ac:dyDescent="0.25">
      <c r="A477" s="2">
        <v>44224</v>
      </c>
      <c r="B477" t="s">
        <v>8</v>
      </c>
      <c r="C477">
        <v>-2446</v>
      </c>
      <c r="D477" t="str">
        <f>VLOOKUP(B477,Tabela_Auxiliar[],2,0)</f>
        <v>4. Despesas Operacionais</v>
      </c>
      <c r="E477" t="str">
        <f>VLOOKUP(B477,Tabela_Auxiliar[],4,0)</f>
        <v>Despesa com Pessoal</v>
      </c>
      <c r="F477" t="str">
        <f>VLOOKUP(B477,Tabela_Auxiliar[],3,0)</f>
        <v>Saída</v>
      </c>
      <c r="G477" t="str">
        <f>UPPER(TEXT(Tabela_DB[[#This Row],[DATA]],"mmm"))</f>
        <v>JAN</v>
      </c>
      <c r="H477" t="str">
        <f>UPPER(TEXT(Tabela_DB[[#This Row],[DATA]],"aaaa"))</f>
        <v>2021</v>
      </c>
    </row>
    <row r="478" spans="1:8" x14ac:dyDescent="0.25">
      <c r="A478" s="2">
        <v>44224</v>
      </c>
      <c r="B478" t="s">
        <v>38</v>
      </c>
      <c r="C478">
        <v>-1004</v>
      </c>
      <c r="D478" t="str">
        <f>VLOOKUP(B478,Tabela_Auxiliar[],2,0)</f>
        <v>2. Deduções da Receita</v>
      </c>
      <c r="E478" t="str">
        <f>VLOOKUP(B478,Tabela_Auxiliar[],4,0)</f>
        <v>Deduções</v>
      </c>
      <c r="F478" t="str">
        <f>VLOOKUP(B478,Tabela_Auxiliar[],3,0)</f>
        <v>Saída</v>
      </c>
      <c r="G478" t="str">
        <f>UPPER(TEXT(Tabela_DB[[#This Row],[DATA]],"mmm"))</f>
        <v>JAN</v>
      </c>
      <c r="H478" t="str">
        <f>UPPER(TEXT(Tabela_DB[[#This Row],[DATA]],"aaaa"))</f>
        <v>2021</v>
      </c>
    </row>
    <row r="479" spans="1:8" x14ac:dyDescent="0.25">
      <c r="A479" s="2">
        <v>44224</v>
      </c>
      <c r="B479" t="s">
        <v>55</v>
      </c>
      <c r="C479">
        <v>-2083</v>
      </c>
      <c r="D479" t="str">
        <f>VLOOKUP(B479,Tabela_Auxiliar[],2,0)</f>
        <v>4. Despesas Operacionais</v>
      </c>
      <c r="E479" t="str">
        <f>VLOOKUP(B479,Tabela_Auxiliar[],4,0)</f>
        <v>Despesa com Pessoal</v>
      </c>
      <c r="F479" t="str">
        <f>VLOOKUP(B479,Tabela_Auxiliar[],3,0)</f>
        <v>Saída</v>
      </c>
      <c r="G479" t="str">
        <f>UPPER(TEXT(Tabela_DB[[#This Row],[DATA]],"mmm"))</f>
        <v>JAN</v>
      </c>
      <c r="H479" t="str">
        <f>UPPER(TEXT(Tabela_DB[[#This Row],[DATA]],"aaaa"))</f>
        <v>2021</v>
      </c>
    </row>
    <row r="480" spans="1:8" x14ac:dyDescent="0.25">
      <c r="A480" s="2">
        <v>44224</v>
      </c>
      <c r="B480" t="s">
        <v>111</v>
      </c>
      <c r="C480">
        <v>-1552</v>
      </c>
      <c r="D480" t="str">
        <f>VLOOKUP(B480,Tabela_Auxiliar[],2,0)</f>
        <v>2. Deduções da Receita</v>
      </c>
      <c r="E480" t="str">
        <f>VLOOKUP(B480,Tabela_Auxiliar[],4,0)</f>
        <v>Imposto</v>
      </c>
      <c r="F480" t="str">
        <f>VLOOKUP(B480,Tabela_Auxiliar[],3,0)</f>
        <v>Saída</v>
      </c>
      <c r="G480" t="str">
        <f>UPPER(TEXT(Tabela_DB[[#This Row],[DATA]],"mmm"))</f>
        <v>JAN</v>
      </c>
      <c r="H480" t="str">
        <f>UPPER(TEXT(Tabela_DB[[#This Row],[DATA]],"aaaa"))</f>
        <v>2021</v>
      </c>
    </row>
    <row r="481" spans="1:8" x14ac:dyDescent="0.25">
      <c r="A481" s="2">
        <v>44224</v>
      </c>
      <c r="B481" t="s">
        <v>34</v>
      </c>
      <c r="C481">
        <v>-1544</v>
      </c>
      <c r="D481" t="str">
        <f>VLOOKUP(B481,Tabela_Auxiliar[],2,0)</f>
        <v>2. Deduções da Receita</v>
      </c>
      <c r="E481" t="str">
        <f>VLOOKUP(B481,Tabela_Auxiliar[],4,0)</f>
        <v>Imposto</v>
      </c>
      <c r="F481" t="str">
        <f>VLOOKUP(B481,Tabela_Auxiliar[],3,0)</f>
        <v>Saída</v>
      </c>
      <c r="G481" t="str">
        <f>UPPER(TEXT(Tabela_DB[[#This Row],[DATA]],"mmm"))</f>
        <v>JAN</v>
      </c>
      <c r="H481" t="str">
        <f>UPPER(TEXT(Tabela_DB[[#This Row],[DATA]],"aaaa"))</f>
        <v>2021</v>
      </c>
    </row>
    <row r="482" spans="1:8" x14ac:dyDescent="0.25">
      <c r="A482" s="2">
        <v>44224</v>
      </c>
      <c r="B482" t="s">
        <v>3</v>
      </c>
      <c r="C482">
        <v>11955</v>
      </c>
      <c r="D482" t="str">
        <f>VLOOKUP(B482,Tabela_Auxiliar[],2,0)</f>
        <v>1. Receita Operacional Bruta</v>
      </c>
      <c r="E482" t="str">
        <f>VLOOKUP(B482,Tabela_Auxiliar[],4,0)</f>
        <v>Receita Bruta</v>
      </c>
      <c r="F482" t="str">
        <f>VLOOKUP(B482,Tabela_Auxiliar[],3,0)</f>
        <v>Entrada</v>
      </c>
      <c r="G482" t="str">
        <f>UPPER(TEXT(Tabela_DB[[#This Row],[DATA]],"mmm"))</f>
        <v>JAN</v>
      </c>
      <c r="H482" t="str">
        <f>UPPER(TEXT(Tabela_DB[[#This Row],[DATA]],"aaaa"))</f>
        <v>2021</v>
      </c>
    </row>
    <row r="483" spans="1:8" x14ac:dyDescent="0.25">
      <c r="A483" s="2">
        <v>44224</v>
      </c>
      <c r="B483" t="s">
        <v>37</v>
      </c>
      <c r="C483">
        <v>-3236</v>
      </c>
      <c r="D483" t="str">
        <f>VLOOKUP(B483,Tabela_Auxiliar[],2,0)</f>
        <v>3. Custos do Produto/Mercadoria/Serviço</v>
      </c>
      <c r="E483" t="str">
        <f>VLOOKUP(B483,Tabela_Auxiliar[],4,0)</f>
        <v>Despesas c/ Produto</v>
      </c>
      <c r="F483" t="str">
        <f>VLOOKUP(B483,Tabela_Auxiliar[],3,0)</f>
        <v>Saída</v>
      </c>
      <c r="G483" t="str">
        <f>UPPER(TEXT(Tabela_DB[[#This Row],[DATA]],"mmm"))</f>
        <v>JAN</v>
      </c>
      <c r="H483" t="str">
        <f>UPPER(TEXT(Tabela_DB[[#This Row],[DATA]],"aaaa"))</f>
        <v>2021</v>
      </c>
    </row>
    <row r="484" spans="1:8" x14ac:dyDescent="0.25">
      <c r="A484" s="2">
        <v>44224</v>
      </c>
      <c r="B484" t="s">
        <v>37</v>
      </c>
      <c r="C484">
        <v>-4979</v>
      </c>
      <c r="D484" t="str">
        <f>VLOOKUP(B484,Tabela_Auxiliar[],2,0)</f>
        <v>3. Custos do Produto/Mercadoria/Serviço</v>
      </c>
      <c r="E484" t="str">
        <f>VLOOKUP(B484,Tabela_Auxiliar[],4,0)</f>
        <v>Despesas c/ Produto</v>
      </c>
      <c r="F484" t="str">
        <f>VLOOKUP(B484,Tabela_Auxiliar[],3,0)</f>
        <v>Saída</v>
      </c>
      <c r="G484" t="str">
        <f>UPPER(TEXT(Tabela_DB[[#This Row],[DATA]],"mmm"))</f>
        <v>JAN</v>
      </c>
      <c r="H484" t="str">
        <f>UPPER(TEXT(Tabela_DB[[#This Row],[DATA]],"aaaa"))</f>
        <v>2021</v>
      </c>
    </row>
    <row r="485" spans="1:8" x14ac:dyDescent="0.25">
      <c r="A485" s="2">
        <v>44224</v>
      </c>
      <c r="B485" t="s">
        <v>38</v>
      </c>
      <c r="C485">
        <v>-1985</v>
      </c>
      <c r="D485" t="str">
        <f>VLOOKUP(B485,Tabela_Auxiliar[],2,0)</f>
        <v>2. Deduções da Receita</v>
      </c>
      <c r="E485" t="str">
        <f>VLOOKUP(B485,Tabela_Auxiliar[],4,0)</f>
        <v>Deduções</v>
      </c>
      <c r="F485" t="str">
        <f>VLOOKUP(B485,Tabela_Auxiliar[],3,0)</f>
        <v>Saída</v>
      </c>
      <c r="G485" t="str">
        <f>UPPER(TEXT(Tabela_DB[[#This Row],[DATA]],"mmm"))</f>
        <v>JAN</v>
      </c>
      <c r="H485" t="str">
        <f>UPPER(TEXT(Tabela_DB[[#This Row],[DATA]],"aaaa"))</f>
        <v>2021</v>
      </c>
    </row>
    <row r="486" spans="1:8" x14ac:dyDescent="0.25">
      <c r="A486" s="2">
        <v>44224</v>
      </c>
      <c r="B486" t="s">
        <v>38</v>
      </c>
      <c r="C486">
        <v>-2282</v>
      </c>
      <c r="D486" t="str">
        <f>VLOOKUP(B486,Tabela_Auxiliar[],2,0)</f>
        <v>2. Deduções da Receita</v>
      </c>
      <c r="E486" t="str">
        <f>VLOOKUP(B486,Tabela_Auxiliar[],4,0)</f>
        <v>Deduções</v>
      </c>
      <c r="F486" t="str">
        <f>VLOOKUP(B486,Tabela_Auxiliar[],3,0)</f>
        <v>Saída</v>
      </c>
      <c r="G486" t="str">
        <f>UPPER(TEXT(Tabela_DB[[#This Row],[DATA]],"mmm"))</f>
        <v>JAN</v>
      </c>
      <c r="H486" t="str">
        <f>UPPER(TEXT(Tabela_DB[[#This Row],[DATA]],"aaaa"))</f>
        <v>2021</v>
      </c>
    </row>
    <row r="487" spans="1:8" x14ac:dyDescent="0.25">
      <c r="A487" s="2">
        <v>44224</v>
      </c>
      <c r="B487" t="s">
        <v>4</v>
      </c>
      <c r="C487">
        <v>12903</v>
      </c>
      <c r="D487" t="str">
        <f>VLOOKUP(B487,Tabela_Auxiliar[],2,0)</f>
        <v>1. Receita Operacional Bruta</v>
      </c>
      <c r="E487" t="str">
        <f>VLOOKUP(B487,Tabela_Auxiliar[],4,0)</f>
        <v>Receita Bruta</v>
      </c>
      <c r="F487" t="str">
        <f>VLOOKUP(B487,Tabela_Auxiliar[],3,0)</f>
        <v>Entrada</v>
      </c>
      <c r="G487" t="str">
        <f>UPPER(TEXT(Tabela_DB[[#This Row],[DATA]],"mmm"))</f>
        <v>JAN</v>
      </c>
      <c r="H487" t="str">
        <f>UPPER(TEXT(Tabela_DB[[#This Row],[DATA]],"aaaa"))</f>
        <v>2021</v>
      </c>
    </row>
    <row r="488" spans="1:8" x14ac:dyDescent="0.25">
      <c r="A488" s="2">
        <v>44224</v>
      </c>
      <c r="B488" t="s">
        <v>34</v>
      </c>
      <c r="C488">
        <v>-1839</v>
      </c>
      <c r="D488" t="str">
        <f>VLOOKUP(B488,Tabela_Auxiliar[],2,0)</f>
        <v>2. Deduções da Receita</v>
      </c>
      <c r="E488" t="str">
        <f>VLOOKUP(B488,Tabela_Auxiliar[],4,0)</f>
        <v>Imposto</v>
      </c>
      <c r="F488" t="str">
        <f>VLOOKUP(B488,Tabela_Auxiliar[],3,0)</f>
        <v>Saída</v>
      </c>
      <c r="G488" t="str">
        <f>UPPER(TEXT(Tabela_DB[[#This Row],[DATA]],"mmm"))</f>
        <v>JAN</v>
      </c>
      <c r="H488" t="str">
        <f>UPPER(TEXT(Tabela_DB[[#This Row],[DATA]],"aaaa"))</f>
        <v>2021</v>
      </c>
    </row>
    <row r="489" spans="1:8" x14ac:dyDescent="0.25">
      <c r="A489" s="2">
        <v>44224</v>
      </c>
      <c r="B489" t="s">
        <v>34</v>
      </c>
      <c r="C489">
        <v>-1323</v>
      </c>
      <c r="D489" t="str">
        <f>VLOOKUP(B489,Tabela_Auxiliar[],2,0)</f>
        <v>2. Deduções da Receita</v>
      </c>
      <c r="E489" t="str">
        <f>VLOOKUP(B489,Tabela_Auxiliar[],4,0)</f>
        <v>Imposto</v>
      </c>
      <c r="F489" t="str">
        <f>VLOOKUP(B489,Tabela_Auxiliar[],3,0)</f>
        <v>Saída</v>
      </c>
      <c r="G489" t="str">
        <f>UPPER(TEXT(Tabela_DB[[#This Row],[DATA]],"mmm"))</f>
        <v>JAN</v>
      </c>
      <c r="H489" t="str">
        <f>UPPER(TEXT(Tabela_DB[[#This Row],[DATA]],"aaaa"))</f>
        <v>2021</v>
      </c>
    </row>
    <row r="490" spans="1:8" x14ac:dyDescent="0.25">
      <c r="A490" s="2">
        <v>44224</v>
      </c>
      <c r="B490" t="s">
        <v>4</v>
      </c>
      <c r="C490">
        <v>13797</v>
      </c>
      <c r="D490" t="str">
        <f>VLOOKUP(B490,Tabela_Auxiliar[],2,0)</f>
        <v>1. Receita Operacional Bruta</v>
      </c>
      <c r="E490" t="str">
        <f>VLOOKUP(B490,Tabela_Auxiliar[],4,0)</f>
        <v>Receita Bruta</v>
      </c>
      <c r="F490" t="str">
        <f>VLOOKUP(B490,Tabela_Auxiliar[],3,0)</f>
        <v>Entrada</v>
      </c>
      <c r="G490" t="str">
        <f>UPPER(TEXT(Tabela_DB[[#This Row],[DATA]],"mmm"))</f>
        <v>JAN</v>
      </c>
      <c r="H490" t="str">
        <f>UPPER(TEXT(Tabela_DB[[#This Row],[DATA]],"aaaa"))</f>
        <v>2021</v>
      </c>
    </row>
    <row r="491" spans="1:8" x14ac:dyDescent="0.25">
      <c r="A491" s="2">
        <v>44224</v>
      </c>
      <c r="B491" t="s">
        <v>5</v>
      </c>
      <c r="C491">
        <v>-1576</v>
      </c>
      <c r="D491" t="str">
        <f>VLOOKUP(B491,Tabela_Auxiliar[],2,0)</f>
        <v>4. Despesas Operacionais</v>
      </c>
      <c r="E491" t="str">
        <f>VLOOKUP(B491,Tabela_Auxiliar[],4,0)</f>
        <v>Despesa com Pessoal</v>
      </c>
      <c r="F491" t="str">
        <f>VLOOKUP(B491,Tabela_Auxiliar[],3,0)</f>
        <v>Saída</v>
      </c>
      <c r="G491" t="str">
        <f>UPPER(TEXT(Tabela_DB[[#This Row],[DATA]],"mmm"))</f>
        <v>JAN</v>
      </c>
      <c r="H491" t="str">
        <f>UPPER(TEXT(Tabela_DB[[#This Row],[DATA]],"aaaa"))</f>
        <v>2021</v>
      </c>
    </row>
    <row r="492" spans="1:8" x14ac:dyDescent="0.25">
      <c r="A492" s="2">
        <v>44224</v>
      </c>
      <c r="B492" t="s">
        <v>37</v>
      </c>
      <c r="C492">
        <v>-3801</v>
      </c>
      <c r="D492" t="str">
        <f>VLOOKUP(B492,Tabela_Auxiliar[],2,0)</f>
        <v>3. Custos do Produto/Mercadoria/Serviço</v>
      </c>
      <c r="E492" t="str">
        <f>VLOOKUP(B492,Tabela_Auxiliar[],4,0)</f>
        <v>Despesas c/ Produto</v>
      </c>
      <c r="F492" t="str">
        <f>VLOOKUP(B492,Tabela_Auxiliar[],3,0)</f>
        <v>Saída</v>
      </c>
      <c r="G492" t="str">
        <f>UPPER(TEXT(Tabela_DB[[#This Row],[DATA]],"mmm"))</f>
        <v>JAN</v>
      </c>
      <c r="H492" t="str">
        <f>UPPER(TEXT(Tabela_DB[[#This Row],[DATA]],"aaaa"))</f>
        <v>2021</v>
      </c>
    </row>
    <row r="493" spans="1:8" x14ac:dyDescent="0.25">
      <c r="A493" s="2">
        <v>44224</v>
      </c>
      <c r="B493" t="s">
        <v>38</v>
      </c>
      <c r="C493">
        <v>-1626</v>
      </c>
      <c r="D493" t="str">
        <f>VLOOKUP(B493,Tabela_Auxiliar[],2,0)</f>
        <v>2. Deduções da Receita</v>
      </c>
      <c r="E493" t="str">
        <f>VLOOKUP(B493,Tabela_Auxiliar[],4,0)</f>
        <v>Deduções</v>
      </c>
      <c r="F493" t="str">
        <f>VLOOKUP(B493,Tabela_Auxiliar[],3,0)</f>
        <v>Saída</v>
      </c>
      <c r="G493" t="str">
        <f>UPPER(TEXT(Tabela_DB[[#This Row],[DATA]],"mmm"))</f>
        <v>JAN</v>
      </c>
      <c r="H493" t="str">
        <f>UPPER(TEXT(Tabela_DB[[#This Row],[DATA]],"aaaa"))</f>
        <v>2021</v>
      </c>
    </row>
    <row r="494" spans="1:8" x14ac:dyDescent="0.25">
      <c r="A494" s="2">
        <v>44225</v>
      </c>
      <c r="B494" t="s">
        <v>34</v>
      </c>
      <c r="C494">
        <v>-1771</v>
      </c>
      <c r="D494" t="str">
        <f>VLOOKUP(B494,Tabela_Auxiliar[],2,0)</f>
        <v>2. Deduções da Receita</v>
      </c>
      <c r="E494" t="str">
        <f>VLOOKUP(B494,Tabela_Auxiliar[],4,0)</f>
        <v>Imposto</v>
      </c>
      <c r="F494" t="str">
        <f>VLOOKUP(B494,Tabela_Auxiliar[],3,0)</f>
        <v>Saída</v>
      </c>
      <c r="G494" t="str">
        <f>UPPER(TEXT(Tabela_DB[[#This Row],[DATA]],"mmm"))</f>
        <v>JAN</v>
      </c>
      <c r="H494" t="str">
        <f>UPPER(TEXT(Tabela_DB[[#This Row],[DATA]],"aaaa"))</f>
        <v>2021</v>
      </c>
    </row>
    <row r="495" spans="1:8" x14ac:dyDescent="0.25">
      <c r="A495" s="2">
        <v>44225</v>
      </c>
      <c r="B495" t="s">
        <v>35</v>
      </c>
      <c r="C495">
        <v>-2050</v>
      </c>
      <c r="D495" t="str">
        <f>VLOOKUP(B495,Tabela_Auxiliar[],2,0)</f>
        <v>2. Deduções da Receita</v>
      </c>
      <c r="E495" t="str">
        <f>VLOOKUP(B495,Tabela_Auxiliar[],4,0)</f>
        <v>Imposto</v>
      </c>
      <c r="F495" t="str">
        <f>VLOOKUP(B495,Tabela_Auxiliar[],3,0)</f>
        <v>Saída</v>
      </c>
      <c r="G495" t="str">
        <f>UPPER(TEXT(Tabela_DB[[#This Row],[DATA]],"mmm"))</f>
        <v>JAN</v>
      </c>
      <c r="H495" t="str">
        <f>UPPER(TEXT(Tabela_DB[[#This Row],[DATA]],"aaaa"))</f>
        <v>2021</v>
      </c>
    </row>
    <row r="496" spans="1:8" x14ac:dyDescent="0.25">
      <c r="A496" s="2">
        <v>44225</v>
      </c>
      <c r="B496" t="s">
        <v>35</v>
      </c>
      <c r="C496">
        <v>-1756</v>
      </c>
      <c r="D496" t="str">
        <f>VLOOKUP(B496,Tabela_Auxiliar[],2,0)</f>
        <v>2. Deduções da Receita</v>
      </c>
      <c r="E496" t="str">
        <f>VLOOKUP(B496,Tabela_Auxiliar[],4,0)</f>
        <v>Imposto</v>
      </c>
      <c r="F496" t="str">
        <f>VLOOKUP(B496,Tabela_Auxiliar[],3,0)</f>
        <v>Saída</v>
      </c>
      <c r="G496" t="str">
        <f>UPPER(TEXT(Tabela_DB[[#This Row],[DATA]],"mmm"))</f>
        <v>JAN</v>
      </c>
      <c r="H496" t="str">
        <f>UPPER(TEXT(Tabela_DB[[#This Row],[DATA]],"aaaa"))</f>
        <v>2021</v>
      </c>
    </row>
    <row r="497" spans="1:8" x14ac:dyDescent="0.25">
      <c r="A497" s="2">
        <v>44225</v>
      </c>
      <c r="B497" t="s">
        <v>3</v>
      </c>
      <c r="C497">
        <v>13890</v>
      </c>
      <c r="D497" t="str">
        <f>VLOOKUP(B497,Tabela_Auxiliar[],2,0)</f>
        <v>1. Receita Operacional Bruta</v>
      </c>
      <c r="E497" t="str">
        <f>VLOOKUP(B497,Tabela_Auxiliar[],4,0)</f>
        <v>Receita Bruta</v>
      </c>
      <c r="F497" t="str">
        <f>VLOOKUP(B497,Tabela_Auxiliar[],3,0)</f>
        <v>Entrada</v>
      </c>
      <c r="G497" t="str">
        <f>UPPER(TEXT(Tabela_DB[[#This Row],[DATA]],"mmm"))</f>
        <v>JAN</v>
      </c>
      <c r="H497" t="str">
        <f>UPPER(TEXT(Tabela_DB[[#This Row],[DATA]],"aaaa"))</f>
        <v>2021</v>
      </c>
    </row>
    <row r="498" spans="1:8" x14ac:dyDescent="0.25">
      <c r="A498" s="2">
        <v>44225</v>
      </c>
      <c r="B498" t="s">
        <v>58</v>
      </c>
      <c r="C498">
        <v>-1277</v>
      </c>
      <c r="D498" t="str">
        <f>VLOOKUP(B498,Tabela_Auxiliar[],2,0)</f>
        <v>4. Despesas Operacionais</v>
      </c>
      <c r="E498" t="str">
        <f>VLOOKUP(B498,Tabela_Auxiliar[],4,0)</f>
        <v>Despesa de Depreciação</v>
      </c>
      <c r="F498" t="str">
        <f>VLOOKUP(B498,Tabela_Auxiliar[],3,0)</f>
        <v>Saída</v>
      </c>
      <c r="G498" t="str">
        <f>UPPER(TEXT(Tabela_DB[[#This Row],[DATA]],"mmm"))</f>
        <v>JAN</v>
      </c>
      <c r="H498" t="str">
        <f>UPPER(TEXT(Tabela_DB[[#This Row],[DATA]],"aaaa"))</f>
        <v>2021</v>
      </c>
    </row>
    <row r="499" spans="1:8" x14ac:dyDescent="0.25">
      <c r="A499" s="2">
        <v>44225</v>
      </c>
      <c r="B499" t="s">
        <v>72</v>
      </c>
      <c r="C499">
        <v>-1767</v>
      </c>
      <c r="D499" t="str">
        <f>VLOOKUP(B499,Tabela_Auxiliar[],2,0)</f>
        <v>4. Despesas Operacionais</v>
      </c>
      <c r="E499" t="str">
        <f>VLOOKUP(B499,Tabela_Auxiliar[],4,0)</f>
        <v>Despesa com Ocupação</v>
      </c>
      <c r="F499" t="str">
        <f>VLOOKUP(B499,Tabela_Auxiliar[],3,0)</f>
        <v>Saída</v>
      </c>
      <c r="G499" t="str">
        <f>UPPER(TEXT(Tabela_DB[[#This Row],[DATA]],"mmm"))</f>
        <v>JAN</v>
      </c>
      <c r="H499" t="str">
        <f>UPPER(TEXT(Tabela_DB[[#This Row],[DATA]],"aaaa"))</f>
        <v>2021</v>
      </c>
    </row>
    <row r="500" spans="1:8" x14ac:dyDescent="0.25">
      <c r="A500" s="2">
        <v>44225</v>
      </c>
      <c r="B500" t="s">
        <v>4</v>
      </c>
      <c r="C500">
        <v>12406</v>
      </c>
      <c r="D500" t="str">
        <f>VLOOKUP(B500,Tabela_Auxiliar[],2,0)</f>
        <v>1. Receita Operacional Bruta</v>
      </c>
      <c r="E500" t="str">
        <f>VLOOKUP(B500,Tabela_Auxiliar[],4,0)</f>
        <v>Receita Bruta</v>
      </c>
      <c r="F500" t="str">
        <f>VLOOKUP(B500,Tabela_Auxiliar[],3,0)</f>
        <v>Entrada</v>
      </c>
      <c r="G500" t="str">
        <f>UPPER(TEXT(Tabela_DB[[#This Row],[DATA]],"mmm"))</f>
        <v>JAN</v>
      </c>
      <c r="H500" t="str">
        <f>UPPER(TEXT(Tabela_DB[[#This Row],[DATA]],"aaaa"))</f>
        <v>2021</v>
      </c>
    </row>
    <row r="501" spans="1:8" x14ac:dyDescent="0.25">
      <c r="A501" s="2">
        <v>44225</v>
      </c>
      <c r="B501" t="s">
        <v>42</v>
      </c>
      <c r="C501">
        <v>-2061</v>
      </c>
      <c r="D501" t="str">
        <f>VLOOKUP(B501,Tabela_Auxiliar[],2,0)</f>
        <v>4. Despesas Operacionais</v>
      </c>
      <c r="E501" t="str">
        <f>VLOOKUP(B501,Tabela_Auxiliar[],4,0)</f>
        <v>Despesa com Pessoal</v>
      </c>
      <c r="F501" t="str">
        <f>VLOOKUP(B501,Tabela_Auxiliar[],3,0)</f>
        <v>Saída</v>
      </c>
      <c r="G501" t="str">
        <f>UPPER(TEXT(Tabela_DB[[#This Row],[DATA]],"mmm"))</f>
        <v>JAN</v>
      </c>
      <c r="H501" t="str">
        <f>UPPER(TEXT(Tabela_DB[[#This Row],[DATA]],"aaaa"))</f>
        <v>2021</v>
      </c>
    </row>
    <row r="502" spans="1:8" x14ac:dyDescent="0.25">
      <c r="A502" s="2">
        <v>44225</v>
      </c>
      <c r="B502" t="s">
        <v>64</v>
      </c>
      <c r="C502">
        <v>-1253</v>
      </c>
      <c r="D502" t="str">
        <f>VLOOKUP(B502,Tabela_Auxiliar[],2,0)</f>
        <v>4. Despesas Operacionais</v>
      </c>
      <c r="E502" t="str">
        <f>VLOOKUP(B502,Tabela_Auxiliar[],4,0)</f>
        <v>Despesa Gerais</v>
      </c>
      <c r="F502" t="str">
        <f>VLOOKUP(B502,Tabela_Auxiliar[],3,0)</f>
        <v>Saída</v>
      </c>
      <c r="G502" t="str">
        <f>UPPER(TEXT(Tabela_DB[[#This Row],[DATA]],"mmm"))</f>
        <v>JAN</v>
      </c>
      <c r="H502" t="str">
        <f>UPPER(TEXT(Tabela_DB[[#This Row],[DATA]],"aaaa"))</f>
        <v>2021</v>
      </c>
    </row>
    <row r="503" spans="1:8" x14ac:dyDescent="0.25">
      <c r="A503" s="2">
        <v>44225</v>
      </c>
      <c r="B503" t="s">
        <v>111</v>
      </c>
      <c r="C503">
        <v>-1167</v>
      </c>
      <c r="D503" t="str">
        <f>VLOOKUP(B503,Tabela_Auxiliar[],2,0)</f>
        <v>2. Deduções da Receita</v>
      </c>
      <c r="E503" t="str">
        <f>VLOOKUP(B503,Tabela_Auxiliar[],4,0)</f>
        <v>Imposto</v>
      </c>
      <c r="F503" t="str">
        <f>VLOOKUP(B503,Tabela_Auxiliar[],3,0)</f>
        <v>Saída</v>
      </c>
      <c r="G503" t="str">
        <f>UPPER(TEXT(Tabela_DB[[#This Row],[DATA]],"mmm"))</f>
        <v>JAN</v>
      </c>
      <c r="H503" t="str">
        <f>UPPER(TEXT(Tabela_DB[[#This Row],[DATA]],"aaaa"))</f>
        <v>2021</v>
      </c>
    </row>
    <row r="504" spans="1:8" x14ac:dyDescent="0.25">
      <c r="A504" s="2">
        <v>44226</v>
      </c>
      <c r="B504" t="s">
        <v>38</v>
      </c>
      <c r="C504">
        <v>-1071</v>
      </c>
      <c r="D504" t="str">
        <f>VLOOKUP(B504,Tabela_Auxiliar[],2,0)</f>
        <v>2. Deduções da Receita</v>
      </c>
      <c r="E504" t="str">
        <f>VLOOKUP(B504,Tabela_Auxiliar[],4,0)</f>
        <v>Deduções</v>
      </c>
      <c r="F504" t="str">
        <f>VLOOKUP(B504,Tabela_Auxiliar[],3,0)</f>
        <v>Saída</v>
      </c>
      <c r="G504" t="str">
        <f>UPPER(TEXT(Tabela_DB[[#This Row],[DATA]],"mmm"))</f>
        <v>JAN</v>
      </c>
      <c r="H504" t="str">
        <f>UPPER(TEXT(Tabela_DB[[#This Row],[DATA]],"aaaa"))</f>
        <v>2021</v>
      </c>
    </row>
    <row r="505" spans="1:8" x14ac:dyDescent="0.25">
      <c r="A505" s="2">
        <v>44226</v>
      </c>
      <c r="B505" t="s">
        <v>71</v>
      </c>
      <c r="C505">
        <v>-2192</v>
      </c>
      <c r="D505" t="str">
        <f>VLOOKUP(B505,Tabela_Auxiliar[],2,0)</f>
        <v>4. Despesas Operacionais</v>
      </c>
      <c r="E505" t="str">
        <f>VLOOKUP(B505,Tabela_Auxiliar[],4,0)</f>
        <v>Despesa com Ocupação</v>
      </c>
      <c r="F505" t="str">
        <f>VLOOKUP(B505,Tabela_Auxiliar[],3,0)</f>
        <v>Saída</v>
      </c>
      <c r="G505" t="str">
        <f>UPPER(TEXT(Tabela_DB[[#This Row],[DATA]],"mmm"))</f>
        <v>JAN</v>
      </c>
      <c r="H505" t="str">
        <f>UPPER(TEXT(Tabela_DB[[#This Row],[DATA]],"aaaa"))</f>
        <v>2021</v>
      </c>
    </row>
    <row r="506" spans="1:8" x14ac:dyDescent="0.25">
      <c r="A506" s="2">
        <v>44226</v>
      </c>
      <c r="B506" t="s">
        <v>4</v>
      </c>
      <c r="C506">
        <v>11515</v>
      </c>
      <c r="D506" t="str">
        <f>VLOOKUP(B506,Tabela_Auxiliar[],2,0)</f>
        <v>1. Receita Operacional Bruta</v>
      </c>
      <c r="E506" t="str">
        <f>VLOOKUP(B506,Tabela_Auxiliar[],4,0)</f>
        <v>Receita Bruta</v>
      </c>
      <c r="F506" t="str">
        <f>VLOOKUP(B506,Tabela_Auxiliar[],3,0)</f>
        <v>Entrada</v>
      </c>
      <c r="G506" t="str">
        <f>UPPER(TEXT(Tabela_DB[[#This Row],[DATA]],"mmm"))</f>
        <v>JAN</v>
      </c>
      <c r="H506" t="str">
        <f>UPPER(TEXT(Tabela_DB[[#This Row],[DATA]],"aaaa"))</f>
        <v>2021</v>
      </c>
    </row>
    <row r="507" spans="1:8" x14ac:dyDescent="0.25">
      <c r="A507" s="2">
        <v>44226</v>
      </c>
      <c r="B507" t="s">
        <v>43</v>
      </c>
      <c r="C507">
        <v>-1471</v>
      </c>
      <c r="D507" t="str">
        <f>VLOOKUP(B507,Tabela_Auxiliar[],2,0)</f>
        <v>4. Despesas Operacionais</v>
      </c>
      <c r="E507" t="str">
        <f>VLOOKUP(B507,Tabela_Auxiliar[],4,0)</f>
        <v>Despesa com Pessoal</v>
      </c>
      <c r="F507" t="str">
        <f>VLOOKUP(B507,Tabela_Auxiliar[],3,0)</f>
        <v>Saída</v>
      </c>
      <c r="G507" t="str">
        <f>UPPER(TEXT(Tabela_DB[[#This Row],[DATA]],"mmm"))</f>
        <v>JAN</v>
      </c>
      <c r="H507" t="str">
        <f>UPPER(TEXT(Tabela_DB[[#This Row],[DATA]],"aaaa"))</f>
        <v>2021</v>
      </c>
    </row>
    <row r="508" spans="1:8" x14ac:dyDescent="0.25">
      <c r="A508" s="2">
        <v>44226</v>
      </c>
      <c r="B508" t="s">
        <v>87</v>
      </c>
      <c r="C508">
        <v>-1665</v>
      </c>
      <c r="D508" t="str">
        <f>VLOOKUP(B508,Tabela_Auxiliar[],2,0)</f>
        <v>4. Despesas Operacionais</v>
      </c>
      <c r="E508" t="str">
        <f>VLOOKUP(B508,Tabela_Auxiliar[],4,0)</f>
        <v>Despesa Tributária</v>
      </c>
      <c r="F508" t="str">
        <f>VLOOKUP(B508,Tabela_Auxiliar[],3,0)</f>
        <v>Saída</v>
      </c>
      <c r="G508" t="str">
        <f>UPPER(TEXT(Tabela_DB[[#This Row],[DATA]],"mmm"))</f>
        <v>JAN</v>
      </c>
      <c r="H508" t="str">
        <f>UPPER(TEXT(Tabela_DB[[#This Row],[DATA]],"aaaa"))</f>
        <v>2021</v>
      </c>
    </row>
    <row r="509" spans="1:8" x14ac:dyDescent="0.25">
      <c r="A509" s="2">
        <v>44226</v>
      </c>
      <c r="B509" t="s">
        <v>102</v>
      </c>
      <c r="C509">
        <v>-1029</v>
      </c>
      <c r="D509" t="str">
        <f>VLOOKUP(B509,Tabela_Auxiliar[],2,0)</f>
        <v>6. Resultado após o Resultado Financeiro</v>
      </c>
      <c r="E509" t="str">
        <f>VLOOKUP(B509,Tabela_Auxiliar[],4,0)</f>
        <v>EBTIDA</v>
      </c>
      <c r="F509" t="str">
        <f>VLOOKUP(B509,Tabela_Auxiliar[],3,0)</f>
        <v>Saída</v>
      </c>
      <c r="G509" t="str">
        <f>UPPER(TEXT(Tabela_DB[[#This Row],[DATA]],"mmm"))</f>
        <v>JAN</v>
      </c>
      <c r="H509" t="str">
        <f>UPPER(TEXT(Tabela_DB[[#This Row],[DATA]],"aaaa"))</f>
        <v>2021</v>
      </c>
    </row>
    <row r="510" spans="1:8" x14ac:dyDescent="0.25">
      <c r="A510" s="2">
        <v>44226</v>
      </c>
      <c r="B510" t="s">
        <v>3</v>
      </c>
      <c r="C510">
        <v>12818</v>
      </c>
      <c r="D510" t="str">
        <f>VLOOKUP(B510,Tabela_Auxiliar[],2,0)</f>
        <v>1. Receita Operacional Bruta</v>
      </c>
      <c r="E510" t="str">
        <f>VLOOKUP(B510,Tabela_Auxiliar[],4,0)</f>
        <v>Receita Bruta</v>
      </c>
      <c r="F510" t="str">
        <f>VLOOKUP(B510,Tabela_Auxiliar[],3,0)</f>
        <v>Entrada</v>
      </c>
      <c r="G510" t="str">
        <f>UPPER(TEXT(Tabela_DB[[#This Row],[DATA]],"mmm"))</f>
        <v>JAN</v>
      </c>
      <c r="H510" t="str">
        <f>UPPER(TEXT(Tabela_DB[[#This Row],[DATA]],"aaaa"))</f>
        <v>2021</v>
      </c>
    </row>
    <row r="511" spans="1:8" x14ac:dyDescent="0.25">
      <c r="A511" s="2">
        <v>44226</v>
      </c>
      <c r="B511" t="s">
        <v>3</v>
      </c>
      <c r="C511">
        <v>14507</v>
      </c>
      <c r="D511" t="str">
        <f>VLOOKUP(B511,Tabela_Auxiliar[],2,0)</f>
        <v>1. Receita Operacional Bruta</v>
      </c>
      <c r="E511" t="str">
        <f>VLOOKUP(B511,Tabela_Auxiliar[],4,0)</f>
        <v>Receita Bruta</v>
      </c>
      <c r="F511" t="str">
        <f>VLOOKUP(B511,Tabela_Auxiliar[],3,0)</f>
        <v>Entrada</v>
      </c>
      <c r="G511" t="str">
        <f>UPPER(TEXT(Tabela_DB[[#This Row],[DATA]],"mmm"))</f>
        <v>JAN</v>
      </c>
      <c r="H511" t="str">
        <f>UPPER(TEXT(Tabela_DB[[#This Row],[DATA]],"aaaa"))</f>
        <v>2021</v>
      </c>
    </row>
    <row r="512" spans="1:8" x14ac:dyDescent="0.25">
      <c r="A512" s="2">
        <v>44226</v>
      </c>
      <c r="B512" t="s">
        <v>35</v>
      </c>
      <c r="C512">
        <v>-1220</v>
      </c>
      <c r="D512" t="str">
        <f>VLOOKUP(B512,Tabela_Auxiliar[],2,0)</f>
        <v>2. Deduções da Receita</v>
      </c>
      <c r="E512" t="str">
        <f>VLOOKUP(B512,Tabela_Auxiliar[],4,0)</f>
        <v>Imposto</v>
      </c>
      <c r="F512" t="str">
        <f>VLOOKUP(B512,Tabela_Auxiliar[],3,0)</f>
        <v>Saída</v>
      </c>
      <c r="G512" t="str">
        <f>UPPER(TEXT(Tabela_DB[[#This Row],[DATA]],"mmm"))</f>
        <v>JAN</v>
      </c>
      <c r="H512" t="str">
        <f>UPPER(TEXT(Tabela_DB[[#This Row],[DATA]],"aaaa"))</f>
        <v>2021</v>
      </c>
    </row>
    <row r="513" spans="1:8" x14ac:dyDescent="0.25">
      <c r="A513" s="2">
        <v>44226</v>
      </c>
      <c r="B513" t="s">
        <v>4</v>
      </c>
      <c r="C513">
        <v>14337</v>
      </c>
      <c r="D513" t="str">
        <f>VLOOKUP(B513,Tabela_Auxiliar[],2,0)</f>
        <v>1. Receita Operacional Bruta</v>
      </c>
      <c r="E513" t="str">
        <f>VLOOKUP(B513,Tabela_Auxiliar[],4,0)</f>
        <v>Receita Bruta</v>
      </c>
      <c r="F513" t="str">
        <f>VLOOKUP(B513,Tabela_Auxiliar[],3,0)</f>
        <v>Entrada</v>
      </c>
      <c r="G513" t="str">
        <f>UPPER(TEXT(Tabela_DB[[#This Row],[DATA]],"mmm"))</f>
        <v>JAN</v>
      </c>
      <c r="H513" t="str">
        <f>UPPER(TEXT(Tabela_DB[[#This Row],[DATA]],"aaaa"))</f>
        <v>2021</v>
      </c>
    </row>
    <row r="514" spans="1:8" x14ac:dyDescent="0.25">
      <c r="A514" s="2">
        <v>44226</v>
      </c>
      <c r="B514" t="s">
        <v>49</v>
      </c>
      <c r="C514">
        <v>-1358</v>
      </c>
      <c r="D514" t="str">
        <f>VLOOKUP(B514,Tabela_Auxiliar[],2,0)</f>
        <v>4. Despesas Operacionais</v>
      </c>
      <c r="E514" t="str">
        <f>VLOOKUP(B514,Tabela_Auxiliar[],4,0)</f>
        <v>Despesa com Pessoal</v>
      </c>
      <c r="F514" t="str">
        <f>VLOOKUP(B514,Tabela_Auxiliar[],3,0)</f>
        <v>Saída</v>
      </c>
      <c r="G514" t="str">
        <f>UPPER(TEXT(Tabela_DB[[#This Row],[DATA]],"mmm"))</f>
        <v>JAN</v>
      </c>
      <c r="H514" t="str">
        <f>UPPER(TEXT(Tabela_DB[[#This Row],[DATA]],"aaaa"))</f>
        <v>2021</v>
      </c>
    </row>
    <row r="515" spans="1:8" x14ac:dyDescent="0.25">
      <c r="A515" s="2">
        <v>44226</v>
      </c>
      <c r="B515" t="s">
        <v>3</v>
      </c>
      <c r="C515">
        <v>10827</v>
      </c>
      <c r="D515" t="str">
        <f>VLOOKUP(B515,Tabela_Auxiliar[],2,0)</f>
        <v>1. Receita Operacional Bruta</v>
      </c>
      <c r="E515" t="str">
        <f>VLOOKUP(B515,Tabela_Auxiliar[],4,0)</f>
        <v>Receita Bruta</v>
      </c>
      <c r="F515" t="str">
        <f>VLOOKUP(B515,Tabela_Auxiliar[],3,0)</f>
        <v>Entrada</v>
      </c>
      <c r="G515" t="str">
        <f>UPPER(TEXT(Tabela_DB[[#This Row],[DATA]],"mmm"))</f>
        <v>JAN</v>
      </c>
      <c r="H515" t="str">
        <f>UPPER(TEXT(Tabela_DB[[#This Row],[DATA]],"aaaa"))</f>
        <v>2021</v>
      </c>
    </row>
    <row r="516" spans="1:8" x14ac:dyDescent="0.25">
      <c r="A516" s="2">
        <v>44226</v>
      </c>
      <c r="B516" t="s">
        <v>85</v>
      </c>
      <c r="C516">
        <v>-1503</v>
      </c>
      <c r="D516" t="str">
        <f>VLOOKUP(B516,Tabela_Auxiliar[],2,0)</f>
        <v>4. Despesas Operacionais</v>
      </c>
      <c r="E516" t="str">
        <f>VLOOKUP(B516,Tabela_Auxiliar[],4,0)</f>
        <v>Despesa com Veículos</v>
      </c>
      <c r="F516" t="str">
        <f>VLOOKUP(B516,Tabela_Auxiliar[],3,0)</f>
        <v>Saída</v>
      </c>
      <c r="G516" t="str">
        <f>UPPER(TEXT(Tabela_DB[[#This Row],[DATA]],"mmm"))</f>
        <v>JAN</v>
      </c>
      <c r="H516" t="str">
        <f>UPPER(TEXT(Tabela_DB[[#This Row],[DATA]],"aaaa"))</f>
        <v>2021</v>
      </c>
    </row>
    <row r="517" spans="1:8" x14ac:dyDescent="0.25">
      <c r="A517" s="2">
        <v>44226</v>
      </c>
      <c r="B517" t="s">
        <v>111</v>
      </c>
      <c r="C517">
        <v>-1592</v>
      </c>
      <c r="D517" t="str">
        <f>VLOOKUP(B517,Tabela_Auxiliar[],2,0)</f>
        <v>2. Deduções da Receita</v>
      </c>
      <c r="E517" t="str">
        <f>VLOOKUP(B517,Tabela_Auxiliar[],4,0)</f>
        <v>Imposto</v>
      </c>
      <c r="F517" t="str">
        <f>VLOOKUP(B517,Tabela_Auxiliar[],3,0)</f>
        <v>Saída</v>
      </c>
      <c r="G517" t="str">
        <f>UPPER(TEXT(Tabela_DB[[#This Row],[DATA]],"mmm"))</f>
        <v>JAN</v>
      </c>
      <c r="H517" t="str">
        <f>UPPER(TEXT(Tabela_DB[[#This Row],[DATA]],"aaaa"))</f>
        <v>2021</v>
      </c>
    </row>
    <row r="518" spans="1:8" x14ac:dyDescent="0.25">
      <c r="A518" s="2">
        <v>44226</v>
      </c>
      <c r="B518" t="s">
        <v>111</v>
      </c>
      <c r="C518">
        <v>-1620</v>
      </c>
      <c r="D518" t="str">
        <f>VLOOKUP(B518,Tabela_Auxiliar[],2,0)</f>
        <v>2. Deduções da Receita</v>
      </c>
      <c r="E518" t="str">
        <f>VLOOKUP(B518,Tabela_Auxiliar[],4,0)</f>
        <v>Imposto</v>
      </c>
      <c r="F518" t="str">
        <f>VLOOKUP(B518,Tabela_Auxiliar[],3,0)</f>
        <v>Saída</v>
      </c>
      <c r="G518" t="str">
        <f>UPPER(TEXT(Tabela_DB[[#This Row],[DATA]],"mmm"))</f>
        <v>JAN</v>
      </c>
      <c r="H518" t="str">
        <f>UPPER(TEXT(Tabela_DB[[#This Row],[DATA]],"aaaa"))</f>
        <v>2021</v>
      </c>
    </row>
    <row r="519" spans="1:8" x14ac:dyDescent="0.25">
      <c r="A519" s="2">
        <v>44226</v>
      </c>
      <c r="B519" t="s">
        <v>111</v>
      </c>
      <c r="C519">
        <v>-1788</v>
      </c>
      <c r="D519" t="str">
        <f>VLOOKUP(B519,Tabela_Auxiliar[],2,0)</f>
        <v>2. Deduções da Receita</v>
      </c>
      <c r="E519" t="str">
        <f>VLOOKUP(B519,Tabela_Auxiliar[],4,0)</f>
        <v>Imposto</v>
      </c>
      <c r="F519" t="str">
        <f>VLOOKUP(B519,Tabela_Auxiliar[],3,0)</f>
        <v>Saída</v>
      </c>
      <c r="G519" t="str">
        <f>UPPER(TEXT(Tabela_DB[[#This Row],[DATA]],"mmm"))</f>
        <v>JAN</v>
      </c>
      <c r="H519" t="str">
        <f>UPPER(TEXT(Tabela_DB[[#This Row],[DATA]],"aaaa"))</f>
        <v>2021</v>
      </c>
    </row>
    <row r="520" spans="1:8" x14ac:dyDescent="0.25">
      <c r="A520" s="2">
        <v>44226</v>
      </c>
      <c r="B520" t="s">
        <v>4</v>
      </c>
      <c r="C520">
        <v>13210</v>
      </c>
      <c r="D520" t="str">
        <f>VLOOKUP(B520,Tabela_Auxiliar[],2,0)</f>
        <v>1. Receita Operacional Bruta</v>
      </c>
      <c r="E520" t="str">
        <f>VLOOKUP(B520,Tabela_Auxiliar[],4,0)</f>
        <v>Receita Bruta</v>
      </c>
      <c r="F520" t="str">
        <f>VLOOKUP(B520,Tabela_Auxiliar[],3,0)</f>
        <v>Entrada</v>
      </c>
      <c r="G520" t="str">
        <f>UPPER(TEXT(Tabela_DB[[#This Row],[DATA]],"mmm"))</f>
        <v>JAN</v>
      </c>
      <c r="H520" t="str">
        <f>UPPER(TEXT(Tabela_DB[[#This Row],[DATA]],"aaaa"))</f>
        <v>2021</v>
      </c>
    </row>
    <row r="521" spans="1:8" x14ac:dyDescent="0.25">
      <c r="A521" s="2">
        <v>44226</v>
      </c>
      <c r="B521" t="s">
        <v>37</v>
      </c>
      <c r="C521">
        <v>-4194</v>
      </c>
      <c r="D521" t="str">
        <f>VLOOKUP(B521,Tabela_Auxiliar[],2,0)</f>
        <v>3. Custos do Produto/Mercadoria/Serviço</v>
      </c>
      <c r="E521" t="str">
        <f>VLOOKUP(B521,Tabela_Auxiliar[],4,0)</f>
        <v>Despesas c/ Produto</v>
      </c>
      <c r="F521" t="str">
        <f>VLOOKUP(B521,Tabela_Auxiliar[],3,0)</f>
        <v>Saída</v>
      </c>
      <c r="G521" t="str">
        <f>UPPER(TEXT(Tabela_DB[[#This Row],[DATA]],"mmm"))</f>
        <v>JAN</v>
      </c>
      <c r="H521" t="str">
        <f>UPPER(TEXT(Tabela_DB[[#This Row],[DATA]],"aaaa"))</f>
        <v>2021</v>
      </c>
    </row>
    <row r="522" spans="1:8" x14ac:dyDescent="0.25">
      <c r="A522" s="2">
        <v>44226</v>
      </c>
      <c r="B522" t="s">
        <v>37</v>
      </c>
      <c r="C522">
        <v>-2852</v>
      </c>
      <c r="D522" t="str">
        <f>VLOOKUP(B522,Tabela_Auxiliar[],2,0)</f>
        <v>3. Custos do Produto/Mercadoria/Serviço</v>
      </c>
      <c r="E522" t="str">
        <f>VLOOKUP(B522,Tabela_Auxiliar[],4,0)</f>
        <v>Despesas c/ Produto</v>
      </c>
      <c r="F522" t="str">
        <f>VLOOKUP(B522,Tabela_Auxiliar[],3,0)</f>
        <v>Saída</v>
      </c>
      <c r="G522" t="str">
        <f>UPPER(TEXT(Tabela_DB[[#This Row],[DATA]],"mmm"))</f>
        <v>JAN</v>
      </c>
      <c r="H522" t="str">
        <f>UPPER(TEXT(Tabela_DB[[#This Row],[DATA]],"aaaa"))</f>
        <v>2021</v>
      </c>
    </row>
    <row r="523" spans="1:8" x14ac:dyDescent="0.25">
      <c r="A523" s="2">
        <v>44226</v>
      </c>
      <c r="B523" t="s">
        <v>3</v>
      </c>
      <c r="C523">
        <v>10242</v>
      </c>
      <c r="D523" t="str">
        <f>VLOOKUP(B523,Tabela_Auxiliar[],2,0)</f>
        <v>1. Receita Operacional Bruta</v>
      </c>
      <c r="E523" t="str">
        <f>VLOOKUP(B523,Tabela_Auxiliar[],4,0)</f>
        <v>Receita Bruta</v>
      </c>
      <c r="F523" t="str">
        <f>VLOOKUP(B523,Tabela_Auxiliar[],3,0)</f>
        <v>Entrada</v>
      </c>
      <c r="G523" t="str">
        <f>UPPER(TEXT(Tabela_DB[[#This Row],[DATA]],"mmm"))</f>
        <v>JAN</v>
      </c>
      <c r="H523" t="str">
        <f>UPPER(TEXT(Tabela_DB[[#This Row],[DATA]],"aaaa"))</f>
        <v>2021</v>
      </c>
    </row>
    <row r="524" spans="1:8" x14ac:dyDescent="0.25">
      <c r="A524" s="2">
        <v>44226</v>
      </c>
      <c r="B524" t="s">
        <v>4</v>
      </c>
      <c r="C524">
        <v>10751</v>
      </c>
      <c r="D524" t="str">
        <f>VLOOKUP(B524,Tabela_Auxiliar[],2,0)</f>
        <v>1. Receita Operacional Bruta</v>
      </c>
      <c r="E524" t="str">
        <f>VLOOKUP(B524,Tabela_Auxiliar[],4,0)</f>
        <v>Receita Bruta</v>
      </c>
      <c r="F524" t="str">
        <f>VLOOKUP(B524,Tabela_Auxiliar[],3,0)</f>
        <v>Entrada</v>
      </c>
      <c r="G524" t="str">
        <f>UPPER(TEXT(Tabela_DB[[#This Row],[DATA]],"mmm"))</f>
        <v>JAN</v>
      </c>
      <c r="H524" t="str">
        <f>UPPER(TEXT(Tabela_DB[[#This Row],[DATA]],"aaaa"))</f>
        <v>2021</v>
      </c>
    </row>
    <row r="525" spans="1:8" x14ac:dyDescent="0.25">
      <c r="A525" s="2">
        <v>44226</v>
      </c>
      <c r="B525" t="s">
        <v>46</v>
      </c>
      <c r="C525">
        <v>-1641</v>
      </c>
      <c r="D525" t="str">
        <f>VLOOKUP(B525,Tabela_Auxiliar[],2,0)</f>
        <v>4. Despesas Operacionais</v>
      </c>
      <c r="E525" t="str">
        <f>VLOOKUP(B525,Tabela_Auxiliar[],4,0)</f>
        <v>Despesa com Pessoal</v>
      </c>
      <c r="F525" t="str">
        <f>VLOOKUP(B525,Tabela_Auxiliar[],3,0)</f>
        <v>Saída</v>
      </c>
      <c r="G525" t="str">
        <f>UPPER(TEXT(Tabela_DB[[#This Row],[DATA]],"mmm"))</f>
        <v>JAN</v>
      </c>
      <c r="H525" t="str">
        <f>UPPER(TEXT(Tabela_DB[[#This Row],[DATA]],"aaaa"))</f>
        <v>2021</v>
      </c>
    </row>
    <row r="526" spans="1:8" x14ac:dyDescent="0.25">
      <c r="A526" s="2">
        <v>44226</v>
      </c>
      <c r="B526" t="s">
        <v>4</v>
      </c>
      <c r="C526">
        <v>12648</v>
      </c>
      <c r="D526" t="str">
        <f>VLOOKUP(B526,Tabela_Auxiliar[],2,0)</f>
        <v>1. Receita Operacional Bruta</v>
      </c>
      <c r="E526" t="str">
        <f>VLOOKUP(B526,Tabela_Auxiliar[],4,0)</f>
        <v>Receita Bruta</v>
      </c>
      <c r="F526" t="str">
        <f>VLOOKUP(B526,Tabela_Auxiliar[],3,0)</f>
        <v>Entrada</v>
      </c>
      <c r="G526" t="str">
        <f>UPPER(TEXT(Tabela_DB[[#This Row],[DATA]],"mmm"))</f>
        <v>JAN</v>
      </c>
      <c r="H526" t="str">
        <f>UPPER(TEXT(Tabela_DB[[#This Row],[DATA]],"aaaa"))</f>
        <v>2021</v>
      </c>
    </row>
    <row r="527" spans="1:8" x14ac:dyDescent="0.25">
      <c r="A527" s="2">
        <v>44226</v>
      </c>
      <c r="B527" t="s">
        <v>4</v>
      </c>
      <c r="C527">
        <v>14095</v>
      </c>
      <c r="D527" t="str">
        <f>VLOOKUP(B527,Tabela_Auxiliar[],2,0)</f>
        <v>1. Receita Operacional Bruta</v>
      </c>
      <c r="E527" t="str">
        <f>VLOOKUP(B527,Tabela_Auxiliar[],4,0)</f>
        <v>Receita Bruta</v>
      </c>
      <c r="F527" t="str">
        <f>VLOOKUP(B527,Tabela_Auxiliar[],3,0)</f>
        <v>Entrada</v>
      </c>
      <c r="G527" t="str">
        <f>UPPER(TEXT(Tabela_DB[[#This Row],[DATA]],"mmm"))</f>
        <v>JAN</v>
      </c>
      <c r="H527" t="str">
        <f>UPPER(TEXT(Tabela_DB[[#This Row],[DATA]],"aaaa"))</f>
        <v>2021</v>
      </c>
    </row>
    <row r="528" spans="1:8" x14ac:dyDescent="0.25">
      <c r="A528" s="2">
        <v>44226</v>
      </c>
      <c r="B528" t="s">
        <v>37</v>
      </c>
      <c r="C528">
        <v>-3165</v>
      </c>
      <c r="D528" t="str">
        <f>VLOOKUP(B528,Tabela_Auxiliar[],2,0)</f>
        <v>3. Custos do Produto/Mercadoria/Serviço</v>
      </c>
      <c r="E528" t="str">
        <f>VLOOKUP(B528,Tabela_Auxiliar[],4,0)</f>
        <v>Despesas c/ Produto</v>
      </c>
      <c r="F528" t="str">
        <f>VLOOKUP(B528,Tabela_Auxiliar[],3,0)</f>
        <v>Saída</v>
      </c>
      <c r="G528" t="str">
        <f>UPPER(TEXT(Tabela_DB[[#This Row],[DATA]],"mmm"))</f>
        <v>JAN</v>
      </c>
      <c r="H528" t="str">
        <f>UPPER(TEXT(Tabela_DB[[#This Row],[DATA]],"aaaa"))</f>
        <v>2021</v>
      </c>
    </row>
    <row r="529" spans="1:8" x14ac:dyDescent="0.25">
      <c r="A529" s="2">
        <v>44226</v>
      </c>
      <c r="B529" t="s">
        <v>76</v>
      </c>
      <c r="C529">
        <v>-1050</v>
      </c>
      <c r="D529" t="str">
        <f>VLOOKUP(B529,Tabela_Auxiliar[],2,0)</f>
        <v>4. Despesas Operacionais</v>
      </c>
      <c r="E529" t="str">
        <f>VLOOKUP(B529,Tabela_Auxiliar[],4,0)</f>
        <v>Serviços Contratados</v>
      </c>
      <c r="F529" t="str">
        <f>VLOOKUP(B529,Tabela_Auxiliar[],3,0)</f>
        <v>Saída</v>
      </c>
      <c r="G529" t="str">
        <f>UPPER(TEXT(Tabela_DB[[#This Row],[DATA]],"mmm"))</f>
        <v>JAN</v>
      </c>
      <c r="H529" t="str">
        <f>UPPER(TEXT(Tabela_DB[[#This Row],[DATA]],"aaaa"))</f>
        <v>2021</v>
      </c>
    </row>
    <row r="530" spans="1:8" x14ac:dyDescent="0.25">
      <c r="A530" s="2">
        <v>44227</v>
      </c>
      <c r="B530" t="s">
        <v>80</v>
      </c>
      <c r="C530">
        <v>-1108</v>
      </c>
      <c r="D530" t="str">
        <f>VLOOKUP(B530,Tabela_Auxiliar[],2,0)</f>
        <v>4. Despesas Operacionais</v>
      </c>
      <c r="E530" t="str">
        <f>VLOOKUP(B530,Tabela_Auxiliar[],4,0)</f>
        <v>Serviços Contratados</v>
      </c>
      <c r="F530" t="str">
        <f>VLOOKUP(B530,Tabela_Auxiliar[],3,0)</f>
        <v>Saída</v>
      </c>
      <c r="G530" t="str">
        <f>UPPER(TEXT(Tabela_DB[[#This Row],[DATA]],"mmm"))</f>
        <v>JAN</v>
      </c>
      <c r="H530" t="str">
        <f>UPPER(TEXT(Tabela_DB[[#This Row],[DATA]],"aaaa"))</f>
        <v>2021</v>
      </c>
    </row>
    <row r="531" spans="1:8" x14ac:dyDescent="0.25">
      <c r="A531" s="2">
        <v>44227</v>
      </c>
      <c r="B531" t="s">
        <v>4</v>
      </c>
      <c r="C531">
        <v>13064</v>
      </c>
      <c r="D531" t="str">
        <f>VLOOKUP(B531,Tabela_Auxiliar[],2,0)</f>
        <v>1. Receita Operacional Bruta</v>
      </c>
      <c r="E531" t="str">
        <f>VLOOKUP(B531,Tabela_Auxiliar[],4,0)</f>
        <v>Receita Bruta</v>
      </c>
      <c r="F531" t="str">
        <f>VLOOKUP(B531,Tabela_Auxiliar[],3,0)</f>
        <v>Entrada</v>
      </c>
      <c r="G531" t="str">
        <f>UPPER(TEXT(Tabela_DB[[#This Row],[DATA]],"mmm"))</f>
        <v>JAN</v>
      </c>
      <c r="H531" t="str">
        <f>UPPER(TEXT(Tabela_DB[[#This Row],[DATA]],"aaaa"))</f>
        <v>2021</v>
      </c>
    </row>
    <row r="532" spans="1:8" x14ac:dyDescent="0.25">
      <c r="A532" s="2">
        <v>44227</v>
      </c>
      <c r="B532" t="s">
        <v>66</v>
      </c>
      <c r="C532">
        <v>-2014</v>
      </c>
      <c r="D532" t="str">
        <f>VLOOKUP(B532,Tabela_Auxiliar[],2,0)</f>
        <v>4. Despesas Operacionais</v>
      </c>
      <c r="E532" t="str">
        <f>VLOOKUP(B532,Tabela_Auxiliar[],4,0)</f>
        <v>Despesa com Vendas</v>
      </c>
      <c r="F532" t="str">
        <f>VLOOKUP(B532,Tabela_Auxiliar[],3,0)</f>
        <v>Saída</v>
      </c>
      <c r="G532" t="str">
        <f>UPPER(TEXT(Tabela_DB[[#This Row],[DATA]],"mmm"))</f>
        <v>JAN</v>
      </c>
      <c r="H532" t="str">
        <f>UPPER(TEXT(Tabela_DB[[#This Row],[DATA]],"aaaa"))</f>
        <v>2021</v>
      </c>
    </row>
    <row r="533" spans="1:8" x14ac:dyDescent="0.25">
      <c r="A533" s="2">
        <v>44227</v>
      </c>
      <c r="B533" t="s">
        <v>3</v>
      </c>
      <c r="C533">
        <v>13133</v>
      </c>
      <c r="D533" t="str">
        <f>VLOOKUP(B533,Tabela_Auxiliar[],2,0)</f>
        <v>1. Receita Operacional Bruta</v>
      </c>
      <c r="E533" t="str">
        <f>VLOOKUP(B533,Tabela_Auxiliar[],4,0)</f>
        <v>Receita Bruta</v>
      </c>
      <c r="F533" t="str">
        <f>VLOOKUP(B533,Tabela_Auxiliar[],3,0)</f>
        <v>Entrada</v>
      </c>
      <c r="G533" t="str">
        <f>UPPER(TEXT(Tabela_DB[[#This Row],[DATA]],"mmm"))</f>
        <v>JAN</v>
      </c>
      <c r="H533" t="str">
        <f>UPPER(TEXT(Tabela_DB[[#This Row],[DATA]],"aaaa"))</f>
        <v>2021</v>
      </c>
    </row>
    <row r="534" spans="1:8" x14ac:dyDescent="0.25">
      <c r="A534" s="2">
        <v>44227</v>
      </c>
      <c r="B534" t="s">
        <v>35</v>
      </c>
      <c r="C534">
        <v>-1809</v>
      </c>
      <c r="D534" t="str">
        <f>VLOOKUP(B534,Tabela_Auxiliar[],2,0)</f>
        <v>2. Deduções da Receita</v>
      </c>
      <c r="E534" t="str">
        <f>VLOOKUP(B534,Tabela_Auxiliar[],4,0)</f>
        <v>Imposto</v>
      </c>
      <c r="F534" t="str">
        <f>VLOOKUP(B534,Tabela_Auxiliar[],3,0)</f>
        <v>Saída</v>
      </c>
      <c r="G534" t="str">
        <f>UPPER(TEXT(Tabela_DB[[#This Row],[DATA]],"mmm"))</f>
        <v>JAN</v>
      </c>
      <c r="H534" t="str">
        <f>UPPER(TEXT(Tabela_DB[[#This Row],[DATA]],"aaaa"))</f>
        <v>2021</v>
      </c>
    </row>
    <row r="535" spans="1:8" x14ac:dyDescent="0.25">
      <c r="A535" s="2">
        <v>44227</v>
      </c>
      <c r="B535" t="s">
        <v>37</v>
      </c>
      <c r="C535">
        <v>-2878</v>
      </c>
      <c r="D535" t="str">
        <f>VLOOKUP(B535,Tabela_Auxiliar[],2,0)</f>
        <v>3. Custos do Produto/Mercadoria/Serviço</v>
      </c>
      <c r="E535" t="str">
        <f>VLOOKUP(B535,Tabela_Auxiliar[],4,0)</f>
        <v>Despesas c/ Produto</v>
      </c>
      <c r="F535" t="str">
        <f>VLOOKUP(B535,Tabela_Auxiliar[],3,0)</f>
        <v>Saída</v>
      </c>
      <c r="G535" t="str">
        <f>UPPER(TEXT(Tabela_DB[[#This Row],[DATA]],"mmm"))</f>
        <v>JAN</v>
      </c>
      <c r="H535" t="str">
        <f>UPPER(TEXT(Tabela_DB[[#This Row],[DATA]],"aaaa"))</f>
        <v>2021</v>
      </c>
    </row>
    <row r="536" spans="1:8" x14ac:dyDescent="0.25">
      <c r="A536" s="2">
        <v>44227</v>
      </c>
      <c r="B536" t="s">
        <v>82</v>
      </c>
      <c r="C536">
        <v>-1255</v>
      </c>
      <c r="D536" t="str">
        <f>VLOOKUP(B536,Tabela_Auxiliar[],2,0)</f>
        <v>4. Despesas Operacionais</v>
      </c>
      <c r="E536" t="str">
        <f>VLOOKUP(B536,Tabela_Auxiliar[],4,0)</f>
        <v>Despesa com Veículos</v>
      </c>
      <c r="F536" t="str">
        <f>VLOOKUP(B536,Tabela_Auxiliar[],3,0)</f>
        <v>Saída</v>
      </c>
      <c r="G536" t="str">
        <f>UPPER(TEXT(Tabela_DB[[#This Row],[DATA]],"mmm"))</f>
        <v>JAN</v>
      </c>
      <c r="H536" t="str">
        <f>UPPER(TEXT(Tabela_DB[[#This Row],[DATA]],"aaaa"))</f>
        <v>2021</v>
      </c>
    </row>
    <row r="537" spans="1:8" x14ac:dyDescent="0.25">
      <c r="A537" s="2">
        <v>44227</v>
      </c>
      <c r="B537" t="s">
        <v>66</v>
      </c>
      <c r="C537">
        <v>-1584</v>
      </c>
      <c r="D537" t="str">
        <f>VLOOKUP(B537,Tabela_Auxiliar[],2,0)</f>
        <v>4. Despesas Operacionais</v>
      </c>
      <c r="E537" t="str">
        <f>VLOOKUP(B537,Tabela_Auxiliar[],4,0)</f>
        <v>Despesa com Vendas</v>
      </c>
      <c r="F537" t="str">
        <f>VLOOKUP(B537,Tabela_Auxiliar[],3,0)</f>
        <v>Saída</v>
      </c>
      <c r="G537" t="str">
        <f>UPPER(TEXT(Tabela_DB[[#This Row],[DATA]],"mmm"))</f>
        <v>JAN</v>
      </c>
      <c r="H537" t="str">
        <f>UPPER(TEXT(Tabela_DB[[#This Row],[DATA]],"aaaa"))</f>
        <v>2021</v>
      </c>
    </row>
    <row r="538" spans="1:8" x14ac:dyDescent="0.25">
      <c r="A538" s="2">
        <v>44227</v>
      </c>
      <c r="B538" t="s">
        <v>3</v>
      </c>
      <c r="C538">
        <v>11646</v>
      </c>
      <c r="D538" t="str">
        <f>VLOOKUP(B538,Tabela_Auxiliar[],2,0)</f>
        <v>1. Receita Operacional Bruta</v>
      </c>
      <c r="E538" t="str">
        <f>VLOOKUP(B538,Tabela_Auxiliar[],4,0)</f>
        <v>Receita Bruta</v>
      </c>
      <c r="F538" t="str">
        <f>VLOOKUP(B538,Tabela_Auxiliar[],3,0)</f>
        <v>Entrada</v>
      </c>
      <c r="G538" t="str">
        <f>UPPER(TEXT(Tabela_DB[[#This Row],[DATA]],"mmm"))</f>
        <v>JAN</v>
      </c>
      <c r="H538" t="str">
        <f>UPPER(TEXT(Tabela_DB[[#This Row],[DATA]],"aaaa"))</f>
        <v>2021</v>
      </c>
    </row>
    <row r="539" spans="1:8" x14ac:dyDescent="0.25">
      <c r="A539" s="2">
        <v>44227</v>
      </c>
      <c r="B539" t="s">
        <v>4</v>
      </c>
      <c r="C539">
        <v>11709</v>
      </c>
      <c r="D539" t="str">
        <f>VLOOKUP(B539,Tabela_Auxiliar[],2,0)</f>
        <v>1. Receita Operacional Bruta</v>
      </c>
      <c r="E539" t="str">
        <f>VLOOKUP(B539,Tabela_Auxiliar[],4,0)</f>
        <v>Receita Bruta</v>
      </c>
      <c r="F539" t="str">
        <f>VLOOKUP(B539,Tabela_Auxiliar[],3,0)</f>
        <v>Entrada</v>
      </c>
      <c r="G539" t="str">
        <f>UPPER(TEXT(Tabela_DB[[#This Row],[DATA]],"mmm"))</f>
        <v>JAN</v>
      </c>
      <c r="H539" t="str">
        <f>UPPER(TEXT(Tabela_DB[[#This Row],[DATA]],"aaaa"))</f>
        <v>2021</v>
      </c>
    </row>
    <row r="540" spans="1:8" x14ac:dyDescent="0.25">
      <c r="A540" s="2">
        <v>44227</v>
      </c>
      <c r="B540" t="s">
        <v>77</v>
      </c>
      <c r="C540">
        <v>-1050</v>
      </c>
      <c r="D540" t="str">
        <f>VLOOKUP(B540,Tabela_Auxiliar[],2,0)</f>
        <v>4. Despesas Operacionais</v>
      </c>
      <c r="E540" t="str">
        <f>VLOOKUP(B540,Tabela_Auxiliar[],4,0)</f>
        <v>Serviços Contratados</v>
      </c>
      <c r="F540" t="str">
        <f>VLOOKUP(B540,Tabela_Auxiliar[],3,0)</f>
        <v>Saída</v>
      </c>
      <c r="G540" t="str">
        <f>UPPER(TEXT(Tabela_DB[[#This Row],[DATA]],"mmm"))</f>
        <v>JAN</v>
      </c>
      <c r="H540" t="str">
        <f>UPPER(TEXT(Tabela_DB[[#This Row],[DATA]],"aaaa"))</f>
        <v>2021</v>
      </c>
    </row>
    <row r="541" spans="1:8" x14ac:dyDescent="0.25">
      <c r="A541" s="2">
        <v>44227</v>
      </c>
      <c r="B541" t="s">
        <v>34</v>
      </c>
      <c r="C541">
        <v>-1221</v>
      </c>
      <c r="D541" t="str">
        <f>VLOOKUP(B541,Tabela_Auxiliar[],2,0)</f>
        <v>2. Deduções da Receita</v>
      </c>
      <c r="E541" t="str">
        <f>VLOOKUP(B541,Tabela_Auxiliar[],4,0)</f>
        <v>Imposto</v>
      </c>
      <c r="F541" t="str">
        <f>VLOOKUP(B541,Tabela_Auxiliar[],3,0)</f>
        <v>Saída</v>
      </c>
      <c r="G541" t="str">
        <f>UPPER(TEXT(Tabela_DB[[#This Row],[DATA]],"mmm"))</f>
        <v>JAN</v>
      </c>
      <c r="H541" t="str">
        <f>UPPER(TEXT(Tabela_DB[[#This Row],[DATA]],"aaaa"))</f>
        <v>2021</v>
      </c>
    </row>
    <row r="542" spans="1:8" x14ac:dyDescent="0.25">
      <c r="A542" s="2">
        <v>44227</v>
      </c>
      <c r="B542" t="s">
        <v>35</v>
      </c>
      <c r="C542">
        <v>-2406</v>
      </c>
      <c r="D542" t="str">
        <f>VLOOKUP(B542,Tabela_Auxiliar[],2,0)</f>
        <v>2. Deduções da Receita</v>
      </c>
      <c r="E542" t="str">
        <f>VLOOKUP(B542,Tabela_Auxiliar[],4,0)</f>
        <v>Imposto</v>
      </c>
      <c r="F542" t="str">
        <f>VLOOKUP(B542,Tabela_Auxiliar[],3,0)</f>
        <v>Saída</v>
      </c>
      <c r="G542" t="str">
        <f>UPPER(TEXT(Tabela_DB[[#This Row],[DATA]],"mmm"))</f>
        <v>JAN</v>
      </c>
      <c r="H542" t="str">
        <f>UPPER(TEXT(Tabela_DB[[#This Row],[DATA]],"aaaa"))</f>
        <v>2021</v>
      </c>
    </row>
    <row r="543" spans="1:8" x14ac:dyDescent="0.25">
      <c r="A543" s="2">
        <v>44227</v>
      </c>
      <c r="B543" t="s">
        <v>34</v>
      </c>
      <c r="C543">
        <v>-1697</v>
      </c>
      <c r="D543" t="str">
        <f>VLOOKUP(B543,Tabela_Auxiliar[],2,0)</f>
        <v>2. Deduções da Receita</v>
      </c>
      <c r="E543" t="str">
        <f>VLOOKUP(B543,Tabela_Auxiliar[],4,0)</f>
        <v>Imposto</v>
      </c>
      <c r="F543" t="str">
        <f>VLOOKUP(B543,Tabela_Auxiliar[],3,0)</f>
        <v>Saída</v>
      </c>
      <c r="G543" t="str">
        <f>UPPER(TEXT(Tabela_DB[[#This Row],[DATA]],"mmm"))</f>
        <v>JAN</v>
      </c>
      <c r="H543" t="str">
        <f>UPPER(TEXT(Tabela_DB[[#This Row],[DATA]],"aaaa"))</f>
        <v>2021</v>
      </c>
    </row>
    <row r="544" spans="1:8" x14ac:dyDescent="0.25">
      <c r="A544" s="2">
        <v>44227</v>
      </c>
      <c r="B544" t="s">
        <v>37</v>
      </c>
      <c r="C544">
        <v>-3007</v>
      </c>
      <c r="D544" t="str">
        <f>VLOOKUP(B544,Tabela_Auxiliar[],2,0)</f>
        <v>3. Custos do Produto/Mercadoria/Serviço</v>
      </c>
      <c r="E544" t="str">
        <f>VLOOKUP(B544,Tabela_Auxiliar[],4,0)</f>
        <v>Despesas c/ Produto</v>
      </c>
      <c r="F544" t="str">
        <f>VLOOKUP(B544,Tabela_Auxiliar[],3,0)</f>
        <v>Saída</v>
      </c>
      <c r="G544" t="str">
        <f>UPPER(TEXT(Tabela_DB[[#This Row],[DATA]],"mmm"))</f>
        <v>JAN</v>
      </c>
      <c r="H544" t="str">
        <f>UPPER(TEXT(Tabela_DB[[#This Row],[DATA]],"aaaa"))</f>
        <v>2021</v>
      </c>
    </row>
    <row r="545" spans="1:8" x14ac:dyDescent="0.25">
      <c r="A545" s="2">
        <v>44227</v>
      </c>
      <c r="B545" t="s">
        <v>37</v>
      </c>
      <c r="C545">
        <v>-3624</v>
      </c>
      <c r="D545" t="str">
        <f>VLOOKUP(B545,Tabela_Auxiliar[],2,0)</f>
        <v>3. Custos do Produto/Mercadoria/Serviço</v>
      </c>
      <c r="E545" t="str">
        <f>VLOOKUP(B545,Tabela_Auxiliar[],4,0)</f>
        <v>Despesas c/ Produto</v>
      </c>
      <c r="F545" t="str">
        <f>VLOOKUP(B545,Tabela_Auxiliar[],3,0)</f>
        <v>Saída</v>
      </c>
      <c r="G545" t="str">
        <f>UPPER(TEXT(Tabela_DB[[#This Row],[DATA]],"mmm"))</f>
        <v>JAN</v>
      </c>
      <c r="H545" t="str">
        <f>UPPER(TEXT(Tabela_DB[[#This Row],[DATA]],"aaaa"))</f>
        <v>2021</v>
      </c>
    </row>
    <row r="546" spans="1:8" x14ac:dyDescent="0.25">
      <c r="A546" s="2">
        <v>44227</v>
      </c>
      <c r="B546" t="s">
        <v>4</v>
      </c>
      <c r="C546">
        <v>14544</v>
      </c>
      <c r="D546" t="str">
        <f>VLOOKUP(B546,Tabela_Auxiliar[],2,0)</f>
        <v>1. Receita Operacional Bruta</v>
      </c>
      <c r="E546" t="str">
        <f>VLOOKUP(B546,Tabela_Auxiliar[],4,0)</f>
        <v>Receita Bruta</v>
      </c>
      <c r="F546" t="str">
        <f>VLOOKUP(B546,Tabela_Auxiliar[],3,0)</f>
        <v>Entrada</v>
      </c>
      <c r="G546" t="str">
        <f>UPPER(TEXT(Tabela_DB[[#This Row],[DATA]],"mmm"))</f>
        <v>JAN</v>
      </c>
      <c r="H546" t="str">
        <f>UPPER(TEXT(Tabela_DB[[#This Row],[DATA]],"aaaa"))</f>
        <v>2021</v>
      </c>
    </row>
    <row r="547" spans="1:8" x14ac:dyDescent="0.25">
      <c r="A547" s="2">
        <v>44227</v>
      </c>
      <c r="B547" t="s">
        <v>3</v>
      </c>
      <c r="C547">
        <v>10186</v>
      </c>
      <c r="D547" t="str">
        <f>VLOOKUP(B547,Tabela_Auxiliar[],2,0)</f>
        <v>1. Receita Operacional Bruta</v>
      </c>
      <c r="E547" t="str">
        <f>VLOOKUP(B547,Tabela_Auxiliar[],4,0)</f>
        <v>Receita Bruta</v>
      </c>
      <c r="F547" t="str">
        <f>VLOOKUP(B547,Tabela_Auxiliar[],3,0)</f>
        <v>Entrada</v>
      </c>
      <c r="G547" t="str">
        <f>UPPER(TEXT(Tabela_DB[[#This Row],[DATA]],"mmm"))</f>
        <v>JAN</v>
      </c>
      <c r="H547" t="str">
        <f>UPPER(TEXT(Tabela_DB[[#This Row],[DATA]],"aaaa"))</f>
        <v>2021</v>
      </c>
    </row>
    <row r="548" spans="1:8" x14ac:dyDescent="0.25">
      <c r="A548" s="2">
        <v>44227</v>
      </c>
      <c r="B548" t="s">
        <v>37</v>
      </c>
      <c r="C548">
        <v>-4673</v>
      </c>
      <c r="D548" t="str">
        <f>VLOOKUP(B548,Tabela_Auxiliar[],2,0)</f>
        <v>3. Custos do Produto/Mercadoria/Serviço</v>
      </c>
      <c r="E548" t="str">
        <f>VLOOKUP(B548,Tabela_Auxiliar[],4,0)</f>
        <v>Despesas c/ Produto</v>
      </c>
      <c r="F548" t="str">
        <f>VLOOKUP(B548,Tabela_Auxiliar[],3,0)</f>
        <v>Saída</v>
      </c>
      <c r="G548" t="str">
        <f>UPPER(TEXT(Tabela_DB[[#This Row],[DATA]],"mmm"))</f>
        <v>JAN</v>
      </c>
      <c r="H548" t="str">
        <f>UPPER(TEXT(Tabela_DB[[#This Row],[DATA]],"aaaa"))</f>
        <v>2021</v>
      </c>
    </row>
    <row r="549" spans="1:8" x14ac:dyDescent="0.25">
      <c r="A549" s="2">
        <v>44227</v>
      </c>
      <c r="B549" t="s">
        <v>111</v>
      </c>
      <c r="C549">
        <v>-1463</v>
      </c>
      <c r="D549" t="str">
        <f>VLOOKUP(B549,Tabela_Auxiliar[],2,0)</f>
        <v>2. Deduções da Receita</v>
      </c>
      <c r="E549" t="str">
        <f>VLOOKUP(B549,Tabela_Auxiliar[],4,0)</f>
        <v>Imposto</v>
      </c>
      <c r="F549" t="str">
        <f>VLOOKUP(B549,Tabela_Auxiliar[],3,0)</f>
        <v>Saída</v>
      </c>
      <c r="G549" t="str">
        <f>UPPER(TEXT(Tabela_DB[[#This Row],[DATA]],"mmm"))</f>
        <v>JAN</v>
      </c>
      <c r="H549" t="str">
        <f>UPPER(TEXT(Tabela_DB[[#This Row],[DATA]],"aaaa"))</f>
        <v>2021</v>
      </c>
    </row>
    <row r="550" spans="1:8" x14ac:dyDescent="0.25">
      <c r="A550" s="2">
        <v>44227</v>
      </c>
      <c r="B550" t="s">
        <v>57</v>
      </c>
      <c r="C550">
        <v>-1060</v>
      </c>
      <c r="D550" t="str">
        <f>VLOOKUP(B550,Tabela_Auxiliar[],2,0)</f>
        <v>4. Despesas Operacionais</v>
      </c>
      <c r="E550" t="str">
        <f>VLOOKUP(B550,Tabela_Auxiliar[],4,0)</f>
        <v>Despesa com Pessoal</v>
      </c>
      <c r="F550" t="str">
        <f>VLOOKUP(B550,Tabela_Auxiliar[],3,0)</f>
        <v>Saída</v>
      </c>
      <c r="G550" t="str">
        <f>UPPER(TEXT(Tabela_DB[[#This Row],[DATA]],"mmm"))</f>
        <v>JAN</v>
      </c>
      <c r="H550" t="str">
        <f>UPPER(TEXT(Tabela_DB[[#This Row],[DATA]],"aaaa"))</f>
        <v>2021</v>
      </c>
    </row>
    <row r="551" spans="1:8" x14ac:dyDescent="0.25">
      <c r="A551" s="2">
        <v>44227</v>
      </c>
      <c r="B551" t="s">
        <v>4</v>
      </c>
      <c r="C551">
        <v>10411</v>
      </c>
      <c r="D551" t="str">
        <f>VLOOKUP(B551,Tabela_Auxiliar[],2,0)</f>
        <v>1. Receita Operacional Bruta</v>
      </c>
      <c r="E551" t="str">
        <f>VLOOKUP(B551,Tabela_Auxiliar[],4,0)</f>
        <v>Receita Bruta</v>
      </c>
      <c r="F551" t="str">
        <f>VLOOKUP(B551,Tabela_Auxiliar[],3,0)</f>
        <v>Entrada</v>
      </c>
      <c r="G551" t="str">
        <f>UPPER(TEXT(Tabela_DB[[#This Row],[DATA]],"mmm"))</f>
        <v>JAN</v>
      </c>
      <c r="H551" t="str">
        <f>UPPER(TEXT(Tabela_DB[[#This Row],[DATA]],"aaaa"))</f>
        <v>2021</v>
      </c>
    </row>
    <row r="552" spans="1:8" x14ac:dyDescent="0.25">
      <c r="A552" s="2">
        <v>44227</v>
      </c>
      <c r="B552" t="s">
        <v>38</v>
      </c>
      <c r="C552">
        <v>-1868</v>
      </c>
      <c r="D552" t="str">
        <f>VLOOKUP(B552,Tabela_Auxiliar[],2,0)</f>
        <v>2. Deduções da Receita</v>
      </c>
      <c r="E552" t="str">
        <f>VLOOKUP(B552,Tabela_Auxiliar[],4,0)</f>
        <v>Deduções</v>
      </c>
      <c r="F552" t="str">
        <f>VLOOKUP(B552,Tabela_Auxiliar[],3,0)</f>
        <v>Saída</v>
      </c>
      <c r="G552" t="str">
        <f>UPPER(TEXT(Tabela_DB[[#This Row],[DATA]],"mmm"))</f>
        <v>JAN</v>
      </c>
      <c r="H552" t="str">
        <f>UPPER(TEXT(Tabela_DB[[#This Row],[DATA]],"aaaa"))</f>
        <v>2021</v>
      </c>
    </row>
    <row r="553" spans="1:8" x14ac:dyDescent="0.25">
      <c r="A553" s="2">
        <v>44227</v>
      </c>
      <c r="B553" t="s">
        <v>8</v>
      </c>
      <c r="C553">
        <v>-1867</v>
      </c>
      <c r="D553" t="str">
        <f>VLOOKUP(B553,Tabela_Auxiliar[],2,0)</f>
        <v>4. Despesas Operacionais</v>
      </c>
      <c r="E553" t="str">
        <f>VLOOKUP(B553,Tabela_Auxiliar[],4,0)</f>
        <v>Despesa com Pessoal</v>
      </c>
      <c r="F553" t="str">
        <f>VLOOKUP(B553,Tabela_Auxiliar[],3,0)</f>
        <v>Saída</v>
      </c>
      <c r="G553" t="str">
        <f>UPPER(TEXT(Tabela_DB[[#This Row],[DATA]],"mmm"))</f>
        <v>JAN</v>
      </c>
      <c r="H553" t="str">
        <f>UPPER(TEXT(Tabela_DB[[#This Row],[DATA]],"aaaa"))</f>
        <v>2021</v>
      </c>
    </row>
    <row r="554" spans="1:8" x14ac:dyDescent="0.25">
      <c r="A554" s="2">
        <v>44227</v>
      </c>
      <c r="B554" t="s">
        <v>38</v>
      </c>
      <c r="C554">
        <v>-2332</v>
      </c>
      <c r="D554" t="str">
        <f>VLOOKUP(B554,Tabela_Auxiliar[],2,0)</f>
        <v>2. Deduções da Receita</v>
      </c>
      <c r="E554" t="str">
        <f>VLOOKUP(B554,Tabela_Auxiliar[],4,0)</f>
        <v>Deduções</v>
      </c>
      <c r="F554" t="str">
        <f>VLOOKUP(B554,Tabela_Auxiliar[],3,0)</f>
        <v>Saída</v>
      </c>
      <c r="G554" t="str">
        <f>UPPER(TEXT(Tabela_DB[[#This Row],[DATA]],"mmm"))</f>
        <v>JAN</v>
      </c>
      <c r="H554" t="str">
        <f>UPPER(TEXT(Tabela_DB[[#This Row],[DATA]],"aaaa"))</f>
        <v>2021</v>
      </c>
    </row>
    <row r="555" spans="1:8" x14ac:dyDescent="0.25">
      <c r="A555" s="2">
        <v>44227</v>
      </c>
      <c r="B555" t="s">
        <v>38</v>
      </c>
      <c r="C555">
        <v>-1837</v>
      </c>
      <c r="D555" t="str">
        <f>VLOOKUP(B555,Tabela_Auxiliar[],2,0)</f>
        <v>2. Deduções da Receita</v>
      </c>
      <c r="E555" t="str">
        <f>VLOOKUP(B555,Tabela_Auxiliar[],4,0)</f>
        <v>Deduções</v>
      </c>
      <c r="F555" t="str">
        <f>VLOOKUP(B555,Tabela_Auxiliar[],3,0)</f>
        <v>Saída</v>
      </c>
      <c r="G555" t="str">
        <f>UPPER(TEXT(Tabela_DB[[#This Row],[DATA]],"mmm"))</f>
        <v>JAN</v>
      </c>
      <c r="H555" t="str">
        <f>UPPER(TEXT(Tabela_DB[[#This Row],[DATA]],"aaaa"))</f>
        <v>2021</v>
      </c>
    </row>
    <row r="556" spans="1:8" x14ac:dyDescent="0.25">
      <c r="A556" s="2">
        <v>44227</v>
      </c>
      <c r="B556" t="s">
        <v>35</v>
      </c>
      <c r="C556">
        <v>-1347</v>
      </c>
      <c r="D556" t="str">
        <f>VLOOKUP(B556,Tabela_Auxiliar[],2,0)</f>
        <v>2. Deduções da Receita</v>
      </c>
      <c r="E556" t="str">
        <f>VLOOKUP(B556,Tabela_Auxiliar[],4,0)</f>
        <v>Imposto</v>
      </c>
      <c r="F556" t="str">
        <f>VLOOKUP(B556,Tabela_Auxiliar[],3,0)</f>
        <v>Saída</v>
      </c>
      <c r="G556" t="str">
        <f>UPPER(TEXT(Tabela_DB[[#This Row],[DATA]],"mmm"))</f>
        <v>JAN</v>
      </c>
      <c r="H556" t="str">
        <f>UPPER(TEXT(Tabela_DB[[#This Row],[DATA]],"aaaa"))</f>
        <v>2021</v>
      </c>
    </row>
    <row r="557" spans="1:8" x14ac:dyDescent="0.25">
      <c r="A557" s="2">
        <v>44227</v>
      </c>
      <c r="B557" t="s">
        <v>46</v>
      </c>
      <c r="C557">
        <v>-1480</v>
      </c>
      <c r="D557" t="str">
        <f>VLOOKUP(B557,Tabela_Auxiliar[],2,0)</f>
        <v>4. Despesas Operacionais</v>
      </c>
      <c r="E557" t="str">
        <f>VLOOKUP(B557,Tabela_Auxiliar[],4,0)</f>
        <v>Despesa com Pessoal</v>
      </c>
      <c r="F557" t="str">
        <f>VLOOKUP(B557,Tabela_Auxiliar[],3,0)</f>
        <v>Saída</v>
      </c>
      <c r="G557" t="str">
        <f>UPPER(TEXT(Tabela_DB[[#This Row],[DATA]],"mmm"))</f>
        <v>JAN</v>
      </c>
      <c r="H557" t="str">
        <f>UPPER(TEXT(Tabela_DB[[#This Row],[DATA]],"aaaa"))</f>
        <v>2021</v>
      </c>
    </row>
    <row r="558" spans="1:8" x14ac:dyDescent="0.25">
      <c r="A558" s="2">
        <v>44228</v>
      </c>
      <c r="B558" t="s">
        <v>38</v>
      </c>
      <c r="C558">
        <v>-2133</v>
      </c>
      <c r="D558" t="str">
        <f>VLOOKUP(B558,Tabela_Auxiliar[],2,0)</f>
        <v>2. Deduções da Receita</v>
      </c>
      <c r="E558" t="str">
        <f>VLOOKUP(B558,Tabela_Auxiliar[],4,0)</f>
        <v>Deduções</v>
      </c>
      <c r="F558" t="str">
        <f>VLOOKUP(B558,Tabela_Auxiliar[],3,0)</f>
        <v>Saída</v>
      </c>
      <c r="G558" t="str">
        <f>UPPER(TEXT(Tabela_DB[[#This Row],[DATA]],"mmm"))</f>
        <v>FEV</v>
      </c>
      <c r="H558" t="str">
        <f>UPPER(TEXT(Tabela_DB[[#This Row],[DATA]],"aaaa"))</f>
        <v>2021</v>
      </c>
    </row>
    <row r="559" spans="1:8" x14ac:dyDescent="0.25">
      <c r="A559" s="2">
        <v>44228</v>
      </c>
      <c r="B559" t="s">
        <v>49</v>
      </c>
      <c r="C559">
        <v>-1315</v>
      </c>
      <c r="D559" t="str">
        <f>VLOOKUP(B559,Tabela_Auxiliar[],2,0)</f>
        <v>4. Despesas Operacionais</v>
      </c>
      <c r="E559" t="str">
        <f>VLOOKUP(B559,Tabela_Auxiliar[],4,0)</f>
        <v>Despesa com Pessoal</v>
      </c>
      <c r="F559" t="str">
        <f>VLOOKUP(B559,Tabela_Auxiliar[],3,0)</f>
        <v>Saída</v>
      </c>
      <c r="G559" t="str">
        <f>UPPER(TEXT(Tabela_DB[[#This Row],[DATA]],"mmm"))</f>
        <v>FEV</v>
      </c>
      <c r="H559" t="str">
        <f>UPPER(TEXT(Tabela_DB[[#This Row],[DATA]],"aaaa"))</f>
        <v>2021</v>
      </c>
    </row>
    <row r="560" spans="1:8" x14ac:dyDescent="0.25">
      <c r="A560" s="2">
        <v>44228</v>
      </c>
      <c r="B560" t="s">
        <v>3</v>
      </c>
      <c r="C560">
        <v>12021</v>
      </c>
      <c r="D560" t="str">
        <f>VLOOKUP(B560,Tabela_Auxiliar[],2,0)</f>
        <v>1. Receita Operacional Bruta</v>
      </c>
      <c r="E560" t="str">
        <f>VLOOKUP(B560,Tabela_Auxiliar[],4,0)</f>
        <v>Receita Bruta</v>
      </c>
      <c r="F560" t="str">
        <f>VLOOKUP(B560,Tabela_Auxiliar[],3,0)</f>
        <v>Entrada</v>
      </c>
      <c r="G560" t="str">
        <f>UPPER(TEXT(Tabela_DB[[#This Row],[DATA]],"mmm"))</f>
        <v>FEV</v>
      </c>
      <c r="H560" t="str">
        <f>UPPER(TEXT(Tabela_DB[[#This Row],[DATA]],"aaaa"))</f>
        <v>2021</v>
      </c>
    </row>
    <row r="561" spans="1:8" x14ac:dyDescent="0.25">
      <c r="A561" s="2">
        <v>44228</v>
      </c>
      <c r="B561" t="s">
        <v>34</v>
      </c>
      <c r="C561">
        <v>-2338</v>
      </c>
      <c r="D561" t="str">
        <f>VLOOKUP(B561,Tabela_Auxiliar[],2,0)</f>
        <v>2. Deduções da Receita</v>
      </c>
      <c r="E561" t="str">
        <f>VLOOKUP(B561,Tabela_Auxiliar[],4,0)</f>
        <v>Imposto</v>
      </c>
      <c r="F561" t="str">
        <f>VLOOKUP(B561,Tabela_Auxiliar[],3,0)</f>
        <v>Saída</v>
      </c>
      <c r="G561" t="str">
        <f>UPPER(TEXT(Tabela_DB[[#This Row],[DATA]],"mmm"))</f>
        <v>FEV</v>
      </c>
      <c r="H561" t="str">
        <f>UPPER(TEXT(Tabela_DB[[#This Row],[DATA]],"aaaa"))</f>
        <v>2021</v>
      </c>
    </row>
    <row r="562" spans="1:8" x14ac:dyDescent="0.25">
      <c r="A562" s="2">
        <v>44228</v>
      </c>
      <c r="B562" t="s">
        <v>38</v>
      </c>
      <c r="C562">
        <v>-1457</v>
      </c>
      <c r="D562" t="str">
        <f>VLOOKUP(B562,Tabela_Auxiliar[],2,0)</f>
        <v>2. Deduções da Receita</v>
      </c>
      <c r="E562" t="str">
        <f>VLOOKUP(B562,Tabela_Auxiliar[],4,0)</f>
        <v>Deduções</v>
      </c>
      <c r="F562" t="str">
        <f>VLOOKUP(B562,Tabela_Auxiliar[],3,0)</f>
        <v>Saída</v>
      </c>
      <c r="G562" t="str">
        <f>UPPER(TEXT(Tabela_DB[[#This Row],[DATA]],"mmm"))</f>
        <v>FEV</v>
      </c>
      <c r="H562" t="str">
        <f>UPPER(TEXT(Tabela_DB[[#This Row],[DATA]],"aaaa"))</f>
        <v>2021</v>
      </c>
    </row>
    <row r="563" spans="1:8" x14ac:dyDescent="0.25">
      <c r="A563" s="2">
        <v>44228</v>
      </c>
      <c r="B563" t="s">
        <v>37</v>
      </c>
      <c r="C563">
        <v>-4324</v>
      </c>
      <c r="D563" t="str">
        <f>VLOOKUP(B563,Tabela_Auxiliar[],2,0)</f>
        <v>3. Custos do Produto/Mercadoria/Serviço</v>
      </c>
      <c r="E563" t="str">
        <f>VLOOKUP(B563,Tabela_Auxiliar[],4,0)</f>
        <v>Despesas c/ Produto</v>
      </c>
      <c r="F563" t="str">
        <f>VLOOKUP(B563,Tabela_Auxiliar[],3,0)</f>
        <v>Saída</v>
      </c>
      <c r="G563" t="str">
        <f>UPPER(TEXT(Tabela_DB[[#This Row],[DATA]],"mmm"))</f>
        <v>FEV</v>
      </c>
      <c r="H563" t="str">
        <f>UPPER(TEXT(Tabela_DB[[#This Row],[DATA]],"aaaa"))</f>
        <v>2021</v>
      </c>
    </row>
    <row r="564" spans="1:8" x14ac:dyDescent="0.25">
      <c r="A564" s="2">
        <v>44228</v>
      </c>
      <c r="B564" t="s">
        <v>35</v>
      </c>
      <c r="C564">
        <v>-2453</v>
      </c>
      <c r="D564" t="str">
        <f>VLOOKUP(B564,Tabela_Auxiliar[],2,0)</f>
        <v>2. Deduções da Receita</v>
      </c>
      <c r="E564" t="str">
        <f>VLOOKUP(B564,Tabela_Auxiliar[],4,0)</f>
        <v>Imposto</v>
      </c>
      <c r="F564" t="str">
        <f>VLOOKUP(B564,Tabela_Auxiliar[],3,0)</f>
        <v>Saída</v>
      </c>
      <c r="G564" t="str">
        <f>UPPER(TEXT(Tabela_DB[[#This Row],[DATA]],"mmm"))</f>
        <v>FEV</v>
      </c>
      <c r="H564" t="str">
        <f>UPPER(TEXT(Tabela_DB[[#This Row],[DATA]],"aaaa"))</f>
        <v>2021</v>
      </c>
    </row>
    <row r="565" spans="1:8" x14ac:dyDescent="0.25">
      <c r="A565" s="2">
        <v>44228</v>
      </c>
      <c r="B565" t="s">
        <v>43</v>
      </c>
      <c r="C565">
        <v>-1803</v>
      </c>
      <c r="D565" t="str">
        <f>VLOOKUP(B565,Tabela_Auxiliar[],2,0)</f>
        <v>4. Despesas Operacionais</v>
      </c>
      <c r="E565" t="str">
        <f>VLOOKUP(B565,Tabela_Auxiliar[],4,0)</f>
        <v>Despesa com Pessoal</v>
      </c>
      <c r="F565" t="str">
        <f>VLOOKUP(B565,Tabela_Auxiliar[],3,0)</f>
        <v>Saída</v>
      </c>
      <c r="G565" t="str">
        <f>UPPER(TEXT(Tabela_DB[[#This Row],[DATA]],"mmm"))</f>
        <v>FEV</v>
      </c>
      <c r="H565" t="str">
        <f>UPPER(TEXT(Tabela_DB[[#This Row],[DATA]],"aaaa"))</f>
        <v>2021</v>
      </c>
    </row>
    <row r="566" spans="1:8" x14ac:dyDescent="0.25">
      <c r="A566" s="2">
        <v>44228</v>
      </c>
      <c r="B566" t="s">
        <v>49</v>
      </c>
      <c r="C566">
        <v>-1796</v>
      </c>
      <c r="D566" t="str">
        <f>VLOOKUP(B566,Tabela_Auxiliar[],2,0)</f>
        <v>4. Despesas Operacionais</v>
      </c>
      <c r="E566" t="str">
        <f>VLOOKUP(B566,Tabela_Auxiliar[],4,0)</f>
        <v>Despesa com Pessoal</v>
      </c>
      <c r="F566" t="str">
        <f>VLOOKUP(B566,Tabela_Auxiliar[],3,0)</f>
        <v>Saída</v>
      </c>
      <c r="G566" t="str">
        <f>UPPER(TEXT(Tabela_DB[[#This Row],[DATA]],"mmm"))</f>
        <v>FEV</v>
      </c>
      <c r="H566" t="str">
        <f>UPPER(TEXT(Tabela_DB[[#This Row],[DATA]],"aaaa"))</f>
        <v>2021</v>
      </c>
    </row>
    <row r="567" spans="1:8" x14ac:dyDescent="0.25">
      <c r="A567" s="2">
        <v>44228</v>
      </c>
      <c r="B567" t="s">
        <v>37</v>
      </c>
      <c r="C567">
        <v>-2878</v>
      </c>
      <c r="D567" t="str">
        <f>VLOOKUP(B567,Tabela_Auxiliar[],2,0)</f>
        <v>3. Custos do Produto/Mercadoria/Serviço</v>
      </c>
      <c r="E567" t="str">
        <f>VLOOKUP(B567,Tabela_Auxiliar[],4,0)</f>
        <v>Despesas c/ Produto</v>
      </c>
      <c r="F567" t="str">
        <f>VLOOKUP(B567,Tabela_Auxiliar[],3,0)</f>
        <v>Saída</v>
      </c>
      <c r="G567" t="str">
        <f>UPPER(TEXT(Tabela_DB[[#This Row],[DATA]],"mmm"))</f>
        <v>FEV</v>
      </c>
      <c r="H567" t="str">
        <f>UPPER(TEXT(Tabela_DB[[#This Row],[DATA]],"aaaa"))</f>
        <v>2021</v>
      </c>
    </row>
    <row r="568" spans="1:8" x14ac:dyDescent="0.25">
      <c r="A568" s="2">
        <v>44228</v>
      </c>
      <c r="B568" t="s">
        <v>34</v>
      </c>
      <c r="C568">
        <v>-1786</v>
      </c>
      <c r="D568" t="str">
        <f>VLOOKUP(B568,Tabela_Auxiliar[],2,0)</f>
        <v>2. Deduções da Receita</v>
      </c>
      <c r="E568" t="str">
        <f>VLOOKUP(B568,Tabela_Auxiliar[],4,0)</f>
        <v>Imposto</v>
      </c>
      <c r="F568" t="str">
        <f>VLOOKUP(B568,Tabela_Auxiliar[],3,0)</f>
        <v>Saída</v>
      </c>
      <c r="G568" t="str">
        <f>UPPER(TEXT(Tabela_DB[[#This Row],[DATA]],"mmm"))</f>
        <v>FEV</v>
      </c>
      <c r="H568" t="str">
        <f>UPPER(TEXT(Tabela_DB[[#This Row],[DATA]],"aaaa"))</f>
        <v>2021</v>
      </c>
    </row>
    <row r="569" spans="1:8" x14ac:dyDescent="0.25">
      <c r="A569" s="2">
        <v>44228</v>
      </c>
      <c r="B569" t="s">
        <v>38</v>
      </c>
      <c r="C569">
        <v>-2449</v>
      </c>
      <c r="D569" t="str">
        <f>VLOOKUP(B569,Tabela_Auxiliar[],2,0)</f>
        <v>2. Deduções da Receita</v>
      </c>
      <c r="E569" t="str">
        <f>VLOOKUP(B569,Tabela_Auxiliar[],4,0)</f>
        <v>Deduções</v>
      </c>
      <c r="F569" t="str">
        <f>VLOOKUP(B569,Tabela_Auxiliar[],3,0)</f>
        <v>Saída</v>
      </c>
      <c r="G569" t="str">
        <f>UPPER(TEXT(Tabela_DB[[#This Row],[DATA]],"mmm"))</f>
        <v>FEV</v>
      </c>
      <c r="H569" t="str">
        <f>UPPER(TEXT(Tabela_DB[[#This Row],[DATA]],"aaaa"))</f>
        <v>2021</v>
      </c>
    </row>
    <row r="570" spans="1:8" x14ac:dyDescent="0.25">
      <c r="A570" s="2">
        <v>44228</v>
      </c>
      <c r="B570" t="s">
        <v>37</v>
      </c>
      <c r="C570">
        <v>-2589</v>
      </c>
      <c r="D570" t="str">
        <f>VLOOKUP(B570,Tabela_Auxiliar[],2,0)</f>
        <v>3. Custos do Produto/Mercadoria/Serviço</v>
      </c>
      <c r="E570" t="str">
        <f>VLOOKUP(B570,Tabela_Auxiliar[],4,0)</f>
        <v>Despesas c/ Produto</v>
      </c>
      <c r="F570" t="str">
        <f>VLOOKUP(B570,Tabela_Auxiliar[],3,0)</f>
        <v>Saída</v>
      </c>
      <c r="G570" t="str">
        <f>UPPER(TEXT(Tabela_DB[[#This Row],[DATA]],"mmm"))</f>
        <v>FEV</v>
      </c>
      <c r="H570" t="str">
        <f>UPPER(TEXT(Tabela_DB[[#This Row],[DATA]],"aaaa"))</f>
        <v>2021</v>
      </c>
    </row>
    <row r="571" spans="1:8" x14ac:dyDescent="0.25">
      <c r="A571" s="2">
        <v>44228</v>
      </c>
      <c r="B571" t="s">
        <v>3</v>
      </c>
      <c r="C571">
        <v>14291</v>
      </c>
      <c r="D571" t="str">
        <f>VLOOKUP(B571,Tabela_Auxiliar[],2,0)</f>
        <v>1. Receita Operacional Bruta</v>
      </c>
      <c r="E571" t="str">
        <f>VLOOKUP(B571,Tabela_Auxiliar[],4,0)</f>
        <v>Receita Bruta</v>
      </c>
      <c r="F571" t="str">
        <f>VLOOKUP(B571,Tabela_Auxiliar[],3,0)</f>
        <v>Entrada</v>
      </c>
      <c r="G571" t="str">
        <f>UPPER(TEXT(Tabela_DB[[#This Row],[DATA]],"mmm"))</f>
        <v>FEV</v>
      </c>
      <c r="H571" t="str">
        <f>UPPER(TEXT(Tabela_DB[[#This Row],[DATA]],"aaaa"))</f>
        <v>2021</v>
      </c>
    </row>
    <row r="572" spans="1:8" x14ac:dyDescent="0.25">
      <c r="A572" s="2">
        <v>44228</v>
      </c>
      <c r="B572" t="s">
        <v>85</v>
      </c>
      <c r="C572">
        <v>-2444</v>
      </c>
      <c r="D572" t="str">
        <f>VLOOKUP(B572,Tabela_Auxiliar[],2,0)</f>
        <v>4. Despesas Operacionais</v>
      </c>
      <c r="E572" t="str">
        <f>VLOOKUP(B572,Tabela_Auxiliar[],4,0)</f>
        <v>Despesa com Veículos</v>
      </c>
      <c r="F572" t="str">
        <f>VLOOKUP(B572,Tabela_Auxiliar[],3,0)</f>
        <v>Saída</v>
      </c>
      <c r="G572" t="str">
        <f>UPPER(TEXT(Tabela_DB[[#This Row],[DATA]],"mmm"))</f>
        <v>FEV</v>
      </c>
      <c r="H572" t="str">
        <f>UPPER(TEXT(Tabela_DB[[#This Row],[DATA]],"aaaa"))</f>
        <v>2021</v>
      </c>
    </row>
    <row r="573" spans="1:8" x14ac:dyDescent="0.25">
      <c r="A573" s="2">
        <v>44228</v>
      </c>
      <c r="B573" t="s">
        <v>8</v>
      </c>
      <c r="C573">
        <v>-1887</v>
      </c>
      <c r="D573" t="str">
        <f>VLOOKUP(B573,Tabela_Auxiliar[],2,0)</f>
        <v>4. Despesas Operacionais</v>
      </c>
      <c r="E573" t="str">
        <f>VLOOKUP(B573,Tabela_Auxiliar[],4,0)</f>
        <v>Despesa com Pessoal</v>
      </c>
      <c r="F573" t="str">
        <f>VLOOKUP(B573,Tabela_Auxiliar[],3,0)</f>
        <v>Saída</v>
      </c>
      <c r="G573" t="str">
        <f>UPPER(TEXT(Tabela_DB[[#This Row],[DATA]],"mmm"))</f>
        <v>FEV</v>
      </c>
      <c r="H573" t="str">
        <f>UPPER(TEXT(Tabela_DB[[#This Row],[DATA]],"aaaa"))</f>
        <v>2021</v>
      </c>
    </row>
    <row r="574" spans="1:8" x14ac:dyDescent="0.25">
      <c r="A574" s="2">
        <v>44228</v>
      </c>
      <c r="B574" t="s">
        <v>84</v>
      </c>
      <c r="C574">
        <v>-1946</v>
      </c>
      <c r="D574" t="str">
        <f>VLOOKUP(B574,Tabela_Auxiliar[],2,0)</f>
        <v>4. Despesas Operacionais</v>
      </c>
      <c r="E574" t="str">
        <f>VLOOKUP(B574,Tabela_Auxiliar[],4,0)</f>
        <v>Despesa com Veículos</v>
      </c>
      <c r="F574" t="str">
        <f>VLOOKUP(B574,Tabela_Auxiliar[],3,0)</f>
        <v>Saída</v>
      </c>
      <c r="G574" t="str">
        <f>UPPER(TEXT(Tabela_DB[[#This Row],[DATA]],"mmm"))</f>
        <v>FEV</v>
      </c>
      <c r="H574" t="str">
        <f>UPPER(TEXT(Tabela_DB[[#This Row],[DATA]],"aaaa"))</f>
        <v>2021</v>
      </c>
    </row>
    <row r="575" spans="1:8" x14ac:dyDescent="0.25">
      <c r="A575" s="2">
        <v>44228</v>
      </c>
      <c r="B575" t="s">
        <v>35</v>
      </c>
      <c r="C575">
        <v>-1941</v>
      </c>
      <c r="D575" t="str">
        <f>VLOOKUP(B575,Tabela_Auxiliar[],2,0)</f>
        <v>2. Deduções da Receita</v>
      </c>
      <c r="E575" t="str">
        <f>VLOOKUP(B575,Tabela_Auxiliar[],4,0)</f>
        <v>Imposto</v>
      </c>
      <c r="F575" t="str">
        <f>VLOOKUP(B575,Tabela_Auxiliar[],3,0)</f>
        <v>Saída</v>
      </c>
      <c r="G575" t="str">
        <f>UPPER(TEXT(Tabela_DB[[#This Row],[DATA]],"mmm"))</f>
        <v>FEV</v>
      </c>
      <c r="H575" t="str">
        <f>UPPER(TEXT(Tabela_DB[[#This Row],[DATA]],"aaaa"))</f>
        <v>2021</v>
      </c>
    </row>
    <row r="576" spans="1:8" x14ac:dyDescent="0.25">
      <c r="A576" s="2">
        <v>44228</v>
      </c>
      <c r="B576" t="s">
        <v>4</v>
      </c>
      <c r="C576">
        <v>10557</v>
      </c>
      <c r="D576" t="str">
        <f>VLOOKUP(B576,Tabela_Auxiliar[],2,0)</f>
        <v>1. Receita Operacional Bruta</v>
      </c>
      <c r="E576" t="str">
        <f>VLOOKUP(B576,Tabela_Auxiliar[],4,0)</f>
        <v>Receita Bruta</v>
      </c>
      <c r="F576" t="str">
        <f>VLOOKUP(B576,Tabela_Auxiliar[],3,0)</f>
        <v>Entrada</v>
      </c>
      <c r="G576" t="str">
        <f>UPPER(TEXT(Tabela_DB[[#This Row],[DATA]],"mmm"))</f>
        <v>FEV</v>
      </c>
      <c r="H576" t="str">
        <f>UPPER(TEXT(Tabela_DB[[#This Row],[DATA]],"aaaa"))</f>
        <v>2021</v>
      </c>
    </row>
    <row r="577" spans="1:8" x14ac:dyDescent="0.25">
      <c r="A577" s="2">
        <v>44228</v>
      </c>
      <c r="B577" t="s">
        <v>3</v>
      </c>
      <c r="C577">
        <v>13411</v>
      </c>
      <c r="D577" t="str">
        <f>VLOOKUP(B577,Tabela_Auxiliar[],2,0)</f>
        <v>1. Receita Operacional Bruta</v>
      </c>
      <c r="E577" t="str">
        <f>VLOOKUP(B577,Tabela_Auxiliar[],4,0)</f>
        <v>Receita Bruta</v>
      </c>
      <c r="F577" t="str">
        <f>VLOOKUP(B577,Tabela_Auxiliar[],3,0)</f>
        <v>Entrada</v>
      </c>
      <c r="G577" t="str">
        <f>UPPER(TEXT(Tabela_DB[[#This Row],[DATA]],"mmm"))</f>
        <v>FEV</v>
      </c>
      <c r="H577" t="str">
        <f>UPPER(TEXT(Tabela_DB[[#This Row],[DATA]],"aaaa"))</f>
        <v>2021</v>
      </c>
    </row>
    <row r="578" spans="1:8" x14ac:dyDescent="0.25">
      <c r="A578" s="2">
        <v>44228</v>
      </c>
      <c r="B578" t="s">
        <v>4</v>
      </c>
      <c r="C578">
        <v>12638</v>
      </c>
      <c r="D578" t="str">
        <f>VLOOKUP(B578,Tabela_Auxiliar[],2,0)</f>
        <v>1. Receita Operacional Bruta</v>
      </c>
      <c r="E578" t="str">
        <f>VLOOKUP(B578,Tabela_Auxiliar[],4,0)</f>
        <v>Receita Bruta</v>
      </c>
      <c r="F578" t="str">
        <f>VLOOKUP(B578,Tabela_Auxiliar[],3,0)</f>
        <v>Entrada</v>
      </c>
      <c r="G578" t="str">
        <f>UPPER(TEXT(Tabela_DB[[#This Row],[DATA]],"mmm"))</f>
        <v>FEV</v>
      </c>
      <c r="H578" t="str">
        <f>UPPER(TEXT(Tabela_DB[[#This Row],[DATA]],"aaaa"))</f>
        <v>2021</v>
      </c>
    </row>
    <row r="579" spans="1:8" x14ac:dyDescent="0.25">
      <c r="A579" s="2">
        <v>44228</v>
      </c>
      <c r="B579" t="s">
        <v>31</v>
      </c>
      <c r="C579">
        <v>-1182</v>
      </c>
      <c r="D579" t="str">
        <f>VLOOKUP(B579,Tabela_Auxiliar[],2,0)</f>
        <v>5. Resultado Financeiro</v>
      </c>
      <c r="E579" t="str">
        <f>VLOOKUP(B579,Tabela_Auxiliar[],4,0)</f>
        <v>Participação nos resultados</v>
      </c>
      <c r="F579" t="str">
        <f>VLOOKUP(B579,Tabela_Auxiliar[],3,0)</f>
        <v>Saída</v>
      </c>
      <c r="G579" t="str">
        <f>UPPER(TEXT(Tabela_DB[[#This Row],[DATA]],"mmm"))</f>
        <v>FEV</v>
      </c>
      <c r="H579" t="str">
        <f>UPPER(TEXT(Tabela_DB[[#This Row],[DATA]],"aaaa"))</f>
        <v>2021</v>
      </c>
    </row>
    <row r="580" spans="1:8" x14ac:dyDescent="0.25">
      <c r="A580" s="2">
        <v>44228</v>
      </c>
      <c r="B580" t="s">
        <v>35</v>
      </c>
      <c r="C580">
        <v>-2151</v>
      </c>
      <c r="D580" t="str">
        <f>VLOOKUP(B580,Tabela_Auxiliar[],2,0)</f>
        <v>2. Deduções da Receita</v>
      </c>
      <c r="E580" t="str">
        <f>VLOOKUP(B580,Tabela_Auxiliar[],4,0)</f>
        <v>Imposto</v>
      </c>
      <c r="F580" t="str">
        <f>VLOOKUP(B580,Tabela_Auxiliar[],3,0)</f>
        <v>Saída</v>
      </c>
      <c r="G580" t="str">
        <f>UPPER(TEXT(Tabela_DB[[#This Row],[DATA]],"mmm"))</f>
        <v>FEV</v>
      </c>
      <c r="H580" t="str">
        <f>UPPER(TEXT(Tabela_DB[[#This Row],[DATA]],"aaaa"))</f>
        <v>2021</v>
      </c>
    </row>
    <row r="581" spans="1:8" x14ac:dyDescent="0.25">
      <c r="A581" s="2">
        <v>44228</v>
      </c>
      <c r="B581" t="s">
        <v>37</v>
      </c>
      <c r="C581">
        <v>-3494</v>
      </c>
      <c r="D581" t="str">
        <f>VLOOKUP(B581,Tabela_Auxiliar[],2,0)</f>
        <v>3. Custos do Produto/Mercadoria/Serviço</v>
      </c>
      <c r="E581" t="str">
        <f>VLOOKUP(B581,Tabela_Auxiliar[],4,0)</f>
        <v>Despesas c/ Produto</v>
      </c>
      <c r="F581" t="str">
        <f>VLOOKUP(B581,Tabela_Auxiliar[],3,0)</f>
        <v>Saída</v>
      </c>
      <c r="G581" t="str">
        <f>UPPER(TEXT(Tabela_DB[[#This Row],[DATA]],"mmm"))</f>
        <v>FEV</v>
      </c>
      <c r="H581" t="str">
        <f>UPPER(TEXT(Tabela_DB[[#This Row],[DATA]],"aaaa"))</f>
        <v>2021</v>
      </c>
    </row>
    <row r="582" spans="1:8" x14ac:dyDescent="0.25">
      <c r="A582" s="2">
        <v>44229</v>
      </c>
      <c r="B582" t="s">
        <v>111</v>
      </c>
      <c r="C582">
        <v>-1613</v>
      </c>
      <c r="D582" t="str">
        <f>VLOOKUP(B582,Tabela_Auxiliar[],2,0)</f>
        <v>2. Deduções da Receita</v>
      </c>
      <c r="E582" t="str">
        <f>VLOOKUP(B582,Tabela_Auxiliar[],4,0)</f>
        <v>Imposto</v>
      </c>
      <c r="F582" t="str">
        <f>VLOOKUP(B582,Tabela_Auxiliar[],3,0)</f>
        <v>Saída</v>
      </c>
      <c r="G582" t="str">
        <f>UPPER(TEXT(Tabela_DB[[#This Row],[DATA]],"mmm"))</f>
        <v>FEV</v>
      </c>
      <c r="H582" t="str">
        <f>UPPER(TEXT(Tabela_DB[[#This Row],[DATA]],"aaaa"))</f>
        <v>2021</v>
      </c>
    </row>
    <row r="583" spans="1:8" x14ac:dyDescent="0.25">
      <c r="A583" s="2">
        <v>44229</v>
      </c>
      <c r="B583" t="s">
        <v>38</v>
      </c>
      <c r="C583">
        <v>-2047</v>
      </c>
      <c r="D583" t="str">
        <f>VLOOKUP(B583,Tabela_Auxiliar[],2,0)</f>
        <v>2. Deduções da Receita</v>
      </c>
      <c r="E583" t="str">
        <f>VLOOKUP(B583,Tabela_Auxiliar[],4,0)</f>
        <v>Deduções</v>
      </c>
      <c r="F583" t="str">
        <f>VLOOKUP(B583,Tabela_Auxiliar[],3,0)</f>
        <v>Saída</v>
      </c>
      <c r="G583" t="str">
        <f>UPPER(TEXT(Tabela_DB[[#This Row],[DATA]],"mmm"))</f>
        <v>FEV</v>
      </c>
      <c r="H583" t="str">
        <f>UPPER(TEXT(Tabela_DB[[#This Row],[DATA]],"aaaa"))</f>
        <v>2021</v>
      </c>
    </row>
    <row r="584" spans="1:8" x14ac:dyDescent="0.25">
      <c r="A584" s="2">
        <v>44229</v>
      </c>
      <c r="B584" t="s">
        <v>34</v>
      </c>
      <c r="C584">
        <v>-1921</v>
      </c>
      <c r="D584" t="str">
        <f>VLOOKUP(B584,Tabela_Auxiliar[],2,0)</f>
        <v>2. Deduções da Receita</v>
      </c>
      <c r="E584" t="str">
        <f>VLOOKUP(B584,Tabela_Auxiliar[],4,0)</f>
        <v>Imposto</v>
      </c>
      <c r="F584" t="str">
        <f>VLOOKUP(B584,Tabela_Auxiliar[],3,0)</f>
        <v>Saída</v>
      </c>
      <c r="G584" t="str">
        <f>UPPER(TEXT(Tabela_DB[[#This Row],[DATA]],"mmm"))</f>
        <v>FEV</v>
      </c>
      <c r="H584" t="str">
        <f>UPPER(TEXT(Tabela_DB[[#This Row],[DATA]],"aaaa"))</f>
        <v>2021</v>
      </c>
    </row>
    <row r="585" spans="1:8" x14ac:dyDescent="0.25">
      <c r="A585" s="2">
        <v>44229</v>
      </c>
      <c r="B585" t="s">
        <v>58</v>
      </c>
      <c r="C585">
        <v>-2065</v>
      </c>
      <c r="D585" t="str">
        <f>VLOOKUP(B585,Tabela_Auxiliar[],2,0)</f>
        <v>4. Despesas Operacionais</v>
      </c>
      <c r="E585" t="str">
        <f>VLOOKUP(B585,Tabela_Auxiliar[],4,0)</f>
        <v>Despesa de Depreciação</v>
      </c>
      <c r="F585" t="str">
        <f>VLOOKUP(B585,Tabela_Auxiliar[],3,0)</f>
        <v>Saída</v>
      </c>
      <c r="G585" t="str">
        <f>UPPER(TEXT(Tabela_DB[[#This Row],[DATA]],"mmm"))</f>
        <v>FEV</v>
      </c>
      <c r="H585" t="str">
        <f>UPPER(TEXT(Tabela_DB[[#This Row],[DATA]],"aaaa"))</f>
        <v>2021</v>
      </c>
    </row>
    <row r="586" spans="1:8" x14ac:dyDescent="0.25">
      <c r="A586" s="2">
        <v>44229</v>
      </c>
      <c r="B586" t="s">
        <v>4</v>
      </c>
      <c r="C586">
        <v>11986</v>
      </c>
      <c r="D586" t="str">
        <f>VLOOKUP(B586,Tabela_Auxiliar[],2,0)</f>
        <v>1. Receita Operacional Bruta</v>
      </c>
      <c r="E586" t="str">
        <f>VLOOKUP(B586,Tabela_Auxiliar[],4,0)</f>
        <v>Receita Bruta</v>
      </c>
      <c r="F586" t="str">
        <f>VLOOKUP(B586,Tabela_Auxiliar[],3,0)</f>
        <v>Entrada</v>
      </c>
      <c r="G586" t="str">
        <f>UPPER(TEXT(Tabela_DB[[#This Row],[DATA]],"mmm"))</f>
        <v>FEV</v>
      </c>
      <c r="H586" t="str">
        <f>UPPER(TEXT(Tabela_DB[[#This Row],[DATA]],"aaaa"))</f>
        <v>2021</v>
      </c>
    </row>
    <row r="587" spans="1:8" x14ac:dyDescent="0.25">
      <c r="A587" s="2">
        <v>44229</v>
      </c>
      <c r="B587" t="s">
        <v>34</v>
      </c>
      <c r="C587">
        <v>-1435</v>
      </c>
      <c r="D587" t="str">
        <f>VLOOKUP(B587,Tabela_Auxiliar[],2,0)</f>
        <v>2. Deduções da Receita</v>
      </c>
      <c r="E587" t="str">
        <f>VLOOKUP(B587,Tabela_Auxiliar[],4,0)</f>
        <v>Imposto</v>
      </c>
      <c r="F587" t="str">
        <f>VLOOKUP(B587,Tabela_Auxiliar[],3,0)</f>
        <v>Saída</v>
      </c>
      <c r="G587" t="str">
        <f>UPPER(TEXT(Tabela_DB[[#This Row],[DATA]],"mmm"))</f>
        <v>FEV</v>
      </c>
      <c r="H587" t="str">
        <f>UPPER(TEXT(Tabela_DB[[#This Row],[DATA]],"aaaa"))</f>
        <v>2021</v>
      </c>
    </row>
    <row r="588" spans="1:8" x14ac:dyDescent="0.25">
      <c r="A588" s="2">
        <v>44229</v>
      </c>
      <c r="B588" t="s">
        <v>51</v>
      </c>
      <c r="C588">
        <v>-1498</v>
      </c>
      <c r="D588" t="str">
        <f>VLOOKUP(B588,Tabela_Auxiliar[],2,0)</f>
        <v>4. Despesas Operacionais</v>
      </c>
      <c r="E588" t="str">
        <f>VLOOKUP(B588,Tabela_Auxiliar[],4,0)</f>
        <v>Despesa com Pessoal</v>
      </c>
      <c r="F588" t="str">
        <f>VLOOKUP(B588,Tabela_Auxiliar[],3,0)</f>
        <v>Saída</v>
      </c>
      <c r="G588" t="str">
        <f>UPPER(TEXT(Tabela_DB[[#This Row],[DATA]],"mmm"))</f>
        <v>FEV</v>
      </c>
      <c r="H588" t="str">
        <f>UPPER(TEXT(Tabela_DB[[#This Row],[DATA]],"aaaa"))</f>
        <v>2021</v>
      </c>
    </row>
    <row r="589" spans="1:8" x14ac:dyDescent="0.25">
      <c r="A589" s="2">
        <v>44229</v>
      </c>
      <c r="B589" t="s">
        <v>33</v>
      </c>
      <c r="C589">
        <v>-1498</v>
      </c>
      <c r="D589" t="str">
        <f>VLOOKUP(B589,Tabela_Auxiliar[],2,0)</f>
        <v>4. Despesas Operacionais</v>
      </c>
      <c r="E589" t="str">
        <f>VLOOKUP(B589,Tabela_Auxiliar[],4,0)</f>
        <v>Despesa com Vendas</v>
      </c>
      <c r="F589" t="str">
        <f>VLOOKUP(B589,Tabela_Auxiliar[],3,0)</f>
        <v>Saída</v>
      </c>
      <c r="G589" t="str">
        <f>UPPER(TEXT(Tabela_DB[[#This Row],[DATA]],"mmm"))</f>
        <v>FEV</v>
      </c>
      <c r="H589" t="str">
        <f>UPPER(TEXT(Tabela_DB[[#This Row],[DATA]],"aaaa"))</f>
        <v>2021</v>
      </c>
    </row>
    <row r="590" spans="1:8" x14ac:dyDescent="0.25">
      <c r="A590" s="2">
        <v>44229</v>
      </c>
      <c r="B590" t="s">
        <v>66</v>
      </c>
      <c r="C590">
        <v>-1357</v>
      </c>
      <c r="D590" t="str">
        <f>VLOOKUP(B590,Tabela_Auxiliar[],2,0)</f>
        <v>4. Despesas Operacionais</v>
      </c>
      <c r="E590" t="str">
        <f>VLOOKUP(B590,Tabela_Auxiliar[],4,0)</f>
        <v>Despesa com Vendas</v>
      </c>
      <c r="F590" t="str">
        <f>VLOOKUP(B590,Tabela_Auxiliar[],3,0)</f>
        <v>Saída</v>
      </c>
      <c r="G590" t="str">
        <f>UPPER(TEXT(Tabela_DB[[#This Row],[DATA]],"mmm"))</f>
        <v>FEV</v>
      </c>
      <c r="H590" t="str">
        <f>UPPER(TEXT(Tabela_DB[[#This Row],[DATA]],"aaaa"))</f>
        <v>2021</v>
      </c>
    </row>
    <row r="591" spans="1:8" x14ac:dyDescent="0.25">
      <c r="A591" s="2">
        <v>44229</v>
      </c>
      <c r="B591" t="s">
        <v>38</v>
      </c>
      <c r="C591">
        <v>-1195</v>
      </c>
      <c r="D591" t="str">
        <f>VLOOKUP(B591,Tabela_Auxiliar[],2,0)</f>
        <v>2. Deduções da Receita</v>
      </c>
      <c r="E591" t="str">
        <f>VLOOKUP(B591,Tabela_Auxiliar[],4,0)</f>
        <v>Deduções</v>
      </c>
      <c r="F591" t="str">
        <f>VLOOKUP(B591,Tabela_Auxiliar[],3,0)</f>
        <v>Saída</v>
      </c>
      <c r="G591" t="str">
        <f>UPPER(TEXT(Tabela_DB[[#This Row],[DATA]],"mmm"))</f>
        <v>FEV</v>
      </c>
      <c r="H591" t="str">
        <f>UPPER(TEXT(Tabela_DB[[#This Row],[DATA]],"aaaa"))</f>
        <v>2021</v>
      </c>
    </row>
    <row r="592" spans="1:8" x14ac:dyDescent="0.25">
      <c r="A592" s="2">
        <v>44229</v>
      </c>
      <c r="B592" t="s">
        <v>111</v>
      </c>
      <c r="C592">
        <v>-1282</v>
      </c>
      <c r="D592" t="str">
        <f>VLOOKUP(B592,Tabela_Auxiliar[],2,0)</f>
        <v>2. Deduções da Receita</v>
      </c>
      <c r="E592" t="str">
        <f>VLOOKUP(B592,Tabela_Auxiliar[],4,0)</f>
        <v>Imposto</v>
      </c>
      <c r="F592" t="str">
        <f>VLOOKUP(B592,Tabela_Auxiliar[],3,0)</f>
        <v>Saída</v>
      </c>
      <c r="G592" t="str">
        <f>UPPER(TEXT(Tabela_DB[[#This Row],[DATA]],"mmm"))</f>
        <v>FEV</v>
      </c>
      <c r="H592" t="str">
        <f>UPPER(TEXT(Tabela_DB[[#This Row],[DATA]],"aaaa"))</f>
        <v>2021</v>
      </c>
    </row>
    <row r="593" spans="1:8" x14ac:dyDescent="0.25">
      <c r="A593" s="2">
        <v>44229</v>
      </c>
      <c r="B593" t="s">
        <v>38</v>
      </c>
      <c r="C593">
        <v>-2489</v>
      </c>
      <c r="D593" t="str">
        <f>VLOOKUP(B593,Tabela_Auxiliar[],2,0)</f>
        <v>2. Deduções da Receita</v>
      </c>
      <c r="E593" t="str">
        <f>VLOOKUP(B593,Tabela_Auxiliar[],4,0)</f>
        <v>Deduções</v>
      </c>
      <c r="F593" t="str">
        <f>VLOOKUP(B593,Tabela_Auxiliar[],3,0)</f>
        <v>Saída</v>
      </c>
      <c r="G593" t="str">
        <f>UPPER(TEXT(Tabela_DB[[#This Row],[DATA]],"mmm"))</f>
        <v>FEV</v>
      </c>
      <c r="H593" t="str">
        <f>UPPER(TEXT(Tabela_DB[[#This Row],[DATA]],"aaaa"))</f>
        <v>2021</v>
      </c>
    </row>
    <row r="594" spans="1:8" x14ac:dyDescent="0.25">
      <c r="A594" s="2">
        <v>44229</v>
      </c>
      <c r="B594" t="s">
        <v>62</v>
      </c>
      <c r="C594">
        <v>-1865</v>
      </c>
      <c r="D594" t="str">
        <f>VLOOKUP(B594,Tabela_Auxiliar[],2,0)</f>
        <v>4. Despesas Operacionais</v>
      </c>
      <c r="E594" t="str">
        <f>VLOOKUP(B594,Tabela_Auxiliar[],4,0)</f>
        <v>Despesa Gerais</v>
      </c>
      <c r="F594" t="str">
        <f>VLOOKUP(B594,Tabela_Auxiliar[],3,0)</f>
        <v>Saída</v>
      </c>
      <c r="G594" t="str">
        <f>UPPER(TEXT(Tabela_DB[[#This Row],[DATA]],"mmm"))</f>
        <v>FEV</v>
      </c>
      <c r="H594" t="str">
        <f>UPPER(TEXT(Tabela_DB[[#This Row],[DATA]],"aaaa"))</f>
        <v>2021</v>
      </c>
    </row>
    <row r="595" spans="1:8" x14ac:dyDescent="0.25">
      <c r="A595" s="2">
        <v>44229</v>
      </c>
      <c r="B595" t="s">
        <v>111</v>
      </c>
      <c r="C595">
        <v>-2397</v>
      </c>
      <c r="D595" t="str">
        <f>VLOOKUP(B595,Tabela_Auxiliar[],2,0)</f>
        <v>2. Deduções da Receita</v>
      </c>
      <c r="E595" t="str">
        <f>VLOOKUP(B595,Tabela_Auxiliar[],4,0)</f>
        <v>Imposto</v>
      </c>
      <c r="F595" t="str">
        <f>VLOOKUP(B595,Tabela_Auxiliar[],3,0)</f>
        <v>Saída</v>
      </c>
      <c r="G595" t="str">
        <f>UPPER(TEXT(Tabela_DB[[#This Row],[DATA]],"mmm"))</f>
        <v>FEV</v>
      </c>
      <c r="H595" t="str">
        <f>UPPER(TEXT(Tabela_DB[[#This Row],[DATA]],"aaaa"))</f>
        <v>2021</v>
      </c>
    </row>
    <row r="596" spans="1:8" x14ac:dyDescent="0.25">
      <c r="A596" s="2">
        <v>44229</v>
      </c>
      <c r="B596" t="s">
        <v>37</v>
      </c>
      <c r="C596">
        <v>-3899</v>
      </c>
      <c r="D596" t="str">
        <f>VLOOKUP(B596,Tabela_Auxiliar[],2,0)</f>
        <v>3. Custos do Produto/Mercadoria/Serviço</v>
      </c>
      <c r="E596" t="str">
        <f>VLOOKUP(B596,Tabela_Auxiliar[],4,0)</f>
        <v>Despesas c/ Produto</v>
      </c>
      <c r="F596" t="str">
        <f>VLOOKUP(B596,Tabela_Auxiliar[],3,0)</f>
        <v>Saída</v>
      </c>
      <c r="G596" t="str">
        <f>UPPER(TEXT(Tabela_DB[[#This Row],[DATA]],"mmm"))</f>
        <v>FEV</v>
      </c>
      <c r="H596" t="str">
        <f>UPPER(TEXT(Tabela_DB[[#This Row],[DATA]],"aaaa"))</f>
        <v>2021</v>
      </c>
    </row>
    <row r="597" spans="1:8" x14ac:dyDescent="0.25">
      <c r="A597" s="2">
        <v>44229</v>
      </c>
      <c r="B597" t="s">
        <v>3</v>
      </c>
      <c r="C597">
        <v>10030</v>
      </c>
      <c r="D597" t="str">
        <f>VLOOKUP(B597,Tabela_Auxiliar[],2,0)</f>
        <v>1. Receita Operacional Bruta</v>
      </c>
      <c r="E597" t="str">
        <f>VLOOKUP(B597,Tabela_Auxiliar[],4,0)</f>
        <v>Receita Bruta</v>
      </c>
      <c r="F597" t="str">
        <f>VLOOKUP(B597,Tabela_Auxiliar[],3,0)</f>
        <v>Entrada</v>
      </c>
      <c r="G597" t="str">
        <f>UPPER(TEXT(Tabela_DB[[#This Row],[DATA]],"mmm"))</f>
        <v>FEV</v>
      </c>
      <c r="H597" t="str">
        <f>UPPER(TEXT(Tabela_DB[[#This Row],[DATA]],"aaaa"))</f>
        <v>2021</v>
      </c>
    </row>
    <row r="598" spans="1:8" x14ac:dyDescent="0.25">
      <c r="A598" s="2">
        <v>44230</v>
      </c>
      <c r="B598" t="s">
        <v>37</v>
      </c>
      <c r="C598">
        <v>-4156</v>
      </c>
      <c r="D598" t="str">
        <f>VLOOKUP(B598,Tabela_Auxiliar[],2,0)</f>
        <v>3. Custos do Produto/Mercadoria/Serviço</v>
      </c>
      <c r="E598" t="str">
        <f>VLOOKUP(B598,Tabela_Auxiliar[],4,0)</f>
        <v>Despesas c/ Produto</v>
      </c>
      <c r="F598" t="str">
        <f>VLOOKUP(B598,Tabela_Auxiliar[],3,0)</f>
        <v>Saída</v>
      </c>
      <c r="G598" t="str">
        <f>UPPER(TEXT(Tabela_DB[[#This Row],[DATA]],"mmm"))</f>
        <v>FEV</v>
      </c>
      <c r="H598" t="str">
        <f>UPPER(TEXT(Tabela_DB[[#This Row],[DATA]],"aaaa"))</f>
        <v>2021</v>
      </c>
    </row>
    <row r="599" spans="1:8" x14ac:dyDescent="0.25">
      <c r="A599" s="2">
        <v>44230</v>
      </c>
      <c r="B599" t="s">
        <v>79</v>
      </c>
      <c r="C599">
        <v>-1961</v>
      </c>
      <c r="D599" t="str">
        <f>VLOOKUP(B599,Tabela_Auxiliar[],2,0)</f>
        <v>4. Despesas Operacionais</v>
      </c>
      <c r="E599" t="str">
        <f>VLOOKUP(B599,Tabela_Auxiliar[],4,0)</f>
        <v>Serviços Contratados</v>
      </c>
      <c r="F599" t="str">
        <f>VLOOKUP(B599,Tabela_Auxiliar[],3,0)</f>
        <v>Saída</v>
      </c>
      <c r="G599" t="str">
        <f>UPPER(TEXT(Tabela_DB[[#This Row],[DATA]],"mmm"))</f>
        <v>FEV</v>
      </c>
      <c r="H599" t="str">
        <f>UPPER(TEXT(Tabela_DB[[#This Row],[DATA]],"aaaa"))</f>
        <v>2021</v>
      </c>
    </row>
    <row r="600" spans="1:8" x14ac:dyDescent="0.25">
      <c r="A600" s="2">
        <v>44230</v>
      </c>
      <c r="B600" t="s">
        <v>111</v>
      </c>
      <c r="C600">
        <v>-1738</v>
      </c>
      <c r="D600" t="str">
        <f>VLOOKUP(B600,Tabela_Auxiliar[],2,0)</f>
        <v>2. Deduções da Receita</v>
      </c>
      <c r="E600" t="str">
        <f>VLOOKUP(B600,Tabela_Auxiliar[],4,0)</f>
        <v>Imposto</v>
      </c>
      <c r="F600" t="str">
        <f>VLOOKUP(B600,Tabela_Auxiliar[],3,0)</f>
        <v>Saída</v>
      </c>
      <c r="G600" t="str">
        <f>UPPER(TEXT(Tabela_DB[[#This Row],[DATA]],"mmm"))</f>
        <v>FEV</v>
      </c>
      <c r="H600" t="str">
        <f>UPPER(TEXT(Tabela_DB[[#This Row],[DATA]],"aaaa"))</f>
        <v>2021</v>
      </c>
    </row>
    <row r="601" spans="1:8" x14ac:dyDescent="0.25">
      <c r="A601" s="2">
        <v>44230</v>
      </c>
      <c r="B601" t="s">
        <v>37</v>
      </c>
      <c r="C601">
        <v>-4566</v>
      </c>
      <c r="D601" t="str">
        <f>VLOOKUP(B601,Tabela_Auxiliar[],2,0)</f>
        <v>3. Custos do Produto/Mercadoria/Serviço</v>
      </c>
      <c r="E601" t="str">
        <f>VLOOKUP(B601,Tabela_Auxiliar[],4,0)</f>
        <v>Despesas c/ Produto</v>
      </c>
      <c r="F601" t="str">
        <f>VLOOKUP(B601,Tabela_Auxiliar[],3,0)</f>
        <v>Saída</v>
      </c>
      <c r="G601" t="str">
        <f>UPPER(TEXT(Tabela_DB[[#This Row],[DATA]],"mmm"))</f>
        <v>FEV</v>
      </c>
      <c r="H601" t="str">
        <f>UPPER(TEXT(Tabela_DB[[#This Row],[DATA]],"aaaa"))</f>
        <v>2021</v>
      </c>
    </row>
    <row r="602" spans="1:8" x14ac:dyDescent="0.25">
      <c r="A602" s="2">
        <v>44230</v>
      </c>
      <c r="B602" t="s">
        <v>37</v>
      </c>
      <c r="C602">
        <v>-2631</v>
      </c>
      <c r="D602" t="str">
        <f>VLOOKUP(B602,Tabela_Auxiliar[],2,0)</f>
        <v>3. Custos do Produto/Mercadoria/Serviço</v>
      </c>
      <c r="E602" t="str">
        <f>VLOOKUP(B602,Tabela_Auxiliar[],4,0)</f>
        <v>Despesas c/ Produto</v>
      </c>
      <c r="F602" t="str">
        <f>VLOOKUP(B602,Tabela_Auxiliar[],3,0)</f>
        <v>Saída</v>
      </c>
      <c r="G602" t="str">
        <f>UPPER(TEXT(Tabela_DB[[#This Row],[DATA]],"mmm"))</f>
        <v>FEV</v>
      </c>
      <c r="H602" t="str">
        <f>UPPER(TEXT(Tabela_DB[[#This Row],[DATA]],"aaaa"))</f>
        <v>2021</v>
      </c>
    </row>
    <row r="603" spans="1:8" x14ac:dyDescent="0.25">
      <c r="A603" s="2">
        <v>44230</v>
      </c>
      <c r="B603" t="s">
        <v>45</v>
      </c>
      <c r="C603">
        <v>-2129</v>
      </c>
      <c r="D603" t="str">
        <f>VLOOKUP(B603,Tabela_Auxiliar[],2,0)</f>
        <v>4. Despesas Operacionais</v>
      </c>
      <c r="E603" t="str">
        <f>VLOOKUP(B603,Tabela_Auxiliar[],4,0)</f>
        <v>Despesa com Pessoal</v>
      </c>
      <c r="F603" t="str">
        <f>VLOOKUP(B603,Tabela_Auxiliar[],3,0)</f>
        <v>Saída</v>
      </c>
      <c r="G603" t="str">
        <f>UPPER(TEXT(Tabela_DB[[#This Row],[DATA]],"mmm"))</f>
        <v>FEV</v>
      </c>
      <c r="H603" t="str">
        <f>UPPER(TEXT(Tabela_DB[[#This Row],[DATA]],"aaaa"))</f>
        <v>2021</v>
      </c>
    </row>
    <row r="604" spans="1:8" x14ac:dyDescent="0.25">
      <c r="A604" s="2">
        <v>44230</v>
      </c>
      <c r="B604" t="s">
        <v>42</v>
      </c>
      <c r="C604">
        <v>-2083</v>
      </c>
      <c r="D604" t="str">
        <f>VLOOKUP(B604,Tabela_Auxiliar[],2,0)</f>
        <v>4. Despesas Operacionais</v>
      </c>
      <c r="E604" t="str">
        <f>VLOOKUP(B604,Tabela_Auxiliar[],4,0)</f>
        <v>Despesa com Pessoal</v>
      </c>
      <c r="F604" t="str">
        <f>VLOOKUP(B604,Tabela_Auxiliar[],3,0)</f>
        <v>Saída</v>
      </c>
      <c r="G604" t="str">
        <f>UPPER(TEXT(Tabela_DB[[#This Row],[DATA]],"mmm"))</f>
        <v>FEV</v>
      </c>
      <c r="H604" t="str">
        <f>UPPER(TEXT(Tabela_DB[[#This Row],[DATA]],"aaaa"))</f>
        <v>2021</v>
      </c>
    </row>
    <row r="605" spans="1:8" x14ac:dyDescent="0.25">
      <c r="A605" s="2">
        <v>44230</v>
      </c>
      <c r="B605" t="s">
        <v>3</v>
      </c>
      <c r="C605">
        <v>12361</v>
      </c>
      <c r="D605" t="str">
        <f>VLOOKUP(B605,Tabela_Auxiliar[],2,0)</f>
        <v>1. Receita Operacional Bruta</v>
      </c>
      <c r="E605" t="str">
        <f>VLOOKUP(B605,Tabela_Auxiliar[],4,0)</f>
        <v>Receita Bruta</v>
      </c>
      <c r="F605" t="str">
        <f>VLOOKUP(B605,Tabela_Auxiliar[],3,0)</f>
        <v>Entrada</v>
      </c>
      <c r="G605" t="str">
        <f>UPPER(TEXT(Tabela_DB[[#This Row],[DATA]],"mmm"))</f>
        <v>FEV</v>
      </c>
      <c r="H605" t="str">
        <f>UPPER(TEXT(Tabela_DB[[#This Row],[DATA]],"aaaa"))</f>
        <v>2021</v>
      </c>
    </row>
    <row r="606" spans="1:8" x14ac:dyDescent="0.25">
      <c r="A606" s="2">
        <v>44230</v>
      </c>
      <c r="B606" t="s">
        <v>3</v>
      </c>
      <c r="C606">
        <v>12705</v>
      </c>
      <c r="D606" t="str">
        <f>VLOOKUP(B606,Tabela_Auxiliar[],2,0)</f>
        <v>1. Receita Operacional Bruta</v>
      </c>
      <c r="E606" t="str">
        <f>VLOOKUP(B606,Tabela_Auxiliar[],4,0)</f>
        <v>Receita Bruta</v>
      </c>
      <c r="F606" t="str">
        <f>VLOOKUP(B606,Tabela_Auxiliar[],3,0)</f>
        <v>Entrada</v>
      </c>
      <c r="G606" t="str">
        <f>UPPER(TEXT(Tabela_DB[[#This Row],[DATA]],"mmm"))</f>
        <v>FEV</v>
      </c>
      <c r="H606" t="str">
        <f>UPPER(TEXT(Tabela_DB[[#This Row],[DATA]],"aaaa"))</f>
        <v>2021</v>
      </c>
    </row>
    <row r="607" spans="1:8" x14ac:dyDescent="0.25">
      <c r="A607" s="2">
        <v>44230</v>
      </c>
      <c r="B607" t="s">
        <v>3</v>
      </c>
      <c r="C607">
        <v>10741</v>
      </c>
      <c r="D607" t="str">
        <f>VLOOKUP(B607,Tabela_Auxiliar[],2,0)</f>
        <v>1. Receita Operacional Bruta</v>
      </c>
      <c r="E607" t="str">
        <f>VLOOKUP(B607,Tabela_Auxiliar[],4,0)</f>
        <v>Receita Bruta</v>
      </c>
      <c r="F607" t="str">
        <f>VLOOKUP(B607,Tabela_Auxiliar[],3,0)</f>
        <v>Entrada</v>
      </c>
      <c r="G607" t="str">
        <f>UPPER(TEXT(Tabela_DB[[#This Row],[DATA]],"mmm"))</f>
        <v>FEV</v>
      </c>
      <c r="H607" t="str">
        <f>UPPER(TEXT(Tabela_DB[[#This Row],[DATA]],"aaaa"))</f>
        <v>2021</v>
      </c>
    </row>
    <row r="608" spans="1:8" x14ac:dyDescent="0.25">
      <c r="A608" s="2">
        <v>44230</v>
      </c>
      <c r="B608" t="s">
        <v>4</v>
      </c>
      <c r="C608">
        <v>13384</v>
      </c>
      <c r="D608" t="str">
        <f>VLOOKUP(B608,Tabela_Auxiliar[],2,0)</f>
        <v>1. Receita Operacional Bruta</v>
      </c>
      <c r="E608" t="str">
        <f>VLOOKUP(B608,Tabela_Auxiliar[],4,0)</f>
        <v>Receita Bruta</v>
      </c>
      <c r="F608" t="str">
        <f>VLOOKUP(B608,Tabela_Auxiliar[],3,0)</f>
        <v>Entrada</v>
      </c>
      <c r="G608" t="str">
        <f>UPPER(TEXT(Tabela_DB[[#This Row],[DATA]],"mmm"))</f>
        <v>FEV</v>
      </c>
      <c r="H608" t="str">
        <f>UPPER(TEXT(Tabela_DB[[#This Row],[DATA]],"aaaa"))</f>
        <v>2021</v>
      </c>
    </row>
    <row r="609" spans="1:8" x14ac:dyDescent="0.25">
      <c r="A609" s="2">
        <v>44230</v>
      </c>
      <c r="B609" t="s">
        <v>59</v>
      </c>
      <c r="C609">
        <v>-2083</v>
      </c>
      <c r="D609" t="str">
        <f>VLOOKUP(B609,Tabela_Auxiliar[],2,0)</f>
        <v>4. Despesas Operacionais</v>
      </c>
      <c r="E609" t="str">
        <f>VLOOKUP(B609,Tabela_Auxiliar[],4,0)</f>
        <v>Despesa de Depreciação</v>
      </c>
      <c r="F609" t="str">
        <f>VLOOKUP(B609,Tabela_Auxiliar[],3,0)</f>
        <v>Saída</v>
      </c>
      <c r="G609" t="str">
        <f>UPPER(TEXT(Tabela_DB[[#This Row],[DATA]],"mmm"))</f>
        <v>FEV</v>
      </c>
      <c r="H609" t="str">
        <f>UPPER(TEXT(Tabela_DB[[#This Row],[DATA]],"aaaa"))</f>
        <v>2021</v>
      </c>
    </row>
    <row r="610" spans="1:8" x14ac:dyDescent="0.25">
      <c r="A610" s="2">
        <v>44231</v>
      </c>
      <c r="B610" t="s">
        <v>3</v>
      </c>
      <c r="C610">
        <v>13136</v>
      </c>
      <c r="D610" t="str">
        <f>VLOOKUP(B610,Tabela_Auxiliar[],2,0)</f>
        <v>1. Receita Operacional Bruta</v>
      </c>
      <c r="E610" t="str">
        <f>VLOOKUP(B610,Tabela_Auxiliar[],4,0)</f>
        <v>Receita Bruta</v>
      </c>
      <c r="F610" t="str">
        <f>VLOOKUP(B610,Tabela_Auxiliar[],3,0)</f>
        <v>Entrada</v>
      </c>
      <c r="G610" t="str">
        <f>UPPER(TEXT(Tabela_DB[[#This Row],[DATA]],"mmm"))</f>
        <v>FEV</v>
      </c>
      <c r="H610" t="str">
        <f>UPPER(TEXT(Tabela_DB[[#This Row],[DATA]],"aaaa"))</f>
        <v>2021</v>
      </c>
    </row>
    <row r="611" spans="1:8" x14ac:dyDescent="0.25">
      <c r="A611" s="2">
        <v>44231</v>
      </c>
      <c r="B611" t="s">
        <v>5</v>
      </c>
      <c r="C611">
        <v>-1429</v>
      </c>
      <c r="D611" t="str">
        <f>VLOOKUP(B611,Tabela_Auxiliar[],2,0)</f>
        <v>4. Despesas Operacionais</v>
      </c>
      <c r="E611" t="str">
        <f>VLOOKUP(B611,Tabela_Auxiliar[],4,0)</f>
        <v>Despesa com Pessoal</v>
      </c>
      <c r="F611" t="str">
        <f>VLOOKUP(B611,Tabela_Auxiliar[],3,0)</f>
        <v>Saída</v>
      </c>
      <c r="G611" t="str">
        <f>UPPER(TEXT(Tabela_DB[[#This Row],[DATA]],"mmm"))</f>
        <v>FEV</v>
      </c>
      <c r="H611" t="str">
        <f>UPPER(TEXT(Tabela_DB[[#This Row],[DATA]],"aaaa"))</f>
        <v>2021</v>
      </c>
    </row>
    <row r="612" spans="1:8" x14ac:dyDescent="0.25">
      <c r="A612" s="2">
        <v>44231</v>
      </c>
      <c r="B612" t="s">
        <v>35</v>
      </c>
      <c r="C612">
        <v>-1562</v>
      </c>
      <c r="D612" t="str">
        <f>VLOOKUP(B612,Tabela_Auxiliar[],2,0)</f>
        <v>2. Deduções da Receita</v>
      </c>
      <c r="E612" t="str">
        <f>VLOOKUP(B612,Tabela_Auxiliar[],4,0)</f>
        <v>Imposto</v>
      </c>
      <c r="F612" t="str">
        <f>VLOOKUP(B612,Tabela_Auxiliar[],3,0)</f>
        <v>Saída</v>
      </c>
      <c r="G612" t="str">
        <f>UPPER(TEXT(Tabela_DB[[#This Row],[DATA]],"mmm"))</f>
        <v>FEV</v>
      </c>
      <c r="H612" t="str">
        <f>UPPER(TEXT(Tabela_DB[[#This Row],[DATA]],"aaaa"))</f>
        <v>2021</v>
      </c>
    </row>
    <row r="613" spans="1:8" x14ac:dyDescent="0.25">
      <c r="A613" s="2">
        <v>44231</v>
      </c>
      <c r="B613" t="s">
        <v>100</v>
      </c>
      <c r="C613">
        <v>2035</v>
      </c>
      <c r="D613" t="str">
        <f>VLOOKUP(B613,Tabela_Auxiliar[],2,0)</f>
        <v>5. Resultado Financeiro</v>
      </c>
      <c r="E613" t="str">
        <f>VLOOKUP(B613,Tabela_Auxiliar[],4,0)</f>
        <v>Receita Financeira</v>
      </c>
      <c r="F613" t="str">
        <f>VLOOKUP(B613,Tabela_Auxiliar[],3,0)</f>
        <v>Saída</v>
      </c>
      <c r="G613" t="str">
        <f>UPPER(TEXT(Tabela_DB[[#This Row],[DATA]],"mmm"))</f>
        <v>FEV</v>
      </c>
      <c r="H613" t="str">
        <f>UPPER(TEXT(Tabela_DB[[#This Row],[DATA]],"aaaa"))</f>
        <v>2021</v>
      </c>
    </row>
    <row r="614" spans="1:8" x14ac:dyDescent="0.25">
      <c r="A614" s="2">
        <v>44231</v>
      </c>
      <c r="B614" t="s">
        <v>38</v>
      </c>
      <c r="C614">
        <v>-1110</v>
      </c>
      <c r="D614" t="str">
        <f>VLOOKUP(B614,Tabela_Auxiliar[],2,0)</f>
        <v>2. Deduções da Receita</v>
      </c>
      <c r="E614" t="str">
        <f>VLOOKUP(B614,Tabela_Auxiliar[],4,0)</f>
        <v>Deduções</v>
      </c>
      <c r="F614" t="str">
        <f>VLOOKUP(B614,Tabela_Auxiliar[],3,0)</f>
        <v>Saída</v>
      </c>
      <c r="G614" t="str">
        <f>UPPER(TEXT(Tabela_DB[[#This Row],[DATA]],"mmm"))</f>
        <v>FEV</v>
      </c>
      <c r="H614" t="str">
        <f>UPPER(TEXT(Tabela_DB[[#This Row],[DATA]],"aaaa"))</f>
        <v>2021</v>
      </c>
    </row>
    <row r="615" spans="1:8" x14ac:dyDescent="0.25">
      <c r="A615" s="2">
        <v>44231</v>
      </c>
      <c r="B615" t="s">
        <v>111</v>
      </c>
      <c r="C615">
        <v>-1062</v>
      </c>
      <c r="D615" t="str">
        <f>VLOOKUP(B615,Tabela_Auxiliar[],2,0)</f>
        <v>2. Deduções da Receita</v>
      </c>
      <c r="E615" t="str">
        <f>VLOOKUP(B615,Tabela_Auxiliar[],4,0)</f>
        <v>Imposto</v>
      </c>
      <c r="F615" t="str">
        <f>VLOOKUP(B615,Tabela_Auxiliar[],3,0)</f>
        <v>Saída</v>
      </c>
      <c r="G615" t="str">
        <f>UPPER(TEXT(Tabela_DB[[#This Row],[DATA]],"mmm"))</f>
        <v>FEV</v>
      </c>
      <c r="H615" t="str">
        <f>UPPER(TEXT(Tabela_DB[[#This Row],[DATA]],"aaaa"))</f>
        <v>2021</v>
      </c>
    </row>
    <row r="616" spans="1:8" x14ac:dyDescent="0.25">
      <c r="A616" s="2">
        <v>44231</v>
      </c>
      <c r="B616" t="s">
        <v>34</v>
      </c>
      <c r="C616">
        <v>-1918</v>
      </c>
      <c r="D616" t="str">
        <f>VLOOKUP(B616,Tabela_Auxiliar[],2,0)</f>
        <v>2. Deduções da Receita</v>
      </c>
      <c r="E616" t="str">
        <f>VLOOKUP(B616,Tabela_Auxiliar[],4,0)</f>
        <v>Imposto</v>
      </c>
      <c r="F616" t="str">
        <f>VLOOKUP(B616,Tabela_Auxiliar[],3,0)</f>
        <v>Saída</v>
      </c>
      <c r="G616" t="str">
        <f>UPPER(TEXT(Tabela_DB[[#This Row],[DATA]],"mmm"))</f>
        <v>FEV</v>
      </c>
      <c r="H616" t="str">
        <f>UPPER(TEXT(Tabela_DB[[#This Row],[DATA]],"aaaa"))</f>
        <v>2021</v>
      </c>
    </row>
    <row r="617" spans="1:8" x14ac:dyDescent="0.25">
      <c r="A617" s="2">
        <v>44231</v>
      </c>
      <c r="B617" t="s">
        <v>4</v>
      </c>
      <c r="C617">
        <v>11845</v>
      </c>
      <c r="D617" t="str">
        <f>VLOOKUP(B617,Tabela_Auxiliar[],2,0)</f>
        <v>1. Receita Operacional Bruta</v>
      </c>
      <c r="E617" t="str">
        <f>VLOOKUP(B617,Tabela_Auxiliar[],4,0)</f>
        <v>Receita Bruta</v>
      </c>
      <c r="F617" t="str">
        <f>VLOOKUP(B617,Tabela_Auxiliar[],3,0)</f>
        <v>Entrada</v>
      </c>
      <c r="G617" t="str">
        <f>UPPER(TEXT(Tabela_DB[[#This Row],[DATA]],"mmm"))</f>
        <v>FEV</v>
      </c>
      <c r="H617" t="str">
        <f>UPPER(TEXT(Tabela_DB[[#This Row],[DATA]],"aaaa"))</f>
        <v>2021</v>
      </c>
    </row>
    <row r="618" spans="1:8" x14ac:dyDescent="0.25">
      <c r="A618" s="2">
        <v>44231</v>
      </c>
      <c r="B618" t="s">
        <v>37</v>
      </c>
      <c r="C618">
        <v>-3335</v>
      </c>
      <c r="D618" t="str">
        <f>VLOOKUP(B618,Tabela_Auxiliar[],2,0)</f>
        <v>3. Custos do Produto/Mercadoria/Serviço</v>
      </c>
      <c r="E618" t="str">
        <f>VLOOKUP(B618,Tabela_Auxiliar[],4,0)</f>
        <v>Despesas c/ Produto</v>
      </c>
      <c r="F618" t="str">
        <f>VLOOKUP(B618,Tabela_Auxiliar[],3,0)</f>
        <v>Saída</v>
      </c>
      <c r="G618" t="str">
        <f>UPPER(TEXT(Tabela_DB[[#This Row],[DATA]],"mmm"))</f>
        <v>FEV</v>
      </c>
      <c r="H618" t="str">
        <f>UPPER(TEXT(Tabela_DB[[#This Row],[DATA]],"aaaa"))</f>
        <v>2021</v>
      </c>
    </row>
    <row r="619" spans="1:8" x14ac:dyDescent="0.25">
      <c r="A619" s="2">
        <v>44231</v>
      </c>
      <c r="B619" t="s">
        <v>54</v>
      </c>
      <c r="C619">
        <v>-1305</v>
      </c>
      <c r="D619" t="str">
        <f>VLOOKUP(B619,Tabela_Auxiliar[],2,0)</f>
        <v>4. Despesas Operacionais</v>
      </c>
      <c r="E619" t="str">
        <f>VLOOKUP(B619,Tabela_Auxiliar[],4,0)</f>
        <v>Despesa com Pessoal</v>
      </c>
      <c r="F619" t="str">
        <f>VLOOKUP(B619,Tabela_Auxiliar[],3,0)</f>
        <v>Saída</v>
      </c>
      <c r="G619" t="str">
        <f>UPPER(TEXT(Tabela_DB[[#This Row],[DATA]],"mmm"))</f>
        <v>FEV</v>
      </c>
      <c r="H619" t="str">
        <f>UPPER(TEXT(Tabela_DB[[#This Row],[DATA]],"aaaa"))</f>
        <v>2021</v>
      </c>
    </row>
    <row r="620" spans="1:8" x14ac:dyDescent="0.25">
      <c r="A620" s="2">
        <v>44231</v>
      </c>
      <c r="B620" t="s">
        <v>4</v>
      </c>
      <c r="C620">
        <v>12896</v>
      </c>
      <c r="D620" t="str">
        <f>VLOOKUP(B620,Tabela_Auxiliar[],2,0)</f>
        <v>1. Receita Operacional Bruta</v>
      </c>
      <c r="E620" t="str">
        <f>VLOOKUP(B620,Tabela_Auxiliar[],4,0)</f>
        <v>Receita Bruta</v>
      </c>
      <c r="F620" t="str">
        <f>VLOOKUP(B620,Tabela_Auxiliar[],3,0)</f>
        <v>Entrada</v>
      </c>
      <c r="G620" t="str">
        <f>UPPER(TEXT(Tabela_DB[[#This Row],[DATA]],"mmm"))</f>
        <v>FEV</v>
      </c>
      <c r="H620" t="str">
        <f>UPPER(TEXT(Tabela_DB[[#This Row],[DATA]],"aaaa"))</f>
        <v>2021</v>
      </c>
    </row>
    <row r="621" spans="1:8" x14ac:dyDescent="0.25">
      <c r="A621" s="2">
        <v>44231</v>
      </c>
      <c r="B621" t="s">
        <v>74</v>
      </c>
      <c r="C621">
        <v>-1204</v>
      </c>
      <c r="D621" t="str">
        <f>VLOOKUP(B621,Tabela_Auxiliar[],2,0)</f>
        <v>4. Despesas Operacionais</v>
      </c>
      <c r="E621" t="str">
        <f>VLOOKUP(B621,Tabela_Auxiliar[],4,0)</f>
        <v>Serviços Contratados</v>
      </c>
      <c r="F621" t="str">
        <f>VLOOKUP(B621,Tabela_Auxiliar[],3,0)</f>
        <v>Saída</v>
      </c>
      <c r="G621" t="str">
        <f>UPPER(TEXT(Tabela_DB[[#This Row],[DATA]],"mmm"))</f>
        <v>FEV</v>
      </c>
      <c r="H621" t="str">
        <f>UPPER(TEXT(Tabela_DB[[#This Row],[DATA]],"aaaa"))</f>
        <v>2021</v>
      </c>
    </row>
    <row r="622" spans="1:8" x14ac:dyDescent="0.25">
      <c r="A622" s="2">
        <v>44231</v>
      </c>
      <c r="B622" t="s">
        <v>3</v>
      </c>
      <c r="C622">
        <v>10026</v>
      </c>
      <c r="D622" t="str">
        <f>VLOOKUP(B622,Tabela_Auxiliar[],2,0)</f>
        <v>1. Receita Operacional Bruta</v>
      </c>
      <c r="E622" t="str">
        <f>VLOOKUP(B622,Tabela_Auxiliar[],4,0)</f>
        <v>Receita Bruta</v>
      </c>
      <c r="F622" t="str">
        <f>VLOOKUP(B622,Tabela_Auxiliar[],3,0)</f>
        <v>Entrada</v>
      </c>
      <c r="G622" t="str">
        <f>UPPER(TEXT(Tabela_DB[[#This Row],[DATA]],"mmm"))</f>
        <v>FEV</v>
      </c>
      <c r="H622" t="str">
        <f>UPPER(TEXT(Tabela_DB[[#This Row],[DATA]],"aaaa"))</f>
        <v>2021</v>
      </c>
    </row>
    <row r="623" spans="1:8" x14ac:dyDescent="0.25">
      <c r="A623" s="2">
        <v>44231</v>
      </c>
      <c r="B623" t="s">
        <v>42</v>
      </c>
      <c r="C623">
        <v>-1824</v>
      </c>
      <c r="D623" t="str">
        <f>VLOOKUP(B623,Tabela_Auxiliar[],2,0)</f>
        <v>4. Despesas Operacionais</v>
      </c>
      <c r="E623" t="str">
        <f>VLOOKUP(B623,Tabela_Auxiliar[],4,0)</f>
        <v>Despesa com Pessoal</v>
      </c>
      <c r="F623" t="str">
        <f>VLOOKUP(B623,Tabela_Auxiliar[],3,0)</f>
        <v>Saída</v>
      </c>
      <c r="G623" t="str">
        <f>UPPER(TEXT(Tabela_DB[[#This Row],[DATA]],"mmm"))</f>
        <v>FEV</v>
      </c>
      <c r="H623" t="str">
        <f>UPPER(TEXT(Tabela_DB[[#This Row],[DATA]],"aaaa"))</f>
        <v>2021</v>
      </c>
    </row>
    <row r="624" spans="1:8" x14ac:dyDescent="0.25">
      <c r="A624" s="2">
        <v>44231</v>
      </c>
      <c r="B624" t="s">
        <v>35</v>
      </c>
      <c r="C624">
        <v>-1907</v>
      </c>
      <c r="D624" t="str">
        <f>VLOOKUP(B624,Tabela_Auxiliar[],2,0)</f>
        <v>2. Deduções da Receita</v>
      </c>
      <c r="E624" t="str">
        <f>VLOOKUP(B624,Tabela_Auxiliar[],4,0)</f>
        <v>Imposto</v>
      </c>
      <c r="F624" t="str">
        <f>VLOOKUP(B624,Tabela_Auxiliar[],3,0)</f>
        <v>Saída</v>
      </c>
      <c r="G624" t="str">
        <f>UPPER(TEXT(Tabela_DB[[#This Row],[DATA]],"mmm"))</f>
        <v>FEV</v>
      </c>
      <c r="H624" t="str">
        <f>UPPER(TEXT(Tabela_DB[[#This Row],[DATA]],"aaaa"))</f>
        <v>2021</v>
      </c>
    </row>
    <row r="625" spans="1:8" x14ac:dyDescent="0.25">
      <c r="A625" s="2">
        <v>44231</v>
      </c>
      <c r="B625" t="s">
        <v>34</v>
      </c>
      <c r="C625">
        <v>-1887</v>
      </c>
      <c r="D625" t="str">
        <f>VLOOKUP(B625,Tabela_Auxiliar[],2,0)</f>
        <v>2. Deduções da Receita</v>
      </c>
      <c r="E625" t="str">
        <f>VLOOKUP(B625,Tabela_Auxiliar[],4,0)</f>
        <v>Imposto</v>
      </c>
      <c r="F625" t="str">
        <f>VLOOKUP(B625,Tabela_Auxiliar[],3,0)</f>
        <v>Saída</v>
      </c>
      <c r="G625" t="str">
        <f>UPPER(TEXT(Tabela_DB[[#This Row],[DATA]],"mmm"))</f>
        <v>FEV</v>
      </c>
      <c r="H625" t="str">
        <f>UPPER(TEXT(Tabela_DB[[#This Row],[DATA]],"aaaa"))</f>
        <v>2021</v>
      </c>
    </row>
    <row r="626" spans="1:8" x14ac:dyDescent="0.25">
      <c r="A626" s="2">
        <v>44231</v>
      </c>
      <c r="B626" t="s">
        <v>4</v>
      </c>
      <c r="C626">
        <v>12908</v>
      </c>
      <c r="D626" t="str">
        <f>VLOOKUP(B626,Tabela_Auxiliar[],2,0)</f>
        <v>1. Receita Operacional Bruta</v>
      </c>
      <c r="E626" t="str">
        <f>VLOOKUP(B626,Tabela_Auxiliar[],4,0)</f>
        <v>Receita Bruta</v>
      </c>
      <c r="F626" t="str">
        <f>VLOOKUP(B626,Tabela_Auxiliar[],3,0)</f>
        <v>Entrada</v>
      </c>
      <c r="G626" t="str">
        <f>UPPER(TEXT(Tabela_DB[[#This Row],[DATA]],"mmm"))</f>
        <v>FEV</v>
      </c>
      <c r="H626" t="str">
        <f>UPPER(TEXT(Tabela_DB[[#This Row],[DATA]],"aaaa"))</f>
        <v>2021</v>
      </c>
    </row>
    <row r="627" spans="1:8" x14ac:dyDescent="0.25">
      <c r="A627" s="2">
        <v>44231</v>
      </c>
      <c r="B627" t="s">
        <v>3</v>
      </c>
      <c r="C627">
        <v>12342</v>
      </c>
      <c r="D627" t="str">
        <f>VLOOKUP(B627,Tabela_Auxiliar[],2,0)</f>
        <v>1. Receita Operacional Bruta</v>
      </c>
      <c r="E627" t="str">
        <f>VLOOKUP(B627,Tabela_Auxiliar[],4,0)</f>
        <v>Receita Bruta</v>
      </c>
      <c r="F627" t="str">
        <f>VLOOKUP(B627,Tabela_Auxiliar[],3,0)</f>
        <v>Entrada</v>
      </c>
      <c r="G627" t="str">
        <f>UPPER(TEXT(Tabela_DB[[#This Row],[DATA]],"mmm"))</f>
        <v>FEV</v>
      </c>
      <c r="H627" t="str">
        <f>UPPER(TEXT(Tabela_DB[[#This Row],[DATA]],"aaaa"))</f>
        <v>2021</v>
      </c>
    </row>
    <row r="628" spans="1:8" x14ac:dyDescent="0.25">
      <c r="A628" s="2">
        <v>44231</v>
      </c>
      <c r="B628" t="s">
        <v>35</v>
      </c>
      <c r="C628">
        <v>-2065</v>
      </c>
      <c r="D628" t="str">
        <f>VLOOKUP(B628,Tabela_Auxiliar[],2,0)</f>
        <v>2. Deduções da Receita</v>
      </c>
      <c r="E628" t="str">
        <f>VLOOKUP(B628,Tabela_Auxiliar[],4,0)</f>
        <v>Imposto</v>
      </c>
      <c r="F628" t="str">
        <f>VLOOKUP(B628,Tabela_Auxiliar[],3,0)</f>
        <v>Saída</v>
      </c>
      <c r="G628" t="str">
        <f>UPPER(TEXT(Tabela_DB[[#This Row],[DATA]],"mmm"))</f>
        <v>FEV</v>
      </c>
      <c r="H628" t="str">
        <f>UPPER(TEXT(Tabela_DB[[#This Row],[DATA]],"aaaa"))</f>
        <v>2021</v>
      </c>
    </row>
    <row r="629" spans="1:8" x14ac:dyDescent="0.25">
      <c r="A629" s="2">
        <v>44231</v>
      </c>
      <c r="B629" t="s">
        <v>35</v>
      </c>
      <c r="C629">
        <v>-1399</v>
      </c>
      <c r="D629" t="str">
        <f>VLOOKUP(B629,Tabela_Auxiliar[],2,0)</f>
        <v>2. Deduções da Receita</v>
      </c>
      <c r="E629" t="str">
        <f>VLOOKUP(B629,Tabela_Auxiliar[],4,0)</f>
        <v>Imposto</v>
      </c>
      <c r="F629" t="str">
        <f>VLOOKUP(B629,Tabela_Auxiliar[],3,0)</f>
        <v>Saída</v>
      </c>
      <c r="G629" t="str">
        <f>UPPER(TEXT(Tabela_DB[[#This Row],[DATA]],"mmm"))</f>
        <v>FEV</v>
      </c>
      <c r="H629" t="str">
        <f>UPPER(TEXT(Tabela_DB[[#This Row],[DATA]],"aaaa"))</f>
        <v>2021</v>
      </c>
    </row>
    <row r="630" spans="1:8" x14ac:dyDescent="0.25">
      <c r="A630" s="2">
        <v>44232</v>
      </c>
      <c r="B630" t="s">
        <v>35</v>
      </c>
      <c r="C630">
        <v>-1822</v>
      </c>
      <c r="D630" t="str">
        <f>VLOOKUP(B630,Tabela_Auxiliar[],2,0)</f>
        <v>2. Deduções da Receita</v>
      </c>
      <c r="E630" t="str">
        <f>VLOOKUP(B630,Tabela_Auxiliar[],4,0)</f>
        <v>Imposto</v>
      </c>
      <c r="F630" t="str">
        <f>VLOOKUP(B630,Tabela_Auxiliar[],3,0)</f>
        <v>Saída</v>
      </c>
      <c r="G630" t="str">
        <f>UPPER(TEXT(Tabela_DB[[#This Row],[DATA]],"mmm"))</f>
        <v>FEV</v>
      </c>
      <c r="H630" t="str">
        <f>UPPER(TEXT(Tabela_DB[[#This Row],[DATA]],"aaaa"))</f>
        <v>2021</v>
      </c>
    </row>
    <row r="631" spans="1:8" x14ac:dyDescent="0.25">
      <c r="A631" s="2">
        <v>44232</v>
      </c>
      <c r="B631" t="s">
        <v>111</v>
      </c>
      <c r="C631">
        <v>-1215</v>
      </c>
      <c r="D631" t="str">
        <f>VLOOKUP(B631,Tabela_Auxiliar[],2,0)</f>
        <v>2. Deduções da Receita</v>
      </c>
      <c r="E631" t="str">
        <f>VLOOKUP(B631,Tabela_Auxiliar[],4,0)</f>
        <v>Imposto</v>
      </c>
      <c r="F631" t="str">
        <f>VLOOKUP(B631,Tabela_Auxiliar[],3,0)</f>
        <v>Saída</v>
      </c>
      <c r="G631" t="str">
        <f>UPPER(TEXT(Tabela_DB[[#This Row],[DATA]],"mmm"))</f>
        <v>FEV</v>
      </c>
      <c r="H631" t="str">
        <f>UPPER(TEXT(Tabela_DB[[#This Row],[DATA]],"aaaa"))</f>
        <v>2021</v>
      </c>
    </row>
    <row r="632" spans="1:8" x14ac:dyDescent="0.25">
      <c r="A632" s="2">
        <v>44232</v>
      </c>
      <c r="B632" t="s">
        <v>44</v>
      </c>
      <c r="C632">
        <v>-2236</v>
      </c>
      <c r="D632" t="str">
        <f>VLOOKUP(B632,Tabela_Auxiliar[],2,0)</f>
        <v>4. Despesas Operacionais</v>
      </c>
      <c r="E632" t="str">
        <f>VLOOKUP(B632,Tabela_Auxiliar[],4,0)</f>
        <v>Despesa com Pessoal</v>
      </c>
      <c r="F632" t="str">
        <f>VLOOKUP(B632,Tabela_Auxiliar[],3,0)</f>
        <v>Saída</v>
      </c>
      <c r="G632" t="str">
        <f>UPPER(TEXT(Tabela_DB[[#This Row],[DATA]],"mmm"))</f>
        <v>FEV</v>
      </c>
      <c r="H632" t="str">
        <f>UPPER(TEXT(Tabela_DB[[#This Row],[DATA]],"aaaa"))</f>
        <v>2021</v>
      </c>
    </row>
    <row r="633" spans="1:8" x14ac:dyDescent="0.25">
      <c r="A633" s="2">
        <v>44232</v>
      </c>
      <c r="B633" t="s">
        <v>34</v>
      </c>
      <c r="C633">
        <v>-1973</v>
      </c>
      <c r="D633" t="str">
        <f>VLOOKUP(B633,Tabela_Auxiliar[],2,0)</f>
        <v>2. Deduções da Receita</v>
      </c>
      <c r="E633" t="str">
        <f>VLOOKUP(B633,Tabela_Auxiliar[],4,0)</f>
        <v>Imposto</v>
      </c>
      <c r="F633" t="str">
        <f>VLOOKUP(B633,Tabela_Auxiliar[],3,0)</f>
        <v>Saída</v>
      </c>
      <c r="G633" t="str">
        <f>UPPER(TEXT(Tabela_DB[[#This Row],[DATA]],"mmm"))</f>
        <v>FEV</v>
      </c>
      <c r="H633" t="str">
        <f>UPPER(TEXT(Tabela_DB[[#This Row],[DATA]],"aaaa"))</f>
        <v>2021</v>
      </c>
    </row>
    <row r="634" spans="1:8" x14ac:dyDescent="0.25">
      <c r="A634" s="2">
        <v>44232</v>
      </c>
      <c r="B634" t="s">
        <v>35</v>
      </c>
      <c r="C634">
        <v>-1621</v>
      </c>
      <c r="D634" t="str">
        <f>VLOOKUP(B634,Tabela_Auxiliar[],2,0)</f>
        <v>2. Deduções da Receita</v>
      </c>
      <c r="E634" t="str">
        <f>VLOOKUP(B634,Tabela_Auxiliar[],4,0)</f>
        <v>Imposto</v>
      </c>
      <c r="F634" t="str">
        <f>VLOOKUP(B634,Tabela_Auxiliar[],3,0)</f>
        <v>Saída</v>
      </c>
      <c r="G634" t="str">
        <f>UPPER(TEXT(Tabela_DB[[#This Row],[DATA]],"mmm"))</f>
        <v>FEV</v>
      </c>
      <c r="H634" t="str">
        <f>UPPER(TEXT(Tabela_DB[[#This Row],[DATA]],"aaaa"))</f>
        <v>2021</v>
      </c>
    </row>
    <row r="635" spans="1:8" x14ac:dyDescent="0.25">
      <c r="A635" s="2">
        <v>44232</v>
      </c>
      <c r="B635" t="s">
        <v>4</v>
      </c>
      <c r="C635">
        <v>13790</v>
      </c>
      <c r="D635" t="str">
        <f>VLOOKUP(B635,Tabela_Auxiliar[],2,0)</f>
        <v>1. Receita Operacional Bruta</v>
      </c>
      <c r="E635" t="str">
        <f>VLOOKUP(B635,Tabela_Auxiliar[],4,0)</f>
        <v>Receita Bruta</v>
      </c>
      <c r="F635" t="str">
        <f>VLOOKUP(B635,Tabela_Auxiliar[],3,0)</f>
        <v>Entrada</v>
      </c>
      <c r="G635" t="str">
        <f>UPPER(TEXT(Tabela_DB[[#This Row],[DATA]],"mmm"))</f>
        <v>FEV</v>
      </c>
      <c r="H635" t="str">
        <f>UPPER(TEXT(Tabela_DB[[#This Row],[DATA]],"aaaa"))</f>
        <v>2021</v>
      </c>
    </row>
    <row r="636" spans="1:8" x14ac:dyDescent="0.25">
      <c r="A636" s="2">
        <v>44232</v>
      </c>
      <c r="B636" t="s">
        <v>111</v>
      </c>
      <c r="C636">
        <v>-1015</v>
      </c>
      <c r="D636" t="str">
        <f>VLOOKUP(B636,Tabela_Auxiliar[],2,0)</f>
        <v>2. Deduções da Receita</v>
      </c>
      <c r="E636" t="str">
        <f>VLOOKUP(B636,Tabela_Auxiliar[],4,0)</f>
        <v>Imposto</v>
      </c>
      <c r="F636" t="str">
        <f>VLOOKUP(B636,Tabela_Auxiliar[],3,0)</f>
        <v>Saída</v>
      </c>
      <c r="G636" t="str">
        <f>UPPER(TEXT(Tabela_DB[[#This Row],[DATA]],"mmm"))</f>
        <v>FEV</v>
      </c>
      <c r="H636" t="str">
        <f>UPPER(TEXT(Tabela_DB[[#This Row],[DATA]],"aaaa"))</f>
        <v>2021</v>
      </c>
    </row>
    <row r="637" spans="1:8" x14ac:dyDescent="0.25">
      <c r="A637" s="2">
        <v>44232</v>
      </c>
      <c r="B637" t="s">
        <v>111</v>
      </c>
      <c r="C637">
        <v>-1076</v>
      </c>
      <c r="D637" t="str">
        <f>VLOOKUP(B637,Tabela_Auxiliar[],2,0)</f>
        <v>2. Deduções da Receita</v>
      </c>
      <c r="E637" t="str">
        <f>VLOOKUP(B637,Tabela_Auxiliar[],4,0)</f>
        <v>Imposto</v>
      </c>
      <c r="F637" t="str">
        <f>VLOOKUP(B637,Tabela_Auxiliar[],3,0)</f>
        <v>Saída</v>
      </c>
      <c r="G637" t="str">
        <f>UPPER(TEXT(Tabela_DB[[#This Row],[DATA]],"mmm"))</f>
        <v>FEV</v>
      </c>
      <c r="H637" t="str">
        <f>UPPER(TEXT(Tabela_DB[[#This Row],[DATA]],"aaaa"))</f>
        <v>2021</v>
      </c>
    </row>
    <row r="638" spans="1:8" x14ac:dyDescent="0.25">
      <c r="A638" s="2">
        <v>44232</v>
      </c>
      <c r="B638" t="s">
        <v>3</v>
      </c>
      <c r="C638">
        <v>11506</v>
      </c>
      <c r="D638" t="str">
        <f>VLOOKUP(B638,Tabela_Auxiliar[],2,0)</f>
        <v>1. Receita Operacional Bruta</v>
      </c>
      <c r="E638" t="str">
        <f>VLOOKUP(B638,Tabela_Auxiliar[],4,0)</f>
        <v>Receita Bruta</v>
      </c>
      <c r="F638" t="str">
        <f>VLOOKUP(B638,Tabela_Auxiliar[],3,0)</f>
        <v>Entrada</v>
      </c>
      <c r="G638" t="str">
        <f>UPPER(TEXT(Tabela_DB[[#This Row],[DATA]],"mmm"))</f>
        <v>FEV</v>
      </c>
      <c r="H638" t="str">
        <f>UPPER(TEXT(Tabela_DB[[#This Row],[DATA]],"aaaa"))</f>
        <v>2021</v>
      </c>
    </row>
    <row r="639" spans="1:8" x14ac:dyDescent="0.25">
      <c r="A639" s="2">
        <v>44232</v>
      </c>
      <c r="B639" t="s">
        <v>37</v>
      </c>
      <c r="C639">
        <v>-2897</v>
      </c>
      <c r="D639" t="str">
        <f>VLOOKUP(B639,Tabela_Auxiliar[],2,0)</f>
        <v>3. Custos do Produto/Mercadoria/Serviço</v>
      </c>
      <c r="E639" t="str">
        <f>VLOOKUP(B639,Tabela_Auxiliar[],4,0)</f>
        <v>Despesas c/ Produto</v>
      </c>
      <c r="F639" t="str">
        <f>VLOOKUP(B639,Tabela_Auxiliar[],3,0)</f>
        <v>Saída</v>
      </c>
      <c r="G639" t="str">
        <f>UPPER(TEXT(Tabela_DB[[#This Row],[DATA]],"mmm"))</f>
        <v>FEV</v>
      </c>
      <c r="H639" t="str">
        <f>UPPER(TEXT(Tabela_DB[[#This Row],[DATA]],"aaaa"))</f>
        <v>2021</v>
      </c>
    </row>
    <row r="640" spans="1:8" x14ac:dyDescent="0.25">
      <c r="A640" s="2">
        <v>44232</v>
      </c>
      <c r="B640" t="s">
        <v>4</v>
      </c>
      <c r="C640">
        <v>13859</v>
      </c>
      <c r="D640" t="str">
        <f>VLOOKUP(B640,Tabela_Auxiliar[],2,0)</f>
        <v>1. Receita Operacional Bruta</v>
      </c>
      <c r="E640" t="str">
        <f>VLOOKUP(B640,Tabela_Auxiliar[],4,0)</f>
        <v>Receita Bruta</v>
      </c>
      <c r="F640" t="str">
        <f>VLOOKUP(B640,Tabela_Auxiliar[],3,0)</f>
        <v>Entrada</v>
      </c>
      <c r="G640" t="str">
        <f>UPPER(TEXT(Tabela_DB[[#This Row],[DATA]],"mmm"))</f>
        <v>FEV</v>
      </c>
      <c r="H640" t="str">
        <f>UPPER(TEXT(Tabela_DB[[#This Row],[DATA]],"aaaa"))</f>
        <v>2021</v>
      </c>
    </row>
    <row r="641" spans="1:8" x14ac:dyDescent="0.25">
      <c r="A641" s="2">
        <v>44232</v>
      </c>
      <c r="B641" t="s">
        <v>69</v>
      </c>
      <c r="C641">
        <v>-2137</v>
      </c>
      <c r="D641" t="str">
        <f>VLOOKUP(B641,Tabela_Auxiliar[],2,0)</f>
        <v>4. Despesas Operacionais</v>
      </c>
      <c r="E641" t="str">
        <f>VLOOKUP(B641,Tabela_Auxiliar[],4,0)</f>
        <v>Despesa com Ocupação</v>
      </c>
      <c r="F641" t="str">
        <f>VLOOKUP(B641,Tabela_Auxiliar[],3,0)</f>
        <v>Saída</v>
      </c>
      <c r="G641" t="str">
        <f>UPPER(TEXT(Tabela_DB[[#This Row],[DATA]],"mmm"))</f>
        <v>FEV</v>
      </c>
      <c r="H641" t="str">
        <f>UPPER(TEXT(Tabela_DB[[#This Row],[DATA]],"aaaa"))</f>
        <v>2021</v>
      </c>
    </row>
    <row r="642" spans="1:8" x14ac:dyDescent="0.25">
      <c r="A642" s="2">
        <v>44232</v>
      </c>
      <c r="B642" t="s">
        <v>34</v>
      </c>
      <c r="C642">
        <v>-1629</v>
      </c>
      <c r="D642" t="str">
        <f>VLOOKUP(B642,Tabela_Auxiliar[],2,0)</f>
        <v>2. Deduções da Receita</v>
      </c>
      <c r="E642" t="str">
        <f>VLOOKUP(B642,Tabela_Auxiliar[],4,0)</f>
        <v>Imposto</v>
      </c>
      <c r="F642" t="str">
        <f>VLOOKUP(B642,Tabela_Auxiliar[],3,0)</f>
        <v>Saída</v>
      </c>
      <c r="G642" t="str">
        <f>UPPER(TEXT(Tabela_DB[[#This Row],[DATA]],"mmm"))</f>
        <v>FEV</v>
      </c>
      <c r="H642" t="str">
        <f>UPPER(TEXT(Tabela_DB[[#This Row],[DATA]],"aaaa"))</f>
        <v>2021</v>
      </c>
    </row>
    <row r="643" spans="1:8" x14ac:dyDescent="0.25">
      <c r="A643" s="2">
        <v>44232</v>
      </c>
      <c r="B643" t="s">
        <v>38</v>
      </c>
      <c r="C643">
        <v>-2312</v>
      </c>
      <c r="D643" t="str">
        <f>VLOOKUP(B643,Tabela_Auxiliar[],2,0)</f>
        <v>2. Deduções da Receita</v>
      </c>
      <c r="E643" t="str">
        <f>VLOOKUP(B643,Tabela_Auxiliar[],4,0)</f>
        <v>Deduções</v>
      </c>
      <c r="F643" t="str">
        <f>VLOOKUP(B643,Tabela_Auxiliar[],3,0)</f>
        <v>Saída</v>
      </c>
      <c r="G643" t="str">
        <f>UPPER(TEXT(Tabela_DB[[#This Row],[DATA]],"mmm"))</f>
        <v>FEV</v>
      </c>
      <c r="H643" t="str">
        <f>UPPER(TEXT(Tabela_DB[[#This Row],[DATA]],"aaaa"))</f>
        <v>2021</v>
      </c>
    </row>
    <row r="644" spans="1:8" x14ac:dyDescent="0.25">
      <c r="A644" s="2">
        <v>44232</v>
      </c>
      <c r="B644" t="s">
        <v>111</v>
      </c>
      <c r="C644">
        <v>-1907</v>
      </c>
      <c r="D644" t="str">
        <f>VLOOKUP(B644,Tabela_Auxiliar[],2,0)</f>
        <v>2. Deduções da Receita</v>
      </c>
      <c r="E644" t="str">
        <f>VLOOKUP(B644,Tabela_Auxiliar[],4,0)</f>
        <v>Imposto</v>
      </c>
      <c r="F644" t="str">
        <f>VLOOKUP(B644,Tabela_Auxiliar[],3,0)</f>
        <v>Saída</v>
      </c>
      <c r="G644" t="str">
        <f>UPPER(TEXT(Tabela_DB[[#This Row],[DATA]],"mmm"))</f>
        <v>FEV</v>
      </c>
      <c r="H644" t="str">
        <f>UPPER(TEXT(Tabela_DB[[#This Row],[DATA]],"aaaa"))</f>
        <v>2021</v>
      </c>
    </row>
    <row r="645" spans="1:8" x14ac:dyDescent="0.25">
      <c r="A645" s="2">
        <v>44232</v>
      </c>
      <c r="B645" t="s">
        <v>55</v>
      </c>
      <c r="C645">
        <v>-1792</v>
      </c>
      <c r="D645" t="str">
        <f>VLOOKUP(B645,Tabela_Auxiliar[],2,0)</f>
        <v>4. Despesas Operacionais</v>
      </c>
      <c r="E645" t="str">
        <f>VLOOKUP(B645,Tabela_Auxiliar[],4,0)</f>
        <v>Despesa com Pessoal</v>
      </c>
      <c r="F645" t="str">
        <f>VLOOKUP(B645,Tabela_Auxiliar[],3,0)</f>
        <v>Saída</v>
      </c>
      <c r="G645" t="str">
        <f>UPPER(TEXT(Tabela_DB[[#This Row],[DATA]],"mmm"))</f>
        <v>FEV</v>
      </c>
      <c r="H645" t="str">
        <f>UPPER(TEXT(Tabela_DB[[#This Row],[DATA]],"aaaa"))</f>
        <v>2021</v>
      </c>
    </row>
    <row r="646" spans="1:8" x14ac:dyDescent="0.25">
      <c r="A646" s="2">
        <v>44233</v>
      </c>
      <c r="B646" t="s">
        <v>35</v>
      </c>
      <c r="C646">
        <v>-1611</v>
      </c>
      <c r="D646" t="str">
        <f>VLOOKUP(B646,Tabela_Auxiliar[],2,0)</f>
        <v>2. Deduções da Receita</v>
      </c>
      <c r="E646" t="str">
        <f>VLOOKUP(B646,Tabela_Auxiliar[],4,0)</f>
        <v>Imposto</v>
      </c>
      <c r="F646" t="str">
        <f>VLOOKUP(B646,Tabela_Auxiliar[],3,0)</f>
        <v>Saída</v>
      </c>
      <c r="G646" t="str">
        <f>UPPER(TEXT(Tabela_DB[[#This Row],[DATA]],"mmm"))</f>
        <v>FEV</v>
      </c>
      <c r="H646" t="str">
        <f>UPPER(TEXT(Tabela_DB[[#This Row],[DATA]],"aaaa"))</f>
        <v>2021</v>
      </c>
    </row>
    <row r="647" spans="1:8" x14ac:dyDescent="0.25">
      <c r="A647" s="2">
        <v>44233</v>
      </c>
      <c r="B647" t="s">
        <v>35</v>
      </c>
      <c r="C647">
        <v>-1919</v>
      </c>
      <c r="D647" t="str">
        <f>VLOOKUP(B647,Tabela_Auxiliar[],2,0)</f>
        <v>2. Deduções da Receita</v>
      </c>
      <c r="E647" t="str">
        <f>VLOOKUP(B647,Tabela_Auxiliar[],4,0)</f>
        <v>Imposto</v>
      </c>
      <c r="F647" t="str">
        <f>VLOOKUP(B647,Tabela_Auxiliar[],3,0)</f>
        <v>Saída</v>
      </c>
      <c r="G647" t="str">
        <f>UPPER(TEXT(Tabela_DB[[#This Row],[DATA]],"mmm"))</f>
        <v>FEV</v>
      </c>
      <c r="H647" t="str">
        <f>UPPER(TEXT(Tabela_DB[[#This Row],[DATA]],"aaaa"))</f>
        <v>2021</v>
      </c>
    </row>
    <row r="648" spans="1:8" x14ac:dyDescent="0.25">
      <c r="A648" s="2">
        <v>44233</v>
      </c>
      <c r="B648" t="s">
        <v>3</v>
      </c>
      <c r="C648">
        <v>12768</v>
      </c>
      <c r="D648" t="str">
        <f>VLOOKUP(B648,Tabela_Auxiliar[],2,0)</f>
        <v>1. Receita Operacional Bruta</v>
      </c>
      <c r="E648" t="str">
        <f>VLOOKUP(B648,Tabela_Auxiliar[],4,0)</f>
        <v>Receita Bruta</v>
      </c>
      <c r="F648" t="str">
        <f>VLOOKUP(B648,Tabela_Auxiliar[],3,0)</f>
        <v>Entrada</v>
      </c>
      <c r="G648" t="str">
        <f>UPPER(TEXT(Tabela_DB[[#This Row],[DATA]],"mmm"))</f>
        <v>FEV</v>
      </c>
      <c r="H648" t="str">
        <f>UPPER(TEXT(Tabela_DB[[#This Row],[DATA]],"aaaa"))</f>
        <v>2021</v>
      </c>
    </row>
    <row r="649" spans="1:8" x14ac:dyDescent="0.25">
      <c r="A649" s="2">
        <v>44233</v>
      </c>
      <c r="B649" t="s">
        <v>62</v>
      </c>
      <c r="C649">
        <v>-1252</v>
      </c>
      <c r="D649" t="str">
        <f>VLOOKUP(B649,Tabela_Auxiliar[],2,0)</f>
        <v>4. Despesas Operacionais</v>
      </c>
      <c r="E649" t="str">
        <f>VLOOKUP(B649,Tabela_Auxiliar[],4,0)</f>
        <v>Despesa Gerais</v>
      </c>
      <c r="F649" t="str">
        <f>VLOOKUP(B649,Tabela_Auxiliar[],3,0)</f>
        <v>Saída</v>
      </c>
      <c r="G649" t="str">
        <f>UPPER(TEXT(Tabela_DB[[#This Row],[DATA]],"mmm"))</f>
        <v>FEV</v>
      </c>
      <c r="H649" t="str">
        <f>UPPER(TEXT(Tabela_DB[[#This Row],[DATA]],"aaaa"))</f>
        <v>2021</v>
      </c>
    </row>
    <row r="650" spans="1:8" x14ac:dyDescent="0.25">
      <c r="A650" s="2">
        <v>44233</v>
      </c>
      <c r="B650" t="s">
        <v>4</v>
      </c>
      <c r="C650">
        <v>14407</v>
      </c>
      <c r="D650" t="str">
        <f>VLOOKUP(B650,Tabela_Auxiliar[],2,0)</f>
        <v>1. Receita Operacional Bruta</v>
      </c>
      <c r="E650" t="str">
        <f>VLOOKUP(B650,Tabela_Auxiliar[],4,0)</f>
        <v>Receita Bruta</v>
      </c>
      <c r="F650" t="str">
        <f>VLOOKUP(B650,Tabela_Auxiliar[],3,0)</f>
        <v>Entrada</v>
      </c>
      <c r="G650" t="str">
        <f>UPPER(TEXT(Tabela_DB[[#This Row],[DATA]],"mmm"))</f>
        <v>FEV</v>
      </c>
      <c r="H650" t="str">
        <f>UPPER(TEXT(Tabela_DB[[#This Row],[DATA]],"aaaa"))</f>
        <v>2021</v>
      </c>
    </row>
    <row r="651" spans="1:8" x14ac:dyDescent="0.25">
      <c r="A651" s="2">
        <v>44233</v>
      </c>
      <c r="B651" t="s">
        <v>3</v>
      </c>
      <c r="C651">
        <v>14355</v>
      </c>
      <c r="D651" t="str">
        <f>VLOOKUP(B651,Tabela_Auxiliar[],2,0)</f>
        <v>1. Receita Operacional Bruta</v>
      </c>
      <c r="E651" t="str">
        <f>VLOOKUP(B651,Tabela_Auxiliar[],4,0)</f>
        <v>Receita Bruta</v>
      </c>
      <c r="F651" t="str">
        <f>VLOOKUP(B651,Tabela_Auxiliar[],3,0)</f>
        <v>Entrada</v>
      </c>
      <c r="G651" t="str">
        <f>UPPER(TEXT(Tabela_DB[[#This Row],[DATA]],"mmm"))</f>
        <v>FEV</v>
      </c>
      <c r="H651" t="str">
        <f>UPPER(TEXT(Tabela_DB[[#This Row],[DATA]],"aaaa"))</f>
        <v>2021</v>
      </c>
    </row>
    <row r="652" spans="1:8" x14ac:dyDescent="0.25">
      <c r="A652" s="2">
        <v>44233</v>
      </c>
      <c r="B652" t="s">
        <v>35</v>
      </c>
      <c r="C652">
        <v>-1577</v>
      </c>
      <c r="D652" t="str">
        <f>VLOOKUP(B652,Tabela_Auxiliar[],2,0)</f>
        <v>2. Deduções da Receita</v>
      </c>
      <c r="E652" t="str">
        <f>VLOOKUP(B652,Tabela_Auxiliar[],4,0)</f>
        <v>Imposto</v>
      </c>
      <c r="F652" t="str">
        <f>VLOOKUP(B652,Tabela_Auxiliar[],3,0)</f>
        <v>Saída</v>
      </c>
      <c r="G652" t="str">
        <f>UPPER(TEXT(Tabela_DB[[#This Row],[DATA]],"mmm"))</f>
        <v>FEV</v>
      </c>
      <c r="H652" t="str">
        <f>UPPER(TEXT(Tabela_DB[[#This Row],[DATA]],"aaaa"))</f>
        <v>2021</v>
      </c>
    </row>
    <row r="653" spans="1:8" x14ac:dyDescent="0.25">
      <c r="A653" s="2">
        <v>44233</v>
      </c>
      <c r="B653" t="s">
        <v>4</v>
      </c>
      <c r="C653">
        <v>10342</v>
      </c>
      <c r="D653" t="str">
        <f>VLOOKUP(B653,Tabela_Auxiliar[],2,0)</f>
        <v>1. Receita Operacional Bruta</v>
      </c>
      <c r="E653" t="str">
        <f>VLOOKUP(B653,Tabela_Auxiliar[],4,0)</f>
        <v>Receita Bruta</v>
      </c>
      <c r="F653" t="str">
        <f>VLOOKUP(B653,Tabela_Auxiliar[],3,0)</f>
        <v>Entrada</v>
      </c>
      <c r="G653" t="str">
        <f>UPPER(TEXT(Tabela_DB[[#This Row],[DATA]],"mmm"))</f>
        <v>FEV</v>
      </c>
      <c r="H653" t="str">
        <f>UPPER(TEXT(Tabela_DB[[#This Row],[DATA]],"aaaa"))</f>
        <v>2021</v>
      </c>
    </row>
    <row r="654" spans="1:8" x14ac:dyDescent="0.25">
      <c r="A654" s="2">
        <v>44233</v>
      </c>
      <c r="B654" t="s">
        <v>38</v>
      </c>
      <c r="C654">
        <v>-1616</v>
      </c>
      <c r="D654" t="str">
        <f>VLOOKUP(B654,Tabela_Auxiliar[],2,0)</f>
        <v>2. Deduções da Receita</v>
      </c>
      <c r="E654" t="str">
        <f>VLOOKUP(B654,Tabela_Auxiliar[],4,0)</f>
        <v>Deduções</v>
      </c>
      <c r="F654" t="str">
        <f>VLOOKUP(B654,Tabela_Auxiliar[],3,0)</f>
        <v>Saída</v>
      </c>
      <c r="G654" t="str">
        <f>UPPER(TEXT(Tabela_DB[[#This Row],[DATA]],"mmm"))</f>
        <v>FEV</v>
      </c>
      <c r="H654" t="str">
        <f>UPPER(TEXT(Tabela_DB[[#This Row],[DATA]],"aaaa"))</f>
        <v>2021</v>
      </c>
    </row>
    <row r="655" spans="1:8" x14ac:dyDescent="0.25">
      <c r="A655" s="2">
        <v>44233</v>
      </c>
      <c r="B655" t="s">
        <v>38</v>
      </c>
      <c r="C655">
        <v>-1215</v>
      </c>
      <c r="D655" t="str">
        <f>VLOOKUP(B655,Tabela_Auxiliar[],2,0)</f>
        <v>2. Deduções da Receita</v>
      </c>
      <c r="E655" t="str">
        <f>VLOOKUP(B655,Tabela_Auxiliar[],4,0)</f>
        <v>Deduções</v>
      </c>
      <c r="F655" t="str">
        <f>VLOOKUP(B655,Tabela_Auxiliar[],3,0)</f>
        <v>Saída</v>
      </c>
      <c r="G655" t="str">
        <f>UPPER(TEXT(Tabela_DB[[#This Row],[DATA]],"mmm"))</f>
        <v>FEV</v>
      </c>
      <c r="H655" t="str">
        <f>UPPER(TEXT(Tabela_DB[[#This Row],[DATA]],"aaaa"))</f>
        <v>2021</v>
      </c>
    </row>
    <row r="656" spans="1:8" x14ac:dyDescent="0.25">
      <c r="A656" s="2">
        <v>44233</v>
      </c>
      <c r="B656" t="s">
        <v>64</v>
      </c>
      <c r="C656">
        <v>-1978</v>
      </c>
      <c r="D656" t="str">
        <f>VLOOKUP(B656,Tabela_Auxiliar[],2,0)</f>
        <v>4. Despesas Operacionais</v>
      </c>
      <c r="E656" t="str">
        <f>VLOOKUP(B656,Tabela_Auxiliar[],4,0)</f>
        <v>Despesa Gerais</v>
      </c>
      <c r="F656" t="str">
        <f>VLOOKUP(B656,Tabela_Auxiliar[],3,0)</f>
        <v>Saída</v>
      </c>
      <c r="G656" t="str">
        <f>UPPER(TEXT(Tabela_DB[[#This Row],[DATA]],"mmm"))</f>
        <v>FEV</v>
      </c>
      <c r="H656" t="str">
        <f>UPPER(TEXT(Tabela_DB[[#This Row],[DATA]],"aaaa"))</f>
        <v>2021</v>
      </c>
    </row>
    <row r="657" spans="1:8" x14ac:dyDescent="0.25">
      <c r="A657" s="2">
        <v>44233</v>
      </c>
      <c r="B657" t="s">
        <v>4</v>
      </c>
      <c r="C657">
        <v>11984</v>
      </c>
      <c r="D657" t="str">
        <f>VLOOKUP(B657,Tabela_Auxiliar[],2,0)</f>
        <v>1. Receita Operacional Bruta</v>
      </c>
      <c r="E657" t="str">
        <f>VLOOKUP(B657,Tabela_Auxiliar[],4,0)</f>
        <v>Receita Bruta</v>
      </c>
      <c r="F657" t="str">
        <f>VLOOKUP(B657,Tabela_Auxiliar[],3,0)</f>
        <v>Entrada</v>
      </c>
      <c r="G657" t="str">
        <f>UPPER(TEXT(Tabela_DB[[#This Row],[DATA]],"mmm"))</f>
        <v>FEV</v>
      </c>
      <c r="H657" t="str">
        <f>UPPER(TEXT(Tabela_DB[[#This Row],[DATA]],"aaaa"))</f>
        <v>2021</v>
      </c>
    </row>
    <row r="658" spans="1:8" x14ac:dyDescent="0.25">
      <c r="A658" s="2">
        <v>44233</v>
      </c>
      <c r="B658" t="s">
        <v>85</v>
      </c>
      <c r="C658">
        <v>-2058</v>
      </c>
      <c r="D658" t="str">
        <f>VLOOKUP(B658,Tabela_Auxiliar[],2,0)</f>
        <v>4. Despesas Operacionais</v>
      </c>
      <c r="E658" t="str">
        <f>VLOOKUP(B658,Tabela_Auxiliar[],4,0)</f>
        <v>Despesa com Veículos</v>
      </c>
      <c r="F658" t="str">
        <f>VLOOKUP(B658,Tabela_Auxiliar[],3,0)</f>
        <v>Saída</v>
      </c>
      <c r="G658" t="str">
        <f>UPPER(TEXT(Tabela_DB[[#This Row],[DATA]],"mmm"))</f>
        <v>FEV</v>
      </c>
      <c r="H658" t="str">
        <f>UPPER(TEXT(Tabela_DB[[#This Row],[DATA]],"aaaa"))</f>
        <v>2021</v>
      </c>
    </row>
    <row r="659" spans="1:8" x14ac:dyDescent="0.25">
      <c r="A659" s="2">
        <v>44233</v>
      </c>
      <c r="B659" t="s">
        <v>4</v>
      </c>
      <c r="C659">
        <v>12097</v>
      </c>
      <c r="D659" t="str">
        <f>VLOOKUP(B659,Tabela_Auxiliar[],2,0)</f>
        <v>1. Receita Operacional Bruta</v>
      </c>
      <c r="E659" t="str">
        <f>VLOOKUP(B659,Tabela_Auxiliar[],4,0)</f>
        <v>Receita Bruta</v>
      </c>
      <c r="F659" t="str">
        <f>VLOOKUP(B659,Tabela_Auxiliar[],3,0)</f>
        <v>Entrada</v>
      </c>
      <c r="G659" t="str">
        <f>UPPER(TEXT(Tabela_DB[[#This Row],[DATA]],"mmm"))</f>
        <v>FEV</v>
      </c>
      <c r="H659" t="str">
        <f>UPPER(TEXT(Tabela_DB[[#This Row],[DATA]],"aaaa"))</f>
        <v>2021</v>
      </c>
    </row>
    <row r="660" spans="1:8" x14ac:dyDescent="0.25">
      <c r="A660" s="2">
        <v>44233</v>
      </c>
      <c r="B660" t="s">
        <v>111</v>
      </c>
      <c r="C660">
        <v>-1239</v>
      </c>
      <c r="D660" t="str">
        <f>VLOOKUP(B660,Tabela_Auxiliar[],2,0)</f>
        <v>2. Deduções da Receita</v>
      </c>
      <c r="E660" t="str">
        <f>VLOOKUP(B660,Tabela_Auxiliar[],4,0)</f>
        <v>Imposto</v>
      </c>
      <c r="F660" t="str">
        <f>VLOOKUP(B660,Tabela_Auxiliar[],3,0)</f>
        <v>Saída</v>
      </c>
      <c r="G660" t="str">
        <f>UPPER(TEXT(Tabela_DB[[#This Row],[DATA]],"mmm"))</f>
        <v>FEV</v>
      </c>
      <c r="H660" t="str">
        <f>UPPER(TEXT(Tabela_DB[[#This Row],[DATA]],"aaaa"))</f>
        <v>2021</v>
      </c>
    </row>
    <row r="661" spans="1:8" x14ac:dyDescent="0.25">
      <c r="A661" s="2">
        <v>44233</v>
      </c>
      <c r="B661" t="s">
        <v>69</v>
      </c>
      <c r="C661">
        <v>-2353</v>
      </c>
      <c r="D661" t="str">
        <f>VLOOKUP(B661,Tabela_Auxiliar[],2,0)</f>
        <v>4. Despesas Operacionais</v>
      </c>
      <c r="E661" t="str">
        <f>VLOOKUP(B661,Tabela_Auxiliar[],4,0)</f>
        <v>Despesa com Ocupação</v>
      </c>
      <c r="F661" t="str">
        <f>VLOOKUP(B661,Tabela_Auxiliar[],3,0)</f>
        <v>Saída</v>
      </c>
      <c r="G661" t="str">
        <f>UPPER(TEXT(Tabela_DB[[#This Row],[DATA]],"mmm"))</f>
        <v>FEV</v>
      </c>
      <c r="H661" t="str">
        <f>UPPER(TEXT(Tabela_DB[[#This Row],[DATA]],"aaaa"))</f>
        <v>2021</v>
      </c>
    </row>
    <row r="662" spans="1:8" x14ac:dyDescent="0.25">
      <c r="A662" s="2">
        <v>44233</v>
      </c>
      <c r="B662" t="s">
        <v>34</v>
      </c>
      <c r="C662">
        <v>-2330</v>
      </c>
      <c r="D662" t="str">
        <f>VLOOKUP(B662,Tabela_Auxiliar[],2,0)</f>
        <v>2. Deduções da Receita</v>
      </c>
      <c r="E662" t="str">
        <f>VLOOKUP(B662,Tabela_Auxiliar[],4,0)</f>
        <v>Imposto</v>
      </c>
      <c r="F662" t="str">
        <f>VLOOKUP(B662,Tabela_Auxiliar[],3,0)</f>
        <v>Saída</v>
      </c>
      <c r="G662" t="str">
        <f>UPPER(TEXT(Tabela_DB[[#This Row],[DATA]],"mmm"))</f>
        <v>FEV</v>
      </c>
      <c r="H662" t="str">
        <f>UPPER(TEXT(Tabela_DB[[#This Row],[DATA]],"aaaa"))</f>
        <v>2021</v>
      </c>
    </row>
    <row r="663" spans="1:8" x14ac:dyDescent="0.25">
      <c r="A663" s="2">
        <v>44233</v>
      </c>
      <c r="B663" t="s">
        <v>37</v>
      </c>
      <c r="C663">
        <v>-4661</v>
      </c>
      <c r="D663" t="str">
        <f>VLOOKUP(B663,Tabela_Auxiliar[],2,0)</f>
        <v>3. Custos do Produto/Mercadoria/Serviço</v>
      </c>
      <c r="E663" t="str">
        <f>VLOOKUP(B663,Tabela_Auxiliar[],4,0)</f>
        <v>Despesas c/ Produto</v>
      </c>
      <c r="F663" t="str">
        <f>VLOOKUP(B663,Tabela_Auxiliar[],3,0)</f>
        <v>Saída</v>
      </c>
      <c r="G663" t="str">
        <f>UPPER(TEXT(Tabela_DB[[#This Row],[DATA]],"mmm"))</f>
        <v>FEV</v>
      </c>
      <c r="H663" t="str">
        <f>UPPER(TEXT(Tabela_DB[[#This Row],[DATA]],"aaaa"))</f>
        <v>2021</v>
      </c>
    </row>
    <row r="664" spans="1:8" x14ac:dyDescent="0.25">
      <c r="A664" s="2">
        <v>44234</v>
      </c>
      <c r="B664" t="s">
        <v>37</v>
      </c>
      <c r="C664">
        <v>-2771</v>
      </c>
      <c r="D664" t="str">
        <f>VLOOKUP(B664,Tabela_Auxiliar[],2,0)</f>
        <v>3. Custos do Produto/Mercadoria/Serviço</v>
      </c>
      <c r="E664" t="str">
        <f>VLOOKUP(B664,Tabela_Auxiliar[],4,0)</f>
        <v>Despesas c/ Produto</v>
      </c>
      <c r="F664" t="str">
        <f>VLOOKUP(B664,Tabela_Auxiliar[],3,0)</f>
        <v>Saída</v>
      </c>
      <c r="G664" t="str">
        <f>UPPER(TEXT(Tabela_DB[[#This Row],[DATA]],"mmm"))</f>
        <v>FEV</v>
      </c>
      <c r="H664" t="str">
        <f>UPPER(TEXT(Tabela_DB[[#This Row],[DATA]],"aaaa"))</f>
        <v>2021</v>
      </c>
    </row>
    <row r="665" spans="1:8" x14ac:dyDescent="0.25">
      <c r="A665" s="2">
        <v>44234</v>
      </c>
      <c r="B665" t="s">
        <v>55</v>
      </c>
      <c r="C665">
        <v>-1026</v>
      </c>
      <c r="D665" t="str">
        <f>VLOOKUP(B665,Tabela_Auxiliar[],2,0)</f>
        <v>4. Despesas Operacionais</v>
      </c>
      <c r="E665" t="str">
        <f>VLOOKUP(B665,Tabela_Auxiliar[],4,0)</f>
        <v>Despesa com Pessoal</v>
      </c>
      <c r="F665" t="str">
        <f>VLOOKUP(B665,Tabela_Auxiliar[],3,0)</f>
        <v>Saída</v>
      </c>
      <c r="G665" t="str">
        <f>UPPER(TEXT(Tabela_DB[[#This Row],[DATA]],"mmm"))</f>
        <v>FEV</v>
      </c>
      <c r="H665" t="str">
        <f>UPPER(TEXT(Tabela_DB[[#This Row],[DATA]],"aaaa"))</f>
        <v>2021</v>
      </c>
    </row>
    <row r="666" spans="1:8" x14ac:dyDescent="0.25">
      <c r="A666" s="2">
        <v>44234</v>
      </c>
      <c r="B666" t="s">
        <v>35</v>
      </c>
      <c r="C666">
        <v>-2361</v>
      </c>
      <c r="D666" t="str">
        <f>VLOOKUP(B666,Tabela_Auxiliar[],2,0)</f>
        <v>2. Deduções da Receita</v>
      </c>
      <c r="E666" t="str">
        <f>VLOOKUP(B666,Tabela_Auxiliar[],4,0)</f>
        <v>Imposto</v>
      </c>
      <c r="F666" t="str">
        <f>VLOOKUP(B666,Tabela_Auxiliar[],3,0)</f>
        <v>Saída</v>
      </c>
      <c r="G666" t="str">
        <f>UPPER(TEXT(Tabela_DB[[#This Row],[DATA]],"mmm"))</f>
        <v>FEV</v>
      </c>
      <c r="H666" t="str">
        <f>UPPER(TEXT(Tabela_DB[[#This Row],[DATA]],"aaaa"))</f>
        <v>2021</v>
      </c>
    </row>
    <row r="667" spans="1:8" x14ac:dyDescent="0.25">
      <c r="A667" s="2">
        <v>44234</v>
      </c>
      <c r="B667" t="s">
        <v>5</v>
      </c>
      <c r="C667">
        <v>-1052</v>
      </c>
      <c r="D667" t="str">
        <f>VLOOKUP(B667,Tabela_Auxiliar[],2,0)</f>
        <v>4. Despesas Operacionais</v>
      </c>
      <c r="E667" t="str">
        <f>VLOOKUP(B667,Tabela_Auxiliar[],4,0)</f>
        <v>Despesa com Pessoal</v>
      </c>
      <c r="F667" t="str">
        <f>VLOOKUP(B667,Tabela_Auxiliar[],3,0)</f>
        <v>Saída</v>
      </c>
      <c r="G667" t="str">
        <f>UPPER(TEXT(Tabela_DB[[#This Row],[DATA]],"mmm"))</f>
        <v>FEV</v>
      </c>
      <c r="H667" t="str">
        <f>UPPER(TEXT(Tabela_DB[[#This Row],[DATA]],"aaaa"))</f>
        <v>2021</v>
      </c>
    </row>
    <row r="668" spans="1:8" x14ac:dyDescent="0.25">
      <c r="A668" s="2">
        <v>44234</v>
      </c>
      <c r="B668" t="s">
        <v>111</v>
      </c>
      <c r="C668">
        <v>-1991</v>
      </c>
      <c r="D668" t="str">
        <f>VLOOKUP(B668,Tabela_Auxiliar[],2,0)</f>
        <v>2. Deduções da Receita</v>
      </c>
      <c r="E668" t="str">
        <f>VLOOKUP(B668,Tabela_Auxiliar[],4,0)</f>
        <v>Imposto</v>
      </c>
      <c r="F668" t="str">
        <f>VLOOKUP(B668,Tabela_Auxiliar[],3,0)</f>
        <v>Saída</v>
      </c>
      <c r="G668" t="str">
        <f>UPPER(TEXT(Tabela_DB[[#This Row],[DATA]],"mmm"))</f>
        <v>FEV</v>
      </c>
      <c r="H668" t="str">
        <f>UPPER(TEXT(Tabela_DB[[#This Row],[DATA]],"aaaa"))</f>
        <v>2021</v>
      </c>
    </row>
    <row r="669" spans="1:8" x14ac:dyDescent="0.25">
      <c r="A669" s="2">
        <v>44234</v>
      </c>
      <c r="B669" t="s">
        <v>79</v>
      </c>
      <c r="C669">
        <v>-1250</v>
      </c>
      <c r="D669" t="str">
        <f>VLOOKUP(B669,Tabela_Auxiliar[],2,0)</f>
        <v>4. Despesas Operacionais</v>
      </c>
      <c r="E669" t="str">
        <f>VLOOKUP(B669,Tabela_Auxiliar[],4,0)</f>
        <v>Serviços Contratados</v>
      </c>
      <c r="F669" t="str">
        <f>VLOOKUP(B669,Tabela_Auxiliar[],3,0)</f>
        <v>Saída</v>
      </c>
      <c r="G669" t="str">
        <f>UPPER(TEXT(Tabela_DB[[#This Row],[DATA]],"mmm"))</f>
        <v>FEV</v>
      </c>
      <c r="H669" t="str">
        <f>UPPER(TEXT(Tabela_DB[[#This Row],[DATA]],"aaaa"))</f>
        <v>2021</v>
      </c>
    </row>
    <row r="670" spans="1:8" x14ac:dyDescent="0.25">
      <c r="A670" s="2">
        <v>44234</v>
      </c>
      <c r="B670" t="s">
        <v>50</v>
      </c>
      <c r="C670">
        <v>-2470</v>
      </c>
      <c r="D670" t="str">
        <f>VLOOKUP(B670,Tabela_Auxiliar[],2,0)</f>
        <v>4. Despesas Operacionais</v>
      </c>
      <c r="E670" t="str">
        <f>VLOOKUP(B670,Tabela_Auxiliar[],4,0)</f>
        <v>Despesa com Pessoal</v>
      </c>
      <c r="F670" t="str">
        <f>VLOOKUP(B670,Tabela_Auxiliar[],3,0)</f>
        <v>Saída</v>
      </c>
      <c r="G670" t="str">
        <f>UPPER(TEXT(Tabela_DB[[#This Row],[DATA]],"mmm"))</f>
        <v>FEV</v>
      </c>
      <c r="H670" t="str">
        <f>UPPER(TEXT(Tabela_DB[[#This Row],[DATA]],"aaaa"))</f>
        <v>2021</v>
      </c>
    </row>
    <row r="671" spans="1:8" x14ac:dyDescent="0.25">
      <c r="A671" s="2">
        <v>44234</v>
      </c>
      <c r="B671" t="s">
        <v>80</v>
      </c>
      <c r="C671">
        <v>-2080</v>
      </c>
      <c r="D671" t="str">
        <f>VLOOKUP(B671,Tabela_Auxiliar[],2,0)</f>
        <v>4. Despesas Operacionais</v>
      </c>
      <c r="E671" t="str">
        <f>VLOOKUP(B671,Tabela_Auxiliar[],4,0)</f>
        <v>Serviços Contratados</v>
      </c>
      <c r="F671" t="str">
        <f>VLOOKUP(B671,Tabela_Auxiliar[],3,0)</f>
        <v>Saída</v>
      </c>
      <c r="G671" t="str">
        <f>UPPER(TEXT(Tabela_DB[[#This Row],[DATA]],"mmm"))</f>
        <v>FEV</v>
      </c>
      <c r="H671" t="str">
        <f>UPPER(TEXT(Tabela_DB[[#This Row],[DATA]],"aaaa"))</f>
        <v>2021</v>
      </c>
    </row>
    <row r="672" spans="1:8" x14ac:dyDescent="0.25">
      <c r="A672" s="2">
        <v>44235</v>
      </c>
      <c r="B672" t="s">
        <v>3</v>
      </c>
      <c r="C672">
        <v>10175</v>
      </c>
      <c r="D672" t="str">
        <f>VLOOKUP(B672,Tabela_Auxiliar[],2,0)</f>
        <v>1. Receita Operacional Bruta</v>
      </c>
      <c r="E672" t="str">
        <f>VLOOKUP(B672,Tabela_Auxiliar[],4,0)</f>
        <v>Receita Bruta</v>
      </c>
      <c r="F672" t="str">
        <f>VLOOKUP(B672,Tabela_Auxiliar[],3,0)</f>
        <v>Entrada</v>
      </c>
      <c r="G672" t="str">
        <f>UPPER(TEXT(Tabela_DB[[#This Row],[DATA]],"mmm"))</f>
        <v>FEV</v>
      </c>
      <c r="H672" t="str">
        <f>UPPER(TEXT(Tabela_DB[[#This Row],[DATA]],"aaaa"))</f>
        <v>2021</v>
      </c>
    </row>
    <row r="673" spans="1:8" x14ac:dyDescent="0.25">
      <c r="A673" s="2">
        <v>44235</v>
      </c>
      <c r="B673" t="s">
        <v>75</v>
      </c>
      <c r="C673">
        <v>-1618</v>
      </c>
      <c r="D673" t="str">
        <f>VLOOKUP(B673,Tabela_Auxiliar[],2,0)</f>
        <v>4. Despesas Operacionais</v>
      </c>
      <c r="E673" t="str">
        <f>VLOOKUP(B673,Tabela_Auxiliar[],4,0)</f>
        <v>Serviços Contratados</v>
      </c>
      <c r="F673" t="str">
        <f>VLOOKUP(B673,Tabela_Auxiliar[],3,0)</f>
        <v>Saída</v>
      </c>
      <c r="G673" t="str">
        <f>UPPER(TEXT(Tabela_DB[[#This Row],[DATA]],"mmm"))</f>
        <v>FEV</v>
      </c>
      <c r="H673" t="str">
        <f>UPPER(TEXT(Tabela_DB[[#This Row],[DATA]],"aaaa"))</f>
        <v>2021</v>
      </c>
    </row>
    <row r="674" spans="1:8" x14ac:dyDescent="0.25">
      <c r="A674" s="2">
        <v>44235</v>
      </c>
      <c r="B674" t="s">
        <v>74</v>
      </c>
      <c r="C674">
        <v>-2125</v>
      </c>
      <c r="D674" t="str">
        <f>VLOOKUP(B674,Tabela_Auxiliar[],2,0)</f>
        <v>4. Despesas Operacionais</v>
      </c>
      <c r="E674" t="str">
        <f>VLOOKUP(B674,Tabela_Auxiliar[],4,0)</f>
        <v>Serviços Contratados</v>
      </c>
      <c r="F674" t="str">
        <f>VLOOKUP(B674,Tabela_Auxiliar[],3,0)</f>
        <v>Saída</v>
      </c>
      <c r="G674" t="str">
        <f>UPPER(TEXT(Tabela_DB[[#This Row],[DATA]],"mmm"))</f>
        <v>FEV</v>
      </c>
      <c r="H674" t="str">
        <f>UPPER(TEXT(Tabela_DB[[#This Row],[DATA]],"aaaa"))</f>
        <v>2021</v>
      </c>
    </row>
    <row r="675" spans="1:8" x14ac:dyDescent="0.25">
      <c r="A675" s="2">
        <v>44235</v>
      </c>
      <c r="B675" t="s">
        <v>37</v>
      </c>
      <c r="C675">
        <v>-2933</v>
      </c>
      <c r="D675" t="str">
        <f>VLOOKUP(B675,Tabela_Auxiliar[],2,0)</f>
        <v>3. Custos do Produto/Mercadoria/Serviço</v>
      </c>
      <c r="E675" t="str">
        <f>VLOOKUP(B675,Tabela_Auxiliar[],4,0)</f>
        <v>Despesas c/ Produto</v>
      </c>
      <c r="F675" t="str">
        <f>VLOOKUP(B675,Tabela_Auxiliar[],3,0)</f>
        <v>Saída</v>
      </c>
      <c r="G675" t="str">
        <f>UPPER(TEXT(Tabela_DB[[#This Row],[DATA]],"mmm"))</f>
        <v>FEV</v>
      </c>
      <c r="H675" t="str">
        <f>UPPER(TEXT(Tabela_DB[[#This Row],[DATA]],"aaaa"))</f>
        <v>2021</v>
      </c>
    </row>
    <row r="676" spans="1:8" x14ac:dyDescent="0.25">
      <c r="A676" s="2">
        <v>44235</v>
      </c>
      <c r="B676" t="s">
        <v>37</v>
      </c>
      <c r="C676">
        <v>-3181</v>
      </c>
      <c r="D676" t="str">
        <f>VLOOKUP(B676,Tabela_Auxiliar[],2,0)</f>
        <v>3. Custos do Produto/Mercadoria/Serviço</v>
      </c>
      <c r="E676" t="str">
        <f>VLOOKUP(B676,Tabela_Auxiliar[],4,0)</f>
        <v>Despesas c/ Produto</v>
      </c>
      <c r="F676" t="str">
        <f>VLOOKUP(B676,Tabela_Auxiliar[],3,0)</f>
        <v>Saída</v>
      </c>
      <c r="G676" t="str">
        <f>UPPER(TEXT(Tabela_DB[[#This Row],[DATA]],"mmm"))</f>
        <v>FEV</v>
      </c>
      <c r="H676" t="str">
        <f>UPPER(TEXT(Tabela_DB[[#This Row],[DATA]],"aaaa"))</f>
        <v>2021</v>
      </c>
    </row>
    <row r="677" spans="1:8" x14ac:dyDescent="0.25">
      <c r="A677" s="2">
        <v>44235</v>
      </c>
      <c r="B677" t="s">
        <v>3</v>
      </c>
      <c r="C677">
        <v>13990</v>
      </c>
      <c r="D677" t="str">
        <f>VLOOKUP(B677,Tabela_Auxiliar[],2,0)</f>
        <v>1. Receita Operacional Bruta</v>
      </c>
      <c r="E677" t="str">
        <f>VLOOKUP(B677,Tabela_Auxiliar[],4,0)</f>
        <v>Receita Bruta</v>
      </c>
      <c r="F677" t="str">
        <f>VLOOKUP(B677,Tabela_Auxiliar[],3,0)</f>
        <v>Entrada</v>
      </c>
      <c r="G677" t="str">
        <f>UPPER(TEXT(Tabela_DB[[#This Row],[DATA]],"mmm"))</f>
        <v>FEV</v>
      </c>
      <c r="H677" t="str">
        <f>UPPER(TEXT(Tabela_DB[[#This Row],[DATA]],"aaaa"))</f>
        <v>2021</v>
      </c>
    </row>
    <row r="678" spans="1:8" x14ac:dyDescent="0.25">
      <c r="A678" s="2">
        <v>44235</v>
      </c>
      <c r="B678" t="s">
        <v>40</v>
      </c>
      <c r="C678">
        <v>-1214</v>
      </c>
      <c r="D678" t="str">
        <f>VLOOKUP(B678,Tabela_Auxiliar[],2,0)</f>
        <v>4. Despesas Operacionais</v>
      </c>
      <c r="E678" t="str">
        <f>VLOOKUP(B678,Tabela_Auxiliar[],4,0)</f>
        <v>Despesa com Pessoal</v>
      </c>
      <c r="F678" t="str">
        <f>VLOOKUP(B678,Tabela_Auxiliar[],3,0)</f>
        <v>Saída</v>
      </c>
      <c r="G678" t="str">
        <f>UPPER(TEXT(Tabela_DB[[#This Row],[DATA]],"mmm"))</f>
        <v>FEV</v>
      </c>
      <c r="H678" t="str">
        <f>UPPER(TEXT(Tabela_DB[[#This Row],[DATA]],"aaaa"))</f>
        <v>2021</v>
      </c>
    </row>
    <row r="679" spans="1:8" x14ac:dyDescent="0.25">
      <c r="A679" s="2">
        <v>44235</v>
      </c>
      <c r="B679" t="s">
        <v>3</v>
      </c>
      <c r="C679">
        <v>13594</v>
      </c>
      <c r="D679" t="str">
        <f>VLOOKUP(B679,Tabela_Auxiliar[],2,0)</f>
        <v>1. Receita Operacional Bruta</v>
      </c>
      <c r="E679" t="str">
        <f>VLOOKUP(B679,Tabela_Auxiliar[],4,0)</f>
        <v>Receita Bruta</v>
      </c>
      <c r="F679" t="str">
        <f>VLOOKUP(B679,Tabela_Auxiliar[],3,0)</f>
        <v>Entrada</v>
      </c>
      <c r="G679" t="str">
        <f>UPPER(TEXT(Tabela_DB[[#This Row],[DATA]],"mmm"))</f>
        <v>FEV</v>
      </c>
      <c r="H679" t="str">
        <f>UPPER(TEXT(Tabela_DB[[#This Row],[DATA]],"aaaa"))</f>
        <v>2021</v>
      </c>
    </row>
    <row r="680" spans="1:8" x14ac:dyDescent="0.25">
      <c r="A680" s="2">
        <v>44235</v>
      </c>
      <c r="B680" t="s">
        <v>81</v>
      </c>
      <c r="C680">
        <v>-1126</v>
      </c>
      <c r="D680" t="str">
        <f>VLOOKUP(B680,Tabela_Auxiliar[],2,0)</f>
        <v>4. Despesas Operacionais</v>
      </c>
      <c r="E680" t="str">
        <f>VLOOKUP(B680,Tabela_Auxiliar[],4,0)</f>
        <v>Serviços Contratados</v>
      </c>
      <c r="F680" t="str">
        <f>VLOOKUP(B680,Tabela_Auxiliar[],3,0)</f>
        <v>Saída</v>
      </c>
      <c r="G680" t="str">
        <f>UPPER(TEXT(Tabela_DB[[#This Row],[DATA]],"mmm"))</f>
        <v>FEV</v>
      </c>
      <c r="H680" t="str">
        <f>UPPER(TEXT(Tabela_DB[[#This Row],[DATA]],"aaaa"))</f>
        <v>2021</v>
      </c>
    </row>
    <row r="681" spans="1:8" x14ac:dyDescent="0.25">
      <c r="A681" s="2">
        <v>44235</v>
      </c>
      <c r="B681" t="s">
        <v>111</v>
      </c>
      <c r="C681">
        <v>-2382</v>
      </c>
      <c r="D681" t="str">
        <f>VLOOKUP(B681,Tabela_Auxiliar[],2,0)</f>
        <v>2. Deduções da Receita</v>
      </c>
      <c r="E681" t="str">
        <f>VLOOKUP(B681,Tabela_Auxiliar[],4,0)</f>
        <v>Imposto</v>
      </c>
      <c r="F681" t="str">
        <f>VLOOKUP(B681,Tabela_Auxiliar[],3,0)</f>
        <v>Saída</v>
      </c>
      <c r="G681" t="str">
        <f>UPPER(TEXT(Tabela_DB[[#This Row],[DATA]],"mmm"))</f>
        <v>FEV</v>
      </c>
      <c r="H681" t="str">
        <f>UPPER(TEXT(Tabela_DB[[#This Row],[DATA]],"aaaa"))</f>
        <v>2021</v>
      </c>
    </row>
    <row r="682" spans="1:8" x14ac:dyDescent="0.25">
      <c r="A682" s="2">
        <v>44235</v>
      </c>
      <c r="B682" t="s">
        <v>3</v>
      </c>
      <c r="C682">
        <v>12502</v>
      </c>
      <c r="D682" t="str">
        <f>VLOOKUP(B682,Tabela_Auxiliar[],2,0)</f>
        <v>1. Receita Operacional Bruta</v>
      </c>
      <c r="E682" t="str">
        <f>VLOOKUP(B682,Tabela_Auxiliar[],4,0)</f>
        <v>Receita Bruta</v>
      </c>
      <c r="F682" t="str">
        <f>VLOOKUP(B682,Tabela_Auxiliar[],3,0)</f>
        <v>Entrada</v>
      </c>
      <c r="G682" t="str">
        <f>UPPER(TEXT(Tabela_DB[[#This Row],[DATA]],"mmm"))</f>
        <v>FEV</v>
      </c>
      <c r="H682" t="str">
        <f>UPPER(TEXT(Tabela_DB[[#This Row],[DATA]],"aaaa"))</f>
        <v>2021</v>
      </c>
    </row>
    <row r="683" spans="1:8" x14ac:dyDescent="0.25">
      <c r="A683" s="2">
        <v>44235</v>
      </c>
      <c r="B683" t="s">
        <v>3</v>
      </c>
      <c r="C683">
        <v>13395</v>
      </c>
      <c r="D683" t="str">
        <f>VLOOKUP(B683,Tabela_Auxiliar[],2,0)</f>
        <v>1. Receita Operacional Bruta</v>
      </c>
      <c r="E683" t="str">
        <f>VLOOKUP(B683,Tabela_Auxiliar[],4,0)</f>
        <v>Receita Bruta</v>
      </c>
      <c r="F683" t="str">
        <f>VLOOKUP(B683,Tabela_Auxiliar[],3,0)</f>
        <v>Entrada</v>
      </c>
      <c r="G683" t="str">
        <f>UPPER(TEXT(Tabela_DB[[#This Row],[DATA]],"mmm"))</f>
        <v>FEV</v>
      </c>
      <c r="H683" t="str">
        <f>UPPER(TEXT(Tabela_DB[[#This Row],[DATA]],"aaaa"))</f>
        <v>2021</v>
      </c>
    </row>
    <row r="684" spans="1:8" x14ac:dyDescent="0.25">
      <c r="A684" s="2">
        <v>44235</v>
      </c>
      <c r="B684" t="s">
        <v>90</v>
      </c>
      <c r="C684">
        <v>-1334</v>
      </c>
      <c r="D684" t="str">
        <f>VLOOKUP(B684,Tabela_Auxiliar[],2,0)</f>
        <v>4. Despesas Operacionais</v>
      </c>
      <c r="E684" t="str">
        <f>VLOOKUP(B684,Tabela_Auxiliar[],4,0)</f>
        <v>Despesa Tributária</v>
      </c>
      <c r="F684" t="str">
        <f>VLOOKUP(B684,Tabela_Auxiliar[],3,0)</f>
        <v>Saída</v>
      </c>
      <c r="G684" t="str">
        <f>UPPER(TEXT(Tabela_DB[[#This Row],[DATA]],"mmm"))</f>
        <v>FEV</v>
      </c>
      <c r="H684" t="str">
        <f>UPPER(TEXT(Tabela_DB[[#This Row],[DATA]],"aaaa"))</f>
        <v>2021</v>
      </c>
    </row>
    <row r="685" spans="1:8" x14ac:dyDescent="0.25">
      <c r="A685" s="2">
        <v>44235</v>
      </c>
      <c r="B685" t="s">
        <v>58</v>
      </c>
      <c r="C685">
        <v>-2027</v>
      </c>
      <c r="D685" t="str">
        <f>VLOOKUP(B685,Tabela_Auxiliar[],2,0)</f>
        <v>4. Despesas Operacionais</v>
      </c>
      <c r="E685" t="str">
        <f>VLOOKUP(B685,Tabela_Auxiliar[],4,0)</f>
        <v>Despesa de Depreciação</v>
      </c>
      <c r="F685" t="str">
        <f>VLOOKUP(B685,Tabela_Auxiliar[],3,0)</f>
        <v>Saída</v>
      </c>
      <c r="G685" t="str">
        <f>UPPER(TEXT(Tabela_DB[[#This Row],[DATA]],"mmm"))</f>
        <v>FEV</v>
      </c>
      <c r="H685" t="str">
        <f>UPPER(TEXT(Tabela_DB[[#This Row],[DATA]],"aaaa"))</f>
        <v>2021</v>
      </c>
    </row>
    <row r="686" spans="1:8" x14ac:dyDescent="0.25">
      <c r="A686" s="2">
        <v>44235</v>
      </c>
      <c r="B686" t="s">
        <v>31</v>
      </c>
      <c r="C686">
        <v>-1230</v>
      </c>
      <c r="D686" t="str">
        <f>VLOOKUP(B686,Tabela_Auxiliar[],2,0)</f>
        <v>5. Resultado Financeiro</v>
      </c>
      <c r="E686" t="str">
        <f>VLOOKUP(B686,Tabela_Auxiliar[],4,0)</f>
        <v>Participação nos resultados</v>
      </c>
      <c r="F686" t="str">
        <f>VLOOKUP(B686,Tabela_Auxiliar[],3,0)</f>
        <v>Saída</v>
      </c>
      <c r="G686" t="str">
        <f>UPPER(TEXT(Tabela_DB[[#This Row],[DATA]],"mmm"))</f>
        <v>FEV</v>
      </c>
      <c r="H686" t="str">
        <f>UPPER(TEXT(Tabela_DB[[#This Row],[DATA]],"aaaa"))</f>
        <v>2021</v>
      </c>
    </row>
    <row r="687" spans="1:8" x14ac:dyDescent="0.25">
      <c r="A687" s="2">
        <v>44235</v>
      </c>
      <c r="B687" t="s">
        <v>111</v>
      </c>
      <c r="C687">
        <v>-2082</v>
      </c>
      <c r="D687" t="str">
        <f>VLOOKUP(B687,Tabela_Auxiliar[],2,0)</f>
        <v>2. Deduções da Receita</v>
      </c>
      <c r="E687" t="str">
        <f>VLOOKUP(B687,Tabela_Auxiliar[],4,0)</f>
        <v>Imposto</v>
      </c>
      <c r="F687" t="str">
        <f>VLOOKUP(B687,Tabela_Auxiliar[],3,0)</f>
        <v>Saída</v>
      </c>
      <c r="G687" t="str">
        <f>UPPER(TEXT(Tabela_DB[[#This Row],[DATA]],"mmm"))</f>
        <v>FEV</v>
      </c>
      <c r="H687" t="str">
        <f>UPPER(TEXT(Tabela_DB[[#This Row],[DATA]],"aaaa"))</f>
        <v>2021</v>
      </c>
    </row>
    <row r="688" spans="1:8" x14ac:dyDescent="0.25">
      <c r="A688" s="2">
        <v>44235</v>
      </c>
      <c r="B688" t="s">
        <v>35</v>
      </c>
      <c r="C688">
        <v>-1921</v>
      </c>
      <c r="D688" t="str">
        <f>VLOOKUP(B688,Tabela_Auxiliar[],2,0)</f>
        <v>2. Deduções da Receita</v>
      </c>
      <c r="E688" t="str">
        <f>VLOOKUP(B688,Tabela_Auxiliar[],4,0)</f>
        <v>Imposto</v>
      </c>
      <c r="F688" t="str">
        <f>VLOOKUP(B688,Tabela_Auxiliar[],3,0)</f>
        <v>Saída</v>
      </c>
      <c r="G688" t="str">
        <f>UPPER(TEXT(Tabela_DB[[#This Row],[DATA]],"mmm"))</f>
        <v>FEV</v>
      </c>
      <c r="H688" t="str">
        <f>UPPER(TEXT(Tabela_DB[[#This Row],[DATA]],"aaaa"))</f>
        <v>2021</v>
      </c>
    </row>
    <row r="689" spans="1:8" x14ac:dyDescent="0.25">
      <c r="A689" s="2">
        <v>44235</v>
      </c>
      <c r="B689" t="s">
        <v>3</v>
      </c>
      <c r="C689">
        <v>13660</v>
      </c>
      <c r="D689" t="str">
        <f>VLOOKUP(B689,Tabela_Auxiliar[],2,0)</f>
        <v>1. Receita Operacional Bruta</v>
      </c>
      <c r="E689" t="str">
        <f>VLOOKUP(B689,Tabela_Auxiliar[],4,0)</f>
        <v>Receita Bruta</v>
      </c>
      <c r="F689" t="str">
        <f>VLOOKUP(B689,Tabela_Auxiliar[],3,0)</f>
        <v>Entrada</v>
      </c>
      <c r="G689" t="str">
        <f>UPPER(TEXT(Tabela_DB[[#This Row],[DATA]],"mmm"))</f>
        <v>FEV</v>
      </c>
      <c r="H689" t="str">
        <f>UPPER(TEXT(Tabela_DB[[#This Row],[DATA]],"aaaa"))</f>
        <v>2021</v>
      </c>
    </row>
    <row r="690" spans="1:8" x14ac:dyDescent="0.25">
      <c r="A690" s="2">
        <v>44236</v>
      </c>
      <c r="B690" t="s">
        <v>37</v>
      </c>
      <c r="C690">
        <v>-3540</v>
      </c>
      <c r="D690" t="str">
        <f>VLOOKUP(B690,Tabela_Auxiliar[],2,0)</f>
        <v>3. Custos do Produto/Mercadoria/Serviço</v>
      </c>
      <c r="E690" t="str">
        <f>VLOOKUP(B690,Tabela_Auxiliar[],4,0)</f>
        <v>Despesas c/ Produto</v>
      </c>
      <c r="F690" t="str">
        <f>VLOOKUP(B690,Tabela_Auxiliar[],3,0)</f>
        <v>Saída</v>
      </c>
      <c r="G690" t="str">
        <f>UPPER(TEXT(Tabela_DB[[#This Row],[DATA]],"mmm"))</f>
        <v>FEV</v>
      </c>
      <c r="H690" t="str">
        <f>UPPER(TEXT(Tabela_DB[[#This Row],[DATA]],"aaaa"))</f>
        <v>2021</v>
      </c>
    </row>
    <row r="691" spans="1:8" x14ac:dyDescent="0.25">
      <c r="A691" s="2">
        <v>44236</v>
      </c>
      <c r="B691" t="s">
        <v>4</v>
      </c>
      <c r="C691">
        <v>12780</v>
      </c>
      <c r="D691" t="str">
        <f>VLOOKUP(B691,Tabela_Auxiliar[],2,0)</f>
        <v>1. Receita Operacional Bruta</v>
      </c>
      <c r="E691" t="str">
        <f>VLOOKUP(B691,Tabela_Auxiliar[],4,0)</f>
        <v>Receita Bruta</v>
      </c>
      <c r="F691" t="str">
        <f>VLOOKUP(B691,Tabela_Auxiliar[],3,0)</f>
        <v>Entrada</v>
      </c>
      <c r="G691" t="str">
        <f>UPPER(TEXT(Tabela_DB[[#This Row],[DATA]],"mmm"))</f>
        <v>FEV</v>
      </c>
      <c r="H691" t="str">
        <f>UPPER(TEXT(Tabela_DB[[#This Row],[DATA]],"aaaa"))</f>
        <v>2021</v>
      </c>
    </row>
    <row r="692" spans="1:8" x14ac:dyDescent="0.25">
      <c r="A692" s="2">
        <v>44236</v>
      </c>
      <c r="B692" t="s">
        <v>35</v>
      </c>
      <c r="C692">
        <v>-1694</v>
      </c>
      <c r="D692" t="str">
        <f>VLOOKUP(B692,Tabela_Auxiliar[],2,0)</f>
        <v>2. Deduções da Receita</v>
      </c>
      <c r="E692" t="str">
        <f>VLOOKUP(B692,Tabela_Auxiliar[],4,0)</f>
        <v>Imposto</v>
      </c>
      <c r="F692" t="str">
        <f>VLOOKUP(B692,Tabela_Auxiliar[],3,0)</f>
        <v>Saída</v>
      </c>
      <c r="G692" t="str">
        <f>UPPER(TEXT(Tabela_DB[[#This Row],[DATA]],"mmm"))</f>
        <v>FEV</v>
      </c>
      <c r="H692" t="str">
        <f>UPPER(TEXT(Tabela_DB[[#This Row],[DATA]],"aaaa"))</f>
        <v>2021</v>
      </c>
    </row>
    <row r="693" spans="1:8" x14ac:dyDescent="0.25">
      <c r="A693" s="2">
        <v>44236</v>
      </c>
      <c r="B693" t="s">
        <v>4</v>
      </c>
      <c r="C693">
        <v>11698</v>
      </c>
      <c r="D693" t="str">
        <f>VLOOKUP(B693,Tabela_Auxiliar[],2,0)</f>
        <v>1. Receita Operacional Bruta</v>
      </c>
      <c r="E693" t="str">
        <f>VLOOKUP(B693,Tabela_Auxiliar[],4,0)</f>
        <v>Receita Bruta</v>
      </c>
      <c r="F693" t="str">
        <f>VLOOKUP(B693,Tabela_Auxiliar[],3,0)</f>
        <v>Entrada</v>
      </c>
      <c r="G693" t="str">
        <f>UPPER(TEXT(Tabela_DB[[#This Row],[DATA]],"mmm"))</f>
        <v>FEV</v>
      </c>
      <c r="H693" t="str">
        <f>UPPER(TEXT(Tabela_DB[[#This Row],[DATA]],"aaaa"))</f>
        <v>2021</v>
      </c>
    </row>
    <row r="694" spans="1:8" x14ac:dyDescent="0.25">
      <c r="A694" s="2">
        <v>44236</v>
      </c>
      <c r="B694" t="s">
        <v>50</v>
      </c>
      <c r="C694">
        <v>-1128</v>
      </c>
      <c r="D694" t="str">
        <f>VLOOKUP(B694,Tabela_Auxiliar[],2,0)</f>
        <v>4. Despesas Operacionais</v>
      </c>
      <c r="E694" t="str">
        <f>VLOOKUP(B694,Tabela_Auxiliar[],4,0)</f>
        <v>Despesa com Pessoal</v>
      </c>
      <c r="F694" t="str">
        <f>VLOOKUP(B694,Tabela_Auxiliar[],3,0)</f>
        <v>Saída</v>
      </c>
      <c r="G694" t="str">
        <f>UPPER(TEXT(Tabela_DB[[#This Row],[DATA]],"mmm"))</f>
        <v>FEV</v>
      </c>
      <c r="H694" t="str">
        <f>UPPER(TEXT(Tabela_DB[[#This Row],[DATA]],"aaaa"))</f>
        <v>2021</v>
      </c>
    </row>
    <row r="695" spans="1:8" x14ac:dyDescent="0.25">
      <c r="A695" s="2">
        <v>44236</v>
      </c>
      <c r="B695" t="s">
        <v>111</v>
      </c>
      <c r="C695">
        <v>-1783</v>
      </c>
      <c r="D695" t="str">
        <f>VLOOKUP(B695,Tabela_Auxiliar[],2,0)</f>
        <v>2. Deduções da Receita</v>
      </c>
      <c r="E695" t="str">
        <f>VLOOKUP(B695,Tabela_Auxiliar[],4,0)</f>
        <v>Imposto</v>
      </c>
      <c r="F695" t="str">
        <f>VLOOKUP(B695,Tabela_Auxiliar[],3,0)</f>
        <v>Saída</v>
      </c>
      <c r="G695" t="str">
        <f>UPPER(TEXT(Tabela_DB[[#This Row],[DATA]],"mmm"))</f>
        <v>FEV</v>
      </c>
      <c r="H695" t="str">
        <f>UPPER(TEXT(Tabela_DB[[#This Row],[DATA]],"aaaa"))</f>
        <v>2021</v>
      </c>
    </row>
    <row r="696" spans="1:8" x14ac:dyDescent="0.25">
      <c r="A696" s="2">
        <v>44236</v>
      </c>
      <c r="B696" t="s">
        <v>3</v>
      </c>
      <c r="C696">
        <v>10223</v>
      </c>
      <c r="D696" t="str">
        <f>VLOOKUP(B696,Tabela_Auxiliar[],2,0)</f>
        <v>1. Receita Operacional Bruta</v>
      </c>
      <c r="E696" t="str">
        <f>VLOOKUP(B696,Tabela_Auxiliar[],4,0)</f>
        <v>Receita Bruta</v>
      </c>
      <c r="F696" t="str">
        <f>VLOOKUP(B696,Tabela_Auxiliar[],3,0)</f>
        <v>Entrada</v>
      </c>
      <c r="G696" t="str">
        <f>UPPER(TEXT(Tabela_DB[[#This Row],[DATA]],"mmm"))</f>
        <v>FEV</v>
      </c>
      <c r="H696" t="str">
        <f>UPPER(TEXT(Tabela_DB[[#This Row],[DATA]],"aaaa"))</f>
        <v>2021</v>
      </c>
    </row>
    <row r="697" spans="1:8" x14ac:dyDescent="0.25">
      <c r="A697" s="2">
        <v>44236</v>
      </c>
      <c r="B697" t="s">
        <v>48</v>
      </c>
      <c r="C697">
        <v>-1950</v>
      </c>
      <c r="D697" t="str">
        <f>VLOOKUP(B697,Tabela_Auxiliar[],2,0)</f>
        <v>4. Despesas Operacionais</v>
      </c>
      <c r="E697" t="str">
        <f>VLOOKUP(B697,Tabela_Auxiliar[],4,0)</f>
        <v>Despesa com Pessoal</v>
      </c>
      <c r="F697" t="str">
        <f>VLOOKUP(B697,Tabela_Auxiliar[],3,0)</f>
        <v>Saída</v>
      </c>
      <c r="G697" t="str">
        <f>UPPER(TEXT(Tabela_DB[[#This Row],[DATA]],"mmm"))</f>
        <v>FEV</v>
      </c>
      <c r="H697" t="str">
        <f>UPPER(TEXT(Tabela_DB[[#This Row],[DATA]],"aaaa"))</f>
        <v>2021</v>
      </c>
    </row>
    <row r="698" spans="1:8" x14ac:dyDescent="0.25">
      <c r="A698" s="2">
        <v>44236</v>
      </c>
      <c r="B698" t="s">
        <v>4</v>
      </c>
      <c r="C698">
        <v>13102</v>
      </c>
      <c r="D698" t="str">
        <f>VLOOKUP(B698,Tabela_Auxiliar[],2,0)</f>
        <v>1. Receita Operacional Bruta</v>
      </c>
      <c r="E698" t="str">
        <f>VLOOKUP(B698,Tabela_Auxiliar[],4,0)</f>
        <v>Receita Bruta</v>
      </c>
      <c r="F698" t="str">
        <f>VLOOKUP(B698,Tabela_Auxiliar[],3,0)</f>
        <v>Entrada</v>
      </c>
      <c r="G698" t="str">
        <f>UPPER(TEXT(Tabela_DB[[#This Row],[DATA]],"mmm"))</f>
        <v>FEV</v>
      </c>
      <c r="H698" t="str">
        <f>UPPER(TEXT(Tabela_DB[[#This Row],[DATA]],"aaaa"))</f>
        <v>2021</v>
      </c>
    </row>
    <row r="699" spans="1:8" x14ac:dyDescent="0.25">
      <c r="A699" s="2">
        <v>44236</v>
      </c>
      <c r="B699" t="s">
        <v>38</v>
      </c>
      <c r="C699">
        <v>-1011</v>
      </c>
      <c r="D699" t="str">
        <f>VLOOKUP(B699,Tabela_Auxiliar[],2,0)</f>
        <v>2. Deduções da Receita</v>
      </c>
      <c r="E699" t="str">
        <f>VLOOKUP(B699,Tabela_Auxiliar[],4,0)</f>
        <v>Deduções</v>
      </c>
      <c r="F699" t="str">
        <f>VLOOKUP(B699,Tabela_Auxiliar[],3,0)</f>
        <v>Saída</v>
      </c>
      <c r="G699" t="str">
        <f>UPPER(TEXT(Tabela_DB[[#This Row],[DATA]],"mmm"))</f>
        <v>FEV</v>
      </c>
      <c r="H699" t="str">
        <f>UPPER(TEXT(Tabela_DB[[#This Row],[DATA]],"aaaa"))</f>
        <v>2021</v>
      </c>
    </row>
    <row r="700" spans="1:8" x14ac:dyDescent="0.25">
      <c r="A700" s="2">
        <v>44236</v>
      </c>
      <c r="B700" t="s">
        <v>40</v>
      </c>
      <c r="C700">
        <v>-1621</v>
      </c>
      <c r="D700" t="str">
        <f>VLOOKUP(B700,Tabela_Auxiliar[],2,0)</f>
        <v>4. Despesas Operacionais</v>
      </c>
      <c r="E700" t="str">
        <f>VLOOKUP(B700,Tabela_Auxiliar[],4,0)</f>
        <v>Despesa com Pessoal</v>
      </c>
      <c r="F700" t="str">
        <f>VLOOKUP(B700,Tabela_Auxiliar[],3,0)</f>
        <v>Saída</v>
      </c>
      <c r="G700" t="str">
        <f>UPPER(TEXT(Tabela_DB[[#This Row],[DATA]],"mmm"))</f>
        <v>FEV</v>
      </c>
      <c r="H700" t="str">
        <f>UPPER(TEXT(Tabela_DB[[#This Row],[DATA]],"aaaa"))</f>
        <v>2021</v>
      </c>
    </row>
    <row r="701" spans="1:8" x14ac:dyDescent="0.25">
      <c r="A701" s="2">
        <v>44236</v>
      </c>
      <c r="B701" t="s">
        <v>51</v>
      </c>
      <c r="C701">
        <v>-1974</v>
      </c>
      <c r="D701" t="str">
        <f>VLOOKUP(B701,Tabela_Auxiliar[],2,0)</f>
        <v>4. Despesas Operacionais</v>
      </c>
      <c r="E701" t="str">
        <f>VLOOKUP(B701,Tabela_Auxiliar[],4,0)</f>
        <v>Despesa com Pessoal</v>
      </c>
      <c r="F701" t="str">
        <f>VLOOKUP(B701,Tabela_Auxiliar[],3,0)</f>
        <v>Saída</v>
      </c>
      <c r="G701" t="str">
        <f>UPPER(TEXT(Tabela_DB[[#This Row],[DATA]],"mmm"))</f>
        <v>FEV</v>
      </c>
      <c r="H701" t="str">
        <f>UPPER(TEXT(Tabela_DB[[#This Row],[DATA]],"aaaa"))</f>
        <v>2021</v>
      </c>
    </row>
    <row r="702" spans="1:8" x14ac:dyDescent="0.25">
      <c r="A702" s="2">
        <v>44236</v>
      </c>
      <c r="B702" t="s">
        <v>74</v>
      </c>
      <c r="C702">
        <v>-1638</v>
      </c>
      <c r="D702" t="str">
        <f>VLOOKUP(B702,Tabela_Auxiliar[],2,0)</f>
        <v>4. Despesas Operacionais</v>
      </c>
      <c r="E702" t="str">
        <f>VLOOKUP(B702,Tabela_Auxiliar[],4,0)</f>
        <v>Serviços Contratados</v>
      </c>
      <c r="F702" t="str">
        <f>VLOOKUP(B702,Tabela_Auxiliar[],3,0)</f>
        <v>Saída</v>
      </c>
      <c r="G702" t="str">
        <f>UPPER(TEXT(Tabela_DB[[#This Row],[DATA]],"mmm"))</f>
        <v>FEV</v>
      </c>
      <c r="H702" t="str">
        <f>UPPER(TEXT(Tabela_DB[[#This Row],[DATA]],"aaaa"))</f>
        <v>2021</v>
      </c>
    </row>
    <row r="703" spans="1:8" x14ac:dyDescent="0.25">
      <c r="A703" s="2">
        <v>44236</v>
      </c>
      <c r="B703" t="s">
        <v>83</v>
      </c>
      <c r="C703">
        <v>-1553</v>
      </c>
      <c r="D703" t="str">
        <f>VLOOKUP(B703,Tabela_Auxiliar[],2,0)</f>
        <v>4. Despesas Operacionais</v>
      </c>
      <c r="E703" t="str">
        <f>VLOOKUP(B703,Tabela_Auxiliar[],4,0)</f>
        <v>Despesa com Veículos</v>
      </c>
      <c r="F703" t="str">
        <f>VLOOKUP(B703,Tabela_Auxiliar[],3,0)</f>
        <v>Saída</v>
      </c>
      <c r="G703" t="str">
        <f>UPPER(TEXT(Tabela_DB[[#This Row],[DATA]],"mmm"))</f>
        <v>FEV</v>
      </c>
      <c r="H703" t="str">
        <f>UPPER(TEXT(Tabela_DB[[#This Row],[DATA]],"aaaa"))</f>
        <v>2021</v>
      </c>
    </row>
    <row r="704" spans="1:8" x14ac:dyDescent="0.25">
      <c r="A704" s="2">
        <v>44236</v>
      </c>
      <c r="B704" t="s">
        <v>51</v>
      </c>
      <c r="C704">
        <v>-1211</v>
      </c>
      <c r="D704" t="str">
        <f>VLOOKUP(B704,Tabela_Auxiliar[],2,0)</f>
        <v>4. Despesas Operacionais</v>
      </c>
      <c r="E704" t="str">
        <f>VLOOKUP(B704,Tabela_Auxiliar[],4,0)</f>
        <v>Despesa com Pessoal</v>
      </c>
      <c r="F704" t="str">
        <f>VLOOKUP(B704,Tabela_Auxiliar[],3,0)</f>
        <v>Saída</v>
      </c>
      <c r="G704" t="str">
        <f>UPPER(TEXT(Tabela_DB[[#This Row],[DATA]],"mmm"))</f>
        <v>FEV</v>
      </c>
      <c r="H704" t="str">
        <f>UPPER(TEXT(Tabela_DB[[#This Row],[DATA]],"aaaa"))</f>
        <v>2021</v>
      </c>
    </row>
    <row r="705" spans="1:8" x14ac:dyDescent="0.25">
      <c r="A705" s="2">
        <v>44236</v>
      </c>
      <c r="B705" t="s">
        <v>35</v>
      </c>
      <c r="C705">
        <v>-1326</v>
      </c>
      <c r="D705" t="str">
        <f>VLOOKUP(B705,Tabela_Auxiliar[],2,0)</f>
        <v>2. Deduções da Receita</v>
      </c>
      <c r="E705" t="str">
        <f>VLOOKUP(B705,Tabela_Auxiliar[],4,0)</f>
        <v>Imposto</v>
      </c>
      <c r="F705" t="str">
        <f>VLOOKUP(B705,Tabela_Auxiliar[],3,0)</f>
        <v>Saída</v>
      </c>
      <c r="G705" t="str">
        <f>UPPER(TEXT(Tabela_DB[[#This Row],[DATA]],"mmm"))</f>
        <v>FEV</v>
      </c>
      <c r="H705" t="str">
        <f>UPPER(TEXT(Tabela_DB[[#This Row],[DATA]],"aaaa"))</f>
        <v>2021</v>
      </c>
    </row>
    <row r="706" spans="1:8" x14ac:dyDescent="0.25">
      <c r="A706" s="2">
        <v>44236</v>
      </c>
      <c r="B706" t="s">
        <v>34</v>
      </c>
      <c r="C706">
        <v>-1113</v>
      </c>
      <c r="D706" t="str">
        <f>VLOOKUP(B706,Tabela_Auxiliar[],2,0)</f>
        <v>2. Deduções da Receita</v>
      </c>
      <c r="E706" t="str">
        <f>VLOOKUP(B706,Tabela_Auxiliar[],4,0)</f>
        <v>Imposto</v>
      </c>
      <c r="F706" t="str">
        <f>VLOOKUP(B706,Tabela_Auxiliar[],3,0)</f>
        <v>Saída</v>
      </c>
      <c r="G706" t="str">
        <f>UPPER(TEXT(Tabela_DB[[#This Row],[DATA]],"mmm"))</f>
        <v>FEV</v>
      </c>
      <c r="H706" t="str">
        <f>UPPER(TEXT(Tabela_DB[[#This Row],[DATA]],"aaaa"))</f>
        <v>2021</v>
      </c>
    </row>
    <row r="707" spans="1:8" x14ac:dyDescent="0.25">
      <c r="A707" s="2">
        <v>44236</v>
      </c>
      <c r="B707" t="s">
        <v>34</v>
      </c>
      <c r="C707">
        <v>-2163</v>
      </c>
      <c r="D707" t="str">
        <f>VLOOKUP(B707,Tabela_Auxiliar[],2,0)</f>
        <v>2. Deduções da Receita</v>
      </c>
      <c r="E707" t="str">
        <f>VLOOKUP(B707,Tabela_Auxiliar[],4,0)</f>
        <v>Imposto</v>
      </c>
      <c r="F707" t="str">
        <f>VLOOKUP(B707,Tabela_Auxiliar[],3,0)</f>
        <v>Saída</v>
      </c>
      <c r="G707" t="str">
        <f>UPPER(TEXT(Tabela_DB[[#This Row],[DATA]],"mmm"))</f>
        <v>FEV</v>
      </c>
      <c r="H707" t="str">
        <f>UPPER(TEXT(Tabela_DB[[#This Row],[DATA]],"aaaa"))</f>
        <v>2021</v>
      </c>
    </row>
    <row r="708" spans="1:8" x14ac:dyDescent="0.25">
      <c r="A708" s="2">
        <v>44236</v>
      </c>
      <c r="B708" t="s">
        <v>4</v>
      </c>
      <c r="C708">
        <v>10344</v>
      </c>
      <c r="D708" t="str">
        <f>VLOOKUP(B708,Tabela_Auxiliar[],2,0)</f>
        <v>1. Receita Operacional Bruta</v>
      </c>
      <c r="E708" t="str">
        <f>VLOOKUP(B708,Tabela_Auxiliar[],4,0)</f>
        <v>Receita Bruta</v>
      </c>
      <c r="F708" t="str">
        <f>VLOOKUP(B708,Tabela_Auxiliar[],3,0)</f>
        <v>Entrada</v>
      </c>
      <c r="G708" t="str">
        <f>UPPER(TEXT(Tabela_DB[[#This Row],[DATA]],"mmm"))</f>
        <v>FEV</v>
      </c>
      <c r="H708" t="str">
        <f>UPPER(TEXT(Tabela_DB[[#This Row],[DATA]],"aaaa"))</f>
        <v>2021</v>
      </c>
    </row>
    <row r="709" spans="1:8" x14ac:dyDescent="0.25">
      <c r="A709" s="2">
        <v>44236</v>
      </c>
      <c r="B709" t="s">
        <v>38</v>
      </c>
      <c r="C709">
        <v>-2241</v>
      </c>
      <c r="D709" t="str">
        <f>VLOOKUP(B709,Tabela_Auxiliar[],2,0)</f>
        <v>2. Deduções da Receita</v>
      </c>
      <c r="E709" t="str">
        <f>VLOOKUP(B709,Tabela_Auxiliar[],4,0)</f>
        <v>Deduções</v>
      </c>
      <c r="F709" t="str">
        <f>VLOOKUP(B709,Tabela_Auxiliar[],3,0)</f>
        <v>Saída</v>
      </c>
      <c r="G709" t="str">
        <f>UPPER(TEXT(Tabela_DB[[#This Row],[DATA]],"mmm"))</f>
        <v>FEV</v>
      </c>
      <c r="H709" t="str">
        <f>UPPER(TEXT(Tabela_DB[[#This Row],[DATA]],"aaaa"))</f>
        <v>2021</v>
      </c>
    </row>
    <row r="710" spans="1:8" x14ac:dyDescent="0.25">
      <c r="A710" s="2">
        <v>44236</v>
      </c>
      <c r="B710" t="s">
        <v>45</v>
      </c>
      <c r="C710">
        <v>-2140</v>
      </c>
      <c r="D710" t="str">
        <f>VLOOKUP(B710,Tabela_Auxiliar[],2,0)</f>
        <v>4. Despesas Operacionais</v>
      </c>
      <c r="E710" t="str">
        <f>VLOOKUP(B710,Tabela_Auxiliar[],4,0)</f>
        <v>Despesa com Pessoal</v>
      </c>
      <c r="F710" t="str">
        <f>VLOOKUP(B710,Tabela_Auxiliar[],3,0)</f>
        <v>Saída</v>
      </c>
      <c r="G710" t="str">
        <f>UPPER(TEXT(Tabela_DB[[#This Row],[DATA]],"mmm"))</f>
        <v>FEV</v>
      </c>
      <c r="H710" t="str">
        <f>UPPER(TEXT(Tabela_DB[[#This Row],[DATA]],"aaaa"))</f>
        <v>2021</v>
      </c>
    </row>
    <row r="711" spans="1:8" x14ac:dyDescent="0.25">
      <c r="A711" s="2">
        <v>44236</v>
      </c>
      <c r="B711" t="s">
        <v>34</v>
      </c>
      <c r="C711">
        <v>-1393</v>
      </c>
      <c r="D711" t="str">
        <f>VLOOKUP(B711,Tabela_Auxiliar[],2,0)</f>
        <v>2. Deduções da Receita</v>
      </c>
      <c r="E711" t="str">
        <f>VLOOKUP(B711,Tabela_Auxiliar[],4,0)</f>
        <v>Imposto</v>
      </c>
      <c r="F711" t="str">
        <f>VLOOKUP(B711,Tabela_Auxiliar[],3,0)</f>
        <v>Saída</v>
      </c>
      <c r="G711" t="str">
        <f>UPPER(TEXT(Tabela_DB[[#This Row],[DATA]],"mmm"))</f>
        <v>FEV</v>
      </c>
      <c r="H711" t="str">
        <f>UPPER(TEXT(Tabela_DB[[#This Row],[DATA]],"aaaa"))</f>
        <v>2021</v>
      </c>
    </row>
    <row r="712" spans="1:8" x14ac:dyDescent="0.25">
      <c r="A712" s="2">
        <v>44237</v>
      </c>
      <c r="B712" t="s">
        <v>37</v>
      </c>
      <c r="C712">
        <v>-3442</v>
      </c>
      <c r="D712" t="str">
        <f>VLOOKUP(B712,Tabela_Auxiliar[],2,0)</f>
        <v>3. Custos do Produto/Mercadoria/Serviço</v>
      </c>
      <c r="E712" t="str">
        <f>VLOOKUP(B712,Tabela_Auxiliar[],4,0)</f>
        <v>Despesas c/ Produto</v>
      </c>
      <c r="F712" t="str">
        <f>VLOOKUP(B712,Tabela_Auxiliar[],3,0)</f>
        <v>Saída</v>
      </c>
      <c r="G712" t="str">
        <f>UPPER(TEXT(Tabela_DB[[#This Row],[DATA]],"mmm"))</f>
        <v>FEV</v>
      </c>
      <c r="H712" t="str">
        <f>UPPER(TEXT(Tabela_DB[[#This Row],[DATA]],"aaaa"))</f>
        <v>2021</v>
      </c>
    </row>
    <row r="713" spans="1:8" x14ac:dyDescent="0.25">
      <c r="A713" s="2">
        <v>44237</v>
      </c>
      <c r="B713" t="s">
        <v>50</v>
      </c>
      <c r="C713">
        <v>-1883</v>
      </c>
      <c r="D713" t="str">
        <f>VLOOKUP(B713,Tabela_Auxiliar[],2,0)</f>
        <v>4. Despesas Operacionais</v>
      </c>
      <c r="E713" t="str">
        <f>VLOOKUP(B713,Tabela_Auxiliar[],4,0)</f>
        <v>Despesa com Pessoal</v>
      </c>
      <c r="F713" t="str">
        <f>VLOOKUP(B713,Tabela_Auxiliar[],3,0)</f>
        <v>Saída</v>
      </c>
      <c r="G713" t="str">
        <f>UPPER(TEXT(Tabela_DB[[#This Row],[DATA]],"mmm"))</f>
        <v>FEV</v>
      </c>
      <c r="H713" t="str">
        <f>UPPER(TEXT(Tabela_DB[[#This Row],[DATA]],"aaaa"))</f>
        <v>2021</v>
      </c>
    </row>
    <row r="714" spans="1:8" x14ac:dyDescent="0.25">
      <c r="A714" s="2">
        <v>44237</v>
      </c>
      <c r="B714" t="s">
        <v>48</v>
      </c>
      <c r="C714">
        <v>-1590</v>
      </c>
      <c r="D714" t="str">
        <f>VLOOKUP(B714,Tabela_Auxiliar[],2,0)</f>
        <v>4. Despesas Operacionais</v>
      </c>
      <c r="E714" t="str">
        <f>VLOOKUP(B714,Tabela_Auxiliar[],4,0)</f>
        <v>Despesa com Pessoal</v>
      </c>
      <c r="F714" t="str">
        <f>VLOOKUP(B714,Tabela_Auxiliar[],3,0)</f>
        <v>Saída</v>
      </c>
      <c r="G714" t="str">
        <f>UPPER(TEXT(Tabela_DB[[#This Row],[DATA]],"mmm"))</f>
        <v>FEV</v>
      </c>
      <c r="H714" t="str">
        <f>UPPER(TEXT(Tabela_DB[[#This Row],[DATA]],"aaaa"))</f>
        <v>2021</v>
      </c>
    </row>
    <row r="715" spans="1:8" x14ac:dyDescent="0.25">
      <c r="A715" s="2">
        <v>44237</v>
      </c>
      <c r="B715" t="s">
        <v>34</v>
      </c>
      <c r="C715">
        <v>-1168</v>
      </c>
      <c r="D715" t="str">
        <f>VLOOKUP(B715,Tabela_Auxiliar[],2,0)</f>
        <v>2. Deduções da Receita</v>
      </c>
      <c r="E715" t="str">
        <f>VLOOKUP(B715,Tabela_Auxiliar[],4,0)</f>
        <v>Imposto</v>
      </c>
      <c r="F715" t="str">
        <f>VLOOKUP(B715,Tabela_Auxiliar[],3,0)</f>
        <v>Saída</v>
      </c>
      <c r="G715" t="str">
        <f>UPPER(TEXT(Tabela_DB[[#This Row],[DATA]],"mmm"))</f>
        <v>FEV</v>
      </c>
      <c r="H715" t="str">
        <f>UPPER(TEXT(Tabela_DB[[#This Row],[DATA]],"aaaa"))</f>
        <v>2021</v>
      </c>
    </row>
    <row r="716" spans="1:8" x14ac:dyDescent="0.25">
      <c r="A716" s="2">
        <v>44237</v>
      </c>
      <c r="B716" t="s">
        <v>38</v>
      </c>
      <c r="C716">
        <v>-2488</v>
      </c>
      <c r="D716" t="str">
        <f>VLOOKUP(B716,Tabela_Auxiliar[],2,0)</f>
        <v>2. Deduções da Receita</v>
      </c>
      <c r="E716" t="str">
        <f>VLOOKUP(B716,Tabela_Auxiliar[],4,0)</f>
        <v>Deduções</v>
      </c>
      <c r="F716" t="str">
        <f>VLOOKUP(B716,Tabela_Auxiliar[],3,0)</f>
        <v>Saída</v>
      </c>
      <c r="G716" t="str">
        <f>UPPER(TEXT(Tabela_DB[[#This Row],[DATA]],"mmm"))</f>
        <v>FEV</v>
      </c>
      <c r="H716" t="str">
        <f>UPPER(TEXT(Tabela_DB[[#This Row],[DATA]],"aaaa"))</f>
        <v>2021</v>
      </c>
    </row>
    <row r="717" spans="1:8" x14ac:dyDescent="0.25">
      <c r="A717" s="2">
        <v>44237</v>
      </c>
      <c r="B717" t="s">
        <v>37</v>
      </c>
      <c r="C717">
        <v>-3467</v>
      </c>
      <c r="D717" t="str">
        <f>VLOOKUP(B717,Tabela_Auxiliar[],2,0)</f>
        <v>3. Custos do Produto/Mercadoria/Serviço</v>
      </c>
      <c r="E717" t="str">
        <f>VLOOKUP(B717,Tabela_Auxiliar[],4,0)</f>
        <v>Despesas c/ Produto</v>
      </c>
      <c r="F717" t="str">
        <f>VLOOKUP(B717,Tabela_Auxiliar[],3,0)</f>
        <v>Saída</v>
      </c>
      <c r="G717" t="str">
        <f>UPPER(TEXT(Tabela_DB[[#This Row],[DATA]],"mmm"))</f>
        <v>FEV</v>
      </c>
      <c r="H717" t="str">
        <f>UPPER(TEXT(Tabela_DB[[#This Row],[DATA]],"aaaa"))</f>
        <v>2021</v>
      </c>
    </row>
    <row r="718" spans="1:8" x14ac:dyDescent="0.25">
      <c r="A718" s="2">
        <v>44237</v>
      </c>
      <c r="B718" t="s">
        <v>38</v>
      </c>
      <c r="C718">
        <v>-2430</v>
      </c>
      <c r="D718" t="str">
        <f>VLOOKUP(B718,Tabela_Auxiliar[],2,0)</f>
        <v>2. Deduções da Receita</v>
      </c>
      <c r="E718" t="str">
        <f>VLOOKUP(B718,Tabela_Auxiliar[],4,0)</f>
        <v>Deduções</v>
      </c>
      <c r="F718" t="str">
        <f>VLOOKUP(B718,Tabela_Auxiliar[],3,0)</f>
        <v>Saída</v>
      </c>
      <c r="G718" t="str">
        <f>UPPER(TEXT(Tabela_DB[[#This Row],[DATA]],"mmm"))</f>
        <v>FEV</v>
      </c>
      <c r="H718" t="str">
        <f>UPPER(TEXT(Tabela_DB[[#This Row],[DATA]],"aaaa"))</f>
        <v>2021</v>
      </c>
    </row>
    <row r="719" spans="1:8" x14ac:dyDescent="0.25">
      <c r="A719" s="2">
        <v>44237</v>
      </c>
      <c r="B719" t="s">
        <v>111</v>
      </c>
      <c r="C719">
        <v>-1701</v>
      </c>
      <c r="D719" t="str">
        <f>VLOOKUP(B719,Tabela_Auxiliar[],2,0)</f>
        <v>2. Deduções da Receita</v>
      </c>
      <c r="E719" t="str">
        <f>VLOOKUP(B719,Tabela_Auxiliar[],4,0)</f>
        <v>Imposto</v>
      </c>
      <c r="F719" t="str">
        <f>VLOOKUP(B719,Tabela_Auxiliar[],3,0)</f>
        <v>Saída</v>
      </c>
      <c r="G719" t="str">
        <f>UPPER(TEXT(Tabela_DB[[#This Row],[DATA]],"mmm"))</f>
        <v>FEV</v>
      </c>
      <c r="H719" t="str">
        <f>UPPER(TEXT(Tabela_DB[[#This Row],[DATA]],"aaaa"))</f>
        <v>2021</v>
      </c>
    </row>
    <row r="720" spans="1:8" x14ac:dyDescent="0.25">
      <c r="A720" s="2">
        <v>44237</v>
      </c>
      <c r="B720" t="s">
        <v>38</v>
      </c>
      <c r="C720">
        <v>-1196</v>
      </c>
      <c r="D720" t="str">
        <f>VLOOKUP(B720,Tabela_Auxiliar[],2,0)</f>
        <v>2. Deduções da Receita</v>
      </c>
      <c r="E720" t="str">
        <f>VLOOKUP(B720,Tabela_Auxiliar[],4,0)</f>
        <v>Deduções</v>
      </c>
      <c r="F720" t="str">
        <f>VLOOKUP(B720,Tabela_Auxiliar[],3,0)</f>
        <v>Saída</v>
      </c>
      <c r="G720" t="str">
        <f>UPPER(TEXT(Tabela_DB[[#This Row],[DATA]],"mmm"))</f>
        <v>FEV</v>
      </c>
      <c r="H720" t="str">
        <f>UPPER(TEXT(Tabela_DB[[#This Row],[DATA]],"aaaa"))</f>
        <v>2021</v>
      </c>
    </row>
    <row r="721" spans="1:8" x14ac:dyDescent="0.25">
      <c r="A721" s="2">
        <v>44237</v>
      </c>
      <c r="B721" t="s">
        <v>51</v>
      </c>
      <c r="C721">
        <v>-2476</v>
      </c>
      <c r="D721" t="str">
        <f>VLOOKUP(B721,Tabela_Auxiliar[],2,0)</f>
        <v>4. Despesas Operacionais</v>
      </c>
      <c r="E721" t="str">
        <f>VLOOKUP(B721,Tabela_Auxiliar[],4,0)</f>
        <v>Despesa com Pessoal</v>
      </c>
      <c r="F721" t="str">
        <f>VLOOKUP(B721,Tabela_Auxiliar[],3,0)</f>
        <v>Saída</v>
      </c>
      <c r="G721" t="str">
        <f>UPPER(TEXT(Tabela_DB[[#This Row],[DATA]],"mmm"))</f>
        <v>FEV</v>
      </c>
      <c r="H721" t="str">
        <f>UPPER(TEXT(Tabela_DB[[#This Row],[DATA]],"aaaa"))</f>
        <v>2021</v>
      </c>
    </row>
    <row r="722" spans="1:8" x14ac:dyDescent="0.25">
      <c r="A722" s="2">
        <v>44237</v>
      </c>
      <c r="B722" t="s">
        <v>111</v>
      </c>
      <c r="C722">
        <v>-2000</v>
      </c>
      <c r="D722" t="str">
        <f>VLOOKUP(B722,Tabela_Auxiliar[],2,0)</f>
        <v>2. Deduções da Receita</v>
      </c>
      <c r="E722" t="str">
        <f>VLOOKUP(B722,Tabela_Auxiliar[],4,0)</f>
        <v>Imposto</v>
      </c>
      <c r="F722" t="str">
        <f>VLOOKUP(B722,Tabela_Auxiliar[],3,0)</f>
        <v>Saída</v>
      </c>
      <c r="G722" t="str">
        <f>UPPER(TEXT(Tabela_DB[[#This Row],[DATA]],"mmm"))</f>
        <v>FEV</v>
      </c>
      <c r="H722" t="str">
        <f>UPPER(TEXT(Tabela_DB[[#This Row],[DATA]],"aaaa"))</f>
        <v>2021</v>
      </c>
    </row>
    <row r="723" spans="1:8" x14ac:dyDescent="0.25">
      <c r="A723" s="2">
        <v>44237</v>
      </c>
      <c r="B723" t="s">
        <v>38</v>
      </c>
      <c r="C723">
        <v>-1740</v>
      </c>
      <c r="D723" t="str">
        <f>VLOOKUP(B723,Tabela_Auxiliar[],2,0)</f>
        <v>2. Deduções da Receita</v>
      </c>
      <c r="E723" t="str">
        <f>VLOOKUP(B723,Tabela_Auxiliar[],4,0)</f>
        <v>Deduções</v>
      </c>
      <c r="F723" t="str">
        <f>VLOOKUP(B723,Tabela_Auxiliar[],3,0)</f>
        <v>Saída</v>
      </c>
      <c r="G723" t="str">
        <f>UPPER(TEXT(Tabela_DB[[#This Row],[DATA]],"mmm"))</f>
        <v>FEV</v>
      </c>
      <c r="H723" t="str">
        <f>UPPER(TEXT(Tabela_DB[[#This Row],[DATA]],"aaaa"))</f>
        <v>2021</v>
      </c>
    </row>
    <row r="724" spans="1:8" x14ac:dyDescent="0.25">
      <c r="A724" s="2">
        <v>44238</v>
      </c>
      <c r="B724" t="s">
        <v>4</v>
      </c>
      <c r="C724">
        <v>10033</v>
      </c>
      <c r="D724" t="str">
        <f>VLOOKUP(B724,Tabela_Auxiliar[],2,0)</f>
        <v>1. Receita Operacional Bruta</v>
      </c>
      <c r="E724" t="str">
        <f>VLOOKUP(B724,Tabela_Auxiliar[],4,0)</f>
        <v>Receita Bruta</v>
      </c>
      <c r="F724" t="str">
        <f>VLOOKUP(B724,Tabela_Auxiliar[],3,0)</f>
        <v>Entrada</v>
      </c>
      <c r="G724" t="str">
        <f>UPPER(TEXT(Tabela_DB[[#This Row],[DATA]],"mmm"))</f>
        <v>FEV</v>
      </c>
      <c r="H724" t="str">
        <f>UPPER(TEXT(Tabela_DB[[#This Row],[DATA]],"aaaa"))</f>
        <v>2021</v>
      </c>
    </row>
    <row r="725" spans="1:8" x14ac:dyDescent="0.25">
      <c r="A725" s="2">
        <v>44238</v>
      </c>
      <c r="B725" t="s">
        <v>3</v>
      </c>
      <c r="C725">
        <v>10169</v>
      </c>
      <c r="D725" t="str">
        <f>VLOOKUP(B725,Tabela_Auxiliar[],2,0)</f>
        <v>1. Receita Operacional Bruta</v>
      </c>
      <c r="E725" t="str">
        <f>VLOOKUP(B725,Tabela_Auxiliar[],4,0)</f>
        <v>Receita Bruta</v>
      </c>
      <c r="F725" t="str">
        <f>VLOOKUP(B725,Tabela_Auxiliar[],3,0)</f>
        <v>Entrada</v>
      </c>
      <c r="G725" t="str">
        <f>UPPER(TEXT(Tabela_DB[[#This Row],[DATA]],"mmm"))</f>
        <v>FEV</v>
      </c>
      <c r="H725" t="str">
        <f>UPPER(TEXT(Tabela_DB[[#This Row],[DATA]],"aaaa"))</f>
        <v>2021</v>
      </c>
    </row>
    <row r="726" spans="1:8" x14ac:dyDescent="0.25">
      <c r="A726" s="2">
        <v>44238</v>
      </c>
      <c r="B726" t="s">
        <v>4</v>
      </c>
      <c r="C726">
        <v>13946</v>
      </c>
      <c r="D726" t="str">
        <f>VLOOKUP(B726,Tabela_Auxiliar[],2,0)</f>
        <v>1. Receita Operacional Bruta</v>
      </c>
      <c r="E726" t="str">
        <f>VLOOKUP(B726,Tabela_Auxiliar[],4,0)</f>
        <v>Receita Bruta</v>
      </c>
      <c r="F726" t="str">
        <f>VLOOKUP(B726,Tabela_Auxiliar[],3,0)</f>
        <v>Entrada</v>
      </c>
      <c r="G726" t="str">
        <f>UPPER(TEXT(Tabela_DB[[#This Row],[DATA]],"mmm"))</f>
        <v>FEV</v>
      </c>
      <c r="H726" t="str">
        <f>UPPER(TEXT(Tabela_DB[[#This Row],[DATA]],"aaaa"))</f>
        <v>2021</v>
      </c>
    </row>
    <row r="727" spans="1:8" x14ac:dyDescent="0.25">
      <c r="A727" s="2">
        <v>44238</v>
      </c>
      <c r="B727" t="s">
        <v>34</v>
      </c>
      <c r="C727">
        <v>-2224</v>
      </c>
      <c r="D727" t="str">
        <f>VLOOKUP(B727,Tabela_Auxiliar[],2,0)</f>
        <v>2. Deduções da Receita</v>
      </c>
      <c r="E727" t="str">
        <f>VLOOKUP(B727,Tabela_Auxiliar[],4,0)</f>
        <v>Imposto</v>
      </c>
      <c r="F727" t="str">
        <f>VLOOKUP(B727,Tabela_Auxiliar[],3,0)</f>
        <v>Saída</v>
      </c>
      <c r="G727" t="str">
        <f>UPPER(TEXT(Tabela_DB[[#This Row],[DATA]],"mmm"))</f>
        <v>FEV</v>
      </c>
      <c r="H727" t="str">
        <f>UPPER(TEXT(Tabela_DB[[#This Row],[DATA]],"aaaa"))</f>
        <v>2021</v>
      </c>
    </row>
    <row r="728" spans="1:8" x14ac:dyDescent="0.25">
      <c r="A728" s="2">
        <v>44239</v>
      </c>
      <c r="B728" t="s">
        <v>3</v>
      </c>
      <c r="C728">
        <v>13034</v>
      </c>
      <c r="D728" t="str">
        <f>VLOOKUP(B728,Tabela_Auxiliar[],2,0)</f>
        <v>1. Receita Operacional Bruta</v>
      </c>
      <c r="E728" t="str">
        <f>VLOOKUP(B728,Tabela_Auxiliar[],4,0)</f>
        <v>Receita Bruta</v>
      </c>
      <c r="F728" t="str">
        <f>VLOOKUP(B728,Tabela_Auxiliar[],3,0)</f>
        <v>Entrada</v>
      </c>
      <c r="G728" t="str">
        <f>UPPER(TEXT(Tabela_DB[[#This Row],[DATA]],"mmm"))</f>
        <v>FEV</v>
      </c>
      <c r="H728" t="str">
        <f>UPPER(TEXT(Tabela_DB[[#This Row],[DATA]],"aaaa"))</f>
        <v>2021</v>
      </c>
    </row>
    <row r="729" spans="1:8" x14ac:dyDescent="0.25">
      <c r="A729" s="2">
        <v>44239</v>
      </c>
      <c r="B729" t="s">
        <v>35</v>
      </c>
      <c r="C729">
        <v>-1761</v>
      </c>
      <c r="D729" t="str">
        <f>VLOOKUP(B729,Tabela_Auxiliar[],2,0)</f>
        <v>2. Deduções da Receita</v>
      </c>
      <c r="E729" t="str">
        <f>VLOOKUP(B729,Tabela_Auxiliar[],4,0)</f>
        <v>Imposto</v>
      </c>
      <c r="F729" t="str">
        <f>VLOOKUP(B729,Tabela_Auxiliar[],3,0)</f>
        <v>Saída</v>
      </c>
      <c r="G729" t="str">
        <f>UPPER(TEXT(Tabela_DB[[#This Row],[DATA]],"mmm"))</f>
        <v>FEV</v>
      </c>
      <c r="H729" t="str">
        <f>UPPER(TEXT(Tabela_DB[[#This Row],[DATA]],"aaaa"))</f>
        <v>2021</v>
      </c>
    </row>
    <row r="730" spans="1:8" x14ac:dyDescent="0.25">
      <c r="A730" s="2">
        <v>44239</v>
      </c>
      <c r="B730" t="s">
        <v>111</v>
      </c>
      <c r="C730">
        <v>-2455</v>
      </c>
      <c r="D730" t="str">
        <f>VLOOKUP(B730,Tabela_Auxiliar[],2,0)</f>
        <v>2. Deduções da Receita</v>
      </c>
      <c r="E730" t="str">
        <f>VLOOKUP(B730,Tabela_Auxiliar[],4,0)</f>
        <v>Imposto</v>
      </c>
      <c r="F730" t="str">
        <f>VLOOKUP(B730,Tabela_Auxiliar[],3,0)</f>
        <v>Saída</v>
      </c>
      <c r="G730" t="str">
        <f>UPPER(TEXT(Tabela_DB[[#This Row],[DATA]],"mmm"))</f>
        <v>FEV</v>
      </c>
      <c r="H730" t="str">
        <f>UPPER(TEXT(Tabela_DB[[#This Row],[DATA]],"aaaa"))</f>
        <v>2021</v>
      </c>
    </row>
    <row r="731" spans="1:8" x14ac:dyDescent="0.25">
      <c r="A731" s="2">
        <v>44239</v>
      </c>
      <c r="B731" t="s">
        <v>63</v>
      </c>
      <c r="C731">
        <v>-2078</v>
      </c>
      <c r="D731" t="str">
        <f>VLOOKUP(B731,Tabela_Auxiliar[],2,0)</f>
        <v>4. Despesas Operacionais</v>
      </c>
      <c r="E731" t="str">
        <f>VLOOKUP(B731,Tabela_Auxiliar[],4,0)</f>
        <v>Despesa Gerais</v>
      </c>
      <c r="F731" t="str">
        <f>VLOOKUP(B731,Tabela_Auxiliar[],3,0)</f>
        <v>Saída</v>
      </c>
      <c r="G731" t="str">
        <f>UPPER(TEXT(Tabela_DB[[#This Row],[DATA]],"mmm"))</f>
        <v>FEV</v>
      </c>
      <c r="H731" t="str">
        <f>UPPER(TEXT(Tabela_DB[[#This Row],[DATA]],"aaaa"))</f>
        <v>2021</v>
      </c>
    </row>
    <row r="732" spans="1:8" x14ac:dyDescent="0.25">
      <c r="A732" s="2">
        <v>44239</v>
      </c>
      <c r="B732" t="s">
        <v>90</v>
      </c>
      <c r="C732">
        <v>-1236</v>
      </c>
      <c r="D732" t="str">
        <f>VLOOKUP(B732,Tabela_Auxiliar[],2,0)</f>
        <v>4. Despesas Operacionais</v>
      </c>
      <c r="E732" t="str">
        <f>VLOOKUP(B732,Tabela_Auxiliar[],4,0)</f>
        <v>Despesa Tributária</v>
      </c>
      <c r="F732" t="str">
        <f>VLOOKUP(B732,Tabela_Auxiliar[],3,0)</f>
        <v>Saída</v>
      </c>
      <c r="G732" t="str">
        <f>UPPER(TEXT(Tabela_DB[[#This Row],[DATA]],"mmm"))</f>
        <v>FEV</v>
      </c>
      <c r="H732" t="str">
        <f>UPPER(TEXT(Tabela_DB[[#This Row],[DATA]],"aaaa"))</f>
        <v>2021</v>
      </c>
    </row>
    <row r="733" spans="1:8" x14ac:dyDescent="0.25">
      <c r="A733" s="2">
        <v>44239</v>
      </c>
      <c r="B733" t="s">
        <v>34</v>
      </c>
      <c r="C733">
        <v>-2494</v>
      </c>
      <c r="D733" t="str">
        <f>VLOOKUP(B733,Tabela_Auxiliar[],2,0)</f>
        <v>2. Deduções da Receita</v>
      </c>
      <c r="E733" t="str">
        <f>VLOOKUP(B733,Tabela_Auxiliar[],4,0)</f>
        <v>Imposto</v>
      </c>
      <c r="F733" t="str">
        <f>VLOOKUP(B733,Tabela_Auxiliar[],3,0)</f>
        <v>Saída</v>
      </c>
      <c r="G733" t="str">
        <f>UPPER(TEXT(Tabela_DB[[#This Row],[DATA]],"mmm"))</f>
        <v>FEV</v>
      </c>
      <c r="H733" t="str">
        <f>UPPER(TEXT(Tabela_DB[[#This Row],[DATA]],"aaaa"))</f>
        <v>2021</v>
      </c>
    </row>
    <row r="734" spans="1:8" x14ac:dyDescent="0.25">
      <c r="A734" s="2">
        <v>44239</v>
      </c>
      <c r="B734" t="s">
        <v>3</v>
      </c>
      <c r="C734">
        <v>10724</v>
      </c>
      <c r="D734" t="str">
        <f>VLOOKUP(B734,Tabela_Auxiliar[],2,0)</f>
        <v>1. Receita Operacional Bruta</v>
      </c>
      <c r="E734" t="str">
        <f>VLOOKUP(B734,Tabela_Auxiliar[],4,0)</f>
        <v>Receita Bruta</v>
      </c>
      <c r="F734" t="str">
        <f>VLOOKUP(B734,Tabela_Auxiliar[],3,0)</f>
        <v>Entrada</v>
      </c>
      <c r="G734" t="str">
        <f>UPPER(TEXT(Tabela_DB[[#This Row],[DATA]],"mmm"))</f>
        <v>FEV</v>
      </c>
      <c r="H734" t="str">
        <f>UPPER(TEXT(Tabela_DB[[#This Row],[DATA]],"aaaa"))</f>
        <v>2021</v>
      </c>
    </row>
    <row r="735" spans="1:8" x14ac:dyDescent="0.25">
      <c r="A735" s="2">
        <v>44239</v>
      </c>
      <c r="B735" t="s">
        <v>34</v>
      </c>
      <c r="C735">
        <v>-2307</v>
      </c>
      <c r="D735" t="str">
        <f>VLOOKUP(B735,Tabela_Auxiliar[],2,0)</f>
        <v>2. Deduções da Receita</v>
      </c>
      <c r="E735" t="str">
        <f>VLOOKUP(B735,Tabela_Auxiliar[],4,0)</f>
        <v>Imposto</v>
      </c>
      <c r="F735" t="str">
        <f>VLOOKUP(B735,Tabela_Auxiliar[],3,0)</f>
        <v>Saída</v>
      </c>
      <c r="G735" t="str">
        <f>UPPER(TEXT(Tabela_DB[[#This Row],[DATA]],"mmm"))</f>
        <v>FEV</v>
      </c>
      <c r="H735" t="str">
        <f>UPPER(TEXT(Tabela_DB[[#This Row],[DATA]],"aaaa"))</f>
        <v>2021</v>
      </c>
    </row>
    <row r="736" spans="1:8" x14ac:dyDescent="0.25">
      <c r="A736" s="2">
        <v>44239</v>
      </c>
      <c r="B736" t="s">
        <v>37</v>
      </c>
      <c r="C736">
        <v>-3101</v>
      </c>
      <c r="D736" t="str">
        <f>VLOOKUP(B736,Tabela_Auxiliar[],2,0)</f>
        <v>3. Custos do Produto/Mercadoria/Serviço</v>
      </c>
      <c r="E736" t="str">
        <f>VLOOKUP(B736,Tabela_Auxiliar[],4,0)</f>
        <v>Despesas c/ Produto</v>
      </c>
      <c r="F736" t="str">
        <f>VLOOKUP(B736,Tabela_Auxiliar[],3,0)</f>
        <v>Saída</v>
      </c>
      <c r="G736" t="str">
        <f>UPPER(TEXT(Tabela_DB[[#This Row],[DATA]],"mmm"))</f>
        <v>FEV</v>
      </c>
      <c r="H736" t="str">
        <f>UPPER(TEXT(Tabela_DB[[#This Row],[DATA]],"aaaa"))</f>
        <v>2021</v>
      </c>
    </row>
    <row r="737" spans="1:8" x14ac:dyDescent="0.25">
      <c r="A737" s="2">
        <v>44239</v>
      </c>
      <c r="B737" t="s">
        <v>111</v>
      </c>
      <c r="C737">
        <v>-2248</v>
      </c>
      <c r="D737" t="str">
        <f>VLOOKUP(B737,Tabela_Auxiliar[],2,0)</f>
        <v>2. Deduções da Receita</v>
      </c>
      <c r="E737" t="str">
        <f>VLOOKUP(B737,Tabela_Auxiliar[],4,0)</f>
        <v>Imposto</v>
      </c>
      <c r="F737" t="str">
        <f>VLOOKUP(B737,Tabela_Auxiliar[],3,0)</f>
        <v>Saída</v>
      </c>
      <c r="G737" t="str">
        <f>UPPER(TEXT(Tabela_DB[[#This Row],[DATA]],"mmm"))</f>
        <v>FEV</v>
      </c>
      <c r="H737" t="str">
        <f>UPPER(TEXT(Tabela_DB[[#This Row],[DATA]],"aaaa"))</f>
        <v>2021</v>
      </c>
    </row>
    <row r="738" spans="1:8" x14ac:dyDescent="0.25">
      <c r="A738" s="2">
        <v>44239</v>
      </c>
      <c r="B738" t="s">
        <v>31</v>
      </c>
      <c r="C738">
        <v>-1149</v>
      </c>
      <c r="D738" t="str">
        <f>VLOOKUP(B738,Tabela_Auxiliar[],2,0)</f>
        <v>5. Resultado Financeiro</v>
      </c>
      <c r="E738" t="str">
        <f>VLOOKUP(B738,Tabela_Auxiliar[],4,0)</f>
        <v>Participação nos resultados</v>
      </c>
      <c r="F738" t="str">
        <f>VLOOKUP(B738,Tabela_Auxiliar[],3,0)</f>
        <v>Saída</v>
      </c>
      <c r="G738" t="str">
        <f>UPPER(TEXT(Tabela_DB[[#This Row],[DATA]],"mmm"))</f>
        <v>FEV</v>
      </c>
      <c r="H738" t="str">
        <f>UPPER(TEXT(Tabela_DB[[#This Row],[DATA]],"aaaa"))</f>
        <v>2021</v>
      </c>
    </row>
    <row r="739" spans="1:8" x14ac:dyDescent="0.25">
      <c r="A739" s="2">
        <v>44239</v>
      </c>
      <c r="B739" t="s">
        <v>3</v>
      </c>
      <c r="C739">
        <v>12723</v>
      </c>
      <c r="D739" t="str">
        <f>VLOOKUP(B739,Tabela_Auxiliar[],2,0)</f>
        <v>1. Receita Operacional Bruta</v>
      </c>
      <c r="E739" t="str">
        <f>VLOOKUP(B739,Tabela_Auxiliar[],4,0)</f>
        <v>Receita Bruta</v>
      </c>
      <c r="F739" t="str">
        <f>VLOOKUP(B739,Tabela_Auxiliar[],3,0)</f>
        <v>Entrada</v>
      </c>
      <c r="G739" t="str">
        <f>UPPER(TEXT(Tabela_DB[[#This Row],[DATA]],"mmm"))</f>
        <v>FEV</v>
      </c>
      <c r="H739" t="str">
        <f>UPPER(TEXT(Tabela_DB[[#This Row],[DATA]],"aaaa"))</f>
        <v>2021</v>
      </c>
    </row>
    <row r="740" spans="1:8" x14ac:dyDescent="0.25">
      <c r="A740" s="2">
        <v>44240</v>
      </c>
      <c r="B740" t="s">
        <v>64</v>
      </c>
      <c r="C740">
        <v>-1513</v>
      </c>
      <c r="D740" t="str">
        <f>VLOOKUP(B740,Tabela_Auxiliar[],2,0)</f>
        <v>4. Despesas Operacionais</v>
      </c>
      <c r="E740" t="str">
        <f>VLOOKUP(B740,Tabela_Auxiliar[],4,0)</f>
        <v>Despesa Gerais</v>
      </c>
      <c r="F740" t="str">
        <f>VLOOKUP(B740,Tabela_Auxiliar[],3,0)</f>
        <v>Saída</v>
      </c>
      <c r="G740" t="str">
        <f>UPPER(TEXT(Tabela_DB[[#This Row],[DATA]],"mmm"))</f>
        <v>FEV</v>
      </c>
      <c r="H740" t="str">
        <f>UPPER(TEXT(Tabela_DB[[#This Row],[DATA]],"aaaa"))</f>
        <v>2021</v>
      </c>
    </row>
    <row r="741" spans="1:8" x14ac:dyDescent="0.25">
      <c r="A741" s="2">
        <v>44240</v>
      </c>
      <c r="B741" t="s">
        <v>35</v>
      </c>
      <c r="C741">
        <v>-1836</v>
      </c>
      <c r="D741" t="str">
        <f>VLOOKUP(B741,Tabela_Auxiliar[],2,0)</f>
        <v>2. Deduções da Receita</v>
      </c>
      <c r="E741" t="str">
        <f>VLOOKUP(B741,Tabela_Auxiliar[],4,0)</f>
        <v>Imposto</v>
      </c>
      <c r="F741" t="str">
        <f>VLOOKUP(B741,Tabela_Auxiliar[],3,0)</f>
        <v>Saída</v>
      </c>
      <c r="G741" t="str">
        <f>UPPER(TEXT(Tabela_DB[[#This Row],[DATA]],"mmm"))</f>
        <v>FEV</v>
      </c>
      <c r="H741" t="str">
        <f>UPPER(TEXT(Tabela_DB[[#This Row],[DATA]],"aaaa"))</f>
        <v>2021</v>
      </c>
    </row>
    <row r="742" spans="1:8" x14ac:dyDescent="0.25">
      <c r="A742" s="2">
        <v>44240</v>
      </c>
      <c r="B742" t="s">
        <v>66</v>
      </c>
      <c r="C742">
        <v>-1646</v>
      </c>
      <c r="D742" t="str">
        <f>VLOOKUP(B742,Tabela_Auxiliar[],2,0)</f>
        <v>4. Despesas Operacionais</v>
      </c>
      <c r="E742" t="str">
        <f>VLOOKUP(B742,Tabela_Auxiliar[],4,0)</f>
        <v>Despesa com Vendas</v>
      </c>
      <c r="F742" t="str">
        <f>VLOOKUP(B742,Tabela_Auxiliar[],3,0)</f>
        <v>Saída</v>
      </c>
      <c r="G742" t="str">
        <f>UPPER(TEXT(Tabela_DB[[#This Row],[DATA]],"mmm"))</f>
        <v>FEV</v>
      </c>
      <c r="H742" t="str">
        <f>UPPER(TEXT(Tabela_DB[[#This Row],[DATA]],"aaaa"))</f>
        <v>2021</v>
      </c>
    </row>
    <row r="743" spans="1:8" x14ac:dyDescent="0.25">
      <c r="A743" s="2">
        <v>44240</v>
      </c>
      <c r="B743" t="s">
        <v>3</v>
      </c>
      <c r="C743">
        <v>11891</v>
      </c>
      <c r="D743" t="str">
        <f>VLOOKUP(B743,Tabela_Auxiliar[],2,0)</f>
        <v>1. Receita Operacional Bruta</v>
      </c>
      <c r="E743" t="str">
        <f>VLOOKUP(B743,Tabela_Auxiliar[],4,0)</f>
        <v>Receita Bruta</v>
      </c>
      <c r="F743" t="str">
        <f>VLOOKUP(B743,Tabela_Auxiliar[],3,0)</f>
        <v>Entrada</v>
      </c>
      <c r="G743" t="str">
        <f>UPPER(TEXT(Tabela_DB[[#This Row],[DATA]],"mmm"))</f>
        <v>FEV</v>
      </c>
      <c r="H743" t="str">
        <f>UPPER(TEXT(Tabela_DB[[#This Row],[DATA]],"aaaa"))</f>
        <v>2021</v>
      </c>
    </row>
    <row r="744" spans="1:8" x14ac:dyDescent="0.25">
      <c r="A744" s="2">
        <v>44240</v>
      </c>
      <c r="B744" t="s">
        <v>4</v>
      </c>
      <c r="C744">
        <v>12489</v>
      </c>
      <c r="D744" t="str">
        <f>VLOOKUP(B744,Tabela_Auxiliar[],2,0)</f>
        <v>1. Receita Operacional Bruta</v>
      </c>
      <c r="E744" t="str">
        <f>VLOOKUP(B744,Tabela_Auxiliar[],4,0)</f>
        <v>Receita Bruta</v>
      </c>
      <c r="F744" t="str">
        <f>VLOOKUP(B744,Tabela_Auxiliar[],3,0)</f>
        <v>Entrada</v>
      </c>
      <c r="G744" t="str">
        <f>UPPER(TEXT(Tabela_DB[[#This Row],[DATA]],"mmm"))</f>
        <v>FEV</v>
      </c>
      <c r="H744" t="str">
        <f>UPPER(TEXT(Tabela_DB[[#This Row],[DATA]],"aaaa"))</f>
        <v>2021</v>
      </c>
    </row>
    <row r="745" spans="1:8" x14ac:dyDescent="0.25">
      <c r="A745" s="2">
        <v>44240</v>
      </c>
      <c r="B745" t="s">
        <v>35</v>
      </c>
      <c r="C745">
        <v>-1608</v>
      </c>
      <c r="D745" t="str">
        <f>VLOOKUP(B745,Tabela_Auxiliar[],2,0)</f>
        <v>2. Deduções da Receita</v>
      </c>
      <c r="E745" t="str">
        <f>VLOOKUP(B745,Tabela_Auxiliar[],4,0)</f>
        <v>Imposto</v>
      </c>
      <c r="F745" t="str">
        <f>VLOOKUP(B745,Tabela_Auxiliar[],3,0)</f>
        <v>Saída</v>
      </c>
      <c r="G745" t="str">
        <f>UPPER(TEXT(Tabela_DB[[#This Row],[DATA]],"mmm"))</f>
        <v>FEV</v>
      </c>
      <c r="H745" t="str">
        <f>UPPER(TEXT(Tabela_DB[[#This Row],[DATA]],"aaaa"))</f>
        <v>2021</v>
      </c>
    </row>
    <row r="746" spans="1:8" x14ac:dyDescent="0.25">
      <c r="A746" s="2">
        <v>44240</v>
      </c>
      <c r="B746" t="s">
        <v>37</v>
      </c>
      <c r="C746">
        <v>-4159</v>
      </c>
      <c r="D746" t="str">
        <f>VLOOKUP(B746,Tabela_Auxiliar[],2,0)</f>
        <v>3. Custos do Produto/Mercadoria/Serviço</v>
      </c>
      <c r="E746" t="str">
        <f>VLOOKUP(B746,Tabela_Auxiliar[],4,0)</f>
        <v>Despesas c/ Produto</v>
      </c>
      <c r="F746" t="str">
        <f>VLOOKUP(B746,Tabela_Auxiliar[],3,0)</f>
        <v>Saída</v>
      </c>
      <c r="G746" t="str">
        <f>UPPER(TEXT(Tabela_DB[[#This Row],[DATA]],"mmm"))</f>
        <v>FEV</v>
      </c>
      <c r="H746" t="str">
        <f>UPPER(TEXT(Tabela_DB[[#This Row],[DATA]],"aaaa"))</f>
        <v>2021</v>
      </c>
    </row>
    <row r="747" spans="1:8" x14ac:dyDescent="0.25">
      <c r="A747" s="2">
        <v>44240</v>
      </c>
      <c r="B747" t="s">
        <v>64</v>
      </c>
      <c r="C747">
        <v>-2384</v>
      </c>
      <c r="D747" t="str">
        <f>VLOOKUP(B747,Tabela_Auxiliar[],2,0)</f>
        <v>4. Despesas Operacionais</v>
      </c>
      <c r="E747" t="str">
        <f>VLOOKUP(B747,Tabela_Auxiliar[],4,0)</f>
        <v>Despesa Gerais</v>
      </c>
      <c r="F747" t="str">
        <f>VLOOKUP(B747,Tabela_Auxiliar[],3,0)</f>
        <v>Saída</v>
      </c>
      <c r="G747" t="str">
        <f>UPPER(TEXT(Tabela_DB[[#This Row],[DATA]],"mmm"))</f>
        <v>FEV</v>
      </c>
      <c r="H747" t="str">
        <f>UPPER(TEXT(Tabela_DB[[#This Row],[DATA]],"aaaa"))</f>
        <v>2021</v>
      </c>
    </row>
    <row r="748" spans="1:8" x14ac:dyDescent="0.25">
      <c r="A748" s="2">
        <v>44240</v>
      </c>
      <c r="B748" t="s">
        <v>37</v>
      </c>
      <c r="C748">
        <v>-3290</v>
      </c>
      <c r="D748" t="str">
        <f>VLOOKUP(B748,Tabela_Auxiliar[],2,0)</f>
        <v>3. Custos do Produto/Mercadoria/Serviço</v>
      </c>
      <c r="E748" t="str">
        <f>VLOOKUP(B748,Tabela_Auxiliar[],4,0)</f>
        <v>Despesas c/ Produto</v>
      </c>
      <c r="F748" t="str">
        <f>VLOOKUP(B748,Tabela_Auxiliar[],3,0)</f>
        <v>Saída</v>
      </c>
      <c r="G748" t="str">
        <f>UPPER(TEXT(Tabela_DB[[#This Row],[DATA]],"mmm"))</f>
        <v>FEV</v>
      </c>
      <c r="H748" t="str">
        <f>UPPER(TEXT(Tabela_DB[[#This Row],[DATA]],"aaaa"))</f>
        <v>2021</v>
      </c>
    </row>
    <row r="749" spans="1:8" x14ac:dyDescent="0.25">
      <c r="A749" s="2">
        <v>44240</v>
      </c>
      <c r="B749" t="s">
        <v>34</v>
      </c>
      <c r="C749">
        <v>-1369</v>
      </c>
      <c r="D749" t="str">
        <f>VLOOKUP(B749,Tabela_Auxiliar[],2,0)</f>
        <v>2. Deduções da Receita</v>
      </c>
      <c r="E749" t="str">
        <f>VLOOKUP(B749,Tabela_Auxiliar[],4,0)</f>
        <v>Imposto</v>
      </c>
      <c r="F749" t="str">
        <f>VLOOKUP(B749,Tabela_Auxiliar[],3,0)</f>
        <v>Saída</v>
      </c>
      <c r="G749" t="str">
        <f>UPPER(TEXT(Tabela_DB[[#This Row],[DATA]],"mmm"))</f>
        <v>FEV</v>
      </c>
      <c r="H749" t="str">
        <f>UPPER(TEXT(Tabela_DB[[#This Row],[DATA]],"aaaa"))</f>
        <v>2021</v>
      </c>
    </row>
    <row r="750" spans="1:8" x14ac:dyDescent="0.25">
      <c r="A750" s="2">
        <v>44240</v>
      </c>
      <c r="B750" t="s">
        <v>34</v>
      </c>
      <c r="C750">
        <v>-2123</v>
      </c>
      <c r="D750" t="str">
        <f>VLOOKUP(B750,Tabela_Auxiliar[],2,0)</f>
        <v>2. Deduções da Receita</v>
      </c>
      <c r="E750" t="str">
        <f>VLOOKUP(B750,Tabela_Auxiliar[],4,0)</f>
        <v>Imposto</v>
      </c>
      <c r="F750" t="str">
        <f>VLOOKUP(B750,Tabela_Auxiliar[],3,0)</f>
        <v>Saída</v>
      </c>
      <c r="G750" t="str">
        <f>UPPER(TEXT(Tabela_DB[[#This Row],[DATA]],"mmm"))</f>
        <v>FEV</v>
      </c>
      <c r="H750" t="str">
        <f>UPPER(TEXT(Tabela_DB[[#This Row],[DATA]],"aaaa"))</f>
        <v>2021</v>
      </c>
    </row>
    <row r="751" spans="1:8" x14ac:dyDescent="0.25">
      <c r="A751" s="2">
        <v>44240</v>
      </c>
      <c r="B751" t="s">
        <v>40</v>
      </c>
      <c r="C751">
        <v>-1837</v>
      </c>
      <c r="D751" t="str">
        <f>VLOOKUP(B751,Tabela_Auxiliar[],2,0)</f>
        <v>4. Despesas Operacionais</v>
      </c>
      <c r="E751" t="str">
        <f>VLOOKUP(B751,Tabela_Auxiliar[],4,0)</f>
        <v>Despesa com Pessoal</v>
      </c>
      <c r="F751" t="str">
        <f>VLOOKUP(B751,Tabela_Auxiliar[],3,0)</f>
        <v>Saída</v>
      </c>
      <c r="G751" t="str">
        <f>UPPER(TEXT(Tabela_DB[[#This Row],[DATA]],"mmm"))</f>
        <v>FEV</v>
      </c>
      <c r="H751" t="str">
        <f>UPPER(TEXT(Tabela_DB[[#This Row],[DATA]],"aaaa"))</f>
        <v>2021</v>
      </c>
    </row>
    <row r="752" spans="1:8" x14ac:dyDescent="0.25">
      <c r="A752" s="2">
        <v>44240</v>
      </c>
      <c r="B752" t="s">
        <v>35</v>
      </c>
      <c r="C752">
        <v>-1395</v>
      </c>
      <c r="D752" t="str">
        <f>VLOOKUP(B752,Tabela_Auxiliar[],2,0)</f>
        <v>2. Deduções da Receita</v>
      </c>
      <c r="E752" t="str">
        <f>VLOOKUP(B752,Tabela_Auxiliar[],4,0)</f>
        <v>Imposto</v>
      </c>
      <c r="F752" t="str">
        <f>VLOOKUP(B752,Tabela_Auxiliar[],3,0)</f>
        <v>Saída</v>
      </c>
      <c r="G752" t="str">
        <f>UPPER(TEXT(Tabela_DB[[#This Row],[DATA]],"mmm"))</f>
        <v>FEV</v>
      </c>
      <c r="H752" t="str">
        <f>UPPER(TEXT(Tabela_DB[[#This Row],[DATA]],"aaaa"))</f>
        <v>2021</v>
      </c>
    </row>
    <row r="753" spans="1:8" x14ac:dyDescent="0.25">
      <c r="A753" s="2">
        <v>44240</v>
      </c>
      <c r="B753" t="s">
        <v>38</v>
      </c>
      <c r="C753">
        <v>-1517</v>
      </c>
      <c r="D753" t="str">
        <f>VLOOKUP(B753,Tabela_Auxiliar[],2,0)</f>
        <v>2. Deduções da Receita</v>
      </c>
      <c r="E753" t="str">
        <f>VLOOKUP(B753,Tabela_Auxiliar[],4,0)</f>
        <v>Deduções</v>
      </c>
      <c r="F753" t="str">
        <f>VLOOKUP(B753,Tabela_Auxiliar[],3,0)</f>
        <v>Saída</v>
      </c>
      <c r="G753" t="str">
        <f>UPPER(TEXT(Tabela_DB[[#This Row],[DATA]],"mmm"))</f>
        <v>FEV</v>
      </c>
      <c r="H753" t="str">
        <f>UPPER(TEXT(Tabela_DB[[#This Row],[DATA]],"aaaa"))</f>
        <v>2021</v>
      </c>
    </row>
    <row r="754" spans="1:8" x14ac:dyDescent="0.25">
      <c r="A754" s="2">
        <v>44240</v>
      </c>
      <c r="B754" t="s">
        <v>62</v>
      </c>
      <c r="C754">
        <v>-1804</v>
      </c>
      <c r="D754" t="str">
        <f>VLOOKUP(B754,Tabela_Auxiliar[],2,0)</f>
        <v>4. Despesas Operacionais</v>
      </c>
      <c r="E754" t="str">
        <f>VLOOKUP(B754,Tabela_Auxiliar[],4,0)</f>
        <v>Despesa Gerais</v>
      </c>
      <c r="F754" t="str">
        <f>VLOOKUP(B754,Tabela_Auxiliar[],3,0)</f>
        <v>Saída</v>
      </c>
      <c r="G754" t="str">
        <f>UPPER(TEXT(Tabela_DB[[#This Row],[DATA]],"mmm"))</f>
        <v>FEV</v>
      </c>
      <c r="H754" t="str">
        <f>UPPER(TEXT(Tabela_DB[[#This Row],[DATA]],"aaaa"))</f>
        <v>2021</v>
      </c>
    </row>
    <row r="755" spans="1:8" x14ac:dyDescent="0.25">
      <c r="A755" s="2">
        <v>44240</v>
      </c>
      <c r="B755" t="s">
        <v>37</v>
      </c>
      <c r="C755">
        <v>-4247</v>
      </c>
      <c r="D755" t="str">
        <f>VLOOKUP(B755,Tabela_Auxiliar[],2,0)</f>
        <v>3. Custos do Produto/Mercadoria/Serviço</v>
      </c>
      <c r="E755" t="str">
        <f>VLOOKUP(B755,Tabela_Auxiliar[],4,0)</f>
        <v>Despesas c/ Produto</v>
      </c>
      <c r="F755" t="str">
        <f>VLOOKUP(B755,Tabela_Auxiliar[],3,0)</f>
        <v>Saída</v>
      </c>
      <c r="G755" t="str">
        <f>UPPER(TEXT(Tabela_DB[[#This Row],[DATA]],"mmm"))</f>
        <v>FEV</v>
      </c>
      <c r="H755" t="str">
        <f>UPPER(TEXT(Tabela_DB[[#This Row],[DATA]],"aaaa"))</f>
        <v>2021</v>
      </c>
    </row>
    <row r="756" spans="1:8" x14ac:dyDescent="0.25">
      <c r="A756" s="2">
        <v>44241</v>
      </c>
      <c r="B756" t="s">
        <v>37</v>
      </c>
      <c r="C756">
        <v>-2781</v>
      </c>
      <c r="D756" t="str">
        <f>VLOOKUP(B756,Tabela_Auxiliar[],2,0)</f>
        <v>3. Custos do Produto/Mercadoria/Serviço</v>
      </c>
      <c r="E756" t="str">
        <f>VLOOKUP(B756,Tabela_Auxiliar[],4,0)</f>
        <v>Despesas c/ Produto</v>
      </c>
      <c r="F756" t="str">
        <f>VLOOKUP(B756,Tabela_Auxiliar[],3,0)</f>
        <v>Saída</v>
      </c>
      <c r="G756" t="str">
        <f>UPPER(TEXT(Tabela_DB[[#This Row],[DATA]],"mmm"))</f>
        <v>FEV</v>
      </c>
      <c r="H756" t="str">
        <f>UPPER(TEXT(Tabela_DB[[#This Row],[DATA]],"aaaa"))</f>
        <v>2021</v>
      </c>
    </row>
    <row r="757" spans="1:8" x14ac:dyDescent="0.25">
      <c r="A757" s="2">
        <v>44241</v>
      </c>
      <c r="B757" t="s">
        <v>38</v>
      </c>
      <c r="C757">
        <v>-2156</v>
      </c>
      <c r="D757" t="str">
        <f>VLOOKUP(B757,Tabela_Auxiliar[],2,0)</f>
        <v>2. Deduções da Receita</v>
      </c>
      <c r="E757" t="str">
        <f>VLOOKUP(B757,Tabela_Auxiliar[],4,0)</f>
        <v>Deduções</v>
      </c>
      <c r="F757" t="str">
        <f>VLOOKUP(B757,Tabela_Auxiliar[],3,0)</f>
        <v>Saída</v>
      </c>
      <c r="G757" t="str">
        <f>UPPER(TEXT(Tabela_DB[[#This Row],[DATA]],"mmm"))</f>
        <v>FEV</v>
      </c>
      <c r="H757" t="str">
        <f>UPPER(TEXT(Tabela_DB[[#This Row],[DATA]],"aaaa"))</f>
        <v>2021</v>
      </c>
    </row>
    <row r="758" spans="1:8" x14ac:dyDescent="0.25">
      <c r="A758" s="2">
        <v>44241</v>
      </c>
      <c r="B758" t="s">
        <v>4</v>
      </c>
      <c r="C758">
        <v>14345</v>
      </c>
      <c r="D758" t="str">
        <f>VLOOKUP(B758,Tabela_Auxiliar[],2,0)</f>
        <v>1. Receita Operacional Bruta</v>
      </c>
      <c r="E758" t="str">
        <f>VLOOKUP(B758,Tabela_Auxiliar[],4,0)</f>
        <v>Receita Bruta</v>
      </c>
      <c r="F758" t="str">
        <f>VLOOKUP(B758,Tabela_Auxiliar[],3,0)</f>
        <v>Entrada</v>
      </c>
      <c r="G758" t="str">
        <f>UPPER(TEXT(Tabela_DB[[#This Row],[DATA]],"mmm"))</f>
        <v>FEV</v>
      </c>
      <c r="H758" t="str">
        <f>UPPER(TEXT(Tabela_DB[[#This Row],[DATA]],"aaaa"))</f>
        <v>2021</v>
      </c>
    </row>
    <row r="759" spans="1:8" x14ac:dyDescent="0.25">
      <c r="A759" s="2">
        <v>44241</v>
      </c>
      <c r="B759" t="s">
        <v>87</v>
      </c>
      <c r="C759">
        <v>-1759</v>
      </c>
      <c r="D759" t="str">
        <f>VLOOKUP(B759,Tabela_Auxiliar[],2,0)</f>
        <v>4. Despesas Operacionais</v>
      </c>
      <c r="E759" t="str">
        <f>VLOOKUP(B759,Tabela_Auxiliar[],4,0)</f>
        <v>Despesa Tributária</v>
      </c>
      <c r="F759" t="str">
        <f>VLOOKUP(B759,Tabela_Auxiliar[],3,0)</f>
        <v>Saída</v>
      </c>
      <c r="G759" t="str">
        <f>UPPER(TEXT(Tabela_DB[[#This Row],[DATA]],"mmm"))</f>
        <v>FEV</v>
      </c>
      <c r="H759" t="str">
        <f>UPPER(TEXT(Tabela_DB[[#This Row],[DATA]],"aaaa"))</f>
        <v>2021</v>
      </c>
    </row>
    <row r="760" spans="1:8" x14ac:dyDescent="0.25">
      <c r="A760" s="2">
        <v>44241</v>
      </c>
      <c r="B760" t="s">
        <v>34</v>
      </c>
      <c r="C760">
        <v>-1586</v>
      </c>
      <c r="D760" t="str">
        <f>VLOOKUP(B760,Tabela_Auxiliar[],2,0)</f>
        <v>2. Deduções da Receita</v>
      </c>
      <c r="E760" t="str">
        <f>VLOOKUP(B760,Tabela_Auxiliar[],4,0)</f>
        <v>Imposto</v>
      </c>
      <c r="F760" t="str">
        <f>VLOOKUP(B760,Tabela_Auxiliar[],3,0)</f>
        <v>Saída</v>
      </c>
      <c r="G760" t="str">
        <f>UPPER(TEXT(Tabela_DB[[#This Row],[DATA]],"mmm"))</f>
        <v>FEV</v>
      </c>
      <c r="H760" t="str">
        <f>UPPER(TEXT(Tabela_DB[[#This Row],[DATA]],"aaaa"))</f>
        <v>2021</v>
      </c>
    </row>
    <row r="761" spans="1:8" x14ac:dyDescent="0.25">
      <c r="A761" s="2">
        <v>44241</v>
      </c>
      <c r="B761" t="s">
        <v>111</v>
      </c>
      <c r="C761">
        <v>-2244</v>
      </c>
      <c r="D761" t="str">
        <f>VLOOKUP(B761,Tabela_Auxiliar[],2,0)</f>
        <v>2. Deduções da Receita</v>
      </c>
      <c r="E761" t="str">
        <f>VLOOKUP(B761,Tabela_Auxiliar[],4,0)</f>
        <v>Imposto</v>
      </c>
      <c r="F761" t="str">
        <f>VLOOKUP(B761,Tabela_Auxiliar[],3,0)</f>
        <v>Saída</v>
      </c>
      <c r="G761" t="str">
        <f>UPPER(TEXT(Tabela_DB[[#This Row],[DATA]],"mmm"))</f>
        <v>FEV</v>
      </c>
      <c r="H761" t="str">
        <f>UPPER(TEXT(Tabela_DB[[#This Row],[DATA]],"aaaa"))</f>
        <v>2021</v>
      </c>
    </row>
    <row r="762" spans="1:8" x14ac:dyDescent="0.25">
      <c r="A762" s="2">
        <v>44241</v>
      </c>
      <c r="B762" t="s">
        <v>4</v>
      </c>
      <c r="C762">
        <v>13335</v>
      </c>
      <c r="D762" t="str">
        <f>VLOOKUP(B762,Tabela_Auxiliar[],2,0)</f>
        <v>1. Receita Operacional Bruta</v>
      </c>
      <c r="E762" t="str">
        <f>VLOOKUP(B762,Tabela_Auxiliar[],4,0)</f>
        <v>Receita Bruta</v>
      </c>
      <c r="F762" t="str">
        <f>VLOOKUP(B762,Tabela_Auxiliar[],3,0)</f>
        <v>Entrada</v>
      </c>
      <c r="G762" t="str">
        <f>UPPER(TEXT(Tabela_DB[[#This Row],[DATA]],"mmm"))</f>
        <v>FEV</v>
      </c>
      <c r="H762" t="str">
        <f>UPPER(TEXT(Tabela_DB[[#This Row],[DATA]],"aaaa"))</f>
        <v>2021</v>
      </c>
    </row>
    <row r="763" spans="1:8" x14ac:dyDescent="0.25">
      <c r="A763" s="2">
        <v>44241</v>
      </c>
      <c r="B763" t="s">
        <v>35</v>
      </c>
      <c r="C763">
        <v>-2386</v>
      </c>
      <c r="D763" t="str">
        <f>VLOOKUP(B763,Tabela_Auxiliar[],2,0)</f>
        <v>2. Deduções da Receita</v>
      </c>
      <c r="E763" t="str">
        <f>VLOOKUP(B763,Tabela_Auxiliar[],4,0)</f>
        <v>Imposto</v>
      </c>
      <c r="F763" t="str">
        <f>VLOOKUP(B763,Tabela_Auxiliar[],3,0)</f>
        <v>Saída</v>
      </c>
      <c r="G763" t="str">
        <f>UPPER(TEXT(Tabela_DB[[#This Row],[DATA]],"mmm"))</f>
        <v>FEV</v>
      </c>
      <c r="H763" t="str">
        <f>UPPER(TEXT(Tabela_DB[[#This Row],[DATA]],"aaaa"))</f>
        <v>2021</v>
      </c>
    </row>
    <row r="764" spans="1:8" x14ac:dyDescent="0.25">
      <c r="A764" s="2">
        <v>44241</v>
      </c>
      <c r="B764" t="s">
        <v>3</v>
      </c>
      <c r="C764">
        <v>11820</v>
      </c>
      <c r="D764" t="str">
        <f>VLOOKUP(B764,Tabela_Auxiliar[],2,0)</f>
        <v>1. Receita Operacional Bruta</v>
      </c>
      <c r="E764" t="str">
        <f>VLOOKUP(B764,Tabela_Auxiliar[],4,0)</f>
        <v>Receita Bruta</v>
      </c>
      <c r="F764" t="str">
        <f>VLOOKUP(B764,Tabela_Auxiliar[],3,0)</f>
        <v>Entrada</v>
      </c>
      <c r="G764" t="str">
        <f>UPPER(TEXT(Tabela_DB[[#This Row],[DATA]],"mmm"))</f>
        <v>FEV</v>
      </c>
      <c r="H764" t="str">
        <f>UPPER(TEXT(Tabela_DB[[#This Row],[DATA]],"aaaa"))</f>
        <v>2021</v>
      </c>
    </row>
    <row r="765" spans="1:8" x14ac:dyDescent="0.25">
      <c r="A765" s="2">
        <v>44241</v>
      </c>
      <c r="B765" t="s">
        <v>38</v>
      </c>
      <c r="C765">
        <v>-1392</v>
      </c>
      <c r="D765" t="str">
        <f>VLOOKUP(B765,Tabela_Auxiliar[],2,0)</f>
        <v>2. Deduções da Receita</v>
      </c>
      <c r="E765" t="str">
        <f>VLOOKUP(B765,Tabela_Auxiliar[],4,0)</f>
        <v>Deduções</v>
      </c>
      <c r="F765" t="str">
        <f>VLOOKUP(B765,Tabela_Auxiliar[],3,0)</f>
        <v>Saída</v>
      </c>
      <c r="G765" t="str">
        <f>UPPER(TEXT(Tabela_DB[[#This Row],[DATA]],"mmm"))</f>
        <v>FEV</v>
      </c>
      <c r="H765" t="str">
        <f>UPPER(TEXT(Tabela_DB[[#This Row],[DATA]],"aaaa"))</f>
        <v>2021</v>
      </c>
    </row>
    <row r="766" spans="1:8" x14ac:dyDescent="0.25">
      <c r="A766" s="2">
        <v>44241</v>
      </c>
      <c r="B766" t="s">
        <v>34</v>
      </c>
      <c r="C766">
        <v>-2064</v>
      </c>
      <c r="D766" t="str">
        <f>VLOOKUP(B766,Tabela_Auxiliar[],2,0)</f>
        <v>2. Deduções da Receita</v>
      </c>
      <c r="E766" t="str">
        <f>VLOOKUP(B766,Tabela_Auxiliar[],4,0)</f>
        <v>Imposto</v>
      </c>
      <c r="F766" t="str">
        <f>VLOOKUP(B766,Tabela_Auxiliar[],3,0)</f>
        <v>Saída</v>
      </c>
      <c r="G766" t="str">
        <f>UPPER(TEXT(Tabela_DB[[#This Row],[DATA]],"mmm"))</f>
        <v>FEV</v>
      </c>
      <c r="H766" t="str">
        <f>UPPER(TEXT(Tabela_DB[[#This Row],[DATA]],"aaaa"))</f>
        <v>2021</v>
      </c>
    </row>
    <row r="767" spans="1:8" x14ac:dyDescent="0.25">
      <c r="A767" s="2">
        <v>44241</v>
      </c>
      <c r="B767" t="s">
        <v>111</v>
      </c>
      <c r="C767">
        <v>-1016</v>
      </c>
      <c r="D767" t="str">
        <f>VLOOKUP(B767,Tabela_Auxiliar[],2,0)</f>
        <v>2. Deduções da Receita</v>
      </c>
      <c r="E767" t="str">
        <f>VLOOKUP(B767,Tabela_Auxiliar[],4,0)</f>
        <v>Imposto</v>
      </c>
      <c r="F767" t="str">
        <f>VLOOKUP(B767,Tabela_Auxiliar[],3,0)</f>
        <v>Saída</v>
      </c>
      <c r="G767" t="str">
        <f>UPPER(TEXT(Tabela_DB[[#This Row],[DATA]],"mmm"))</f>
        <v>FEV</v>
      </c>
      <c r="H767" t="str">
        <f>UPPER(TEXT(Tabela_DB[[#This Row],[DATA]],"aaaa"))</f>
        <v>2021</v>
      </c>
    </row>
    <row r="768" spans="1:8" x14ac:dyDescent="0.25">
      <c r="A768" s="2">
        <v>44242</v>
      </c>
      <c r="B768" t="s">
        <v>37</v>
      </c>
      <c r="C768">
        <v>-4315</v>
      </c>
      <c r="D768" t="str">
        <f>VLOOKUP(B768,Tabela_Auxiliar[],2,0)</f>
        <v>3. Custos do Produto/Mercadoria/Serviço</v>
      </c>
      <c r="E768" t="str">
        <f>VLOOKUP(B768,Tabela_Auxiliar[],4,0)</f>
        <v>Despesas c/ Produto</v>
      </c>
      <c r="F768" t="str">
        <f>VLOOKUP(B768,Tabela_Auxiliar[],3,0)</f>
        <v>Saída</v>
      </c>
      <c r="G768" t="str">
        <f>UPPER(TEXT(Tabela_DB[[#This Row],[DATA]],"mmm"))</f>
        <v>FEV</v>
      </c>
      <c r="H768" t="str">
        <f>UPPER(TEXT(Tabela_DB[[#This Row],[DATA]],"aaaa"))</f>
        <v>2021</v>
      </c>
    </row>
    <row r="769" spans="1:8" x14ac:dyDescent="0.25">
      <c r="A769" s="2">
        <v>44242</v>
      </c>
      <c r="B769" t="s">
        <v>35</v>
      </c>
      <c r="C769">
        <v>-1635</v>
      </c>
      <c r="D769" t="str">
        <f>VLOOKUP(B769,Tabela_Auxiliar[],2,0)</f>
        <v>2. Deduções da Receita</v>
      </c>
      <c r="E769" t="str">
        <f>VLOOKUP(B769,Tabela_Auxiliar[],4,0)</f>
        <v>Imposto</v>
      </c>
      <c r="F769" t="str">
        <f>VLOOKUP(B769,Tabela_Auxiliar[],3,0)</f>
        <v>Saída</v>
      </c>
      <c r="G769" t="str">
        <f>UPPER(TEXT(Tabela_DB[[#This Row],[DATA]],"mmm"))</f>
        <v>FEV</v>
      </c>
      <c r="H769" t="str">
        <f>UPPER(TEXT(Tabela_DB[[#This Row],[DATA]],"aaaa"))</f>
        <v>2021</v>
      </c>
    </row>
    <row r="770" spans="1:8" x14ac:dyDescent="0.25">
      <c r="A770" s="2">
        <v>44242</v>
      </c>
      <c r="B770" t="s">
        <v>4</v>
      </c>
      <c r="C770">
        <v>11716</v>
      </c>
      <c r="D770" t="str">
        <f>VLOOKUP(B770,Tabela_Auxiliar[],2,0)</f>
        <v>1. Receita Operacional Bruta</v>
      </c>
      <c r="E770" t="str">
        <f>VLOOKUP(B770,Tabela_Auxiliar[],4,0)</f>
        <v>Receita Bruta</v>
      </c>
      <c r="F770" t="str">
        <f>VLOOKUP(B770,Tabela_Auxiliar[],3,0)</f>
        <v>Entrada</v>
      </c>
      <c r="G770" t="str">
        <f>UPPER(TEXT(Tabela_DB[[#This Row],[DATA]],"mmm"))</f>
        <v>FEV</v>
      </c>
      <c r="H770" t="str">
        <f>UPPER(TEXT(Tabela_DB[[#This Row],[DATA]],"aaaa"))</f>
        <v>2021</v>
      </c>
    </row>
    <row r="771" spans="1:8" x14ac:dyDescent="0.25">
      <c r="A771" s="2">
        <v>44242</v>
      </c>
      <c r="B771" t="s">
        <v>35</v>
      </c>
      <c r="C771">
        <v>-1689</v>
      </c>
      <c r="D771" t="str">
        <f>VLOOKUP(B771,Tabela_Auxiliar[],2,0)</f>
        <v>2. Deduções da Receita</v>
      </c>
      <c r="E771" t="str">
        <f>VLOOKUP(B771,Tabela_Auxiliar[],4,0)</f>
        <v>Imposto</v>
      </c>
      <c r="F771" t="str">
        <f>VLOOKUP(B771,Tabela_Auxiliar[],3,0)</f>
        <v>Saída</v>
      </c>
      <c r="G771" t="str">
        <f>UPPER(TEXT(Tabela_DB[[#This Row],[DATA]],"mmm"))</f>
        <v>FEV</v>
      </c>
      <c r="H771" t="str">
        <f>UPPER(TEXT(Tabela_DB[[#This Row],[DATA]],"aaaa"))</f>
        <v>2021</v>
      </c>
    </row>
    <row r="772" spans="1:8" x14ac:dyDescent="0.25">
      <c r="A772" s="2">
        <v>44242</v>
      </c>
      <c r="B772" t="s">
        <v>34</v>
      </c>
      <c r="C772">
        <v>-1918</v>
      </c>
      <c r="D772" t="str">
        <f>VLOOKUP(B772,Tabela_Auxiliar[],2,0)</f>
        <v>2. Deduções da Receita</v>
      </c>
      <c r="E772" t="str">
        <f>VLOOKUP(B772,Tabela_Auxiliar[],4,0)</f>
        <v>Imposto</v>
      </c>
      <c r="F772" t="str">
        <f>VLOOKUP(B772,Tabela_Auxiliar[],3,0)</f>
        <v>Saída</v>
      </c>
      <c r="G772" t="str">
        <f>UPPER(TEXT(Tabela_DB[[#This Row],[DATA]],"mmm"))</f>
        <v>FEV</v>
      </c>
      <c r="H772" t="str">
        <f>UPPER(TEXT(Tabela_DB[[#This Row],[DATA]],"aaaa"))</f>
        <v>2021</v>
      </c>
    </row>
    <row r="773" spans="1:8" x14ac:dyDescent="0.25">
      <c r="A773" s="2">
        <v>44242</v>
      </c>
      <c r="B773" t="s">
        <v>4</v>
      </c>
      <c r="C773">
        <v>12329</v>
      </c>
      <c r="D773" t="str">
        <f>VLOOKUP(B773,Tabela_Auxiliar[],2,0)</f>
        <v>1. Receita Operacional Bruta</v>
      </c>
      <c r="E773" t="str">
        <f>VLOOKUP(B773,Tabela_Auxiliar[],4,0)</f>
        <v>Receita Bruta</v>
      </c>
      <c r="F773" t="str">
        <f>VLOOKUP(B773,Tabela_Auxiliar[],3,0)</f>
        <v>Entrada</v>
      </c>
      <c r="G773" t="str">
        <f>UPPER(TEXT(Tabela_DB[[#This Row],[DATA]],"mmm"))</f>
        <v>FEV</v>
      </c>
      <c r="H773" t="str">
        <f>UPPER(TEXT(Tabela_DB[[#This Row],[DATA]],"aaaa"))</f>
        <v>2021</v>
      </c>
    </row>
    <row r="774" spans="1:8" x14ac:dyDescent="0.25">
      <c r="A774" s="2">
        <v>44242</v>
      </c>
      <c r="B774" t="s">
        <v>66</v>
      </c>
      <c r="C774">
        <v>-1792</v>
      </c>
      <c r="D774" t="str">
        <f>VLOOKUP(B774,Tabela_Auxiliar[],2,0)</f>
        <v>4. Despesas Operacionais</v>
      </c>
      <c r="E774" t="str">
        <f>VLOOKUP(B774,Tabela_Auxiliar[],4,0)</f>
        <v>Despesa com Vendas</v>
      </c>
      <c r="F774" t="str">
        <f>VLOOKUP(B774,Tabela_Auxiliar[],3,0)</f>
        <v>Saída</v>
      </c>
      <c r="G774" t="str">
        <f>UPPER(TEXT(Tabela_DB[[#This Row],[DATA]],"mmm"))</f>
        <v>FEV</v>
      </c>
      <c r="H774" t="str">
        <f>UPPER(TEXT(Tabela_DB[[#This Row],[DATA]],"aaaa"))</f>
        <v>2021</v>
      </c>
    </row>
    <row r="775" spans="1:8" x14ac:dyDescent="0.25">
      <c r="A775" s="2">
        <v>44242</v>
      </c>
      <c r="B775" t="s">
        <v>83</v>
      </c>
      <c r="C775">
        <v>-2157</v>
      </c>
      <c r="D775" t="str">
        <f>VLOOKUP(B775,Tabela_Auxiliar[],2,0)</f>
        <v>4. Despesas Operacionais</v>
      </c>
      <c r="E775" t="str">
        <f>VLOOKUP(B775,Tabela_Auxiliar[],4,0)</f>
        <v>Despesa com Veículos</v>
      </c>
      <c r="F775" t="str">
        <f>VLOOKUP(B775,Tabela_Auxiliar[],3,0)</f>
        <v>Saída</v>
      </c>
      <c r="G775" t="str">
        <f>UPPER(TEXT(Tabela_DB[[#This Row],[DATA]],"mmm"))</f>
        <v>FEV</v>
      </c>
      <c r="H775" t="str">
        <f>UPPER(TEXT(Tabela_DB[[#This Row],[DATA]],"aaaa"))</f>
        <v>2021</v>
      </c>
    </row>
    <row r="776" spans="1:8" x14ac:dyDescent="0.25">
      <c r="A776" s="2">
        <v>44242</v>
      </c>
      <c r="B776" t="s">
        <v>34</v>
      </c>
      <c r="C776">
        <v>-1308</v>
      </c>
      <c r="D776" t="str">
        <f>VLOOKUP(B776,Tabela_Auxiliar[],2,0)</f>
        <v>2. Deduções da Receita</v>
      </c>
      <c r="E776" t="str">
        <f>VLOOKUP(B776,Tabela_Auxiliar[],4,0)</f>
        <v>Imposto</v>
      </c>
      <c r="F776" t="str">
        <f>VLOOKUP(B776,Tabela_Auxiliar[],3,0)</f>
        <v>Saída</v>
      </c>
      <c r="G776" t="str">
        <f>UPPER(TEXT(Tabela_DB[[#This Row],[DATA]],"mmm"))</f>
        <v>FEV</v>
      </c>
      <c r="H776" t="str">
        <f>UPPER(TEXT(Tabela_DB[[#This Row],[DATA]],"aaaa"))</f>
        <v>2021</v>
      </c>
    </row>
    <row r="777" spans="1:8" x14ac:dyDescent="0.25">
      <c r="A777" s="2">
        <v>44242</v>
      </c>
      <c r="B777" t="s">
        <v>82</v>
      </c>
      <c r="C777">
        <v>-2026</v>
      </c>
      <c r="D777" t="str">
        <f>VLOOKUP(B777,Tabela_Auxiliar[],2,0)</f>
        <v>4. Despesas Operacionais</v>
      </c>
      <c r="E777" t="str">
        <f>VLOOKUP(B777,Tabela_Auxiliar[],4,0)</f>
        <v>Despesa com Veículos</v>
      </c>
      <c r="F777" t="str">
        <f>VLOOKUP(B777,Tabela_Auxiliar[],3,0)</f>
        <v>Saída</v>
      </c>
      <c r="G777" t="str">
        <f>UPPER(TEXT(Tabela_DB[[#This Row],[DATA]],"mmm"))</f>
        <v>FEV</v>
      </c>
      <c r="H777" t="str">
        <f>UPPER(TEXT(Tabela_DB[[#This Row],[DATA]],"aaaa"))</f>
        <v>2021</v>
      </c>
    </row>
    <row r="778" spans="1:8" x14ac:dyDescent="0.25">
      <c r="A778" s="2">
        <v>44242</v>
      </c>
      <c r="B778" t="s">
        <v>34</v>
      </c>
      <c r="C778">
        <v>-2142</v>
      </c>
      <c r="D778" t="str">
        <f>VLOOKUP(B778,Tabela_Auxiliar[],2,0)</f>
        <v>2. Deduções da Receita</v>
      </c>
      <c r="E778" t="str">
        <f>VLOOKUP(B778,Tabela_Auxiliar[],4,0)</f>
        <v>Imposto</v>
      </c>
      <c r="F778" t="str">
        <f>VLOOKUP(B778,Tabela_Auxiliar[],3,0)</f>
        <v>Saída</v>
      </c>
      <c r="G778" t="str">
        <f>UPPER(TEXT(Tabela_DB[[#This Row],[DATA]],"mmm"))</f>
        <v>FEV</v>
      </c>
      <c r="H778" t="str">
        <f>UPPER(TEXT(Tabela_DB[[#This Row],[DATA]],"aaaa"))</f>
        <v>2021</v>
      </c>
    </row>
    <row r="779" spans="1:8" x14ac:dyDescent="0.25">
      <c r="A779" s="2">
        <v>44242</v>
      </c>
      <c r="B779" t="s">
        <v>38</v>
      </c>
      <c r="C779">
        <v>-2182</v>
      </c>
      <c r="D779" t="str">
        <f>VLOOKUP(B779,Tabela_Auxiliar[],2,0)</f>
        <v>2. Deduções da Receita</v>
      </c>
      <c r="E779" t="str">
        <f>VLOOKUP(B779,Tabela_Auxiliar[],4,0)</f>
        <v>Deduções</v>
      </c>
      <c r="F779" t="str">
        <f>VLOOKUP(B779,Tabela_Auxiliar[],3,0)</f>
        <v>Saída</v>
      </c>
      <c r="G779" t="str">
        <f>UPPER(TEXT(Tabela_DB[[#This Row],[DATA]],"mmm"))</f>
        <v>FEV</v>
      </c>
      <c r="H779" t="str">
        <f>UPPER(TEXT(Tabela_DB[[#This Row],[DATA]],"aaaa"))</f>
        <v>2021</v>
      </c>
    </row>
    <row r="780" spans="1:8" x14ac:dyDescent="0.25">
      <c r="A780" s="2">
        <v>44243</v>
      </c>
      <c r="B780" t="s">
        <v>70</v>
      </c>
      <c r="C780">
        <v>-1138</v>
      </c>
      <c r="D780" t="str">
        <f>VLOOKUP(B780,Tabela_Auxiliar[],2,0)</f>
        <v>4. Despesas Operacionais</v>
      </c>
      <c r="E780" t="str">
        <f>VLOOKUP(B780,Tabela_Auxiliar[],4,0)</f>
        <v>Despesa com Ocupação</v>
      </c>
      <c r="F780" t="str">
        <f>VLOOKUP(B780,Tabela_Auxiliar[],3,0)</f>
        <v>Saída</v>
      </c>
      <c r="G780" t="str">
        <f>UPPER(TEXT(Tabela_DB[[#This Row],[DATA]],"mmm"))</f>
        <v>FEV</v>
      </c>
      <c r="H780" t="str">
        <f>UPPER(TEXT(Tabela_DB[[#This Row],[DATA]],"aaaa"))</f>
        <v>2021</v>
      </c>
    </row>
    <row r="781" spans="1:8" x14ac:dyDescent="0.25">
      <c r="A781" s="2">
        <v>44243</v>
      </c>
      <c r="B781" t="s">
        <v>3</v>
      </c>
      <c r="C781">
        <v>12444</v>
      </c>
      <c r="D781" t="str">
        <f>VLOOKUP(B781,Tabela_Auxiliar[],2,0)</f>
        <v>1. Receita Operacional Bruta</v>
      </c>
      <c r="E781" t="str">
        <f>VLOOKUP(B781,Tabela_Auxiliar[],4,0)</f>
        <v>Receita Bruta</v>
      </c>
      <c r="F781" t="str">
        <f>VLOOKUP(B781,Tabela_Auxiliar[],3,0)</f>
        <v>Entrada</v>
      </c>
      <c r="G781" t="str">
        <f>UPPER(TEXT(Tabela_DB[[#This Row],[DATA]],"mmm"))</f>
        <v>FEV</v>
      </c>
      <c r="H781" t="str">
        <f>UPPER(TEXT(Tabela_DB[[#This Row],[DATA]],"aaaa"))</f>
        <v>2021</v>
      </c>
    </row>
    <row r="782" spans="1:8" x14ac:dyDescent="0.25">
      <c r="A782" s="2">
        <v>44243</v>
      </c>
      <c r="B782" t="s">
        <v>38</v>
      </c>
      <c r="C782">
        <v>-1615</v>
      </c>
      <c r="D782" t="str">
        <f>VLOOKUP(B782,Tabela_Auxiliar[],2,0)</f>
        <v>2. Deduções da Receita</v>
      </c>
      <c r="E782" t="str">
        <f>VLOOKUP(B782,Tabela_Auxiliar[],4,0)</f>
        <v>Deduções</v>
      </c>
      <c r="F782" t="str">
        <f>VLOOKUP(B782,Tabela_Auxiliar[],3,0)</f>
        <v>Saída</v>
      </c>
      <c r="G782" t="str">
        <f>UPPER(TEXT(Tabela_DB[[#This Row],[DATA]],"mmm"))</f>
        <v>FEV</v>
      </c>
      <c r="H782" t="str">
        <f>UPPER(TEXT(Tabela_DB[[#This Row],[DATA]],"aaaa"))</f>
        <v>2021</v>
      </c>
    </row>
    <row r="783" spans="1:8" x14ac:dyDescent="0.25">
      <c r="A783" s="2">
        <v>44243</v>
      </c>
      <c r="B783" t="s">
        <v>3</v>
      </c>
      <c r="C783">
        <v>13580</v>
      </c>
      <c r="D783" t="str">
        <f>VLOOKUP(B783,Tabela_Auxiliar[],2,0)</f>
        <v>1. Receita Operacional Bruta</v>
      </c>
      <c r="E783" t="str">
        <f>VLOOKUP(B783,Tabela_Auxiliar[],4,0)</f>
        <v>Receita Bruta</v>
      </c>
      <c r="F783" t="str">
        <f>VLOOKUP(B783,Tabela_Auxiliar[],3,0)</f>
        <v>Entrada</v>
      </c>
      <c r="G783" t="str">
        <f>UPPER(TEXT(Tabela_DB[[#This Row],[DATA]],"mmm"))</f>
        <v>FEV</v>
      </c>
      <c r="H783" t="str">
        <f>UPPER(TEXT(Tabela_DB[[#This Row],[DATA]],"aaaa"))</f>
        <v>2021</v>
      </c>
    </row>
    <row r="784" spans="1:8" x14ac:dyDescent="0.25">
      <c r="A784" s="2">
        <v>44243</v>
      </c>
      <c r="B784" t="s">
        <v>35</v>
      </c>
      <c r="C784">
        <v>-2417</v>
      </c>
      <c r="D784" t="str">
        <f>VLOOKUP(B784,Tabela_Auxiliar[],2,0)</f>
        <v>2. Deduções da Receita</v>
      </c>
      <c r="E784" t="str">
        <f>VLOOKUP(B784,Tabela_Auxiliar[],4,0)</f>
        <v>Imposto</v>
      </c>
      <c r="F784" t="str">
        <f>VLOOKUP(B784,Tabela_Auxiliar[],3,0)</f>
        <v>Saída</v>
      </c>
      <c r="G784" t="str">
        <f>UPPER(TEXT(Tabela_DB[[#This Row],[DATA]],"mmm"))</f>
        <v>FEV</v>
      </c>
      <c r="H784" t="str">
        <f>UPPER(TEXT(Tabela_DB[[#This Row],[DATA]],"aaaa"))</f>
        <v>2021</v>
      </c>
    </row>
    <row r="785" spans="1:8" x14ac:dyDescent="0.25">
      <c r="A785" s="2">
        <v>44243</v>
      </c>
      <c r="B785" t="s">
        <v>40</v>
      </c>
      <c r="C785">
        <v>-1296</v>
      </c>
      <c r="D785" t="str">
        <f>VLOOKUP(B785,Tabela_Auxiliar[],2,0)</f>
        <v>4. Despesas Operacionais</v>
      </c>
      <c r="E785" t="str">
        <f>VLOOKUP(B785,Tabela_Auxiliar[],4,0)</f>
        <v>Despesa com Pessoal</v>
      </c>
      <c r="F785" t="str">
        <f>VLOOKUP(B785,Tabela_Auxiliar[],3,0)</f>
        <v>Saída</v>
      </c>
      <c r="G785" t="str">
        <f>UPPER(TEXT(Tabela_DB[[#This Row],[DATA]],"mmm"))</f>
        <v>FEV</v>
      </c>
      <c r="H785" t="str">
        <f>UPPER(TEXT(Tabela_DB[[#This Row],[DATA]],"aaaa"))</f>
        <v>2021</v>
      </c>
    </row>
    <row r="786" spans="1:8" x14ac:dyDescent="0.25">
      <c r="A786" s="2">
        <v>44243</v>
      </c>
      <c r="B786" t="s">
        <v>37</v>
      </c>
      <c r="C786">
        <v>-4049</v>
      </c>
      <c r="D786" t="str">
        <f>VLOOKUP(B786,Tabela_Auxiliar[],2,0)</f>
        <v>3. Custos do Produto/Mercadoria/Serviço</v>
      </c>
      <c r="E786" t="str">
        <f>VLOOKUP(B786,Tabela_Auxiliar[],4,0)</f>
        <v>Despesas c/ Produto</v>
      </c>
      <c r="F786" t="str">
        <f>VLOOKUP(B786,Tabela_Auxiliar[],3,0)</f>
        <v>Saída</v>
      </c>
      <c r="G786" t="str">
        <f>UPPER(TEXT(Tabela_DB[[#This Row],[DATA]],"mmm"))</f>
        <v>FEV</v>
      </c>
      <c r="H786" t="str">
        <f>UPPER(TEXT(Tabela_DB[[#This Row],[DATA]],"aaaa"))</f>
        <v>2021</v>
      </c>
    </row>
    <row r="787" spans="1:8" x14ac:dyDescent="0.25">
      <c r="A787" s="2">
        <v>44243</v>
      </c>
      <c r="B787" t="s">
        <v>34</v>
      </c>
      <c r="C787">
        <v>-2058</v>
      </c>
      <c r="D787" t="str">
        <f>VLOOKUP(B787,Tabela_Auxiliar[],2,0)</f>
        <v>2. Deduções da Receita</v>
      </c>
      <c r="E787" t="str">
        <f>VLOOKUP(B787,Tabela_Auxiliar[],4,0)</f>
        <v>Imposto</v>
      </c>
      <c r="F787" t="str">
        <f>VLOOKUP(B787,Tabela_Auxiliar[],3,0)</f>
        <v>Saída</v>
      </c>
      <c r="G787" t="str">
        <f>UPPER(TEXT(Tabela_DB[[#This Row],[DATA]],"mmm"))</f>
        <v>FEV</v>
      </c>
      <c r="H787" t="str">
        <f>UPPER(TEXT(Tabela_DB[[#This Row],[DATA]],"aaaa"))</f>
        <v>2021</v>
      </c>
    </row>
    <row r="788" spans="1:8" x14ac:dyDescent="0.25">
      <c r="A788" s="2">
        <v>44243</v>
      </c>
      <c r="B788" t="s">
        <v>80</v>
      </c>
      <c r="C788">
        <v>-1582</v>
      </c>
      <c r="D788" t="str">
        <f>VLOOKUP(B788,Tabela_Auxiliar[],2,0)</f>
        <v>4. Despesas Operacionais</v>
      </c>
      <c r="E788" t="str">
        <f>VLOOKUP(B788,Tabela_Auxiliar[],4,0)</f>
        <v>Serviços Contratados</v>
      </c>
      <c r="F788" t="str">
        <f>VLOOKUP(B788,Tabela_Auxiliar[],3,0)</f>
        <v>Saída</v>
      </c>
      <c r="G788" t="str">
        <f>UPPER(TEXT(Tabela_DB[[#This Row],[DATA]],"mmm"))</f>
        <v>FEV</v>
      </c>
      <c r="H788" t="str">
        <f>UPPER(TEXT(Tabela_DB[[#This Row],[DATA]],"aaaa"))</f>
        <v>2021</v>
      </c>
    </row>
    <row r="789" spans="1:8" x14ac:dyDescent="0.25">
      <c r="A789" s="2">
        <v>44243</v>
      </c>
      <c r="B789" t="s">
        <v>37</v>
      </c>
      <c r="C789">
        <v>-3379</v>
      </c>
      <c r="D789" t="str">
        <f>VLOOKUP(B789,Tabela_Auxiliar[],2,0)</f>
        <v>3. Custos do Produto/Mercadoria/Serviço</v>
      </c>
      <c r="E789" t="str">
        <f>VLOOKUP(B789,Tabela_Auxiliar[],4,0)</f>
        <v>Despesas c/ Produto</v>
      </c>
      <c r="F789" t="str">
        <f>VLOOKUP(B789,Tabela_Auxiliar[],3,0)</f>
        <v>Saída</v>
      </c>
      <c r="G789" t="str">
        <f>UPPER(TEXT(Tabela_DB[[#This Row],[DATA]],"mmm"))</f>
        <v>FEV</v>
      </c>
      <c r="H789" t="str">
        <f>UPPER(TEXT(Tabela_DB[[#This Row],[DATA]],"aaaa"))</f>
        <v>2021</v>
      </c>
    </row>
    <row r="790" spans="1:8" x14ac:dyDescent="0.25">
      <c r="A790" s="2">
        <v>44244</v>
      </c>
      <c r="B790" t="s">
        <v>102</v>
      </c>
      <c r="C790">
        <v>-2186</v>
      </c>
      <c r="D790" t="str">
        <f>VLOOKUP(B790,Tabela_Auxiliar[],2,0)</f>
        <v>6. Resultado após o Resultado Financeiro</v>
      </c>
      <c r="E790" t="str">
        <f>VLOOKUP(B790,Tabela_Auxiliar[],4,0)</f>
        <v>EBTIDA</v>
      </c>
      <c r="F790" t="str">
        <f>VLOOKUP(B790,Tabela_Auxiliar[],3,0)</f>
        <v>Saída</v>
      </c>
      <c r="G790" t="str">
        <f>UPPER(TEXT(Tabela_DB[[#This Row],[DATA]],"mmm"))</f>
        <v>FEV</v>
      </c>
      <c r="H790" t="str">
        <f>UPPER(TEXT(Tabela_DB[[#This Row],[DATA]],"aaaa"))</f>
        <v>2021</v>
      </c>
    </row>
    <row r="791" spans="1:8" x14ac:dyDescent="0.25">
      <c r="A791" s="2">
        <v>44244</v>
      </c>
      <c r="B791" t="s">
        <v>34</v>
      </c>
      <c r="C791">
        <v>-1890</v>
      </c>
      <c r="D791" t="str">
        <f>VLOOKUP(B791,Tabela_Auxiliar[],2,0)</f>
        <v>2. Deduções da Receita</v>
      </c>
      <c r="E791" t="str">
        <f>VLOOKUP(B791,Tabela_Auxiliar[],4,0)</f>
        <v>Imposto</v>
      </c>
      <c r="F791" t="str">
        <f>VLOOKUP(B791,Tabela_Auxiliar[],3,0)</f>
        <v>Saída</v>
      </c>
      <c r="G791" t="str">
        <f>UPPER(TEXT(Tabela_DB[[#This Row],[DATA]],"mmm"))</f>
        <v>FEV</v>
      </c>
      <c r="H791" t="str">
        <f>UPPER(TEXT(Tabela_DB[[#This Row],[DATA]],"aaaa"))</f>
        <v>2021</v>
      </c>
    </row>
    <row r="792" spans="1:8" x14ac:dyDescent="0.25">
      <c r="A792" s="2">
        <v>44244</v>
      </c>
      <c r="B792" t="s">
        <v>37</v>
      </c>
      <c r="C792">
        <v>-2568</v>
      </c>
      <c r="D792" t="str">
        <f>VLOOKUP(B792,Tabela_Auxiliar[],2,0)</f>
        <v>3. Custos do Produto/Mercadoria/Serviço</v>
      </c>
      <c r="E792" t="str">
        <f>VLOOKUP(B792,Tabela_Auxiliar[],4,0)</f>
        <v>Despesas c/ Produto</v>
      </c>
      <c r="F792" t="str">
        <f>VLOOKUP(B792,Tabela_Auxiliar[],3,0)</f>
        <v>Saída</v>
      </c>
      <c r="G792" t="str">
        <f>UPPER(TEXT(Tabela_DB[[#This Row],[DATA]],"mmm"))</f>
        <v>FEV</v>
      </c>
      <c r="H792" t="str">
        <f>UPPER(TEXT(Tabela_DB[[#This Row],[DATA]],"aaaa"))</f>
        <v>2021</v>
      </c>
    </row>
    <row r="793" spans="1:8" x14ac:dyDescent="0.25">
      <c r="A793" s="2">
        <v>44244</v>
      </c>
      <c r="B793" t="s">
        <v>66</v>
      </c>
      <c r="C793">
        <v>-2424</v>
      </c>
      <c r="D793" t="str">
        <f>VLOOKUP(B793,Tabela_Auxiliar[],2,0)</f>
        <v>4. Despesas Operacionais</v>
      </c>
      <c r="E793" t="str">
        <f>VLOOKUP(B793,Tabela_Auxiliar[],4,0)</f>
        <v>Despesa com Vendas</v>
      </c>
      <c r="F793" t="str">
        <f>VLOOKUP(B793,Tabela_Auxiliar[],3,0)</f>
        <v>Saída</v>
      </c>
      <c r="G793" t="str">
        <f>UPPER(TEXT(Tabela_DB[[#This Row],[DATA]],"mmm"))</f>
        <v>FEV</v>
      </c>
      <c r="H793" t="str">
        <f>UPPER(TEXT(Tabela_DB[[#This Row],[DATA]],"aaaa"))</f>
        <v>2021</v>
      </c>
    </row>
    <row r="794" spans="1:8" x14ac:dyDescent="0.25">
      <c r="A794" s="2">
        <v>44244</v>
      </c>
      <c r="B794" t="s">
        <v>3</v>
      </c>
      <c r="C794">
        <v>12943</v>
      </c>
      <c r="D794" t="str">
        <f>VLOOKUP(B794,Tabela_Auxiliar[],2,0)</f>
        <v>1. Receita Operacional Bruta</v>
      </c>
      <c r="E794" t="str">
        <f>VLOOKUP(B794,Tabela_Auxiliar[],4,0)</f>
        <v>Receita Bruta</v>
      </c>
      <c r="F794" t="str">
        <f>VLOOKUP(B794,Tabela_Auxiliar[],3,0)</f>
        <v>Entrada</v>
      </c>
      <c r="G794" t="str">
        <f>UPPER(TEXT(Tabela_DB[[#This Row],[DATA]],"mmm"))</f>
        <v>FEV</v>
      </c>
      <c r="H794" t="str">
        <f>UPPER(TEXT(Tabela_DB[[#This Row],[DATA]],"aaaa"))</f>
        <v>2021</v>
      </c>
    </row>
    <row r="795" spans="1:8" x14ac:dyDescent="0.25">
      <c r="A795" s="2">
        <v>44244</v>
      </c>
      <c r="B795" t="s">
        <v>111</v>
      </c>
      <c r="C795">
        <v>-1675</v>
      </c>
      <c r="D795" t="str">
        <f>VLOOKUP(B795,Tabela_Auxiliar[],2,0)</f>
        <v>2. Deduções da Receita</v>
      </c>
      <c r="E795" t="str">
        <f>VLOOKUP(B795,Tabela_Auxiliar[],4,0)</f>
        <v>Imposto</v>
      </c>
      <c r="F795" t="str">
        <f>VLOOKUP(B795,Tabela_Auxiliar[],3,0)</f>
        <v>Saída</v>
      </c>
      <c r="G795" t="str">
        <f>UPPER(TEXT(Tabela_DB[[#This Row],[DATA]],"mmm"))</f>
        <v>FEV</v>
      </c>
      <c r="H795" t="str">
        <f>UPPER(TEXT(Tabela_DB[[#This Row],[DATA]],"aaaa"))</f>
        <v>2021</v>
      </c>
    </row>
    <row r="796" spans="1:8" x14ac:dyDescent="0.25">
      <c r="A796" s="2">
        <v>44244</v>
      </c>
      <c r="B796" t="s">
        <v>45</v>
      </c>
      <c r="C796">
        <v>-1187</v>
      </c>
      <c r="D796" t="str">
        <f>VLOOKUP(B796,Tabela_Auxiliar[],2,0)</f>
        <v>4. Despesas Operacionais</v>
      </c>
      <c r="E796" t="str">
        <f>VLOOKUP(B796,Tabela_Auxiliar[],4,0)</f>
        <v>Despesa com Pessoal</v>
      </c>
      <c r="F796" t="str">
        <f>VLOOKUP(B796,Tabela_Auxiliar[],3,0)</f>
        <v>Saída</v>
      </c>
      <c r="G796" t="str">
        <f>UPPER(TEXT(Tabela_DB[[#This Row],[DATA]],"mmm"))</f>
        <v>FEV</v>
      </c>
      <c r="H796" t="str">
        <f>UPPER(TEXT(Tabela_DB[[#This Row],[DATA]],"aaaa"))</f>
        <v>2021</v>
      </c>
    </row>
    <row r="797" spans="1:8" x14ac:dyDescent="0.25">
      <c r="A797" s="2">
        <v>44244</v>
      </c>
      <c r="B797" t="s">
        <v>38</v>
      </c>
      <c r="C797">
        <v>-1891</v>
      </c>
      <c r="D797" t="str">
        <f>VLOOKUP(B797,Tabela_Auxiliar[],2,0)</f>
        <v>2. Deduções da Receita</v>
      </c>
      <c r="E797" t="str">
        <f>VLOOKUP(B797,Tabela_Auxiliar[],4,0)</f>
        <v>Deduções</v>
      </c>
      <c r="F797" t="str">
        <f>VLOOKUP(B797,Tabela_Auxiliar[],3,0)</f>
        <v>Saída</v>
      </c>
      <c r="G797" t="str">
        <f>UPPER(TEXT(Tabela_DB[[#This Row],[DATA]],"mmm"))</f>
        <v>FEV</v>
      </c>
      <c r="H797" t="str">
        <f>UPPER(TEXT(Tabela_DB[[#This Row],[DATA]],"aaaa"))</f>
        <v>2021</v>
      </c>
    </row>
    <row r="798" spans="1:8" x14ac:dyDescent="0.25">
      <c r="A798" s="2">
        <v>44244</v>
      </c>
      <c r="B798" t="s">
        <v>111</v>
      </c>
      <c r="C798">
        <v>-2142</v>
      </c>
      <c r="D798" t="str">
        <f>VLOOKUP(B798,Tabela_Auxiliar[],2,0)</f>
        <v>2. Deduções da Receita</v>
      </c>
      <c r="E798" t="str">
        <f>VLOOKUP(B798,Tabela_Auxiliar[],4,0)</f>
        <v>Imposto</v>
      </c>
      <c r="F798" t="str">
        <f>VLOOKUP(B798,Tabela_Auxiliar[],3,0)</f>
        <v>Saída</v>
      </c>
      <c r="G798" t="str">
        <f>UPPER(TEXT(Tabela_DB[[#This Row],[DATA]],"mmm"))</f>
        <v>FEV</v>
      </c>
      <c r="H798" t="str">
        <f>UPPER(TEXT(Tabela_DB[[#This Row],[DATA]],"aaaa"))</f>
        <v>2021</v>
      </c>
    </row>
    <row r="799" spans="1:8" x14ac:dyDescent="0.25">
      <c r="A799" s="2">
        <v>44244</v>
      </c>
      <c r="B799" t="s">
        <v>44</v>
      </c>
      <c r="C799">
        <v>-2245</v>
      </c>
      <c r="D799" t="str">
        <f>VLOOKUP(B799,Tabela_Auxiliar[],2,0)</f>
        <v>4. Despesas Operacionais</v>
      </c>
      <c r="E799" t="str">
        <f>VLOOKUP(B799,Tabela_Auxiliar[],4,0)</f>
        <v>Despesa com Pessoal</v>
      </c>
      <c r="F799" t="str">
        <f>VLOOKUP(B799,Tabela_Auxiliar[],3,0)</f>
        <v>Saída</v>
      </c>
      <c r="G799" t="str">
        <f>UPPER(TEXT(Tabela_DB[[#This Row],[DATA]],"mmm"))</f>
        <v>FEV</v>
      </c>
      <c r="H799" t="str">
        <f>UPPER(TEXT(Tabela_DB[[#This Row],[DATA]],"aaaa"))</f>
        <v>2021</v>
      </c>
    </row>
    <row r="800" spans="1:8" x14ac:dyDescent="0.25">
      <c r="A800" s="2">
        <v>44244</v>
      </c>
      <c r="B800" t="s">
        <v>56</v>
      </c>
      <c r="C800">
        <v>-1413</v>
      </c>
      <c r="D800" t="str">
        <f>VLOOKUP(B800,Tabela_Auxiliar[],2,0)</f>
        <v>4. Despesas Operacionais</v>
      </c>
      <c r="E800" t="str">
        <f>VLOOKUP(B800,Tabela_Auxiliar[],4,0)</f>
        <v>Despesa com Pessoal</v>
      </c>
      <c r="F800" t="str">
        <f>VLOOKUP(B800,Tabela_Auxiliar[],3,0)</f>
        <v>Saída</v>
      </c>
      <c r="G800" t="str">
        <f>UPPER(TEXT(Tabela_DB[[#This Row],[DATA]],"mmm"))</f>
        <v>FEV</v>
      </c>
      <c r="H800" t="str">
        <f>UPPER(TEXT(Tabela_DB[[#This Row],[DATA]],"aaaa"))</f>
        <v>2021</v>
      </c>
    </row>
    <row r="801" spans="1:8" x14ac:dyDescent="0.25">
      <c r="A801" s="2">
        <v>44244</v>
      </c>
      <c r="B801" t="s">
        <v>69</v>
      </c>
      <c r="C801">
        <v>-1912</v>
      </c>
      <c r="D801" t="str">
        <f>VLOOKUP(B801,Tabela_Auxiliar[],2,0)</f>
        <v>4. Despesas Operacionais</v>
      </c>
      <c r="E801" t="str">
        <f>VLOOKUP(B801,Tabela_Auxiliar[],4,0)</f>
        <v>Despesa com Ocupação</v>
      </c>
      <c r="F801" t="str">
        <f>VLOOKUP(B801,Tabela_Auxiliar[],3,0)</f>
        <v>Saída</v>
      </c>
      <c r="G801" t="str">
        <f>UPPER(TEXT(Tabela_DB[[#This Row],[DATA]],"mmm"))</f>
        <v>FEV</v>
      </c>
      <c r="H801" t="str">
        <f>UPPER(TEXT(Tabela_DB[[#This Row],[DATA]],"aaaa"))</f>
        <v>2021</v>
      </c>
    </row>
    <row r="802" spans="1:8" x14ac:dyDescent="0.25">
      <c r="A802" s="2">
        <v>44244</v>
      </c>
      <c r="B802" t="s">
        <v>111</v>
      </c>
      <c r="C802">
        <v>-1907</v>
      </c>
      <c r="D802" t="str">
        <f>VLOOKUP(B802,Tabela_Auxiliar[],2,0)</f>
        <v>2. Deduções da Receita</v>
      </c>
      <c r="E802" t="str">
        <f>VLOOKUP(B802,Tabela_Auxiliar[],4,0)</f>
        <v>Imposto</v>
      </c>
      <c r="F802" t="str">
        <f>VLOOKUP(B802,Tabela_Auxiliar[],3,0)</f>
        <v>Saída</v>
      </c>
      <c r="G802" t="str">
        <f>UPPER(TEXT(Tabela_DB[[#This Row],[DATA]],"mmm"))</f>
        <v>FEV</v>
      </c>
      <c r="H802" t="str">
        <f>UPPER(TEXT(Tabela_DB[[#This Row],[DATA]],"aaaa"))</f>
        <v>2021</v>
      </c>
    </row>
    <row r="803" spans="1:8" x14ac:dyDescent="0.25">
      <c r="A803" s="2">
        <v>44244</v>
      </c>
      <c r="B803" t="s">
        <v>49</v>
      </c>
      <c r="C803">
        <v>-1038</v>
      </c>
      <c r="D803" t="str">
        <f>VLOOKUP(B803,Tabela_Auxiliar[],2,0)</f>
        <v>4. Despesas Operacionais</v>
      </c>
      <c r="E803" t="str">
        <f>VLOOKUP(B803,Tabela_Auxiliar[],4,0)</f>
        <v>Despesa com Pessoal</v>
      </c>
      <c r="F803" t="str">
        <f>VLOOKUP(B803,Tabela_Auxiliar[],3,0)</f>
        <v>Saída</v>
      </c>
      <c r="G803" t="str">
        <f>UPPER(TEXT(Tabela_DB[[#This Row],[DATA]],"mmm"))</f>
        <v>FEV</v>
      </c>
      <c r="H803" t="str">
        <f>UPPER(TEXT(Tabela_DB[[#This Row],[DATA]],"aaaa"))</f>
        <v>2021</v>
      </c>
    </row>
    <row r="804" spans="1:8" x14ac:dyDescent="0.25">
      <c r="A804" s="2">
        <v>44244</v>
      </c>
      <c r="B804" t="s">
        <v>37</v>
      </c>
      <c r="C804">
        <v>-4312</v>
      </c>
      <c r="D804" t="str">
        <f>VLOOKUP(B804,Tabela_Auxiliar[],2,0)</f>
        <v>3. Custos do Produto/Mercadoria/Serviço</v>
      </c>
      <c r="E804" t="str">
        <f>VLOOKUP(B804,Tabela_Auxiliar[],4,0)</f>
        <v>Despesas c/ Produto</v>
      </c>
      <c r="F804" t="str">
        <f>VLOOKUP(B804,Tabela_Auxiliar[],3,0)</f>
        <v>Saída</v>
      </c>
      <c r="G804" t="str">
        <f>UPPER(TEXT(Tabela_DB[[#This Row],[DATA]],"mmm"))</f>
        <v>FEV</v>
      </c>
      <c r="H804" t="str">
        <f>UPPER(TEXT(Tabela_DB[[#This Row],[DATA]],"aaaa"))</f>
        <v>2021</v>
      </c>
    </row>
    <row r="805" spans="1:8" x14ac:dyDescent="0.25">
      <c r="A805" s="2">
        <v>44244</v>
      </c>
      <c r="B805" t="s">
        <v>37</v>
      </c>
      <c r="C805">
        <v>-3018</v>
      </c>
      <c r="D805" t="str">
        <f>VLOOKUP(B805,Tabela_Auxiliar[],2,0)</f>
        <v>3. Custos do Produto/Mercadoria/Serviço</v>
      </c>
      <c r="E805" t="str">
        <f>VLOOKUP(B805,Tabela_Auxiliar[],4,0)</f>
        <v>Despesas c/ Produto</v>
      </c>
      <c r="F805" t="str">
        <f>VLOOKUP(B805,Tabela_Auxiliar[],3,0)</f>
        <v>Saída</v>
      </c>
      <c r="G805" t="str">
        <f>UPPER(TEXT(Tabela_DB[[#This Row],[DATA]],"mmm"))</f>
        <v>FEV</v>
      </c>
      <c r="H805" t="str">
        <f>UPPER(TEXT(Tabela_DB[[#This Row],[DATA]],"aaaa"))</f>
        <v>2021</v>
      </c>
    </row>
    <row r="806" spans="1:8" x14ac:dyDescent="0.25">
      <c r="A806" s="2">
        <v>44244</v>
      </c>
      <c r="B806" t="s">
        <v>42</v>
      </c>
      <c r="C806">
        <v>-1422</v>
      </c>
      <c r="D806" t="str">
        <f>VLOOKUP(B806,Tabela_Auxiliar[],2,0)</f>
        <v>4. Despesas Operacionais</v>
      </c>
      <c r="E806" t="str">
        <f>VLOOKUP(B806,Tabela_Auxiliar[],4,0)</f>
        <v>Despesa com Pessoal</v>
      </c>
      <c r="F806" t="str">
        <f>VLOOKUP(B806,Tabela_Auxiliar[],3,0)</f>
        <v>Saída</v>
      </c>
      <c r="G806" t="str">
        <f>UPPER(TEXT(Tabela_DB[[#This Row],[DATA]],"mmm"))</f>
        <v>FEV</v>
      </c>
      <c r="H806" t="str">
        <f>UPPER(TEXT(Tabela_DB[[#This Row],[DATA]],"aaaa"))</f>
        <v>2021</v>
      </c>
    </row>
    <row r="807" spans="1:8" x14ac:dyDescent="0.25">
      <c r="A807" s="2">
        <v>44244</v>
      </c>
      <c r="B807" t="s">
        <v>35</v>
      </c>
      <c r="C807">
        <v>-1793</v>
      </c>
      <c r="D807" t="str">
        <f>VLOOKUP(B807,Tabela_Auxiliar[],2,0)</f>
        <v>2. Deduções da Receita</v>
      </c>
      <c r="E807" t="str">
        <f>VLOOKUP(B807,Tabela_Auxiliar[],4,0)</f>
        <v>Imposto</v>
      </c>
      <c r="F807" t="str">
        <f>VLOOKUP(B807,Tabela_Auxiliar[],3,0)</f>
        <v>Saída</v>
      </c>
      <c r="G807" t="str">
        <f>UPPER(TEXT(Tabela_DB[[#This Row],[DATA]],"mmm"))</f>
        <v>FEV</v>
      </c>
      <c r="H807" t="str">
        <f>UPPER(TEXT(Tabela_DB[[#This Row],[DATA]],"aaaa"))</f>
        <v>2021</v>
      </c>
    </row>
    <row r="808" spans="1:8" x14ac:dyDescent="0.25">
      <c r="A808" s="2">
        <v>44245</v>
      </c>
      <c r="B808" t="s">
        <v>66</v>
      </c>
      <c r="C808">
        <v>-1850</v>
      </c>
      <c r="D808" t="str">
        <f>VLOOKUP(B808,Tabela_Auxiliar[],2,0)</f>
        <v>4. Despesas Operacionais</v>
      </c>
      <c r="E808" t="str">
        <f>VLOOKUP(B808,Tabela_Auxiliar[],4,0)</f>
        <v>Despesa com Vendas</v>
      </c>
      <c r="F808" t="str">
        <f>VLOOKUP(B808,Tabela_Auxiliar[],3,0)</f>
        <v>Saída</v>
      </c>
      <c r="G808" t="str">
        <f>UPPER(TEXT(Tabela_DB[[#This Row],[DATA]],"mmm"))</f>
        <v>FEV</v>
      </c>
      <c r="H808" t="str">
        <f>UPPER(TEXT(Tabela_DB[[#This Row],[DATA]],"aaaa"))</f>
        <v>2021</v>
      </c>
    </row>
    <row r="809" spans="1:8" x14ac:dyDescent="0.25">
      <c r="A809" s="2">
        <v>44245</v>
      </c>
      <c r="B809" t="s">
        <v>77</v>
      </c>
      <c r="C809">
        <v>-1480</v>
      </c>
      <c r="D809" t="str">
        <f>VLOOKUP(B809,Tabela_Auxiliar[],2,0)</f>
        <v>4. Despesas Operacionais</v>
      </c>
      <c r="E809" t="str">
        <f>VLOOKUP(B809,Tabela_Auxiliar[],4,0)</f>
        <v>Serviços Contratados</v>
      </c>
      <c r="F809" t="str">
        <f>VLOOKUP(B809,Tabela_Auxiliar[],3,0)</f>
        <v>Saída</v>
      </c>
      <c r="G809" t="str">
        <f>UPPER(TEXT(Tabela_DB[[#This Row],[DATA]],"mmm"))</f>
        <v>FEV</v>
      </c>
      <c r="H809" t="str">
        <f>UPPER(TEXT(Tabela_DB[[#This Row],[DATA]],"aaaa"))</f>
        <v>2021</v>
      </c>
    </row>
    <row r="810" spans="1:8" x14ac:dyDescent="0.25">
      <c r="A810" s="2">
        <v>44245</v>
      </c>
      <c r="B810" t="s">
        <v>38</v>
      </c>
      <c r="C810">
        <v>-1080</v>
      </c>
      <c r="D810" t="str">
        <f>VLOOKUP(B810,Tabela_Auxiliar[],2,0)</f>
        <v>2. Deduções da Receita</v>
      </c>
      <c r="E810" t="str">
        <f>VLOOKUP(B810,Tabela_Auxiliar[],4,0)</f>
        <v>Deduções</v>
      </c>
      <c r="F810" t="str">
        <f>VLOOKUP(B810,Tabela_Auxiliar[],3,0)</f>
        <v>Saída</v>
      </c>
      <c r="G810" t="str">
        <f>UPPER(TEXT(Tabela_DB[[#This Row],[DATA]],"mmm"))</f>
        <v>FEV</v>
      </c>
      <c r="H810" t="str">
        <f>UPPER(TEXT(Tabela_DB[[#This Row],[DATA]],"aaaa"))</f>
        <v>2021</v>
      </c>
    </row>
    <row r="811" spans="1:8" x14ac:dyDescent="0.25">
      <c r="A811" s="2">
        <v>44245</v>
      </c>
      <c r="B811" t="s">
        <v>38</v>
      </c>
      <c r="C811">
        <v>-1205</v>
      </c>
      <c r="D811" t="str">
        <f>VLOOKUP(B811,Tabela_Auxiliar[],2,0)</f>
        <v>2. Deduções da Receita</v>
      </c>
      <c r="E811" t="str">
        <f>VLOOKUP(B811,Tabela_Auxiliar[],4,0)</f>
        <v>Deduções</v>
      </c>
      <c r="F811" t="str">
        <f>VLOOKUP(B811,Tabela_Auxiliar[],3,0)</f>
        <v>Saída</v>
      </c>
      <c r="G811" t="str">
        <f>UPPER(TEXT(Tabela_DB[[#This Row],[DATA]],"mmm"))</f>
        <v>FEV</v>
      </c>
      <c r="H811" t="str">
        <f>UPPER(TEXT(Tabela_DB[[#This Row],[DATA]],"aaaa"))</f>
        <v>2021</v>
      </c>
    </row>
    <row r="812" spans="1:8" x14ac:dyDescent="0.25">
      <c r="A812" s="2">
        <v>44245</v>
      </c>
      <c r="B812" t="s">
        <v>37</v>
      </c>
      <c r="C812">
        <v>-3705</v>
      </c>
      <c r="D812" t="str">
        <f>VLOOKUP(B812,Tabela_Auxiliar[],2,0)</f>
        <v>3. Custos do Produto/Mercadoria/Serviço</v>
      </c>
      <c r="E812" t="str">
        <f>VLOOKUP(B812,Tabela_Auxiliar[],4,0)</f>
        <v>Despesas c/ Produto</v>
      </c>
      <c r="F812" t="str">
        <f>VLOOKUP(B812,Tabela_Auxiliar[],3,0)</f>
        <v>Saída</v>
      </c>
      <c r="G812" t="str">
        <f>UPPER(TEXT(Tabela_DB[[#This Row],[DATA]],"mmm"))</f>
        <v>FEV</v>
      </c>
      <c r="H812" t="str">
        <f>UPPER(TEXT(Tabela_DB[[#This Row],[DATA]],"aaaa"))</f>
        <v>2021</v>
      </c>
    </row>
    <row r="813" spans="1:8" x14ac:dyDescent="0.25">
      <c r="A813" s="2">
        <v>44245</v>
      </c>
      <c r="B813" t="s">
        <v>34</v>
      </c>
      <c r="C813">
        <v>-1355</v>
      </c>
      <c r="D813" t="str">
        <f>VLOOKUP(B813,Tabela_Auxiliar[],2,0)</f>
        <v>2. Deduções da Receita</v>
      </c>
      <c r="E813" t="str">
        <f>VLOOKUP(B813,Tabela_Auxiliar[],4,0)</f>
        <v>Imposto</v>
      </c>
      <c r="F813" t="str">
        <f>VLOOKUP(B813,Tabela_Auxiliar[],3,0)</f>
        <v>Saída</v>
      </c>
      <c r="G813" t="str">
        <f>UPPER(TEXT(Tabela_DB[[#This Row],[DATA]],"mmm"))</f>
        <v>FEV</v>
      </c>
      <c r="H813" t="str">
        <f>UPPER(TEXT(Tabela_DB[[#This Row],[DATA]],"aaaa"))</f>
        <v>2021</v>
      </c>
    </row>
    <row r="814" spans="1:8" x14ac:dyDescent="0.25">
      <c r="A814" s="2">
        <v>44245</v>
      </c>
      <c r="B814" t="s">
        <v>61</v>
      </c>
      <c r="C814">
        <v>-2034</v>
      </c>
      <c r="D814" t="str">
        <f>VLOOKUP(B814,Tabela_Auxiliar[],2,0)</f>
        <v>4. Despesas Operacionais</v>
      </c>
      <c r="E814" t="str">
        <f>VLOOKUP(B814,Tabela_Auxiliar[],4,0)</f>
        <v>Despesa de Depreciação</v>
      </c>
      <c r="F814" t="str">
        <f>VLOOKUP(B814,Tabela_Auxiliar[],3,0)</f>
        <v>Saída</v>
      </c>
      <c r="G814" t="str">
        <f>UPPER(TEXT(Tabela_DB[[#This Row],[DATA]],"mmm"))</f>
        <v>FEV</v>
      </c>
      <c r="H814" t="str">
        <f>UPPER(TEXT(Tabela_DB[[#This Row],[DATA]],"aaaa"))</f>
        <v>2021</v>
      </c>
    </row>
    <row r="815" spans="1:8" x14ac:dyDescent="0.25">
      <c r="A815" s="2">
        <v>44245</v>
      </c>
      <c r="B815" t="s">
        <v>4</v>
      </c>
      <c r="C815">
        <v>14208</v>
      </c>
      <c r="D815" t="str">
        <f>VLOOKUP(B815,Tabela_Auxiliar[],2,0)</f>
        <v>1. Receita Operacional Bruta</v>
      </c>
      <c r="E815" t="str">
        <f>VLOOKUP(B815,Tabela_Auxiliar[],4,0)</f>
        <v>Receita Bruta</v>
      </c>
      <c r="F815" t="str">
        <f>VLOOKUP(B815,Tabela_Auxiliar[],3,0)</f>
        <v>Entrada</v>
      </c>
      <c r="G815" t="str">
        <f>UPPER(TEXT(Tabela_DB[[#This Row],[DATA]],"mmm"))</f>
        <v>FEV</v>
      </c>
      <c r="H815" t="str">
        <f>UPPER(TEXT(Tabela_DB[[#This Row],[DATA]],"aaaa"))</f>
        <v>2021</v>
      </c>
    </row>
    <row r="816" spans="1:8" x14ac:dyDescent="0.25">
      <c r="A816" s="2">
        <v>44245</v>
      </c>
      <c r="B816" t="s">
        <v>100</v>
      </c>
      <c r="C816">
        <v>1429</v>
      </c>
      <c r="D816" t="str">
        <f>VLOOKUP(B816,Tabela_Auxiliar[],2,0)</f>
        <v>5. Resultado Financeiro</v>
      </c>
      <c r="E816" t="str">
        <f>VLOOKUP(B816,Tabela_Auxiliar[],4,0)</f>
        <v>Receita Financeira</v>
      </c>
      <c r="F816" t="str">
        <f>VLOOKUP(B816,Tabela_Auxiliar[],3,0)</f>
        <v>Saída</v>
      </c>
      <c r="G816" t="str">
        <f>UPPER(TEXT(Tabela_DB[[#This Row],[DATA]],"mmm"))</f>
        <v>FEV</v>
      </c>
      <c r="H816" t="str">
        <f>UPPER(TEXT(Tabela_DB[[#This Row],[DATA]],"aaaa"))</f>
        <v>2021</v>
      </c>
    </row>
    <row r="817" spans="1:8" x14ac:dyDescent="0.25">
      <c r="A817" s="2">
        <v>44245</v>
      </c>
      <c r="B817" t="s">
        <v>37</v>
      </c>
      <c r="C817">
        <v>-2724</v>
      </c>
      <c r="D817" t="str">
        <f>VLOOKUP(B817,Tabela_Auxiliar[],2,0)</f>
        <v>3. Custos do Produto/Mercadoria/Serviço</v>
      </c>
      <c r="E817" t="str">
        <f>VLOOKUP(B817,Tabela_Auxiliar[],4,0)</f>
        <v>Despesas c/ Produto</v>
      </c>
      <c r="F817" t="str">
        <f>VLOOKUP(B817,Tabela_Auxiliar[],3,0)</f>
        <v>Saída</v>
      </c>
      <c r="G817" t="str">
        <f>UPPER(TEXT(Tabela_DB[[#This Row],[DATA]],"mmm"))</f>
        <v>FEV</v>
      </c>
      <c r="H817" t="str">
        <f>UPPER(TEXT(Tabela_DB[[#This Row],[DATA]],"aaaa"))</f>
        <v>2021</v>
      </c>
    </row>
    <row r="818" spans="1:8" x14ac:dyDescent="0.25">
      <c r="A818" s="2">
        <v>44246</v>
      </c>
      <c r="B818" t="s">
        <v>76</v>
      </c>
      <c r="C818">
        <v>-2234</v>
      </c>
      <c r="D818" t="str">
        <f>VLOOKUP(B818,Tabela_Auxiliar[],2,0)</f>
        <v>4. Despesas Operacionais</v>
      </c>
      <c r="E818" t="str">
        <f>VLOOKUP(B818,Tabela_Auxiliar[],4,0)</f>
        <v>Serviços Contratados</v>
      </c>
      <c r="F818" t="str">
        <f>VLOOKUP(B818,Tabela_Auxiliar[],3,0)</f>
        <v>Saída</v>
      </c>
      <c r="G818" t="str">
        <f>UPPER(TEXT(Tabela_DB[[#This Row],[DATA]],"mmm"))</f>
        <v>FEV</v>
      </c>
      <c r="H818" t="str">
        <f>UPPER(TEXT(Tabela_DB[[#This Row],[DATA]],"aaaa"))</f>
        <v>2021</v>
      </c>
    </row>
    <row r="819" spans="1:8" x14ac:dyDescent="0.25">
      <c r="A819" s="2">
        <v>44246</v>
      </c>
      <c r="B819" t="s">
        <v>88</v>
      </c>
      <c r="C819">
        <v>-1005</v>
      </c>
      <c r="D819" t="str">
        <f>VLOOKUP(B819,Tabela_Auxiliar[],2,0)</f>
        <v>4. Despesas Operacionais</v>
      </c>
      <c r="E819" t="str">
        <f>VLOOKUP(B819,Tabela_Auxiliar[],4,0)</f>
        <v>Despesa Tributária</v>
      </c>
      <c r="F819" t="str">
        <f>VLOOKUP(B819,Tabela_Auxiliar[],3,0)</f>
        <v>Saída</v>
      </c>
      <c r="G819" t="str">
        <f>UPPER(TEXT(Tabela_DB[[#This Row],[DATA]],"mmm"))</f>
        <v>FEV</v>
      </c>
      <c r="H819" t="str">
        <f>UPPER(TEXT(Tabela_DB[[#This Row],[DATA]],"aaaa"))</f>
        <v>2021</v>
      </c>
    </row>
    <row r="820" spans="1:8" x14ac:dyDescent="0.25">
      <c r="A820" s="2">
        <v>44246</v>
      </c>
      <c r="B820" t="s">
        <v>35</v>
      </c>
      <c r="C820">
        <v>-2268</v>
      </c>
      <c r="D820" t="str">
        <f>VLOOKUP(B820,Tabela_Auxiliar[],2,0)</f>
        <v>2. Deduções da Receita</v>
      </c>
      <c r="E820" t="str">
        <f>VLOOKUP(B820,Tabela_Auxiliar[],4,0)</f>
        <v>Imposto</v>
      </c>
      <c r="F820" t="str">
        <f>VLOOKUP(B820,Tabela_Auxiliar[],3,0)</f>
        <v>Saída</v>
      </c>
      <c r="G820" t="str">
        <f>UPPER(TEXT(Tabela_DB[[#This Row],[DATA]],"mmm"))</f>
        <v>FEV</v>
      </c>
      <c r="H820" t="str">
        <f>UPPER(TEXT(Tabela_DB[[#This Row],[DATA]],"aaaa"))</f>
        <v>2021</v>
      </c>
    </row>
    <row r="821" spans="1:8" x14ac:dyDescent="0.25">
      <c r="A821" s="2">
        <v>44246</v>
      </c>
      <c r="B821" t="s">
        <v>70</v>
      </c>
      <c r="C821">
        <v>-1455</v>
      </c>
      <c r="D821" t="str">
        <f>VLOOKUP(B821,Tabela_Auxiliar[],2,0)</f>
        <v>4. Despesas Operacionais</v>
      </c>
      <c r="E821" t="str">
        <f>VLOOKUP(B821,Tabela_Auxiliar[],4,0)</f>
        <v>Despesa com Ocupação</v>
      </c>
      <c r="F821" t="str">
        <f>VLOOKUP(B821,Tabela_Auxiliar[],3,0)</f>
        <v>Saída</v>
      </c>
      <c r="G821" t="str">
        <f>UPPER(TEXT(Tabela_DB[[#This Row],[DATA]],"mmm"))</f>
        <v>FEV</v>
      </c>
      <c r="H821" t="str">
        <f>UPPER(TEXT(Tabela_DB[[#This Row],[DATA]],"aaaa"))</f>
        <v>2021</v>
      </c>
    </row>
    <row r="822" spans="1:8" x14ac:dyDescent="0.25">
      <c r="A822" s="2">
        <v>44246</v>
      </c>
      <c r="B822" t="s">
        <v>4</v>
      </c>
      <c r="C822">
        <v>13185</v>
      </c>
      <c r="D822" t="str">
        <f>VLOOKUP(B822,Tabela_Auxiliar[],2,0)</f>
        <v>1. Receita Operacional Bruta</v>
      </c>
      <c r="E822" t="str">
        <f>VLOOKUP(B822,Tabela_Auxiliar[],4,0)</f>
        <v>Receita Bruta</v>
      </c>
      <c r="F822" t="str">
        <f>VLOOKUP(B822,Tabela_Auxiliar[],3,0)</f>
        <v>Entrada</v>
      </c>
      <c r="G822" t="str">
        <f>UPPER(TEXT(Tabela_DB[[#This Row],[DATA]],"mmm"))</f>
        <v>FEV</v>
      </c>
      <c r="H822" t="str">
        <f>UPPER(TEXT(Tabela_DB[[#This Row],[DATA]],"aaaa"))</f>
        <v>2021</v>
      </c>
    </row>
    <row r="823" spans="1:8" x14ac:dyDescent="0.25">
      <c r="A823" s="2">
        <v>44246</v>
      </c>
      <c r="B823" t="s">
        <v>49</v>
      </c>
      <c r="C823">
        <v>-1613</v>
      </c>
      <c r="D823" t="str">
        <f>VLOOKUP(B823,Tabela_Auxiliar[],2,0)</f>
        <v>4. Despesas Operacionais</v>
      </c>
      <c r="E823" t="str">
        <f>VLOOKUP(B823,Tabela_Auxiliar[],4,0)</f>
        <v>Despesa com Pessoal</v>
      </c>
      <c r="F823" t="str">
        <f>VLOOKUP(B823,Tabela_Auxiliar[],3,0)</f>
        <v>Saída</v>
      </c>
      <c r="G823" t="str">
        <f>UPPER(TEXT(Tabela_DB[[#This Row],[DATA]],"mmm"))</f>
        <v>FEV</v>
      </c>
      <c r="H823" t="str">
        <f>UPPER(TEXT(Tabela_DB[[#This Row],[DATA]],"aaaa"))</f>
        <v>2021</v>
      </c>
    </row>
    <row r="824" spans="1:8" x14ac:dyDescent="0.25">
      <c r="A824" s="2">
        <v>44246</v>
      </c>
      <c r="B824" t="s">
        <v>3</v>
      </c>
      <c r="C824">
        <v>14090</v>
      </c>
      <c r="D824" t="str">
        <f>VLOOKUP(B824,Tabela_Auxiliar[],2,0)</f>
        <v>1. Receita Operacional Bruta</v>
      </c>
      <c r="E824" t="str">
        <f>VLOOKUP(B824,Tabela_Auxiliar[],4,0)</f>
        <v>Receita Bruta</v>
      </c>
      <c r="F824" t="str">
        <f>VLOOKUP(B824,Tabela_Auxiliar[],3,0)</f>
        <v>Entrada</v>
      </c>
      <c r="G824" t="str">
        <f>UPPER(TEXT(Tabela_DB[[#This Row],[DATA]],"mmm"))</f>
        <v>FEV</v>
      </c>
      <c r="H824" t="str">
        <f>UPPER(TEXT(Tabela_DB[[#This Row],[DATA]],"aaaa"))</f>
        <v>2021</v>
      </c>
    </row>
    <row r="825" spans="1:8" x14ac:dyDescent="0.25">
      <c r="A825" s="2">
        <v>44246</v>
      </c>
      <c r="B825" t="s">
        <v>4</v>
      </c>
      <c r="C825">
        <v>14864</v>
      </c>
      <c r="D825" t="str">
        <f>VLOOKUP(B825,Tabela_Auxiliar[],2,0)</f>
        <v>1. Receita Operacional Bruta</v>
      </c>
      <c r="E825" t="str">
        <f>VLOOKUP(B825,Tabela_Auxiliar[],4,0)</f>
        <v>Receita Bruta</v>
      </c>
      <c r="F825" t="str">
        <f>VLOOKUP(B825,Tabela_Auxiliar[],3,0)</f>
        <v>Entrada</v>
      </c>
      <c r="G825" t="str">
        <f>UPPER(TEXT(Tabela_DB[[#This Row],[DATA]],"mmm"))</f>
        <v>FEV</v>
      </c>
      <c r="H825" t="str">
        <f>UPPER(TEXT(Tabela_DB[[#This Row],[DATA]],"aaaa"))</f>
        <v>2021</v>
      </c>
    </row>
    <row r="826" spans="1:8" x14ac:dyDescent="0.25">
      <c r="A826" s="2">
        <v>44246</v>
      </c>
      <c r="B826" t="s">
        <v>38</v>
      </c>
      <c r="C826">
        <v>-2288</v>
      </c>
      <c r="D826" t="str">
        <f>VLOOKUP(B826,Tabela_Auxiliar[],2,0)</f>
        <v>2. Deduções da Receita</v>
      </c>
      <c r="E826" t="str">
        <f>VLOOKUP(B826,Tabela_Auxiliar[],4,0)</f>
        <v>Deduções</v>
      </c>
      <c r="F826" t="str">
        <f>VLOOKUP(B826,Tabela_Auxiliar[],3,0)</f>
        <v>Saída</v>
      </c>
      <c r="G826" t="str">
        <f>UPPER(TEXT(Tabela_DB[[#This Row],[DATA]],"mmm"))</f>
        <v>FEV</v>
      </c>
      <c r="H826" t="str">
        <f>UPPER(TEXT(Tabela_DB[[#This Row],[DATA]],"aaaa"))</f>
        <v>2021</v>
      </c>
    </row>
    <row r="827" spans="1:8" x14ac:dyDescent="0.25">
      <c r="A827" s="2">
        <v>44246</v>
      </c>
      <c r="B827" t="s">
        <v>53</v>
      </c>
      <c r="C827">
        <v>-1542</v>
      </c>
      <c r="D827" t="str">
        <f>VLOOKUP(B827,Tabela_Auxiliar[],2,0)</f>
        <v>4. Despesas Operacionais</v>
      </c>
      <c r="E827" t="str">
        <f>VLOOKUP(B827,Tabela_Auxiliar[],4,0)</f>
        <v>Despesa com Pessoal</v>
      </c>
      <c r="F827" t="str">
        <f>VLOOKUP(B827,Tabela_Auxiliar[],3,0)</f>
        <v>Saída</v>
      </c>
      <c r="G827" t="str">
        <f>UPPER(TEXT(Tabela_DB[[#This Row],[DATA]],"mmm"))</f>
        <v>FEV</v>
      </c>
      <c r="H827" t="str">
        <f>UPPER(TEXT(Tabela_DB[[#This Row],[DATA]],"aaaa"))</f>
        <v>2021</v>
      </c>
    </row>
    <row r="828" spans="1:8" x14ac:dyDescent="0.25">
      <c r="A828" s="2">
        <v>44247</v>
      </c>
      <c r="B828" t="s">
        <v>3</v>
      </c>
      <c r="C828">
        <v>13609</v>
      </c>
      <c r="D828" t="str">
        <f>VLOOKUP(B828,Tabela_Auxiliar[],2,0)</f>
        <v>1. Receita Operacional Bruta</v>
      </c>
      <c r="E828" t="str">
        <f>VLOOKUP(B828,Tabela_Auxiliar[],4,0)</f>
        <v>Receita Bruta</v>
      </c>
      <c r="F828" t="str">
        <f>VLOOKUP(B828,Tabela_Auxiliar[],3,0)</f>
        <v>Entrada</v>
      </c>
      <c r="G828" t="str">
        <f>UPPER(TEXT(Tabela_DB[[#This Row],[DATA]],"mmm"))</f>
        <v>FEV</v>
      </c>
      <c r="H828" t="str">
        <f>UPPER(TEXT(Tabela_DB[[#This Row],[DATA]],"aaaa"))</f>
        <v>2021</v>
      </c>
    </row>
    <row r="829" spans="1:8" x14ac:dyDescent="0.25">
      <c r="A829" s="2">
        <v>44247</v>
      </c>
      <c r="B829" t="s">
        <v>111</v>
      </c>
      <c r="C829">
        <v>-2493</v>
      </c>
      <c r="D829" t="str">
        <f>VLOOKUP(B829,Tabela_Auxiliar[],2,0)</f>
        <v>2. Deduções da Receita</v>
      </c>
      <c r="E829" t="str">
        <f>VLOOKUP(B829,Tabela_Auxiliar[],4,0)</f>
        <v>Imposto</v>
      </c>
      <c r="F829" t="str">
        <f>VLOOKUP(B829,Tabela_Auxiliar[],3,0)</f>
        <v>Saída</v>
      </c>
      <c r="G829" t="str">
        <f>UPPER(TEXT(Tabela_DB[[#This Row],[DATA]],"mmm"))</f>
        <v>FEV</v>
      </c>
      <c r="H829" t="str">
        <f>UPPER(TEXT(Tabela_DB[[#This Row],[DATA]],"aaaa"))</f>
        <v>2021</v>
      </c>
    </row>
    <row r="830" spans="1:8" x14ac:dyDescent="0.25">
      <c r="A830" s="2">
        <v>44247</v>
      </c>
      <c r="B830" t="s">
        <v>76</v>
      </c>
      <c r="C830">
        <v>-1942</v>
      </c>
      <c r="D830" t="str">
        <f>VLOOKUP(B830,Tabela_Auxiliar[],2,0)</f>
        <v>4. Despesas Operacionais</v>
      </c>
      <c r="E830" t="str">
        <f>VLOOKUP(B830,Tabela_Auxiliar[],4,0)</f>
        <v>Serviços Contratados</v>
      </c>
      <c r="F830" t="str">
        <f>VLOOKUP(B830,Tabela_Auxiliar[],3,0)</f>
        <v>Saída</v>
      </c>
      <c r="G830" t="str">
        <f>UPPER(TEXT(Tabela_DB[[#This Row],[DATA]],"mmm"))</f>
        <v>FEV</v>
      </c>
      <c r="H830" t="str">
        <f>UPPER(TEXT(Tabela_DB[[#This Row],[DATA]],"aaaa"))</f>
        <v>2021</v>
      </c>
    </row>
    <row r="831" spans="1:8" x14ac:dyDescent="0.25">
      <c r="A831" s="2">
        <v>44247</v>
      </c>
      <c r="B831" t="s">
        <v>111</v>
      </c>
      <c r="C831">
        <v>-2164</v>
      </c>
      <c r="D831" t="str">
        <f>VLOOKUP(B831,Tabela_Auxiliar[],2,0)</f>
        <v>2. Deduções da Receita</v>
      </c>
      <c r="E831" t="str">
        <f>VLOOKUP(B831,Tabela_Auxiliar[],4,0)</f>
        <v>Imposto</v>
      </c>
      <c r="F831" t="str">
        <f>VLOOKUP(B831,Tabela_Auxiliar[],3,0)</f>
        <v>Saída</v>
      </c>
      <c r="G831" t="str">
        <f>UPPER(TEXT(Tabela_DB[[#This Row],[DATA]],"mmm"))</f>
        <v>FEV</v>
      </c>
      <c r="H831" t="str">
        <f>UPPER(TEXT(Tabela_DB[[#This Row],[DATA]],"aaaa"))</f>
        <v>2021</v>
      </c>
    </row>
    <row r="832" spans="1:8" x14ac:dyDescent="0.25">
      <c r="A832" s="2">
        <v>44247</v>
      </c>
      <c r="B832" t="s">
        <v>38</v>
      </c>
      <c r="C832">
        <v>-2067</v>
      </c>
      <c r="D832" t="str">
        <f>VLOOKUP(B832,Tabela_Auxiliar[],2,0)</f>
        <v>2. Deduções da Receita</v>
      </c>
      <c r="E832" t="str">
        <f>VLOOKUP(B832,Tabela_Auxiliar[],4,0)</f>
        <v>Deduções</v>
      </c>
      <c r="F832" t="str">
        <f>VLOOKUP(B832,Tabela_Auxiliar[],3,0)</f>
        <v>Saída</v>
      </c>
      <c r="G832" t="str">
        <f>UPPER(TEXT(Tabela_DB[[#This Row],[DATA]],"mmm"))</f>
        <v>FEV</v>
      </c>
      <c r="H832" t="str">
        <f>UPPER(TEXT(Tabela_DB[[#This Row],[DATA]],"aaaa"))</f>
        <v>2021</v>
      </c>
    </row>
    <row r="833" spans="1:8" x14ac:dyDescent="0.25">
      <c r="A833" s="2">
        <v>44247</v>
      </c>
      <c r="B833" t="s">
        <v>3</v>
      </c>
      <c r="C833">
        <v>14739</v>
      </c>
      <c r="D833" t="str">
        <f>VLOOKUP(B833,Tabela_Auxiliar[],2,0)</f>
        <v>1. Receita Operacional Bruta</v>
      </c>
      <c r="E833" t="str">
        <f>VLOOKUP(B833,Tabela_Auxiliar[],4,0)</f>
        <v>Receita Bruta</v>
      </c>
      <c r="F833" t="str">
        <f>VLOOKUP(B833,Tabela_Auxiliar[],3,0)</f>
        <v>Entrada</v>
      </c>
      <c r="G833" t="str">
        <f>UPPER(TEXT(Tabela_DB[[#This Row],[DATA]],"mmm"))</f>
        <v>FEV</v>
      </c>
      <c r="H833" t="str">
        <f>UPPER(TEXT(Tabela_DB[[#This Row],[DATA]],"aaaa"))</f>
        <v>2021</v>
      </c>
    </row>
    <row r="834" spans="1:8" x14ac:dyDescent="0.25">
      <c r="A834" s="2">
        <v>44247</v>
      </c>
      <c r="B834" t="s">
        <v>34</v>
      </c>
      <c r="C834">
        <v>-1102</v>
      </c>
      <c r="D834" t="str">
        <f>VLOOKUP(B834,Tabela_Auxiliar[],2,0)</f>
        <v>2. Deduções da Receita</v>
      </c>
      <c r="E834" t="str">
        <f>VLOOKUP(B834,Tabela_Auxiliar[],4,0)</f>
        <v>Imposto</v>
      </c>
      <c r="F834" t="str">
        <f>VLOOKUP(B834,Tabela_Auxiliar[],3,0)</f>
        <v>Saída</v>
      </c>
      <c r="G834" t="str">
        <f>UPPER(TEXT(Tabela_DB[[#This Row],[DATA]],"mmm"))</f>
        <v>FEV</v>
      </c>
      <c r="H834" t="str">
        <f>UPPER(TEXT(Tabela_DB[[#This Row],[DATA]],"aaaa"))</f>
        <v>2021</v>
      </c>
    </row>
    <row r="835" spans="1:8" x14ac:dyDescent="0.25">
      <c r="A835" s="2">
        <v>44247</v>
      </c>
      <c r="B835" t="s">
        <v>4</v>
      </c>
      <c r="C835">
        <v>11420</v>
      </c>
      <c r="D835" t="str">
        <f>VLOOKUP(B835,Tabela_Auxiliar[],2,0)</f>
        <v>1. Receita Operacional Bruta</v>
      </c>
      <c r="E835" t="str">
        <f>VLOOKUP(B835,Tabela_Auxiliar[],4,0)</f>
        <v>Receita Bruta</v>
      </c>
      <c r="F835" t="str">
        <f>VLOOKUP(B835,Tabela_Auxiliar[],3,0)</f>
        <v>Entrada</v>
      </c>
      <c r="G835" t="str">
        <f>UPPER(TEXT(Tabela_DB[[#This Row],[DATA]],"mmm"))</f>
        <v>FEV</v>
      </c>
      <c r="H835" t="str">
        <f>UPPER(TEXT(Tabela_DB[[#This Row],[DATA]],"aaaa"))</f>
        <v>2021</v>
      </c>
    </row>
    <row r="836" spans="1:8" x14ac:dyDescent="0.25">
      <c r="A836" s="2">
        <v>44247</v>
      </c>
      <c r="B836" t="s">
        <v>3</v>
      </c>
      <c r="C836">
        <v>13762</v>
      </c>
      <c r="D836" t="str">
        <f>VLOOKUP(B836,Tabela_Auxiliar[],2,0)</f>
        <v>1. Receita Operacional Bruta</v>
      </c>
      <c r="E836" t="str">
        <f>VLOOKUP(B836,Tabela_Auxiliar[],4,0)</f>
        <v>Receita Bruta</v>
      </c>
      <c r="F836" t="str">
        <f>VLOOKUP(B836,Tabela_Auxiliar[],3,0)</f>
        <v>Entrada</v>
      </c>
      <c r="G836" t="str">
        <f>UPPER(TEXT(Tabela_DB[[#This Row],[DATA]],"mmm"))</f>
        <v>FEV</v>
      </c>
      <c r="H836" t="str">
        <f>UPPER(TEXT(Tabela_DB[[#This Row],[DATA]],"aaaa"))</f>
        <v>2021</v>
      </c>
    </row>
    <row r="837" spans="1:8" x14ac:dyDescent="0.25">
      <c r="A837" s="2">
        <v>44247</v>
      </c>
      <c r="B837" t="s">
        <v>89</v>
      </c>
      <c r="C837">
        <v>-1573</v>
      </c>
      <c r="D837" t="str">
        <f>VLOOKUP(B837,Tabela_Auxiliar[],2,0)</f>
        <v>4. Despesas Operacionais</v>
      </c>
      <c r="E837" t="str">
        <f>VLOOKUP(B837,Tabela_Auxiliar[],4,0)</f>
        <v>Despesa Tributária</v>
      </c>
      <c r="F837" t="str">
        <f>VLOOKUP(B837,Tabela_Auxiliar[],3,0)</f>
        <v>Saída</v>
      </c>
      <c r="G837" t="str">
        <f>UPPER(TEXT(Tabela_DB[[#This Row],[DATA]],"mmm"))</f>
        <v>FEV</v>
      </c>
      <c r="H837" t="str">
        <f>UPPER(TEXT(Tabela_DB[[#This Row],[DATA]],"aaaa"))</f>
        <v>2021</v>
      </c>
    </row>
    <row r="838" spans="1:8" x14ac:dyDescent="0.25">
      <c r="A838" s="2">
        <v>44247</v>
      </c>
      <c r="B838" t="s">
        <v>84</v>
      </c>
      <c r="C838">
        <v>-1803</v>
      </c>
      <c r="D838" t="str">
        <f>VLOOKUP(B838,Tabela_Auxiliar[],2,0)</f>
        <v>4. Despesas Operacionais</v>
      </c>
      <c r="E838" t="str">
        <f>VLOOKUP(B838,Tabela_Auxiliar[],4,0)</f>
        <v>Despesa com Veículos</v>
      </c>
      <c r="F838" t="str">
        <f>VLOOKUP(B838,Tabela_Auxiliar[],3,0)</f>
        <v>Saída</v>
      </c>
      <c r="G838" t="str">
        <f>UPPER(TEXT(Tabela_DB[[#This Row],[DATA]],"mmm"))</f>
        <v>FEV</v>
      </c>
      <c r="H838" t="str">
        <f>UPPER(TEXT(Tabela_DB[[#This Row],[DATA]],"aaaa"))</f>
        <v>2021</v>
      </c>
    </row>
    <row r="839" spans="1:8" x14ac:dyDescent="0.25">
      <c r="A839" s="2">
        <v>44247</v>
      </c>
      <c r="B839" t="s">
        <v>35</v>
      </c>
      <c r="C839">
        <v>-2252</v>
      </c>
      <c r="D839" t="str">
        <f>VLOOKUP(B839,Tabela_Auxiliar[],2,0)</f>
        <v>2. Deduções da Receita</v>
      </c>
      <c r="E839" t="str">
        <f>VLOOKUP(B839,Tabela_Auxiliar[],4,0)</f>
        <v>Imposto</v>
      </c>
      <c r="F839" t="str">
        <f>VLOOKUP(B839,Tabela_Auxiliar[],3,0)</f>
        <v>Saída</v>
      </c>
      <c r="G839" t="str">
        <f>UPPER(TEXT(Tabela_DB[[#This Row],[DATA]],"mmm"))</f>
        <v>FEV</v>
      </c>
      <c r="H839" t="str">
        <f>UPPER(TEXT(Tabela_DB[[#This Row],[DATA]],"aaaa"))</f>
        <v>2021</v>
      </c>
    </row>
    <row r="840" spans="1:8" x14ac:dyDescent="0.25">
      <c r="A840" s="2">
        <v>44247</v>
      </c>
      <c r="B840" t="s">
        <v>4</v>
      </c>
      <c r="C840">
        <v>13657</v>
      </c>
      <c r="D840" t="str">
        <f>VLOOKUP(B840,Tabela_Auxiliar[],2,0)</f>
        <v>1. Receita Operacional Bruta</v>
      </c>
      <c r="E840" t="str">
        <f>VLOOKUP(B840,Tabela_Auxiliar[],4,0)</f>
        <v>Receita Bruta</v>
      </c>
      <c r="F840" t="str">
        <f>VLOOKUP(B840,Tabela_Auxiliar[],3,0)</f>
        <v>Entrada</v>
      </c>
      <c r="G840" t="str">
        <f>UPPER(TEXT(Tabela_DB[[#This Row],[DATA]],"mmm"))</f>
        <v>FEV</v>
      </c>
      <c r="H840" t="str">
        <f>UPPER(TEXT(Tabela_DB[[#This Row],[DATA]],"aaaa"))</f>
        <v>2021</v>
      </c>
    </row>
    <row r="841" spans="1:8" x14ac:dyDescent="0.25">
      <c r="A841" s="2">
        <v>44247</v>
      </c>
      <c r="B841" t="s">
        <v>90</v>
      </c>
      <c r="C841">
        <v>-2250</v>
      </c>
      <c r="D841" t="str">
        <f>VLOOKUP(B841,Tabela_Auxiliar[],2,0)</f>
        <v>4. Despesas Operacionais</v>
      </c>
      <c r="E841" t="str">
        <f>VLOOKUP(B841,Tabela_Auxiliar[],4,0)</f>
        <v>Despesa Tributária</v>
      </c>
      <c r="F841" t="str">
        <f>VLOOKUP(B841,Tabela_Auxiliar[],3,0)</f>
        <v>Saída</v>
      </c>
      <c r="G841" t="str">
        <f>UPPER(TEXT(Tabela_DB[[#This Row],[DATA]],"mmm"))</f>
        <v>FEV</v>
      </c>
      <c r="H841" t="str">
        <f>UPPER(TEXT(Tabela_DB[[#This Row],[DATA]],"aaaa"))</f>
        <v>2021</v>
      </c>
    </row>
    <row r="842" spans="1:8" x14ac:dyDescent="0.25">
      <c r="A842" s="2">
        <v>44247</v>
      </c>
      <c r="B842" t="s">
        <v>5</v>
      </c>
      <c r="C842">
        <v>-1744</v>
      </c>
      <c r="D842" t="str">
        <f>VLOOKUP(B842,Tabela_Auxiliar[],2,0)</f>
        <v>4. Despesas Operacionais</v>
      </c>
      <c r="E842" t="str">
        <f>VLOOKUP(B842,Tabela_Auxiliar[],4,0)</f>
        <v>Despesa com Pessoal</v>
      </c>
      <c r="F842" t="str">
        <f>VLOOKUP(B842,Tabela_Auxiliar[],3,0)</f>
        <v>Saída</v>
      </c>
      <c r="G842" t="str">
        <f>UPPER(TEXT(Tabela_DB[[#This Row],[DATA]],"mmm"))</f>
        <v>FEV</v>
      </c>
      <c r="H842" t="str">
        <f>UPPER(TEXT(Tabela_DB[[#This Row],[DATA]],"aaaa"))</f>
        <v>2021</v>
      </c>
    </row>
    <row r="843" spans="1:8" x14ac:dyDescent="0.25">
      <c r="A843" s="2">
        <v>44247</v>
      </c>
      <c r="B843" t="s">
        <v>87</v>
      </c>
      <c r="C843">
        <v>-1568</v>
      </c>
      <c r="D843" t="str">
        <f>VLOOKUP(B843,Tabela_Auxiliar[],2,0)</f>
        <v>4. Despesas Operacionais</v>
      </c>
      <c r="E843" t="str">
        <f>VLOOKUP(B843,Tabela_Auxiliar[],4,0)</f>
        <v>Despesa Tributária</v>
      </c>
      <c r="F843" t="str">
        <f>VLOOKUP(B843,Tabela_Auxiliar[],3,0)</f>
        <v>Saída</v>
      </c>
      <c r="G843" t="str">
        <f>UPPER(TEXT(Tabela_DB[[#This Row],[DATA]],"mmm"))</f>
        <v>FEV</v>
      </c>
      <c r="H843" t="str">
        <f>UPPER(TEXT(Tabela_DB[[#This Row],[DATA]],"aaaa"))</f>
        <v>2021</v>
      </c>
    </row>
    <row r="844" spans="1:8" x14ac:dyDescent="0.25">
      <c r="A844" s="2">
        <v>44248</v>
      </c>
      <c r="B844" t="s">
        <v>3</v>
      </c>
      <c r="C844">
        <v>11769</v>
      </c>
      <c r="D844" t="str">
        <f>VLOOKUP(B844,Tabela_Auxiliar[],2,0)</f>
        <v>1. Receita Operacional Bruta</v>
      </c>
      <c r="E844" t="str">
        <f>VLOOKUP(B844,Tabela_Auxiliar[],4,0)</f>
        <v>Receita Bruta</v>
      </c>
      <c r="F844" t="str">
        <f>VLOOKUP(B844,Tabela_Auxiliar[],3,0)</f>
        <v>Entrada</v>
      </c>
      <c r="G844" t="str">
        <f>UPPER(TEXT(Tabela_DB[[#This Row],[DATA]],"mmm"))</f>
        <v>FEV</v>
      </c>
      <c r="H844" t="str">
        <f>UPPER(TEXT(Tabela_DB[[#This Row],[DATA]],"aaaa"))</f>
        <v>2021</v>
      </c>
    </row>
    <row r="845" spans="1:8" x14ac:dyDescent="0.25">
      <c r="A845" s="2">
        <v>44248</v>
      </c>
      <c r="B845" t="s">
        <v>55</v>
      </c>
      <c r="C845">
        <v>-1776</v>
      </c>
      <c r="D845" t="str">
        <f>VLOOKUP(B845,Tabela_Auxiliar[],2,0)</f>
        <v>4. Despesas Operacionais</v>
      </c>
      <c r="E845" t="str">
        <f>VLOOKUP(B845,Tabela_Auxiliar[],4,0)</f>
        <v>Despesa com Pessoal</v>
      </c>
      <c r="F845" t="str">
        <f>VLOOKUP(B845,Tabela_Auxiliar[],3,0)</f>
        <v>Saída</v>
      </c>
      <c r="G845" t="str">
        <f>UPPER(TEXT(Tabela_DB[[#This Row],[DATA]],"mmm"))</f>
        <v>FEV</v>
      </c>
      <c r="H845" t="str">
        <f>UPPER(TEXT(Tabela_DB[[#This Row],[DATA]],"aaaa"))</f>
        <v>2021</v>
      </c>
    </row>
    <row r="846" spans="1:8" x14ac:dyDescent="0.25">
      <c r="A846" s="2">
        <v>44248</v>
      </c>
      <c r="B846" t="s">
        <v>86</v>
      </c>
      <c r="C846">
        <v>-2480</v>
      </c>
      <c r="D846" t="str">
        <f>VLOOKUP(B846,Tabela_Auxiliar[],2,0)</f>
        <v>4. Despesas Operacionais</v>
      </c>
      <c r="E846" t="str">
        <f>VLOOKUP(B846,Tabela_Auxiliar[],4,0)</f>
        <v>Despesa com Veículos</v>
      </c>
      <c r="F846" t="str">
        <f>VLOOKUP(B846,Tabela_Auxiliar[],3,0)</f>
        <v>Saída</v>
      </c>
      <c r="G846" t="str">
        <f>UPPER(TEXT(Tabela_DB[[#This Row],[DATA]],"mmm"))</f>
        <v>FEV</v>
      </c>
      <c r="H846" t="str">
        <f>UPPER(TEXT(Tabela_DB[[#This Row],[DATA]],"aaaa"))</f>
        <v>2021</v>
      </c>
    </row>
    <row r="847" spans="1:8" x14ac:dyDescent="0.25">
      <c r="A847" s="2">
        <v>44248</v>
      </c>
      <c r="B847" t="s">
        <v>62</v>
      </c>
      <c r="C847">
        <v>-2370</v>
      </c>
      <c r="D847" t="str">
        <f>VLOOKUP(B847,Tabela_Auxiliar[],2,0)</f>
        <v>4. Despesas Operacionais</v>
      </c>
      <c r="E847" t="str">
        <f>VLOOKUP(B847,Tabela_Auxiliar[],4,0)</f>
        <v>Despesa Gerais</v>
      </c>
      <c r="F847" t="str">
        <f>VLOOKUP(B847,Tabela_Auxiliar[],3,0)</f>
        <v>Saída</v>
      </c>
      <c r="G847" t="str">
        <f>UPPER(TEXT(Tabela_DB[[#This Row],[DATA]],"mmm"))</f>
        <v>FEV</v>
      </c>
      <c r="H847" t="str">
        <f>UPPER(TEXT(Tabela_DB[[#This Row],[DATA]],"aaaa"))</f>
        <v>2021</v>
      </c>
    </row>
    <row r="848" spans="1:8" x14ac:dyDescent="0.25">
      <c r="A848" s="2">
        <v>44248</v>
      </c>
      <c r="B848" t="s">
        <v>4</v>
      </c>
      <c r="C848">
        <v>14572</v>
      </c>
      <c r="D848" t="str">
        <f>VLOOKUP(B848,Tabela_Auxiliar[],2,0)</f>
        <v>1. Receita Operacional Bruta</v>
      </c>
      <c r="E848" t="str">
        <f>VLOOKUP(B848,Tabela_Auxiliar[],4,0)</f>
        <v>Receita Bruta</v>
      </c>
      <c r="F848" t="str">
        <f>VLOOKUP(B848,Tabela_Auxiliar[],3,0)</f>
        <v>Entrada</v>
      </c>
      <c r="G848" t="str">
        <f>UPPER(TEXT(Tabela_DB[[#This Row],[DATA]],"mmm"))</f>
        <v>FEV</v>
      </c>
      <c r="H848" t="str">
        <f>UPPER(TEXT(Tabela_DB[[#This Row],[DATA]],"aaaa"))</f>
        <v>2021</v>
      </c>
    </row>
    <row r="849" spans="1:8" x14ac:dyDescent="0.25">
      <c r="A849" s="2">
        <v>44248</v>
      </c>
      <c r="B849" t="s">
        <v>59</v>
      </c>
      <c r="C849">
        <v>-1134</v>
      </c>
      <c r="D849" t="str">
        <f>VLOOKUP(B849,Tabela_Auxiliar[],2,0)</f>
        <v>4. Despesas Operacionais</v>
      </c>
      <c r="E849" t="str">
        <f>VLOOKUP(B849,Tabela_Auxiliar[],4,0)</f>
        <v>Despesa de Depreciação</v>
      </c>
      <c r="F849" t="str">
        <f>VLOOKUP(B849,Tabela_Auxiliar[],3,0)</f>
        <v>Saída</v>
      </c>
      <c r="G849" t="str">
        <f>UPPER(TEXT(Tabela_DB[[#This Row],[DATA]],"mmm"))</f>
        <v>FEV</v>
      </c>
      <c r="H849" t="str">
        <f>UPPER(TEXT(Tabela_DB[[#This Row],[DATA]],"aaaa"))</f>
        <v>2021</v>
      </c>
    </row>
    <row r="850" spans="1:8" x14ac:dyDescent="0.25">
      <c r="A850" s="2">
        <v>44248</v>
      </c>
      <c r="B850" t="s">
        <v>35</v>
      </c>
      <c r="C850">
        <v>-2085</v>
      </c>
      <c r="D850" t="str">
        <f>VLOOKUP(B850,Tabela_Auxiliar[],2,0)</f>
        <v>2. Deduções da Receita</v>
      </c>
      <c r="E850" t="str">
        <f>VLOOKUP(B850,Tabela_Auxiliar[],4,0)</f>
        <v>Imposto</v>
      </c>
      <c r="F850" t="str">
        <f>VLOOKUP(B850,Tabela_Auxiliar[],3,0)</f>
        <v>Saída</v>
      </c>
      <c r="G850" t="str">
        <f>UPPER(TEXT(Tabela_DB[[#This Row],[DATA]],"mmm"))</f>
        <v>FEV</v>
      </c>
      <c r="H850" t="str">
        <f>UPPER(TEXT(Tabela_DB[[#This Row],[DATA]],"aaaa"))</f>
        <v>2021</v>
      </c>
    </row>
    <row r="851" spans="1:8" x14ac:dyDescent="0.25">
      <c r="A851" s="2">
        <v>44248</v>
      </c>
      <c r="B851" t="s">
        <v>37</v>
      </c>
      <c r="C851">
        <v>-2652</v>
      </c>
      <c r="D851" t="str">
        <f>VLOOKUP(B851,Tabela_Auxiliar[],2,0)</f>
        <v>3. Custos do Produto/Mercadoria/Serviço</v>
      </c>
      <c r="E851" t="str">
        <f>VLOOKUP(B851,Tabela_Auxiliar[],4,0)</f>
        <v>Despesas c/ Produto</v>
      </c>
      <c r="F851" t="str">
        <f>VLOOKUP(B851,Tabela_Auxiliar[],3,0)</f>
        <v>Saída</v>
      </c>
      <c r="G851" t="str">
        <f>UPPER(TEXT(Tabela_DB[[#This Row],[DATA]],"mmm"))</f>
        <v>FEV</v>
      </c>
      <c r="H851" t="str">
        <f>UPPER(TEXT(Tabela_DB[[#This Row],[DATA]],"aaaa"))</f>
        <v>2021</v>
      </c>
    </row>
    <row r="852" spans="1:8" x14ac:dyDescent="0.25">
      <c r="A852" s="2">
        <v>44248</v>
      </c>
      <c r="B852" t="s">
        <v>33</v>
      </c>
      <c r="C852">
        <v>-1228</v>
      </c>
      <c r="D852" t="str">
        <f>VLOOKUP(B852,Tabela_Auxiliar[],2,0)</f>
        <v>4. Despesas Operacionais</v>
      </c>
      <c r="E852" t="str">
        <f>VLOOKUP(B852,Tabela_Auxiliar[],4,0)</f>
        <v>Despesa com Vendas</v>
      </c>
      <c r="F852" t="str">
        <f>VLOOKUP(B852,Tabela_Auxiliar[],3,0)</f>
        <v>Saída</v>
      </c>
      <c r="G852" t="str">
        <f>UPPER(TEXT(Tabela_DB[[#This Row],[DATA]],"mmm"))</f>
        <v>FEV</v>
      </c>
      <c r="H852" t="str">
        <f>UPPER(TEXT(Tabela_DB[[#This Row],[DATA]],"aaaa"))</f>
        <v>2021</v>
      </c>
    </row>
    <row r="853" spans="1:8" x14ac:dyDescent="0.25">
      <c r="A853" s="2">
        <v>44248</v>
      </c>
      <c r="B853" t="s">
        <v>4</v>
      </c>
      <c r="C853">
        <v>12216</v>
      </c>
      <c r="D853" t="str">
        <f>VLOOKUP(B853,Tabela_Auxiliar[],2,0)</f>
        <v>1. Receita Operacional Bruta</v>
      </c>
      <c r="E853" t="str">
        <f>VLOOKUP(B853,Tabela_Auxiliar[],4,0)</f>
        <v>Receita Bruta</v>
      </c>
      <c r="F853" t="str">
        <f>VLOOKUP(B853,Tabela_Auxiliar[],3,0)</f>
        <v>Entrada</v>
      </c>
      <c r="G853" t="str">
        <f>UPPER(TEXT(Tabela_DB[[#This Row],[DATA]],"mmm"))</f>
        <v>FEV</v>
      </c>
      <c r="H853" t="str">
        <f>UPPER(TEXT(Tabela_DB[[#This Row],[DATA]],"aaaa"))</f>
        <v>2021</v>
      </c>
    </row>
    <row r="854" spans="1:8" x14ac:dyDescent="0.25">
      <c r="A854" s="2">
        <v>44248</v>
      </c>
      <c r="B854" t="s">
        <v>37</v>
      </c>
      <c r="C854">
        <v>-3510</v>
      </c>
      <c r="D854" t="str">
        <f>VLOOKUP(B854,Tabela_Auxiliar[],2,0)</f>
        <v>3. Custos do Produto/Mercadoria/Serviço</v>
      </c>
      <c r="E854" t="str">
        <f>VLOOKUP(B854,Tabela_Auxiliar[],4,0)</f>
        <v>Despesas c/ Produto</v>
      </c>
      <c r="F854" t="str">
        <f>VLOOKUP(B854,Tabela_Auxiliar[],3,0)</f>
        <v>Saída</v>
      </c>
      <c r="G854" t="str">
        <f>UPPER(TEXT(Tabela_DB[[#This Row],[DATA]],"mmm"))</f>
        <v>FEV</v>
      </c>
      <c r="H854" t="str">
        <f>UPPER(TEXT(Tabela_DB[[#This Row],[DATA]],"aaaa"))</f>
        <v>2021</v>
      </c>
    </row>
    <row r="855" spans="1:8" x14ac:dyDescent="0.25">
      <c r="A855" s="2">
        <v>44248</v>
      </c>
      <c r="B855" t="s">
        <v>35</v>
      </c>
      <c r="C855">
        <v>-2197</v>
      </c>
      <c r="D855" t="str">
        <f>VLOOKUP(B855,Tabela_Auxiliar[],2,0)</f>
        <v>2. Deduções da Receita</v>
      </c>
      <c r="E855" t="str">
        <f>VLOOKUP(B855,Tabela_Auxiliar[],4,0)</f>
        <v>Imposto</v>
      </c>
      <c r="F855" t="str">
        <f>VLOOKUP(B855,Tabela_Auxiliar[],3,0)</f>
        <v>Saída</v>
      </c>
      <c r="G855" t="str">
        <f>UPPER(TEXT(Tabela_DB[[#This Row],[DATA]],"mmm"))</f>
        <v>FEV</v>
      </c>
      <c r="H855" t="str">
        <f>UPPER(TEXT(Tabela_DB[[#This Row],[DATA]],"aaaa"))</f>
        <v>2021</v>
      </c>
    </row>
    <row r="856" spans="1:8" x14ac:dyDescent="0.25">
      <c r="A856" s="2">
        <v>44248</v>
      </c>
      <c r="B856" t="s">
        <v>81</v>
      </c>
      <c r="C856">
        <v>-1782</v>
      </c>
      <c r="D856" t="str">
        <f>VLOOKUP(B856,Tabela_Auxiliar[],2,0)</f>
        <v>4. Despesas Operacionais</v>
      </c>
      <c r="E856" t="str">
        <f>VLOOKUP(B856,Tabela_Auxiliar[],4,0)</f>
        <v>Serviços Contratados</v>
      </c>
      <c r="F856" t="str">
        <f>VLOOKUP(B856,Tabela_Auxiliar[],3,0)</f>
        <v>Saída</v>
      </c>
      <c r="G856" t="str">
        <f>UPPER(TEXT(Tabela_DB[[#This Row],[DATA]],"mmm"))</f>
        <v>FEV</v>
      </c>
      <c r="H856" t="str">
        <f>UPPER(TEXT(Tabela_DB[[#This Row],[DATA]],"aaaa"))</f>
        <v>2021</v>
      </c>
    </row>
    <row r="857" spans="1:8" x14ac:dyDescent="0.25">
      <c r="A857" s="2">
        <v>44248</v>
      </c>
      <c r="B857" t="s">
        <v>35</v>
      </c>
      <c r="C857">
        <v>-2235</v>
      </c>
      <c r="D857" t="str">
        <f>VLOOKUP(B857,Tabela_Auxiliar[],2,0)</f>
        <v>2. Deduções da Receita</v>
      </c>
      <c r="E857" t="str">
        <f>VLOOKUP(B857,Tabela_Auxiliar[],4,0)</f>
        <v>Imposto</v>
      </c>
      <c r="F857" t="str">
        <f>VLOOKUP(B857,Tabela_Auxiliar[],3,0)</f>
        <v>Saída</v>
      </c>
      <c r="G857" t="str">
        <f>UPPER(TEXT(Tabela_DB[[#This Row],[DATA]],"mmm"))</f>
        <v>FEV</v>
      </c>
      <c r="H857" t="str">
        <f>UPPER(TEXT(Tabela_DB[[#This Row],[DATA]],"aaaa"))</f>
        <v>2021</v>
      </c>
    </row>
    <row r="858" spans="1:8" x14ac:dyDescent="0.25">
      <c r="A858" s="2">
        <v>44248</v>
      </c>
      <c r="B858" t="s">
        <v>60</v>
      </c>
      <c r="C858">
        <v>-1544</v>
      </c>
      <c r="D858" t="str">
        <f>VLOOKUP(B858,Tabela_Auxiliar[],2,0)</f>
        <v>4. Despesas Operacionais</v>
      </c>
      <c r="E858" t="str">
        <f>VLOOKUP(B858,Tabela_Auxiliar[],4,0)</f>
        <v>Despesa de Depreciação</v>
      </c>
      <c r="F858" t="str">
        <f>VLOOKUP(B858,Tabela_Auxiliar[],3,0)</f>
        <v>Saída</v>
      </c>
      <c r="G858" t="str">
        <f>UPPER(TEXT(Tabela_DB[[#This Row],[DATA]],"mmm"))</f>
        <v>FEV</v>
      </c>
      <c r="H858" t="str">
        <f>UPPER(TEXT(Tabela_DB[[#This Row],[DATA]],"aaaa"))</f>
        <v>2021</v>
      </c>
    </row>
    <row r="859" spans="1:8" x14ac:dyDescent="0.25">
      <c r="A859" s="2">
        <v>44248</v>
      </c>
      <c r="B859" t="s">
        <v>35</v>
      </c>
      <c r="C859">
        <v>-1500</v>
      </c>
      <c r="D859" t="str">
        <f>VLOOKUP(B859,Tabela_Auxiliar[],2,0)</f>
        <v>2. Deduções da Receita</v>
      </c>
      <c r="E859" t="str">
        <f>VLOOKUP(B859,Tabela_Auxiliar[],4,0)</f>
        <v>Imposto</v>
      </c>
      <c r="F859" t="str">
        <f>VLOOKUP(B859,Tabela_Auxiliar[],3,0)</f>
        <v>Saída</v>
      </c>
      <c r="G859" t="str">
        <f>UPPER(TEXT(Tabela_DB[[#This Row],[DATA]],"mmm"))</f>
        <v>FEV</v>
      </c>
      <c r="H859" t="str">
        <f>UPPER(TEXT(Tabela_DB[[#This Row],[DATA]],"aaaa"))</f>
        <v>2021</v>
      </c>
    </row>
    <row r="860" spans="1:8" x14ac:dyDescent="0.25">
      <c r="A860" s="2">
        <v>44248</v>
      </c>
      <c r="B860" t="s">
        <v>75</v>
      </c>
      <c r="C860">
        <v>-1856</v>
      </c>
      <c r="D860" t="str">
        <f>VLOOKUP(B860,Tabela_Auxiliar[],2,0)</f>
        <v>4. Despesas Operacionais</v>
      </c>
      <c r="E860" t="str">
        <f>VLOOKUP(B860,Tabela_Auxiliar[],4,0)</f>
        <v>Serviços Contratados</v>
      </c>
      <c r="F860" t="str">
        <f>VLOOKUP(B860,Tabela_Auxiliar[],3,0)</f>
        <v>Saída</v>
      </c>
      <c r="G860" t="str">
        <f>UPPER(TEXT(Tabela_DB[[#This Row],[DATA]],"mmm"))</f>
        <v>FEV</v>
      </c>
      <c r="H860" t="str">
        <f>UPPER(TEXT(Tabela_DB[[#This Row],[DATA]],"aaaa"))</f>
        <v>2021</v>
      </c>
    </row>
    <row r="861" spans="1:8" x14ac:dyDescent="0.25">
      <c r="A861" s="2">
        <v>44248</v>
      </c>
      <c r="B861" t="s">
        <v>66</v>
      </c>
      <c r="C861">
        <v>-2192</v>
      </c>
      <c r="D861" t="str">
        <f>VLOOKUP(B861,Tabela_Auxiliar[],2,0)</f>
        <v>4. Despesas Operacionais</v>
      </c>
      <c r="E861" t="str">
        <f>VLOOKUP(B861,Tabela_Auxiliar[],4,0)</f>
        <v>Despesa com Vendas</v>
      </c>
      <c r="F861" t="str">
        <f>VLOOKUP(B861,Tabela_Auxiliar[],3,0)</f>
        <v>Saída</v>
      </c>
      <c r="G861" t="str">
        <f>UPPER(TEXT(Tabela_DB[[#This Row],[DATA]],"mmm"))</f>
        <v>FEV</v>
      </c>
      <c r="H861" t="str">
        <f>UPPER(TEXT(Tabela_DB[[#This Row],[DATA]],"aaaa"))</f>
        <v>2021</v>
      </c>
    </row>
    <row r="862" spans="1:8" x14ac:dyDescent="0.25">
      <c r="A862" s="2">
        <v>44248</v>
      </c>
      <c r="B862" t="s">
        <v>3</v>
      </c>
      <c r="C862">
        <v>13837</v>
      </c>
      <c r="D862" t="str">
        <f>VLOOKUP(B862,Tabela_Auxiliar[],2,0)</f>
        <v>1. Receita Operacional Bruta</v>
      </c>
      <c r="E862" t="str">
        <f>VLOOKUP(B862,Tabela_Auxiliar[],4,0)</f>
        <v>Receita Bruta</v>
      </c>
      <c r="F862" t="str">
        <f>VLOOKUP(B862,Tabela_Auxiliar[],3,0)</f>
        <v>Entrada</v>
      </c>
      <c r="G862" t="str">
        <f>UPPER(TEXT(Tabela_DB[[#This Row],[DATA]],"mmm"))</f>
        <v>FEV</v>
      </c>
      <c r="H862" t="str">
        <f>UPPER(TEXT(Tabela_DB[[#This Row],[DATA]],"aaaa"))</f>
        <v>2021</v>
      </c>
    </row>
    <row r="863" spans="1:8" x14ac:dyDescent="0.25">
      <c r="A863" s="2">
        <v>44248</v>
      </c>
      <c r="B863" t="s">
        <v>8</v>
      </c>
      <c r="C863">
        <v>-2243</v>
      </c>
      <c r="D863" t="str">
        <f>VLOOKUP(B863,Tabela_Auxiliar[],2,0)</f>
        <v>4. Despesas Operacionais</v>
      </c>
      <c r="E863" t="str">
        <f>VLOOKUP(B863,Tabela_Auxiliar[],4,0)</f>
        <v>Despesa com Pessoal</v>
      </c>
      <c r="F863" t="str">
        <f>VLOOKUP(B863,Tabela_Auxiliar[],3,0)</f>
        <v>Saída</v>
      </c>
      <c r="G863" t="str">
        <f>UPPER(TEXT(Tabela_DB[[#This Row],[DATA]],"mmm"))</f>
        <v>FEV</v>
      </c>
      <c r="H863" t="str">
        <f>UPPER(TEXT(Tabela_DB[[#This Row],[DATA]],"aaaa"))</f>
        <v>2021</v>
      </c>
    </row>
    <row r="864" spans="1:8" x14ac:dyDescent="0.25">
      <c r="A864" s="2">
        <v>44248</v>
      </c>
      <c r="B864" t="s">
        <v>50</v>
      </c>
      <c r="C864">
        <v>-2295</v>
      </c>
      <c r="D864" t="str">
        <f>VLOOKUP(B864,Tabela_Auxiliar[],2,0)</f>
        <v>4. Despesas Operacionais</v>
      </c>
      <c r="E864" t="str">
        <f>VLOOKUP(B864,Tabela_Auxiliar[],4,0)</f>
        <v>Despesa com Pessoal</v>
      </c>
      <c r="F864" t="str">
        <f>VLOOKUP(B864,Tabela_Auxiliar[],3,0)</f>
        <v>Saída</v>
      </c>
      <c r="G864" t="str">
        <f>UPPER(TEXT(Tabela_DB[[#This Row],[DATA]],"mmm"))</f>
        <v>FEV</v>
      </c>
      <c r="H864" t="str">
        <f>UPPER(TEXT(Tabela_DB[[#This Row],[DATA]],"aaaa"))</f>
        <v>2021</v>
      </c>
    </row>
    <row r="865" spans="1:8" x14ac:dyDescent="0.25">
      <c r="A865" s="2">
        <v>44248</v>
      </c>
      <c r="B865" t="s">
        <v>86</v>
      </c>
      <c r="C865">
        <v>-1508</v>
      </c>
      <c r="D865" t="str">
        <f>VLOOKUP(B865,Tabela_Auxiliar[],2,0)</f>
        <v>4. Despesas Operacionais</v>
      </c>
      <c r="E865" t="str">
        <f>VLOOKUP(B865,Tabela_Auxiliar[],4,0)</f>
        <v>Despesa com Veículos</v>
      </c>
      <c r="F865" t="str">
        <f>VLOOKUP(B865,Tabela_Auxiliar[],3,0)</f>
        <v>Saída</v>
      </c>
      <c r="G865" t="str">
        <f>UPPER(TEXT(Tabela_DB[[#This Row],[DATA]],"mmm"))</f>
        <v>FEV</v>
      </c>
      <c r="H865" t="str">
        <f>UPPER(TEXT(Tabela_DB[[#This Row],[DATA]],"aaaa"))</f>
        <v>2021</v>
      </c>
    </row>
    <row r="866" spans="1:8" x14ac:dyDescent="0.25">
      <c r="A866" s="2">
        <v>44248</v>
      </c>
      <c r="B866" t="s">
        <v>37</v>
      </c>
      <c r="C866">
        <v>-2769</v>
      </c>
      <c r="D866" t="str">
        <f>VLOOKUP(B866,Tabela_Auxiliar[],2,0)</f>
        <v>3. Custos do Produto/Mercadoria/Serviço</v>
      </c>
      <c r="E866" t="str">
        <f>VLOOKUP(B866,Tabela_Auxiliar[],4,0)</f>
        <v>Despesas c/ Produto</v>
      </c>
      <c r="F866" t="str">
        <f>VLOOKUP(B866,Tabela_Auxiliar[],3,0)</f>
        <v>Saída</v>
      </c>
      <c r="G866" t="str">
        <f>UPPER(TEXT(Tabela_DB[[#This Row],[DATA]],"mmm"))</f>
        <v>FEV</v>
      </c>
      <c r="H866" t="str">
        <f>UPPER(TEXT(Tabela_DB[[#This Row],[DATA]],"aaaa"))</f>
        <v>2021</v>
      </c>
    </row>
    <row r="867" spans="1:8" x14ac:dyDescent="0.25">
      <c r="A867" s="2">
        <v>44248</v>
      </c>
      <c r="B867" t="s">
        <v>4</v>
      </c>
      <c r="C867">
        <v>10868</v>
      </c>
      <c r="D867" t="str">
        <f>VLOOKUP(B867,Tabela_Auxiliar[],2,0)</f>
        <v>1. Receita Operacional Bruta</v>
      </c>
      <c r="E867" t="str">
        <f>VLOOKUP(B867,Tabela_Auxiliar[],4,0)</f>
        <v>Receita Bruta</v>
      </c>
      <c r="F867" t="str">
        <f>VLOOKUP(B867,Tabela_Auxiliar[],3,0)</f>
        <v>Entrada</v>
      </c>
      <c r="G867" t="str">
        <f>UPPER(TEXT(Tabela_DB[[#This Row],[DATA]],"mmm"))</f>
        <v>FEV</v>
      </c>
      <c r="H867" t="str">
        <f>UPPER(TEXT(Tabela_DB[[#This Row],[DATA]],"aaaa"))</f>
        <v>2021</v>
      </c>
    </row>
    <row r="868" spans="1:8" x14ac:dyDescent="0.25">
      <c r="A868" s="2">
        <v>44248</v>
      </c>
      <c r="B868" t="s">
        <v>69</v>
      </c>
      <c r="C868">
        <v>-1374</v>
      </c>
      <c r="D868" t="str">
        <f>VLOOKUP(B868,Tabela_Auxiliar[],2,0)</f>
        <v>4. Despesas Operacionais</v>
      </c>
      <c r="E868" t="str">
        <f>VLOOKUP(B868,Tabela_Auxiliar[],4,0)</f>
        <v>Despesa com Ocupação</v>
      </c>
      <c r="F868" t="str">
        <f>VLOOKUP(B868,Tabela_Auxiliar[],3,0)</f>
        <v>Saída</v>
      </c>
      <c r="G868" t="str">
        <f>UPPER(TEXT(Tabela_DB[[#This Row],[DATA]],"mmm"))</f>
        <v>FEV</v>
      </c>
      <c r="H868" t="str">
        <f>UPPER(TEXT(Tabela_DB[[#This Row],[DATA]],"aaaa"))</f>
        <v>2021</v>
      </c>
    </row>
    <row r="869" spans="1:8" x14ac:dyDescent="0.25">
      <c r="A869" s="2">
        <v>44248</v>
      </c>
      <c r="B869" t="s">
        <v>4</v>
      </c>
      <c r="C869">
        <v>13131</v>
      </c>
      <c r="D869" t="str">
        <f>VLOOKUP(B869,Tabela_Auxiliar[],2,0)</f>
        <v>1. Receita Operacional Bruta</v>
      </c>
      <c r="E869" t="str">
        <f>VLOOKUP(B869,Tabela_Auxiliar[],4,0)</f>
        <v>Receita Bruta</v>
      </c>
      <c r="F869" t="str">
        <f>VLOOKUP(B869,Tabela_Auxiliar[],3,0)</f>
        <v>Entrada</v>
      </c>
      <c r="G869" t="str">
        <f>UPPER(TEXT(Tabela_DB[[#This Row],[DATA]],"mmm"))</f>
        <v>FEV</v>
      </c>
      <c r="H869" t="str">
        <f>UPPER(TEXT(Tabela_DB[[#This Row],[DATA]],"aaaa"))</f>
        <v>2021</v>
      </c>
    </row>
    <row r="870" spans="1:8" x14ac:dyDescent="0.25">
      <c r="A870" s="2">
        <v>44249</v>
      </c>
      <c r="B870" t="s">
        <v>73</v>
      </c>
      <c r="C870">
        <v>-2467</v>
      </c>
      <c r="D870" t="str">
        <f>VLOOKUP(B870,Tabela_Auxiliar[],2,0)</f>
        <v>4. Despesas Operacionais</v>
      </c>
      <c r="E870" t="str">
        <f>VLOOKUP(B870,Tabela_Auxiliar[],4,0)</f>
        <v>Despesa com Ocupação</v>
      </c>
      <c r="F870" t="str">
        <f>VLOOKUP(B870,Tabela_Auxiliar[],3,0)</f>
        <v>Saída</v>
      </c>
      <c r="G870" t="str">
        <f>UPPER(TEXT(Tabela_DB[[#This Row],[DATA]],"mmm"))</f>
        <v>FEV</v>
      </c>
      <c r="H870" t="str">
        <f>UPPER(TEXT(Tabela_DB[[#This Row],[DATA]],"aaaa"))</f>
        <v>2021</v>
      </c>
    </row>
    <row r="871" spans="1:8" x14ac:dyDescent="0.25">
      <c r="A871" s="2">
        <v>44249</v>
      </c>
      <c r="B871" t="s">
        <v>3</v>
      </c>
      <c r="C871">
        <v>14773</v>
      </c>
      <c r="D871" t="str">
        <f>VLOOKUP(B871,Tabela_Auxiliar[],2,0)</f>
        <v>1. Receita Operacional Bruta</v>
      </c>
      <c r="E871" t="str">
        <f>VLOOKUP(B871,Tabela_Auxiliar[],4,0)</f>
        <v>Receita Bruta</v>
      </c>
      <c r="F871" t="str">
        <f>VLOOKUP(B871,Tabela_Auxiliar[],3,0)</f>
        <v>Entrada</v>
      </c>
      <c r="G871" t="str">
        <f>UPPER(TEXT(Tabela_DB[[#This Row],[DATA]],"mmm"))</f>
        <v>FEV</v>
      </c>
      <c r="H871" t="str">
        <f>UPPER(TEXT(Tabela_DB[[#This Row],[DATA]],"aaaa"))</f>
        <v>2021</v>
      </c>
    </row>
    <row r="872" spans="1:8" x14ac:dyDescent="0.25">
      <c r="A872" s="2">
        <v>44249</v>
      </c>
      <c r="B872" t="s">
        <v>38</v>
      </c>
      <c r="C872">
        <v>-1569</v>
      </c>
      <c r="D872" t="str">
        <f>VLOOKUP(B872,Tabela_Auxiliar[],2,0)</f>
        <v>2. Deduções da Receita</v>
      </c>
      <c r="E872" t="str">
        <f>VLOOKUP(B872,Tabela_Auxiliar[],4,0)</f>
        <v>Deduções</v>
      </c>
      <c r="F872" t="str">
        <f>VLOOKUP(B872,Tabela_Auxiliar[],3,0)</f>
        <v>Saída</v>
      </c>
      <c r="G872" t="str">
        <f>UPPER(TEXT(Tabela_DB[[#This Row],[DATA]],"mmm"))</f>
        <v>FEV</v>
      </c>
      <c r="H872" t="str">
        <f>UPPER(TEXT(Tabela_DB[[#This Row],[DATA]],"aaaa"))</f>
        <v>2021</v>
      </c>
    </row>
    <row r="873" spans="1:8" x14ac:dyDescent="0.25">
      <c r="A873" s="2">
        <v>44249</v>
      </c>
      <c r="B873" t="s">
        <v>4</v>
      </c>
      <c r="C873">
        <v>11364</v>
      </c>
      <c r="D873" t="str">
        <f>VLOOKUP(B873,Tabela_Auxiliar[],2,0)</f>
        <v>1. Receita Operacional Bruta</v>
      </c>
      <c r="E873" t="str">
        <f>VLOOKUP(B873,Tabela_Auxiliar[],4,0)</f>
        <v>Receita Bruta</v>
      </c>
      <c r="F873" t="str">
        <f>VLOOKUP(B873,Tabela_Auxiliar[],3,0)</f>
        <v>Entrada</v>
      </c>
      <c r="G873" t="str">
        <f>UPPER(TEXT(Tabela_DB[[#This Row],[DATA]],"mmm"))</f>
        <v>FEV</v>
      </c>
      <c r="H873" t="str">
        <f>UPPER(TEXT(Tabela_DB[[#This Row],[DATA]],"aaaa"))</f>
        <v>2021</v>
      </c>
    </row>
    <row r="874" spans="1:8" x14ac:dyDescent="0.25">
      <c r="A874" s="2">
        <v>44249</v>
      </c>
      <c r="B874" t="s">
        <v>35</v>
      </c>
      <c r="C874">
        <v>-1294</v>
      </c>
      <c r="D874" t="str">
        <f>VLOOKUP(B874,Tabela_Auxiliar[],2,0)</f>
        <v>2. Deduções da Receita</v>
      </c>
      <c r="E874" t="str">
        <f>VLOOKUP(B874,Tabela_Auxiliar[],4,0)</f>
        <v>Imposto</v>
      </c>
      <c r="F874" t="str">
        <f>VLOOKUP(B874,Tabela_Auxiliar[],3,0)</f>
        <v>Saída</v>
      </c>
      <c r="G874" t="str">
        <f>UPPER(TEXT(Tabela_DB[[#This Row],[DATA]],"mmm"))</f>
        <v>FEV</v>
      </c>
      <c r="H874" t="str">
        <f>UPPER(TEXT(Tabela_DB[[#This Row],[DATA]],"aaaa"))</f>
        <v>2021</v>
      </c>
    </row>
    <row r="875" spans="1:8" x14ac:dyDescent="0.25">
      <c r="A875" s="2">
        <v>44249</v>
      </c>
      <c r="B875" t="s">
        <v>4</v>
      </c>
      <c r="C875">
        <v>14645</v>
      </c>
      <c r="D875" t="str">
        <f>VLOOKUP(B875,Tabela_Auxiliar[],2,0)</f>
        <v>1. Receita Operacional Bruta</v>
      </c>
      <c r="E875" t="str">
        <f>VLOOKUP(B875,Tabela_Auxiliar[],4,0)</f>
        <v>Receita Bruta</v>
      </c>
      <c r="F875" t="str">
        <f>VLOOKUP(B875,Tabela_Auxiliar[],3,0)</f>
        <v>Entrada</v>
      </c>
      <c r="G875" t="str">
        <f>UPPER(TEXT(Tabela_DB[[#This Row],[DATA]],"mmm"))</f>
        <v>FEV</v>
      </c>
      <c r="H875" t="str">
        <f>UPPER(TEXT(Tabela_DB[[#This Row],[DATA]],"aaaa"))</f>
        <v>2021</v>
      </c>
    </row>
    <row r="876" spans="1:8" x14ac:dyDescent="0.25">
      <c r="A876" s="2">
        <v>44249</v>
      </c>
      <c r="B876" t="s">
        <v>3</v>
      </c>
      <c r="C876">
        <v>14984</v>
      </c>
      <c r="D876" t="str">
        <f>VLOOKUP(B876,Tabela_Auxiliar[],2,0)</f>
        <v>1. Receita Operacional Bruta</v>
      </c>
      <c r="E876" t="str">
        <f>VLOOKUP(B876,Tabela_Auxiliar[],4,0)</f>
        <v>Receita Bruta</v>
      </c>
      <c r="F876" t="str">
        <f>VLOOKUP(B876,Tabela_Auxiliar[],3,0)</f>
        <v>Entrada</v>
      </c>
      <c r="G876" t="str">
        <f>UPPER(TEXT(Tabela_DB[[#This Row],[DATA]],"mmm"))</f>
        <v>FEV</v>
      </c>
      <c r="H876" t="str">
        <f>UPPER(TEXT(Tabela_DB[[#This Row],[DATA]],"aaaa"))</f>
        <v>2021</v>
      </c>
    </row>
    <row r="877" spans="1:8" x14ac:dyDescent="0.25">
      <c r="A877" s="2">
        <v>44249</v>
      </c>
      <c r="B877" t="s">
        <v>54</v>
      </c>
      <c r="C877">
        <v>-1845</v>
      </c>
      <c r="D877" t="str">
        <f>VLOOKUP(B877,Tabela_Auxiliar[],2,0)</f>
        <v>4. Despesas Operacionais</v>
      </c>
      <c r="E877" t="str">
        <f>VLOOKUP(B877,Tabela_Auxiliar[],4,0)</f>
        <v>Despesa com Pessoal</v>
      </c>
      <c r="F877" t="str">
        <f>VLOOKUP(B877,Tabela_Auxiliar[],3,0)</f>
        <v>Saída</v>
      </c>
      <c r="G877" t="str">
        <f>UPPER(TEXT(Tabela_DB[[#This Row],[DATA]],"mmm"))</f>
        <v>FEV</v>
      </c>
      <c r="H877" t="str">
        <f>UPPER(TEXT(Tabela_DB[[#This Row],[DATA]],"aaaa"))</f>
        <v>2021</v>
      </c>
    </row>
    <row r="878" spans="1:8" x14ac:dyDescent="0.25">
      <c r="A878" s="2">
        <v>44249</v>
      </c>
      <c r="B878" t="s">
        <v>45</v>
      </c>
      <c r="C878">
        <v>-1626</v>
      </c>
      <c r="D878" t="str">
        <f>VLOOKUP(B878,Tabela_Auxiliar[],2,0)</f>
        <v>4. Despesas Operacionais</v>
      </c>
      <c r="E878" t="str">
        <f>VLOOKUP(B878,Tabela_Auxiliar[],4,0)</f>
        <v>Despesa com Pessoal</v>
      </c>
      <c r="F878" t="str">
        <f>VLOOKUP(B878,Tabela_Auxiliar[],3,0)</f>
        <v>Saída</v>
      </c>
      <c r="G878" t="str">
        <f>UPPER(TEXT(Tabela_DB[[#This Row],[DATA]],"mmm"))</f>
        <v>FEV</v>
      </c>
      <c r="H878" t="str">
        <f>UPPER(TEXT(Tabela_DB[[#This Row],[DATA]],"aaaa"))</f>
        <v>2021</v>
      </c>
    </row>
    <row r="879" spans="1:8" x14ac:dyDescent="0.25">
      <c r="A879" s="2">
        <v>44249</v>
      </c>
      <c r="B879" t="s">
        <v>34</v>
      </c>
      <c r="C879">
        <v>-1190</v>
      </c>
      <c r="D879" t="str">
        <f>VLOOKUP(B879,Tabela_Auxiliar[],2,0)</f>
        <v>2. Deduções da Receita</v>
      </c>
      <c r="E879" t="str">
        <f>VLOOKUP(B879,Tabela_Auxiliar[],4,0)</f>
        <v>Imposto</v>
      </c>
      <c r="F879" t="str">
        <f>VLOOKUP(B879,Tabela_Auxiliar[],3,0)</f>
        <v>Saída</v>
      </c>
      <c r="G879" t="str">
        <f>UPPER(TEXT(Tabela_DB[[#This Row],[DATA]],"mmm"))</f>
        <v>FEV</v>
      </c>
      <c r="H879" t="str">
        <f>UPPER(TEXT(Tabela_DB[[#This Row],[DATA]],"aaaa"))</f>
        <v>2021</v>
      </c>
    </row>
    <row r="880" spans="1:8" x14ac:dyDescent="0.25">
      <c r="A880" s="2">
        <v>44249</v>
      </c>
      <c r="B880" t="s">
        <v>84</v>
      </c>
      <c r="C880">
        <v>-2179</v>
      </c>
      <c r="D880" t="str">
        <f>VLOOKUP(B880,Tabela_Auxiliar[],2,0)</f>
        <v>4. Despesas Operacionais</v>
      </c>
      <c r="E880" t="str">
        <f>VLOOKUP(B880,Tabela_Auxiliar[],4,0)</f>
        <v>Despesa com Veículos</v>
      </c>
      <c r="F880" t="str">
        <f>VLOOKUP(B880,Tabela_Auxiliar[],3,0)</f>
        <v>Saída</v>
      </c>
      <c r="G880" t="str">
        <f>UPPER(TEXT(Tabela_DB[[#This Row],[DATA]],"mmm"))</f>
        <v>FEV</v>
      </c>
      <c r="H880" t="str">
        <f>UPPER(TEXT(Tabela_DB[[#This Row],[DATA]],"aaaa"))</f>
        <v>2021</v>
      </c>
    </row>
    <row r="881" spans="1:8" x14ac:dyDescent="0.25">
      <c r="A881" s="2">
        <v>44249</v>
      </c>
      <c r="B881" t="s">
        <v>3</v>
      </c>
      <c r="C881">
        <v>12041</v>
      </c>
      <c r="D881" t="str">
        <f>VLOOKUP(B881,Tabela_Auxiliar[],2,0)</f>
        <v>1. Receita Operacional Bruta</v>
      </c>
      <c r="E881" t="str">
        <f>VLOOKUP(B881,Tabela_Auxiliar[],4,0)</f>
        <v>Receita Bruta</v>
      </c>
      <c r="F881" t="str">
        <f>VLOOKUP(B881,Tabela_Auxiliar[],3,0)</f>
        <v>Entrada</v>
      </c>
      <c r="G881" t="str">
        <f>UPPER(TEXT(Tabela_DB[[#This Row],[DATA]],"mmm"))</f>
        <v>FEV</v>
      </c>
      <c r="H881" t="str">
        <f>UPPER(TEXT(Tabela_DB[[#This Row],[DATA]],"aaaa"))</f>
        <v>2021</v>
      </c>
    </row>
    <row r="882" spans="1:8" x14ac:dyDescent="0.25">
      <c r="A882" s="2">
        <v>44250</v>
      </c>
      <c r="B882" t="s">
        <v>37</v>
      </c>
      <c r="C882">
        <v>-3682</v>
      </c>
      <c r="D882" t="str">
        <f>VLOOKUP(B882,Tabela_Auxiliar[],2,0)</f>
        <v>3. Custos do Produto/Mercadoria/Serviço</v>
      </c>
      <c r="E882" t="str">
        <f>VLOOKUP(B882,Tabela_Auxiliar[],4,0)</f>
        <v>Despesas c/ Produto</v>
      </c>
      <c r="F882" t="str">
        <f>VLOOKUP(B882,Tabela_Auxiliar[],3,0)</f>
        <v>Saída</v>
      </c>
      <c r="G882" t="str">
        <f>UPPER(TEXT(Tabela_DB[[#This Row],[DATA]],"mmm"))</f>
        <v>FEV</v>
      </c>
      <c r="H882" t="str">
        <f>UPPER(TEXT(Tabela_DB[[#This Row],[DATA]],"aaaa"))</f>
        <v>2021</v>
      </c>
    </row>
    <row r="883" spans="1:8" x14ac:dyDescent="0.25">
      <c r="A883" s="2">
        <v>44250</v>
      </c>
      <c r="B883" t="s">
        <v>3</v>
      </c>
      <c r="C883">
        <v>11278</v>
      </c>
      <c r="D883" t="str">
        <f>VLOOKUP(B883,Tabela_Auxiliar[],2,0)</f>
        <v>1. Receita Operacional Bruta</v>
      </c>
      <c r="E883" t="str">
        <f>VLOOKUP(B883,Tabela_Auxiliar[],4,0)</f>
        <v>Receita Bruta</v>
      </c>
      <c r="F883" t="str">
        <f>VLOOKUP(B883,Tabela_Auxiliar[],3,0)</f>
        <v>Entrada</v>
      </c>
      <c r="G883" t="str">
        <f>UPPER(TEXT(Tabela_DB[[#This Row],[DATA]],"mmm"))</f>
        <v>FEV</v>
      </c>
      <c r="H883" t="str">
        <f>UPPER(TEXT(Tabela_DB[[#This Row],[DATA]],"aaaa"))</f>
        <v>2021</v>
      </c>
    </row>
    <row r="884" spans="1:8" x14ac:dyDescent="0.25">
      <c r="A884" s="2">
        <v>44250</v>
      </c>
      <c r="B884" t="s">
        <v>3</v>
      </c>
      <c r="C884">
        <v>11819</v>
      </c>
      <c r="D884" t="str">
        <f>VLOOKUP(B884,Tabela_Auxiliar[],2,0)</f>
        <v>1. Receita Operacional Bruta</v>
      </c>
      <c r="E884" t="str">
        <f>VLOOKUP(B884,Tabela_Auxiliar[],4,0)</f>
        <v>Receita Bruta</v>
      </c>
      <c r="F884" t="str">
        <f>VLOOKUP(B884,Tabela_Auxiliar[],3,0)</f>
        <v>Entrada</v>
      </c>
      <c r="G884" t="str">
        <f>UPPER(TEXT(Tabela_DB[[#This Row],[DATA]],"mmm"))</f>
        <v>FEV</v>
      </c>
      <c r="H884" t="str">
        <f>UPPER(TEXT(Tabela_DB[[#This Row],[DATA]],"aaaa"))</f>
        <v>2021</v>
      </c>
    </row>
    <row r="885" spans="1:8" x14ac:dyDescent="0.25">
      <c r="A885" s="2">
        <v>44250</v>
      </c>
      <c r="B885" t="s">
        <v>35</v>
      </c>
      <c r="C885">
        <v>-1083</v>
      </c>
      <c r="D885" t="str">
        <f>VLOOKUP(B885,Tabela_Auxiliar[],2,0)</f>
        <v>2. Deduções da Receita</v>
      </c>
      <c r="E885" t="str">
        <f>VLOOKUP(B885,Tabela_Auxiliar[],4,0)</f>
        <v>Imposto</v>
      </c>
      <c r="F885" t="str">
        <f>VLOOKUP(B885,Tabela_Auxiliar[],3,0)</f>
        <v>Saída</v>
      </c>
      <c r="G885" t="str">
        <f>UPPER(TEXT(Tabela_DB[[#This Row],[DATA]],"mmm"))</f>
        <v>FEV</v>
      </c>
      <c r="H885" t="str">
        <f>UPPER(TEXT(Tabela_DB[[#This Row],[DATA]],"aaaa"))</f>
        <v>2021</v>
      </c>
    </row>
    <row r="886" spans="1:8" x14ac:dyDescent="0.25">
      <c r="A886" s="2">
        <v>44250</v>
      </c>
      <c r="B886" t="s">
        <v>56</v>
      </c>
      <c r="C886">
        <v>-1161</v>
      </c>
      <c r="D886" t="str">
        <f>VLOOKUP(B886,Tabela_Auxiliar[],2,0)</f>
        <v>4. Despesas Operacionais</v>
      </c>
      <c r="E886" t="str">
        <f>VLOOKUP(B886,Tabela_Auxiliar[],4,0)</f>
        <v>Despesa com Pessoal</v>
      </c>
      <c r="F886" t="str">
        <f>VLOOKUP(B886,Tabela_Auxiliar[],3,0)</f>
        <v>Saída</v>
      </c>
      <c r="G886" t="str">
        <f>UPPER(TEXT(Tabela_DB[[#This Row],[DATA]],"mmm"))</f>
        <v>FEV</v>
      </c>
      <c r="H886" t="str">
        <f>UPPER(TEXT(Tabela_DB[[#This Row],[DATA]],"aaaa"))</f>
        <v>2021</v>
      </c>
    </row>
    <row r="887" spans="1:8" x14ac:dyDescent="0.25">
      <c r="A887" s="2">
        <v>44250</v>
      </c>
      <c r="B887" t="s">
        <v>111</v>
      </c>
      <c r="C887">
        <v>-1270</v>
      </c>
      <c r="D887" t="str">
        <f>VLOOKUP(B887,Tabela_Auxiliar[],2,0)</f>
        <v>2. Deduções da Receita</v>
      </c>
      <c r="E887" t="str">
        <f>VLOOKUP(B887,Tabela_Auxiliar[],4,0)</f>
        <v>Imposto</v>
      </c>
      <c r="F887" t="str">
        <f>VLOOKUP(B887,Tabela_Auxiliar[],3,0)</f>
        <v>Saída</v>
      </c>
      <c r="G887" t="str">
        <f>UPPER(TEXT(Tabela_DB[[#This Row],[DATA]],"mmm"))</f>
        <v>FEV</v>
      </c>
      <c r="H887" t="str">
        <f>UPPER(TEXT(Tabela_DB[[#This Row],[DATA]],"aaaa"))</f>
        <v>2021</v>
      </c>
    </row>
    <row r="888" spans="1:8" x14ac:dyDescent="0.25">
      <c r="A888" s="2">
        <v>44250</v>
      </c>
      <c r="B888" t="s">
        <v>4</v>
      </c>
      <c r="C888">
        <v>10267</v>
      </c>
      <c r="D888" t="str">
        <f>VLOOKUP(B888,Tabela_Auxiliar[],2,0)</f>
        <v>1. Receita Operacional Bruta</v>
      </c>
      <c r="E888" t="str">
        <f>VLOOKUP(B888,Tabela_Auxiliar[],4,0)</f>
        <v>Receita Bruta</v>
      </c>
      <c r="F888" t="str">
        <f>VLOOKUP(B888,Tabela_Auxiliar[],3,0)</f>
        <v>Entrada</v>
      </c>
      <c r="G888" t="str">
        <f>UPPER(TEXT(Tabela_DB[[#This Row],[DATA]],"mmm"))</f>
        <v>FEV</v>
      </c>
      <c r="H888" t="str">
        <f>UPPER(TEXT(Tabela_DB[[#This Row],[DATA]],"aaaa"))</f>
        <v>2021</v>
      </c>
    </row>
    <row r="889" spans="1:8" x14ac:dyDescent="0.25">
      <c r="A889" s="2">
        <v>44250</v>
      </c>
      <c r="B889" t="s">
        <v>67</v>
      </c>
      <c r="C889">
        <v>-2230</v>
      </c>
      <c r="D889" t="str">
        <f>VLOOKUP(B889,Tabela_Auxiliar[],2,0)</f>
        <v>4. Despesas Operacionais</v>
      </c>
      <c r="E889" t="str">
        <f>VLOOKUP(B889,Tabela_Auxiliar[],4,0)</f>
        <v>Despesa com Vendas</v>
      </c>
      <c r="F889" t="str">
        <f>VLOOKUP(B889,Tabela_Auxiliar[],3,0)</f>
        <v>Saída</v>
      </c>
      <c r="G889" t="str">
        <f>UPPER(TEXT(Tabela_DB[[#This Row],[DATA]],"mmm"))</f>
        <v>FEV</v>
      </c>
      <c r="H889" t="str">
        <f>UPPER(TEXT(Tabela_DB[[#This Row],[DATA]],"aaaa"))</f>
        <v>2021</v>
      </c>
    </row>
    <row r="890" spans="1:8" x14ac:dyDescent="0.25">
      <c r="A890" s="2">
        <v>44250</v>
      </c>
      <c r="B890" t="s">
        <v>34</v>
      </c>
      <c r="C890">
        <v>-2264</v>
      </c>
      <c r="D890" t="str">
        <f>VLOOKUP(B890,Tabela_Auxiliar[],2,0)</f>
        <v>2. Deduções da Receita</v>
      </c>
      <c r="E890" t="str">
        <f>VLOOKUP(B890,Tabela_Auxiliar[],4,0)</f>
        <v>Imposto</v>
      </c>
      <c r="F890" t="str">
        <f>VLOOKUP(B890,Tabela_Auxiliar[],3,0)</f>
        <v>Saída</v>
      </c>
      <c r="G890" t="str">
        <f>UPPER(TEXT(Tabela_DB[[#This Row],[DATA]],"mmm"))</f>
        <v>FEV</v>
      </c>
      <c r="H890" t="str">
        <f>UPPER(TEXT(Tabela_DB[[#This Row],[DATA]],"aaaa"))</f>
        <v>2021</v>
      </c>
    </row>
    <row r="891" spans="1:8" x14ac:dyDescent="0.25">
      <c r="A891" s="2">
        <v>44250</v>
      </c>
      <c r="B891" t="s">
        <v>34</v>
      </c>
      <c r="C891">
        <v>-1724</v>
      </c>
      <c r="D891" t="str">
        <f>VLOOKUP(B891,Tabela_Auxiliar[],2,0)</f>
        <v>2. Deduções da Receita</v>
      </c>
      <c r="E891" t="str">
        <f>VLOOKUP(B891,Tabela_Auxiliar[],4,0)</f>
        <v>Imposto</v>
      </c>
      <c r="F891" t="str">
        <f>VLOOKUP(B891,Tabela_Auxiliar[],3,0)</f>
        <v>Saída</v>
      </c>
      <c r="G891" t="str">
        <f>UPPER(TEXT(Tabela_DB[[#This Row],[DATA]],"mmm"))</f>
        <v>FEV</v>
      </c>
      <c r="H891" t="str">
        <f>UPPER(TEXT(Tabela_DB[[#This Row],[DATA]],"aaaa"))</f>
        <v>2021</v>
      </c>
    </row>
    <row r="892" spans="1:8" x14ac:dyDescent="0.25">
      <c r="A892" s="2">
        <v>44250</v>
      </c>
      <c r="B892" t="s">
        <v>45</v>
      </c>
      <c r="C892">
        <v>-1261</v>
      </c>
      <c r="D892" t="str">
        <f>VLOOKUP(B892,Tabela_Auxiliar[],2,0)</f>
        <v>4. Despesas Operacionais</v>
      </c>
      <c r="E892" t="str">
        <f>VLOOKUP(B892,Tabela_Auxiliar[],4,0)</f>
        <v>Despesa com Pessoal</v>
      </c>
      <c r="F892" t="str">
        <f>VLOOKUP(B892,Tabela_Auxiliar[],3,0)</f>
        <v>Saída</v>
      </c>
      <c r="G892" t="str">
        <f>UPPER(TEXT(Tabela_DB[[#This Row],[DATA]],"mmm"))</f>
        <v>FEV</v>
      </c>
      <c r="H892" t="str">
        <f>UPPER(TEXT(Tabela_DB[[#This Row],[DATA]],"aaaa"))</f>
        <v>2021</v>
      </c>
    </row>
    <row r="893" spans="1:8" x14ac:dyDescent="0.25">
      <c r="A893" s="2">
        <v>44250</v>
      </c>
      <c r="B893" t="s">
        <v>35</v>
      </c>
      <c r="C893">
        <v>-1106</v>
      </c>
      <c r="D893" t="str">
        <f>VLOOKUP(B893,Tabela_Auxiliar[],2,0)</f>
        <v>2. Deduções da Receita</v>
      </c>
      <c r="E893" t="str">
        <f>VLOOKUP(B893,Tabela_Auxiliar[],4,0)</f>
        <v>Imposto</v>
      </c>
      <c r="F893" t="str">
        <f>VLOOKUP(B893,Tabela_Auxiliar[],3,0)</f>
        <v>Saída</v>
      </c>
      <c r="G893" t="str">
        <f>UPPER(TEXT(Tabela_DB[[#This Row],[DATA]],"mmm"))</f>
        <v>FEV</v>
      </c>
      <c r="H893" t="str">
        <f>UPPER(TEXT(Tabela_DB[[#This Row],[DATA]],"aaaa"))</f>
        <v>2021</v>
      </c>
    </row>
    <row r="894" spans="1:8" x14ac:dyDescent="0.25">
      <c r="A894" s="2">
        <v>44250</v>
      </c>
      <c r="B894" t="s">
        <v>4</v>
      </c>
      <c r="C894">
        <v>11739</v>
      </c>
      <c r="D894" t="str">
        <f>VLOOKUP(B894,Tabela_Auxiliar[],2,0)</f>
        <v>1. Receita Operacional Bruta</v>
      </c>
      <c r="E894" t="str">
        <f>VLOOKUP(B894,Tabela_Auxiliar[],4,0)</f>
        <v>Receita Bruta</v>
      </c>
      <c r="F894" t="str">
        <f>VLOOKUP(B894,Tabela_Auxiliar[],3,0)</f>
        <v>Entrada</v>
      </c>
      <c r="G894" t="str">
        <f>UPPER(TEXT(Tabela_DB[[#This Row],[DATA]],"mmm"))</f>
        <v>FEV</v>
      </c>
      <c r="H894" t="str">
        <f>UPPER(TEXT(Tabela_DB[[#This Row],[DATA]],"aaaa"))</f>
        <v>2021</v>
      </c>
    </row>
    <row r="895" spans="1:8" x14ac:dyDescent="0.25">
      <c r="A895" s="2">
        <v>44250</v>
      </c>
      <c r="B895" t="s">
        <v>111</v>
      </c>
      <c r="C895">
        <v>-1632</v>
      </c>
      <c r="D895" t="str">
        <f>VLOOKUP(B895,Tabela_Auxiliar[],2,0)</f>
        <v>2. Deduções da Receita</v>
      </c>
      <c r="E895" t="str">
        <f>VLOOKUP(B895,Tabela_Auxiliar[],4,0)</f>
        <v>Imposto</v>
      </c>
      <c r="F895" t="str">
        <f>VLOOKUP(B895,Tabela_Auxiliar[],3,0)</f>
        <v>Saída</v>
      </c>
      <c r="G895" t="str">
        <f>UPPER(TEXT(Tabela_DB[[#This Row],[DATA]],"mmm"))</f>
        <v>FEV</v>
      </c>
      <c r="H895" t="str">
        <f>UPPER(TEXT(Tabela_DB[[#This Row],[DATA]],"aaaa"))</f>
        <v>2021</v>
      </c>
    </row>
    <row r="896" spans="1:8" x14ac:dyDescent="0.25">
      <c r="A896" s="2">
        <v>44250</v>
      </c>
      <c r="B896" t="s">
        <v>84</v>
      </c>
      <c r="C896">
        <v>-2000</v>
      </c>
      <c r="D896" t="str">
        <f>VLOOKUP(B896,Tabela_Auxiliar[],2,0)</f>
        <v>4. Despesas Operacionais</v>
      </c>
      <c r="E896" t="str">
        <f>VLOOKUP(B896,Tabela_Auxiliar[],4,0)</f>
        <v>Despesa com Veículos</v>
      </c>
      <c r="F896" t="str">
        <f>VLOOKUP(B896,Tabela_Auxiliar[],3,0)</f>
        <v>Saída</v>
      </c>
      <c r="G896" t="str">
        <f>UPPER(TEXT(Tabela_DB[[#This Row],[DATA]],"mmm"))</f>
        <v>FEV</v>
      </c>
      <c r="H896" t="str">
        <f>UPPER(TEXT(Tabela_DB[[#This Row],[DATA]],"aaaa"))</f>
        <v>2021</v>
      </c>
    </row>
    <row r="897" spans="1:8" x14ac:dyDescent="0.25">
      <c r="A897" s="2">
        <v>44250</v>
      </c>
      <c r="B897" t="s">
        <v>3</v>
      </c>
      <c r="C897">
        <v>13765</v>
      </c>
      <c r="D897" t="str">
        <f>VLOOKUP(B897,Tabela_Auxiliar[],2,0)</f>
        <v>1. Receita Operacional Bruta</v>
      </c>
      <c r="E897" t="str">
        <f>VLOOKUP(B897,Tabela_Auxiliar[],4,0)</f>
        <v>Receita Bruta</v>
      </c>
      <c r="F897" t="str">
        <f>VLOOKUP(B897,Tabela_Auxiliar[],3,0)</f>
        <v>Entrada</v>
      </c>
      <c r="G897" t="str">
        <f>UPPER(TEXT(Tabela_DB[[#This Row],[DATA]],"mmm"))</f>
        <v>FEV</v>
      </c>
      <c r="H897" t="str">
        <f>UPPER(TEXT(Tabela_DB[[#This Row],[DATA]],"aaaa"))</f>
        <v>2021</v>
      </c>
    </row>
    <row r="898" spans="1:8" x14ac:dyDescent="0.25">
      <c r="A898" s="2">
        <v>44250</v>
      </c>
      <c r="B898" t="s">
        <v>111</v>
      </c>
      <c r="C898">
        <v>-1434</v>
      </c>
      <c r="D898" t="str">
        <f>VLOOKUP(B898,Tabela_Auxiliar[],2,0)</f>
        <v>2. Deduções da Receita</v>
      </c>
      <c r="E898" t="str">
        <f>VLOOKUP(B898,Tabela_Auxiliar[],4,0)</f>
        <v>Imposto</v>
      </c>
      <c r="F898" t="str">
        <f>VLOOKUP(B898,Tabela_Auxiliar[],3,0)</f>
        <v>Saída</v>
      </c>
      <c r="G898" t="str">
        <f>UPPER(TEXT(Tabela_DB[[#This Row],[DATA]],"mmm"))</f>
        <v>FEV</v>
      </c>
      <c r="H898" t="str">
        <f>UPPER(TEXT(Tabela_DB[[#This Row],[DATA]],"aaaa"))</f>
        <v>2021</v>
      </c>
    </row>
    <row r="899" spans="1:8" x14ac:dyDescent="0.25">
      <c r="A899" s="2">
        <v>44250</v>
      </c>
      <c r="B899" t="s">
        <v>37</v>
      </c>
      <c r="C899">
        <v>-2906</v>
      </c>
      <c r="D899" t="str">
        <f>VLOOKUP(B899,Tabela_Auxiliar[],2,0)</f>
        <v>3. Custos do Produto/Mercadoria/Serviço</v>
      </c>
      <c r="E899" t="str">
        <f>VLOOKUP(B899,Tabela_Auxiliar[],4,0)</f>
        <v>Despesas c/ Produto</v>
      </c>
      <c r="F899" t="str">
        <f>VLOOKUP(B899,Tabela_Auxiliar[],3,0)</f>
        <v>Saída</v>
      </c>
      <c r="G899" t="str">
        <f>UPPER(TEXT(Tabela_DB[[#This Row],[DATA]],"mmm"))</f>
        <v>FEV</v>
      </c>
      <c r="H899" t="str">
        <f>UPPER(TEXT(Tabela_DB[[#This Row],[DATA]],"aaaa"))</f>
        <v>2021</v>
      </c>
    </row>
    <row r="900" spans="1:8" x14ac:dyDescent="0.25">
      <c r="A900" s="2">
        <v>44250</v>
      </c>
      <c r="B900" t="s">
        <v>44</v>
      </c>
      <c r="C900">
        <v>-1369</v>
      </c>
      <c r="D900" t="str">
        <f>VLOOKUP(B900,Tabela_Auxiliar[],2,0)</f>
        <v>4. Despesas Operacionais</v>
      </c>
      <c r="E900" t="str">
        <f>VLOOKUP(B900,Tabela_Auxiliar[],4,0)</f>
        <v>Despesa com Pessoal</v>
      </c>
      <c r="F900" t="str">
        <f>VLOOKUP(B900,Tabela_Auxiliar[],3,0)</f>
        <v>Saída</v>
      </c>
      <c r="G900" t="str">
        <f>UPPER(TEXT(Tabela_DB[[#This Row],[DATA]],"mmm"))</f>
        <v>FEV</v>
      </c>
      <c r="H900" t="str">
        <f>UPPER(TEXT(Tabela_DB[[#This Row],[DATA]],"aaaa"))</f>
        <v>2021</v>
      </c>
    </row>
    <row r="901" spans="1:8" x14ac:dyDescent="0.25">
      <c r="A901" s="2">
        <v>44250</v>
      </c>
      <c r="B901" t="s">
        <v>37</v>
      </c>
      <c r="C901">
        <v>-2610</v>
      </c>
      <c r="D901" t="str">
        <f>VLOOKUP(B901,Tabela_Auxiliar[],2,0)</f>
        <v>3. Custos do Produto/Mercadoria/Serviço</v>
      </c>
      <c r="E901" t="str">
        <f>VLOOKUP(B901,Tabela_Auxiliar[],4,0)</f>
        <v>Despesas c/ Produto</v>
      </c>
      <c r="F901" t="str">
        <f>VLOOKUP(B901,Tabela_Auxiliar[],3,0)</f>
        <v>Saída</v>
      </c>
      <c r="G901" t="str">
        <f>UPPER(TEXT(Tabela_DB[[#This Row],[DATA]],"mmm"))</f>
        <v>FEV</v>
      </c>
      <c r="H901" t="str">
        <f>UPPER(TEXT(Tabela_DB[[#This Row],[DATA]],"aaaa"))</f>
        <v>2021</v>
      </c>
    </row>
    <row r="902" spans="1:8" x14ac:dyDescent="0.25">
      <c r="A902" s="2">
        <v>44250</v>
      </c>
      <c r="B902" t="s">
        <v>35</v>
      </c>
      <c r="C902">
        <v>-2393</v>
      </c>
      <c r="D902" t="str">
        <f>VLOOKUP(B902,Tabela_Auxiliar[],2,0)</f>
        <v>2. Deduções da Receita</v>
      </c>
      <c r="E902" t="str">
        <f>VLOOKUP(B902,Tabela_Auxiliar[],4,0)</f>
        <v>Imposto</v>
      </c>
      <c r="F902" t="str">
        <f>VLOOKUP(B902,Tabela_Auxiliar[],3,0)</f>
        <v>Saída</v>
      </c>
      <c r="G902" t="str">
        <f>UPPER(TEXT(Tabela_DB[[#This Row],[DATA]],"mmm"))</f>
        <v>FEV</v>
      </c>
      <c r="H902" t="str">
        <f>UPPER(TEXT(Tabela_DB[[#This Row],[DATA]],"aaaa"))</f>
        <v>2021</v>
      </c>
    </row>
    <row r="903" spans="1:8" x14ac:dyDescent="0.25">
      <c r="A903" s="2">
        <v>44250</v>
      </c>
      <c r="B903" t="s">
        <v>4</v>
      </c>
      <c r="C903">
        <v>13354</v>
      </c>
      <c r="D903" t="str">
        <f>VLOOKUP(B903,Tabela_Auxiliar[],2,0)</f>
        <v>1. Receita Operacional Bruta</v>
      </c>
      <c r="E903" t="str">
        <f>VLOOKUP(B903,Tabela_Auxiliar[],4,0)</f>
        <v>Receita Bruta</v>
      </c>
      <c r="F903" t="str">
        <f>VLOOKUP(B903,Tabela_Auxiliar[],3,0)</f>
        <v>Entrada</v>
      </c>
      <c r="G903" t="str">
        <f>UPPER(TEXT(Tabela_DB[[#This Row],[DATA]],"mmm"))</f>
        <v>FEV</v>
      </c>
      <c r="H903" t="str">
        <f>UPPER(TEXT(Tabela_DB[[#This Row],[DATA]],"aaaa"))</f>
        <v>2021</v>
      </c>
    </row>
    <row r="904" spans="1:8" x14ac:dyDescent="0.25">
      <c r="A904" s="2">
        <v>44250</v>
      </c>
      <c r="B904" t="s">
        <v>38</v>
      </c>
      <c r="C904">
        <v>-2041</v>
      </c>
      <c r="D904" t="str">
        <f>VLOOKUP(B904,Tabela_Auxiliar[],2,0)</f>
        <v>2. Deduções da Receita</v>
      </c>
      <c r="E904" t="str">
        <f>VLOOKUP(B904,Tabela_Auxiliar[],4,0)</f>
        <v>Deduções</v>
      </c>
      <c r="F904" t="str">
        <f>VLOOKUP(B904,Tabela_Auxiliar[],3,0)</f>
        <v>Saída</v>
      </c>
      <c r="G904" t="str">
        <f>UPPER(TEXT(Tabela_DB[[#This Row],[DATA]],"mmm"))</f>
        <v>FEV</v>
      </c>
      <c r="H904" t="str">
        <f>UPPER(TEXT(Tabela_DB[[#This Row],[DATA]],"aaaa"))</f>
        <v>2021</v>
      </c>
    </row>
    <row r="905" spans="1:8" x14ac:dyDescent="0.25">
      <c r="A905" s="2">
        <v>44250</v>
      </c>
      <c r="B905" t="s">
        <v>52</v>
      </c>
      <c r="C905">
        <v>-1529</v>
      </c>
      <c r="D905" t="str">
        <f>VLOOKUP(B905,Tabela_Auxiliar[],2,0)</f>
        <v>4. Despesas Operacionais</v>
      </c>
      <c r="E905" t="str">
        <f>VLOOKUP(B905,Tabela_Auxiliar[],4,0)</f>
        <v>Despesa com Pessoal</v>
      </c>
      <c r="F905" t="str">
        <f>VLOOKUP(B905,Tabela_Auxiliar[],3,0)</f>
        <v>Saída</v>
      </c>
      <c r="G905" t="str">
        <f>UPPER(TEXT(Tabela_DB[[#This Row],[DATA]],"mmm"))</f>
        <v>FEV</v>
      </c>
      <c r="H905" t="str">
        <f>UPPER(TEXT(Tabela_DB[[#This Row],[DATA]],"aaaa"))</f>
        <v>2021</v>
      </c>
    </row>
    <row r="906" spans="1:8" x14ac:dyDescent="0.25">
      <c r="A906" s="2">
        <v>44251</v>
      </c>
      <c r="B906" t="s">
        <v>34</v>
      </c>
      <c r="C906">
        <v>-1914</v>
      </c>
      <c r="D906" t="str">
        <f>VLOOKUP(B906,Tabela_Auxiliar[],2,0)</f>
        <v>2. Deduções da Receita</v>
      </c>
      <c r="E906" t="str">
        <f>VLOOKUP(B906,Tabela_Auxiliar[],4,0)</f>
        <v>Imposto</v>
      </c>
      <c r="F906" t="str">
        <f>VLOOKUP(B906,Tabela_Auxiliar[],3,0)</f>
        <v>Saída</v>
      </c>
      <c r="G906" t="str">
        <f>UPPER(TEXT(Tabela_DB[[#This Row],[DATA]],"mmm"))</f>
        <v>FEV</v>
      </c>
      <c r="H906" t="str">
        <f>UPPER(TEXT(Tabela_DB[[#This Row],[DATA]],"aaaa"))</f>
        <v>2021</v>
      </c>
    </row>
    <row r="907" spans="1:8" x14ac:dyDescent="0.25">
      <c r="A907" s="2">
        <v>44251</v>
      </c>
      <c r="B907" t="s">
        <v>111</v>
      </c>
      <c r="C907">
        <v>-2450</v>
      </c>
      <c r="D907" t="str">
        <f>VLOOKUP(B907,Tabela_Auxiliar[],2,0)</f>
        <v>2. Deduções da Receita</v>
      </c>
      <c r="E907" t="str">
        <f>VLOOKUP(B907,Tabela_Auxiliar[],4,0)</f>
        <v>Imposto</v>
      </c>
      <c r="F907" t="str">
        <f>VLOOKUP(B907,Tabela_Auxiliar[],3,0)</f>
        <v>Saída</v>
      </c>
      <c r="G907" t="str">
        <f>UPPER(TEXT(Tabela_DB[[#This Row],[DATA]],"mmm"))</f>
        <v>FEV</v>
      </c>
      <c r="H907" t="str">
        <f>UPPER(TEXT(Tabela_DB[[#This Row],[DATA]],"aaaa"))</f>
        <v>2021</v>
      </c>
    </row>
    <row r="908" spans="1:8" x14ac:dyDescent="0.25">
      <c r="A908" s="2">
        <v>44251</v>
      </c>
      <c r="B908" t="s">
        <v>34</v>
      </c>
      <c r="C908">
        <v>-2439</v>
      </c>
      <c r="D908" t="str">
        <f>VLOOKUP(B908,Tabela_Auxiliar[],2,0)</f>
        <v>2. Deduções da Receita</v>
      </c>
      <c r="E908" t="str">
        <f>VLOOKUP(B908,Tabela_Auxiliar[],4,0)</f>
        <v>Imposto</v>
      </c>
      <c r="F908" t="str">
        <f>VLOOKUP(B908,Tabela_Auxiliar[],3,0)</f>
        <v>Saída</v>
      </c>
      <c r="G908" t="str">
        <f>UPPER(TEXT(Tabela_DB[[#This Row],[DATA]],"mmm"))</f>
        <v>FEV</v>
      </c>
      <c r="H908" t="str">
        <f>UPPER(TEXT(Tabela_DB[[#This Row],[DATA]],"aaaa"))</f>
        <v>2021</v>
      </c>
    </row>
    <row r="909" spans="1:8" x14ac:dyDescent="0.25">
      <c r="A909" s="2">
        <v>44251</v>
      </c>
      <c r="B909" t="s">
        <v>38</v>
      </c>
      <c r="C909">
        <v>-1811</v>
      </c>
      <c r="D909" t="str">
        <f>VLOOKUP(B909,Tabela_Auxiliar[],2,0)</f>
        <v>2. Deduções da Receita</v>
      </c>
      <c r="E909" t="str">
        <f>VLOOKUP(B909,Tabela_Auxiliar[],4,0)</f>
        <v>Deduções</v>
      </c>
      <c r="F909" t="str">
        <f>VLOOKUP(B909,Tabela_Auxiliar[],3,0)</f>
        <v>Saída</v>
      </c>
      <c r="G909" t="str">
        <f>UPPER(TEXT(Tabela_DB[[#This Row],[DATA]],"mmm"))</f>
        <v>FEV</v>
      </c>
      <c r="H909" t="str">
        <f>UPPER(TEXT(Tabela_DB[[#This Row],[DATA]],"aaaa"))</f>
        <v>2021</v>
      </c>
    </row>
    <row r="910" spans="1:8" x14ac:dyDescent="0.25">
      <c r="A910" s="2">
        <v>44251</v>
      </c>
      <c r="B910" t="s">
        <v>44</v>
      </c>
      <c r="C910">
        <v>-1129</v>
      </c>
      <c r="D910" t="str">
        <f>VLOOKUP(B910,Tabela_Auxiliar[],2,0)</f>
        <v>4. Despesas Operacionais</v>
      </c>
      <c r="E910" t="str">
        <f>VLOOKUP(B910,Tabela_Auxiliar[],4,0)</f>
        <v>Despesa com Pessoal</v>
      </c>
      <c r="F910" t="str">
        <f>VLOOKUP(B910,Tabela_Auxiliar[],3,0)</f>
        <v>Saída</v>
      </c>
      <c r="G910" t="str">
        <f>UPPER(TEXT(Tabela_DB[[#This Row],[DATA]],"mmm"))</f>
        <v>FEV</v>
      </c>
      <c r="H910" t="str">
        <f>UPPER(TEXT(Tabela_DB[[#This Row],[DATA]],"aaaa"))</f>
        <v>2021</v>
      </c>
    </row>
    <row r="911" spans="1:8" x14ac:dyDescent="0.25">
      <c r="A911" s="2">
        <v>44251</v>
      </c>
      <c r="B911" t="s">
        <v>51</v>
      </c>
      <c r="C911">
        <v>-1793</v>
      </c>
      <c r="D911" t="str">
        <f>VLOOKUP(B911,Tabela_Auxiliar[],2,0)</f>
        <v>4. Despesas Operacionais</v>
      </c>
      <c r="E911" t="str">
        <f>VLOOKUP(B911,Tabela_Auxiliar[],4,0)</f>
        <v>Despesa com Pessoal</v>
      </c>
      <c r="F911" t="str">
        <f>VLOOKUP(B911,Tabela_Auxiliar[],3,0)</f>
        <v>Saída</v>
      </c>
      <c r="G911" t="str">
        <f>UPPER(TEXT(Tabela_DB[[#This Row],[DATA]],"mmm"))</f>
        <v>FEV</v>
      </c>
      <c r="H911" t="str">
        <f>UPPER(TEXT(Tabela_DB[[#This Row],[DATA]],"aaaa"))</f>
        <v>2021</v>
      </c>
    </row>
    <row r="912" spans="1:8" x14ac:dyDescent="0.25">
      <c r="A912" s="2">
        <v>44251</v>
      </c>
      <c r="B912" t="s">
        <v>55</v>
      </c>
      <c r="C912">
        <v>-1656</v>
      </c>
      <c r="D912" t="str">
        <f>VLOOKUP(B912,Tabela_Auxiliar[],2,0)</f>
        <v>4. Despesas Operacionais</v>
      </c>
      <c r="E912" t="str">
        <f>VLOOKUP(B912,Tabela_Auxiliar[],4,0)</f>
        <v>Despesa com Pessoal</v>
      </c>
      <c r="F912" t="str">
        <f>VLOOKUP(B912,Tabela_Auxiliar[],3,0)</f>
        <v>Saída</v>
      </c>
      <c r="G912" t="str">
        <f>UPPER(TEXT(Tabela_DB[[#This Row],[DATA]],"mmm"))</f>
        <v>FEV</v>
      </c>
      <c r="H912" t="str">
        <f>UPPER(TEXT(Tabela_DB[[#This Row],[DATA]],"aaaa"))</f>
        <v>2021</v>
      </c>
    </row>
    <row r="913" spans="1:8" x14ac:dyDescent="0.25">
      <c r="A913" s="2">
        <v>44251</v>
      </c>
      <c r="B913" t="s">
        <v>82</v>
      </c>
      <c r="C913">
        <v>-2334</v>
      </c>
      <c r="D913" t="str">
        <f>VLOOKUP(B913,Tabela_Auxiliar[],2,0)</f>
        <v>4. Despesas Operacionais</v>
      </c>
      <c r="E913" t="str">
        <f>VLOOKUP(B913,Tabela_Auxiliar[],4,0)</f>
        <v>Despesa com Veículos</v>
      </c>
      <c r="F913" t="str">
        <f>VLOOKUP(B913,Tabela_Auxiliar[],3,0)</f>
        <v>Saída</v>
      </c>
      <c r="G913" t="str">
        <f>UPPER(TEXT(Tabela_DB[[#This Row],[DATA]],"mmm"))</f>
        <v>FEV</v>
      </c>
      <c r="H913" t="str">
        <f>UPPER(TEXT(Tabela_DB[[#This Row],[DATA]],"aaaa"))</f>
        <v>2021</v>
      </c>
    </row>
    <row r="914" spans="1:8" x14ac:dyDescent="0.25">
      <c r="A914" s="2">
        <v>44252</v>
      </c>
      <c r="B914" t="s">
        <v>37</v>
      </c>
      <c r="C914">
        <v>-2576</v>
      </c>
      <c r="D914" t="str">
        <f>VLOOKUP(B914,Tabela_Auxiliar[],2,0)</f>
        <v>3. Custos do Produto/Mercadoria/Serviço</v>
      </c>
      <c r="E914" t="str">
        <f>VLOOKUP(B914,Tabela_Auxiliar[],4,0)</f>
        <v>Despesas c/ Produto</v>
      </c>
      <c r="F914" t="str">
        <f>VLOOKUP(B914,Tabela_Auxiliar[],3,0)</f>
        <v>Saída</v>
      </c>
      <c r="G914" t="str">
        <f>UPPER(TEXT(Tabela_DB[[#This Row],[DATA]],"mmm"))</f>
        <v>FEV</v>
      </c>
      <c r="H914" t="str">
        <f>UPPER(TEXT(Tabela_DB[[#This Row],[DATA]],"aaaa"))</f>
        <v>2021</v>
      </c>
    </row>
    <row r="915" spans="1:8" x14ac:dyDescent="0.25">
      <c r="A915" s="2">
        <v>44252</v>
      </c>
      <c r="B915" t="s">
        <v>38</v>
      </c>
      <c r="C915">
        <v>-2025</v>
      </c>
      <c r="D915" t="str">
        <f>VLOOKUP(B915,Tabela_Auxiliar[],2,0)</f>
        <v>2. Deduções da Receita</v>
      </c>
      <c r="E915" t="str">
        <f>VLOOKUP(B915,Tabela_Auxiliar[],4,0)</f>
        <v>Deduções</v>
      </c>
      <c r="F915" t="str">
        <f>VLOOKUP(B915,Tabela_Auxiliar[],3,0)</f>
        <v>Saída</v>
      </c>
      <c r="G915" t="str">
        <f>UPPER(TEXT(Tabela_DB[[#This Row],[DATA]],"mmm"))</f>
        <v>FEV</v>
      </c>
      <c r="H915" t="str">
        <f>UPPER(TEXT(Tabela_DB[[#This Row],[DATA]],"aaaa"))</f>
        <v>2021</v>
      </c>
    </row>
    <row r="916" spans="1:8" x14ac:dyDescent="0.25">
      <c r="A916" s="2">
        <v>44252</v>
      </c>
      <c r="B916" t="s">
        <v>4</v>
      </c>
      <c r="C916">
        <v>10934</v>
      </c>
      <c r="D916" t="str">
        <f>VLOOKUP(B916,Tabela_Auxiliar[],2,0)</f>
        <v>1. Receita Operacional Bruta</v>
      </c>
      <c r="E916" t="str">
        <f>VLOOKUP(B916,Tabela_Auxiliar[],4,0)</f>
        <v>Receita Bruta</v>
      </c>
      <c r="F916" t="str">
        <f>VLOOKUP(B916,Tabela_Auxiliar[],3,0)</f>
        <v>Entrada</v>
      </c>
      <c r="G916" t="str">
        <f>UPPER(TEXT(Tabela_DB[[#This Row],[DATA]],"mmm"))</f>
        <v>FEV</v>
      </c>
      <c r="H916" t="str">
        <f>UPPER(TEXT(Tabela_DB[[#This Row],[DATA]],"aaaa"))</f>
        <v>2021</v>
      </c>
    </row>
    <row r="917" spans="1:8" x14ac:dyDescent="0.25">
      <c r="A917" s="2">
        <v>44252</v>
      </c>
      <c r="B917" t="s">
        <v>35</v>
      </c>
      <c r="C917">
        <v>-2369</v>
      </c>
      <c r="D917" t="str">
        <f>VLOOKUP(B917,Tabela_Auxiliar[],2,0)</f>
        <v>2. Deduções da Receita</v>
      </c>
      <c r="E917" t="str">
        <f>VLOOKUP(B917,Tabela_Auxiliar[],4,0)</f>
        <v>Imposto</v>
      </c>
      <c r="F917" t="str">
        <f>VLOOKUP(B917,Tabela_Auxiliar[],3,0)</f>
        <v>Saída</v>
      </c>
      <c r="G917" t="str">
        <f>UPPER(TEXT(Tabela_DB[[#This Row],[DATA]],"mmm"))</f>
        <v>FEV</v>
      </c>
      <c r="H917" t="str">
        <f>UPPER(TEXT(Tabela_DB[[#This Row],[DATA]],"aaaa"))</f>
        <v>2021</v>
      </c>
    </row>
    <row r="918" spans="1:8" x14ac:dyDescent="0.25">
      <c r="A918" s="2">
        <v>44252</v>
      </c>
      <c r="B918" t="s">
        <v>4</v>
      </c>
      <c r="C918">
        <v>14976</v>
      </c>
      <c r="D918" t="str">
        <f>VLOOKUP(B918,Tabela_Auxiliar[],2,0)</f>
        <v>1. Receita Operacional Bruta</v>
      </c>
      <c r="E918" t="str">
        <f>VLOOKUP(B918,Tabela_Auxiliar[],4,0)</f>
        <v>Receita Bruta</v>
      </c>
      <c r="F918" t="str">
        <f>VLOOKUP(B918,Tabela_Auxiliar[],3,0)</f>
        <v>Entrada</v>
      </c>
      <c r="G918" t="str">
        <f>UPPER(TEXT(Tabela_DB[[#This Row],[DATA]],"mmm"))</f>
        <v>FEV</v>
      </c>
      <c r="H918" t="str">
        <f>UPPER(TEXT(Tabela_DB[[#This Row],[DATA]],"aaaa"))</f>
        <v>2021</v>
      </c>
    </row>
    <row r="919" spans="1:8" x14ac:dyDescent="0.25">
      <c r="A919" s="2">
        <v>44252</v>
      </c>
      <c r="B919" t="s">
        <v>35</v>
      </c>
      <c r="C919">
        <v>-1399</v>
      </c>
      <c r="D919" t="str">
        <f>VLOOKUP(B919,Tabela_Auxiliar[],2,0)</f>
        <v>2. Deduções da Receita</v>
      </c>
      <c r="E919" t="str">
        <f>VLOOKUP(B919,Tabela_Auxiliar[],4,0)</f>
        <v>Imposto</v>
      </c>
      <c r="F919" t="str">
        <f>VLOOKUP(B919,Tabela_Auxiliar[],3,0)</f>
        <v>Saída</v>
      </c>
      <c r="G919" t="str">
        <f>UPPER(TEXT(Tabela_DB[[#This Row],[DATA]],"mmm"))</f>
        <v>FEV</v>
      </c>
      <c r="H919" t="str">
        <f>UPPER(TEXT(Tabela_DB[[#This Row],[DATA]],"aaaa"))</f>
        <v>2021</v>
      </c>
    </row>
    <row r="920" spans="1:8" x14ac:dyDescent="0.25">
      <c r="A920" s="2">
        <v>44252</v>
      </c>
      <c r="B920" t="s">
        <v>81</v>
      </c>
      <c r="C920">
        <v>-1084</v>
      </c>
      <c r="D920" t="str">
        <f>VLOOKUP(B920,Tabela_Auxiliar[],2,0)</f>
        <v>4. Despesas Operacionais</v>
      </c>
      <c r="E920" t="str">
        <f>VLOOKUP(B920,Tabela_Auxiliar[],4,0)</f>
        <v>Serviços Contratados</v>
      </c>
      <c r="F920" t="str">
        <f>VLOOKUP(B920,Tabela_Auxiliar[],3,0)</f>
        <v>Saída</v>
      </c>
      <c r="G920" t="str">
        <f>UPPER(TEXT(Tabela_DB[[#This Row],[DATA]],"mmm"))</f>
        <v>FEV</v>
      </c>
      <c r="H920" t="str">
        <f>UPPER(TEXT(Tabela_DB[[#This Row],[DATA]],"aaaa"))</f>
        <v>2021</v>
      </c>
    </row>
    <row r="921" spans="1:8" x14ac:dyDescent="0.25">
      <c r="A921" s="2">
        <v>44252</v>
      </c>
      <c r="B921" t="s">
        <v>34</v>
      </c>
      <c r="C921">
        <v>-1350</v>
      </c>
      <c r="D921" t="str">
        <f>VLOOKUP(B921,Tabela_Auxiliar[],2,0)</f>
        <v>2. Deduções da Receita</v>
      </c>
      <c r="E921" t="str">
        <f>VLOOKUP(B921,Tabela_Auxiliar[],4,0)</f>
        <v>Imposto</v>
      </c>
      <c r="F921" t="str">
        <f>VLOOKUP(B921,Tabela_Auxiliar[],3,0)</f>
        <v>Saída</v>
      </c>
      <c r="G921" t="str">
        <f>UPPER(TEXT(Tabela_DB[[#This Row],[DATA]],"mmm"))</f>
        <v>FEV</v>
      </c>
      <c r="H921" t="str">
        <f>UPPER(TEXT(Tabela_DB[[#This Row],[DATA]],"aaaa"))</f>
        <v>2021</v>
      </c>
    </row>
    <row r="922" spans="1:8" x14ac:dyDescent="0.25">
      <c r="A922" s="2">
        <v>44252</v>
      </c>
      <c r="B922" t="s">
        <v>35</v>
      </c>
      <c r="C922">
        <v>-2169</v>
      </c>
      <c r="D922" t="str">
        <f>VLOOKUP(B922,Tabela_Auxiliar[],2,0)</f>
        <v>2. Deduções da Receita</v>
      </c>
      <c r="E922" t="str">
        <f>VLOOKUP(B922,Tabela_Auxiliar[],4,0)</f>
        <v>Imposto</v>
      </c>
      <c r="F922" t="str">
        <f>VLOOKUP(B922,Tabela_Auxiliar[],3,0)</f>
        <v>Saída</v>
      </c>
      <c r="G922" t="str">
        <f>UPPER(TEXT(Tabela_DB[[#This Row],[DATA]],"mmm"))</f>
        <v>FEV</v>
      </c>
      <c r="H922" t="str">
        <f>UPPER(TEXT(Tabela_DB[[#This Row],[DATA]],"aaaa"))</f>
        <v>2021</v>
      </c>
    </row>
    <row r="923" spans="1:8" x14ac:dyDescent="0.25">
      <c r="A923" s="2">
        <v>44252</v>
      </c>
      <c r="B923" t="s">
        <v>111</v>
      </c>
      <c r="C923">
        <v>-2088</v>
      </c>
      <c r="D923" t="str">
        <f>VLOOKUP(B923,Tabela_Auxiliar[],2,0)</f>
        <v>2. Deduções da Receita</v>
      </c>
      <c r="E923" t="str">
        <f>VLOOKUP(B923,Tabela_Auxiliar[],4,0)</f>
        <v>Imposto</v>
      </c>
      <c r="F923" t="str">
        <f>VLOOKUP(B923,Tabela_Auxiliar[],3,0)</f>
        <v>Saída</v>
      </c>
      <c r="G923" t="str">
        <f>UPPER(TEXT(Tabela_DB[[#This Row],[DATA]],"mmm"))</f>
        <v>FEV</v>
      </c>
      <c r="H923" t="str">
        <f>UPPER(TEXT(Tabela_DB[[#This Row],[DATA]],"aaaa"))</f>
        <v>2021</v>
      </c>
    </row>
    <row r="924" spans="1:8" x14ac:dyDescent="0.25">
      <c r="A924" s="2">
        <v>44252</v>
      </c>
      <c r="B924" t="s">
        <v>61</v>
      </c>
      <c r="C924">
        <v>-1325</v>
      </c>
      <c r="D924" t="str">
        <f>VLOOKUP(B924,Tabela_Auxiliar[],2,0)</f>
        <v>4. Despesas Operacionais</v>
      </c>
      <c r="E924" t="str">
        <f>VLOOKUP(B924,Tabela_Auxiliar[],4,0)</f>
        <v>Despesa de Depreciação</v>
      </c>
      <c r="F924" t="str">
        <f>VLOOKUP(B924,Tabela_Auxiliar[],3,0)</f>
        <v>Saída</v>
      </c>
      <c r="G924" t="str">
        <f>UPPER(TEXT(Tabela_DB[[#This Row],[DATA]],"mmm"))</f>
        <v>FEV</v>
      </c>
      <c r="H924" t="str">
        <f>UPPER(TEXT(Tabela_DB[[#This Row],[DATA]],"aaaa"))</f>
        <v>2021</v>
      </c>
    </row>
    <row r="925" spans="1:8" x14ac:dyDescent="0.25">
      <c r="A925" s="2">
        <v>44252</v>
      </c>
      <c r="B925" t="s">
        <v>111</v>
      </c>
      <c r="C925">
        <v>-2436</v>
      </c>
      <c r="D925" t="str">
        <f>VLOOKUP(B925,Tabela_Auxiliar[],2,0)</f>
        <v>2. Deduções da Receita</v>
      </c>
      <c r="E925" t="str">
        <f>VLOOKUP(B925,Tabela_Auxiliar[],4,0)</f>
        <v>Imposto</v>
      </c>
      <c r="F925" t="str">
        <f>VLOOKUP(B925,Tabela_Auxiliar[],3,0)</f>
        <v>Saída</v>
      </c>
      <c r="G925" t="str">
        <f>UPPER(TEXT(Tabela_DB[[#This Row],[DATA]],"mmm"))</f>
        <v>FEV</v>
      </c>
      <c r="H925" t="str">
        <f>UPPER(TEXT(Tabela_DB[[#This Row],[DATA]],"aaaa"))</f>
        <v>2021</v>
      </c>
    </row>
    <row r="926" spans="1:8" x14ac:dyDescent="0.25">
      <c r="A926" s="2">
        <v>44252</v>
      </c>
      <c r="B926" t="s">
        <v>51</v>
      </c>
      <c r="C926">
        <v>-1025</v>
      </c>
      <c r="D926" t="str">
        <f>VLOOKUP(B926,Tabela_Auxiliar[],2,0)</f>
        <v>4. Despesas Operacionais</v>
      </c>
      <c r="E926" t="str">
        <f>VLOOKUP(B926,Tabela_Auxiliar[],4,0)</f>
        <v>Despesa com Pessoal</v>
      </c>
      <c r="F926" t="str">
        <f>VLOOKUP(B926,Tabela_Auxiliar[],3,0)</f>
        <v>Saída</v>
      </c>
      <c r="G926" t="str">
        <f>UPPER(TEXT(Tabela_DB[[#This Row],[DATA]],"mmm"))</f>
        <v>FEV</v>
      </c>
      <c r="H926" t="str">
        <f>UPPER(TEXT(Tabela_DB[[#This Row],[DATA]],"aaaa"))</f>
        <v>2021</v>
      </c>
    </row>
    <row r="927" spans="1:8" x14ac:dyDescent="0.25">
      <c r="A927" s="2">
        <v>44252</v>
      </c>
      <c r="B927" t="s">
        <v>35</v>
      </c>
      <c r="C927">
        <v>-1745</v>
      </c>
      <c r="D927" t="str">
        <f>VLOOKUP(B927,Tabela_Auxiliar[],2,0)</f>
        <v>2. Deduções da Receita</v>
      </c>
      <c r="E927" t="str">
        <f>VLOOKUP(B927,Tabela_Auxiliar[],4,0)</f>
        <v>Imposto</v>
      </c>
      <c r="F927" t="str">
        <f>VLOOKUP(B927,Tabela_Auxiliar[],3,0)</f>
        <v>Saída</v>
      </c>
      <c r="G927" t="str">
        <f>UPPER(TEXT(Tabela_DB[[#This Row],[DATA]],"mmm"))</f>
        <v>FEV</v>
      </c>
      <c r="H927" t="str">
        <f>UPPER(TEXT(Tabela_DB[[#This Row],[DATA]],"aaaa"))</f>
        <v>2021</v>
      </c>
    </row>
    <row r="928" spans="1:8" x14ac:dyDescent="0.25">
      <c r="A928" s="2">
        <v>44253</v>
      </c>
      <c r="B928" t="s">
        <v>38</v>
      </c>
      <c r="C928">
        <v>-2329</v>
      </c>
      <c r="D928" t="str">
        <f>VLOOKUP(B928,Tabela_Auxiliar[],2,0)</f>
        <v>2. Deduções da Receita</v>
      </c>
      <c r="E928" t="str">
        <f>VLOOKUP(B928,Tabela_Auxiliar[],4,0)</f>
        <v>Deduções</v>
      </c>
      <c r="F928" t="str">
        <f>VLOOKUP(B928,Tabela_Auxiliar[],3,0)</f>
        <v>Saída</v>
      </c>
      <c r="G928" t="str">
        <f>UPPER(TEXT(Tabela_DB[[#This Row],[DATA]],"mmm"))</f>
        <v>FEV</v>
      </c>
      <c r="H928" t="str">
        <f>UPPER(TEXT(Tabela_DB[[#This Row],[DATA]],"aaaa"))</f>
        <v>2021</v>
      </c>
    </row>
    <row r="929" spans="1:8" x14ac:dyDescent="0.25">
      <c r="A929" s="2">
        <v>44253</v>
      </c>
      <c r="B929" t="s">
        <v>38</v>
      </c>
      <c r="C929">
        <v>-2185</v>
      </c>
      <c r="D929" t="str">
        <f>VLOOKUP(B929,Tabela_Auxiliar[],2,0)</f>
        <v>2. Deduções da Receita</v>
      </c>
      <c r="E929" t="str">
        <f>VLOOKUP(B929,Tabela_Auxiliar[],4,0)</f>
        <v>Deduções</v>
      </c>
      <c r="F929" t="str">
        <f>VLOOKUP(B929,Tabela_Auxiliar[],3,0)</f>
        <v>Saída</v>
      </c>
      <c r="G929" t="str">
        <f>UPPER(TEXT(Tabela_DB[[#This Row],[DATA]],"mmm"))</f>
        <v>FEV</v>
      </c>
      <c r="H929" t="str">
        <f>UPPER(TEXT(Tabela_DB[[#This Row],[DATA]],"aaaa"))</f>
        <v>2021</v>
      </c>
    </row>
    <row r="930" spans="1:8" x14ac:dyDescent="0.25">
      <c r="A930" s="2">
        <v>44253</v>
      </c>
      <c r="B930" t="s">
        <v>3</v>
      </c>
      <c r="C930">
        <v>13285</v>
      </c>
      <c r="D930" t="str">
        <f>VLOOKUP(B930,Tabela_Auxiliar[],2,0)</f>
        <v>1. Receita Operacional Bruta</v>
      </c>
      <c r="E930" t="str">
        <f>VLOOKUP(B930,Tabela_Auxiliar[],4,0)</f>
        <v>Receita Bruta</v>
      </c>
      <c r="F930" t="str">
        <f>VLOOKUP(B930,Tabela_Auxiliar[],3,0)</f>
        <v>Entrada</v>
      </c>
      <c r="G930" t="str">
        <f>UPPER(TEXT(Tabela_DB[[#This Row],[DATA]],"mmm"))</f>
        <v>FEV</v>
      </c>
      <c r="H930" t="str">
        <f>UPPER(TEXT(Tabela_DB[[#This Row],[DATA]],"aaaa"))</f>
        <v>2021</v>
      </c>
    </row>
    <row r="931" spans="1:8" x14ac:dyDescent="0.25">
      <c r="A931" s="2">
        <v>44253</v>
      </c>
      <c r="B931" t="s">
        <v>37</v>
      </c>
      <c r="C931">
        <v>-2710</v>
      </c>
      <c r="D931" t="str">
        <f>VLOOKUP(B931,Tabela_Auxiliar[],2,0)</f>
        <v>3. Custos do Produto/Mercadoria/Serviço</v>
      </c>
      <c r="E931" t="str">
        <f>VLOOKUP(B931,Tabela_Auxiliar[],4,0)</f>
        <v>Despesas c/ Produto</v>
      </c>
      <c r="F931" t="str">
        <f>VLOOKUP(B931,Tabela_Auxiliar[],3,0)</f>
        <v>Saída</v>
      </c>
      <c r="G931" t="str">
        <f>UPPER(TEXT(Tabela_DB[[#This Row],[DATA]],"mmm"))</f>
        <v>FEV</v>
      </c>
      <c r="H931" t="str">
        <f>UPPER(TEXT(Tabela_DB[[#This Row],[DATA]],"aaaa"))</f>
        <v>2021</v>
      </c>
    </row>
    <row r="932" spans="1:8" x14ac:dyDescent="0.25">
      <c r="A932" s="2">
        <v>44254</v>
      </c>
      <c r="B932" t="s">
        <v>111</v>
      </c>
      <c r="C932">
        <v>-2009</v>
      </c>
      <c r="D932" t="str">
        <f>VLOOKUP(B932,Tabela_Auxiliar[],2,0)</f>
        <v>2. Deduções da Receita</v>
      </c>
      <c r="E932" t="str">
        <f>VLOOKUP(B932,Tabela_Auxiliar[],4,0)</f>
        <v>Imposto</v>
      </c>
      <c r="F932" t="str">
        <f>VLOOKUP(B932,Tabela_Auxiliar[],3,0)</f>
        <v>Saída</v>
      </c>
      <c r="G932" t="str">
        <f>UPPER(TEXT(Tabela_DB[[#This Row],[DATA]],"mmm"))</f>
        <v>FEV</v>
      </c>
      <c r="H932" t="str">
        <f>UPPER(TEXT(Tabela_DB[[#This Row],[DATA]],"aaaa"))</f>
        <v>2021</v>
      </c>
    </row>
    <row r="933" spans="1:8" x14ac:dyDescent="0.25">
      <c r="A933" s="2">
        <v>44254</v>
      </c>
      <c r="B933" t="s">
        <v>34</v>
      </c>
      <c r="C933">
        <v>-2213</v>
      </c>
      <c r="D933" t="str">
        <f>VLOOKUP(B933,Tabela_Auxiliar[],2,0)</f>
        <v>2. Deduções da Receita</v>
      </c>
      <c r="E933" t="str">
        <f>VLOOKUP(B933,Tabela_Auxiliar[],4,0)</f>
        <v>Imposto</v>
      </c>
      <c r="F933" t="str">
        <f>VLOOKUP(B933,Tabela_Auxiliar[],3,0)</f>
        <v>Saída</v>
      </c>
      <c r="G933" t="str">
        <f>UPPER(TEXT(Tabela_DB[[#This Row],[DATA]],"mmm"))</f>
        <v>FEV</v>
      </c>
      <c r="H933" t="str">
        <f>UPPER(TEXT(Tabela_DB[[#This Row],[DATA]],"aaaa"))</f>
        <v>2021</v>
      </c>
    </row>
    <row r="934" spans="1:8" x14ac:dyDescent="0.25">
      <c r="A934" s="2">
        <v>44254</v>
      </c>
      <c r="B934" t="s">
        <v>79</v>
      </c>
      <c r="C934">
        <v>-1424</v>
      </c>
      <c r="D934" t="str">
        <f>VLOOKUP(B934,Tabela_Auxiliar[],2,0)</f>
        <v>4. Despesas Operacionais</v>
      </c>
      <c r="E934" t="str">
        <f>VLOOKUP(B934,Tabela_Auxiliar[],4,0)</f>
        <v>Serviços Contratados</v>
      </c>
      <c r="F934" t="str">
        <f>VLOOKUP(B934,Tabela_Auxiliar[],3,0)</f>
        <v>Saída</v>
      </c>
      <c r="G934" t="str">
        <f>UPPER(TEXT(Tabela_DB[[#This Row],[DATA]],"mmm"))</f>
        <v>FEV</v>
      </c>
      <c r="H934" t="str">
        <f>UPPER(TEXT(Tabela_DB[[#This Row],[DATA]],"aaaa"))</f>
        <v>2021</v>
      </c>
    </row>
    <row r="935" spans="1:8" x14ac:dyDescent="0.25">
      <c r="A935" s="2">
        <v>44254</v>
      </c>
      <c r="B935" t="s">
        <v>35</v>
      </c>
      <c r="C935">
        <v>-2345</v>
      </c>
      <c r="D935" t="str">
        <f>VLOOKUP(B935,Tabela_Auxiliar[],2,0)</f>
        <v>2. Deduções da Receita</v>
      </c>
      <c r="E935" t="str">
        <f>VLOOKUP(B935,Tabela_Auxiliar[],4,0)</f>
        <v>Imposto</v>
      </c>
      <c r="F935" t="str">
        <f>VLOOKUP(B935,Tabela_Auxiliar[],3,0)</f>
        <v>Saída</v>
      </c>
      <c r="G935" t="str">
        <f>UPPER(TEXT(Tabela_DB[[#This Row],[DATA]],"mmm"))</f>
        <v>FEV</v>
      </c>
      <c r="H935" t="str">
        <f>UPPER(TEXT(Tabela_DB[[#This Row],[DATA]],"aaaa"))</f>
        <v>2021</v>
      </c>
    </row>
    <row r="936" spans="1:8" x14ac:dyDescent="0.25">
      <c r="A936" s="2">
        <v>44254</v>
      </c>
      <c r="B936" t="s">
        <v>4</v>
      </c>
      <c r="C936">
        <v>11782</v>
      </c>
      <c r="D936" t="str">
        <f>VLOOKUP(B936,Tabela_Auxiliar[],2,0)</f>
        <v>1. Receita Operacional Bruta</v>
      </c>
      <c r="E936" t="str">
        <f>VLOOKUP(B936,Tabela_Auxiliar[],4,0)</f>
        <v>Receita Bruta</v>
      </c>
      <c r="F936" t="str">
        <f>VLOOKUP(B936,Tabela_Auxiliar[],3,0)</f>
        <v>Entrada</v>
      </c>
      <c r="G936" t="str">
        <f>UPPER(TEXT(Tabela_DB[[#This Row],[DATA]],"mmm"))</f>
        <v>FEV</v>
      </c>
      <c r="H936" t="str">
        <f>UPPER(TEXT(Tabela_DB[[#This Row],[DATA]],"aaaa"))</f>
        <v>2021</v>
      </c>
    </row>
    <row r="937" spans="1:8" x14ac:dyDescent="0.25">
      <c r="A937" s="2">
        <v>44254</v>
      </c>
      <c r="B937" t="s">
        <v>37</v>
      </c>
      <c r="C937">
        <v>-3129</v>
      </c>
      <c r="D937" t="str">
        <f>VLOOKUP(B937,Tabela_Auxiliar[],2,0)</f>
        <v>3. Custos do Produto/Mercadoria/Serviço</v>
      </c>
      <c r="E937" t="str">
        <f>VLOOKUP(B937,Tabela_Auxiliar[],4,0)</f>
        <v>Despesas c/ Produto</v>
      </c>
      <c r="F937" t="str">
        <f>VLOOKUP(B937,Tabela_Auxiliar[],3,0)</f>
        <v>Saída</v>
      </c>
      <c r="G937" t="str">
        <f>UPPER(TEXT(Tabela_DB[[#This Row],[DATA]],"mmm"))</f>
        <v>FEV</v>
      </c>
      <c r="H937" t="str">
        <f>UPPER(TEXT(Tabela_DB[[#This Row],[DATA]],"aaaa"))</f>
        <v>2021</v>
      </c>
    </row>
    <row r="938" spans="1:8" x14ac:dyDescent="0.25">
      <c r="A938" s="2">
        <v>44254</v>
      </c>
      <c r="B938" t="s">
        <v>3</v>
      </c>
      <c r="C938">
        <v>12980</v>
      </c>
      <c r="D938" t="str">
        <f>VLOOKUP(B938,Tabela_Auxiliar[],2,0)</f>
        <v>1. Receita Operacional Bruta</v>
      </c>
      <c r="E938" t="str">
        <f>VLOOKUP(B938,Tabela_Auxiliar[],4,0)</f>
        <v>Receita Bruta</v>
      </c>
      <c r="F938" t="str">
        <f>VLOOKUP(B938,Tabela_Auxiliar[],3,0)</f>
        <v>Entrada</v>
      </c>
      <c r="G938" t="str">
        <f>UPPER(TEXT(Tabela_DB[[#This Row],[DATA]],"mmm"))</f>
        <v>FEV</v>
      </c>
      <c r="H938" t="str">
        <f>UPPER(TEXT(Tabela_DB[[#This Row],[DATA]],"aaaa"))</f>
        <v>2021</v>
      </c>
    </row>
    <row r="939" spans="1:8" x14ac:dyDescent="0.25">
      <c r="A939" s="2">
        <v>44254</v>
      </c>
      <c r="B939" t="s">
        <v>34</v>
      </c>
      <c r="C939">
        <v>-1203</v>
      </c>
      <c r="D939" t="str">
        <f>VLOOKUP(B939,Tabela_Auxiliar[],2,0)</f>
        <v>2. Deduções da Receita</v>
      </c>
      <c r="E939" t="str">
        <f>VLOOKUP(B939,Tabela_Auxiliar[],4,0)</f>
        <v>Imposto</v>
      </c>
      <c r="F939" t="str">
        <f>VLOOKUP(B939,Tabela_Auxiliar[],3,0)</f>
        <v>Saída</v>
      </c>
      <c r="G939" t="str">
        <f>UPPER(TEXT(Tabela_DB[[#This Row],[DATA]],"mmm"))</f>
        <v>FEV</v>
      </c>
      <c r="H939" t="str">
        <f>UPPER(TEXT(Tabela_DB[[#This Row],[DATA]],"aaaa"))</f>
        <v>2021</v>
      </c>
    </row>
    <row r="940" spans="1:8" x14ac:dyDescent="0.25">
      <c r="A940" s="2">
        <v>44254</v>
      </c>
      <c r="B940" t="s">
        <v>43</v>
      </c>
      <c r="C940">
        <v>-1370</v>
      </c>
      <c r="D940" t="str">
        <f>VLOOKUP(B940,Tabela_Auxiliar[],2,0)</f>
        <v>4. Despesas Operacionais</v>
      </c>
      <c r="E940" t="str">
        <f>VLOOKUP(B940,Tabela_Auxiliar[],4,0)</f>
        <v>Despesa com Pessoal</v>
      </c>
      <c r="F940" t="str">
        <f>VLOOKUP(B940,Tabela_Auxiliar[],3,0)</f>
        <v>Saída</v>
      </c>
      <c r="G940" t="str">
        <f>UPPER(TEXT(Tabela_DB[[#This Row],[DATA]],"mmm"))</f>
        <v>FEV</v>
      </c>
      <c r="H940" t="str">
        <f>UPPER(TEXT(Tabela_DB[[#This Row],[DATA]],"aaaa"))</f>
        <v>2021</v>
      </c>
    </row>
    <row r="941" spans="1:8" x14ac:dyDescent="0.25">
      <c r="A941" s="2">
        <v>44254</v>
      </c>
      <c r="B941" t="s">
        <v>46</v>
      </c>
      <c r="C941">
        <v>-1889</v>
      </c>
      <c r="D941" t="str">
        <f>VLOOKUP(B941,Tabela_Auxiliar[],2,0)</f>
        <v>4. Despesas Operacionais</v>
      </c>
      <c r="E941" t="str">
        <f>VLOOKUP(B941,Tabela_Auxiliar[],4,0)</f>
        <v>Despesa com Pessoal</v>
      </c>
      <c r="F941" t="str">
        <f>VLOOKUP(B941,Tabela_Auxiliar[],3,0)</f>
        <v>Saída</v>
      </c>
      <c r="G941" t="str">
        <f>UPPER(TEXT(Tabela_DB[[#This Row],[DATA]],"mmm"))</f>
        <v>FEV</v>
      </c>
      <c r="H941" t="str">
        <f>UPPER(TEXT(Tabela_DB[[#This Row],[DATA]],"aaaa"))</f>
        <v>2021</v>
      </c>
    </row>
    <row r="942" spans="1:8" x14ac:dyDescent="0.25">
      <c r="A942" s="2">
        <v>44254</v>
      </c>
      <c r="B942" t="s">
        <v>38</v>
      </c>
      <c r="C942">
        <v>-1119</v>
      </c>
      <c r="D942" t="str">
        <f>VLOOKUP(B942,Tabela_Auxiliar[],2,0)</f>
        <v>2. Deduções da Receita</v>
      </c>
      <c r="E942" t="str">
        <f>VLOOKUP(B942,Tabela_Auxiliar[],4,0)</f>
        <v>Deduções</v>
      </c>
      <c r="F942" t="str">
        <f>VLOOKUP(B942,Tabela_Auxiliar[],3,0)</f>
        <v>Saída</v>
      </c>
      <c r="G942" t="str">
        <f>UPPER(TEXT(Tabela_DB[[#This Row],[DATA]],"mmm"))</f>
        <v>FEV</v>
      </c>
      <c r="H942" t="str">
        <f>UPPER(TEXT(Tabela_DB[[#This Row],[DATA]],"aaaa"))</f>
        <v>2021</v>
      </c>
    </row>
    <row r="943" spans="1:8" x14ac:dyDescent="0.25">
      <c r="A943" s="2">
        <v>44254</v>
      </c>
      <c r="B943" t="s">
        <v>38</v>
      </c>
      <c r="C943">
        <v>-1671</v>
      </c>
      <c r="D943" t="str">
        <f>VLOOKUP(B943,Tabela_Auxiliar[],2,0)</f>
        <v>2. Deduções da Receita</v>
      </c>
      <c r="E943" t="str">
        <f>VLOOKUP(B943,Tabela_Auxiliar[],4,0)</f>
        <v>Deduções</v>
      </c>
      <c r="F943" t="str">
        <f>VLOOKUP(B943,Tabela_Auxiliar[],3,0)</f>
        <v>Saída</v>
      </c>
      <c r="G943" t="str">
        <f>UPPER(TEXT(Tabela_DB[[#This Row],[DATA]],"mmm"))</f>
        <v>FEV</v>
      </c>
      <c r="H943" t="str">
        <f>UPPER(TEXT(Tabela_DB[[#This Row],[DATA]],"aaaa"))</f>
        <v>2021</v>
      </c>
    </row>
    <row r="944" spans="1:8" x14ac:dyDescent="0.25">
      <c r="A944" s="2">
        <v>44254</v>
      </c>
      <c r="B944" t="s">
        <v>51</v>
      </c>
      <c r="C944">
        <v>-2192</v>
      </c>
      <c r="D944" t="str">
        <f>VLOOKUP(B944,Tabela_Auxiliar[],2,0)</f>
        <v>4. Despesas Operacionais</v>
      </c>
      <c r="E944" t="str">
        <f>VLOOKUP(B944,Tabela_Auxiliar[],4,0)</f>
        <v>Despesa com Pessoal</v>
      </c>
      <c r="F944" t="str">
        <f>VLOOKUP(B944,Tabela_Auxiliar[],3,0)</f>
        <v>Saída</v>
      </c>
      <c r="G944" t="str">
        <f>UPPER(TEXT(Tabela_DB[[#This Row],[DATA]],"mmm"))</f>
        <v>FEV</v>
      </c>
      <c r="H944" t="str">
        <f>UPPER(TEXT(Tabela_DB[[#This Row],[DATA]],"aaaa"))</f>
        <v>2021</v>
      </c>
    </row>
    <row r="945" spans="1:8" x14ac:dyDescent="0.25">
      <c r="A945" s="2">
        <v>44254</v>
      </c>
      <c r="B945" t="s">
        <v>111</v>
      </c>
      <c r="C945">
        <v>-2478</v>
      </c>
      <c r="D945" t="str">
        <f>VLOOKUP(B945,Tabela_Auxiliar[],2,0)</f>
        <v>2. Deduções da Receita</v>
      </c>
      <c r="E945" t="str">
        <f>VLOOKUP(B945,Tabela_Auxiliar[],4,0)</f>
        <v>Imposto</v>
      </c>
      <c r="F945" t="str">
        <f>VLOOKUP(B945,Tabela_Auxiliar[],3,0)</f>
        <v>Saída</v>
      </c>
      <c r="G945" t="str">
        <f>UPPER(TEXT(Tabela_DB[[#This Row],[DATA]],"mmm"))</f>
        <v>FEV</v>
      </c>
      <c r="H945" t="str">
        <f>UPPER(TEXT(Tabela_DB[[#This Row],[DATA]],"aaaa"))</f>
        <v>2021</v>
      </c>
    </row>
    <row r="946" spans="1:8" x14ac:dyDescent="0.25">
      <c r="A946" s="2">
        <v>44255</v>
      </c>
      <c r="B946" t="s">
        <v>35</v>
      </c>
      <c r="C946">
        <v>-2395</v>
      </c>
      <c r="D946" t="str">
        <f>VLOOKUP(B946,Tabela_Auxiliar[],2,0)</f>
        <v>2. Deduções da Receita</v>
      </c>
      <c r="E946" t="str">
        <f>VLOOKUP(B946,Tabela_Auxiliar[],4,0)</f>
        <v>Imposto</v>
      </c>
      <c r="F946" t="str">
        <f>VLOOKUP(B946,Tabela_Auxiliar[],3,0)</f>
        <v>Saída</v>
      </c>
      <c r="G946" t="str">
        <f>UPPER(TEXT(Tabela_DB[[#This Row],[DATA]],"mmm"))</f>
        <v>FEV</v>
      </c>
      <c r="H946" t="str">
        <f>UPPER(TEXT(Tabela_DB[[#This Row],[DATA]],"aaaa"))</f>
        <v>2021</v>
      </c>
    </row>
    <row r="947" spans="1:8" x14ac:dyDescent="0.25">
      <c r="A947" s="2">
        <v>44255</v>
      </c>
      <c r="B947" t="s">
        <v>52</v>
      </c>
      <c r="C947">
        <v>-1020</v>
      </c>
      <c r="D947" t="str">
        <f>VLOOKUP(B947,Tabela_Auxiliar[],2,0)</f>
        <v>4. Despesas Operacionais</v>
      </c>
      <c r="E947" t="str">
        <f>VLOOKUP(B947,Tabela_Auxiliar[],4,0)</f>
        <v>Despesa com Pessoal</v>
      </c>
      <c r="F947" t="str">
        <f>VLOOKUP(B947,Tabela_Auxiliar[],3,0)</f>
        <v>Saída</v>
      </c>
      <c r="G947" t="str">
        <f>UPPER(TEXT(Tabela_DB[[#This Row],[DATA]],"mmm"))</f>
        <v>FEV</v>
      </c>
      <c r="H947" t="str">
        <f>UPPER(TEXT(Tabela_DB[[#This Row],[DATA]],"aaaa"))</f>
        <v>2021</v>
      </c>
    </row>
    <row r="948" spans="1:8" x14ac:dyDescent="0.25">
      <c r="A948" s="2">
        <v>44255</v>
      </c>
      <c r="B948" t="s">
        <v>70</v>
      </c>
      <c r="C948">
        <v>-2374</v>
      </c>
      <c r="D948" t="str">
        <f>VLOOKUP(B948,Tabela_Auxiliar[],2,0)</f>
        <v>4. Despesas Operacionais</v>
      </c>
      <c r="E948" t="str">
        <f>VLOOKUP(B948,Tabela_Auxiliar[],4,0)</f>
        <v>Despesa com Ocupação</v>
      </c>
      <c r="F948" t="str">
        <f>VLOOKUP(B948,Tabela_Auxiliar[],3,0)</f>
        <v>Saída</v>
      </c>
      <c r="G948" t="str">
        <f>UPPER(TEXT(Tabela_DB[[#This Row],[DATA]],"mmm"))</f>
        <v>FEV</v>
      </c>
      <c r="H948" t="str">
        <f>UPPER(TEXT(Tabela_DB[[#This Row],[DATA]],"aaaa"))</f>
        <v>2021</v>
      </c>
    </row>
    <row r="949" spans="1:8" x14ac:dyDescent="0.25">
      <c r="A949" s="2">
        <v>44255</v>
      </c>
      <c r="B949" t="s">
        <v>35</v>
      </c>
      <c r="C949">
        <v>-2376</v>
      </c>
      <c r="D949" t="str">
        <f>VLOOKUP(B949,Tabela_Auxiliar[],2,0)</f>
        <v>2. Deduções da Receita</v>
      </c>
      <c r="E949" t="str">
        <f>VLOOKUP(B949,Tabela_Auxiliar[],4,0)</f>
        <v>Imposto</v>
      </c>
      <c r="F949" t="str">
        <f>VLOOKUP(B949,Tabela_Auxiliar[],3,0)</f>
        <v>Saída</v>
      </c>
      <c r="G949" t="str">
        <f>UPPER(TEXT(Tabela_DB[[#This Row],[DATA]],"mmm"))</f>
        <v>FEV</v>
      </c>
      <c r="H949" t="str">
        <f>UPPER(TEXT(Tabela_DB[[#This Row],[DATA]],"aaaa"))</f>
        <v>2021</v>
      </c>
    </row>
    <row r="950" spans="1:8" x14ac:dyDescent="0.25">
      <c r="A950" s="2">
        <v>44255</v>
      </c>
      <c r="B950" t="s">
        <v>69</v>
      </c>
      <c r="C950">
        <v>-2068</v>
      </c>
      <c r="D950" t="str">
        <f>VLOOKUP(B950,Tabela_Auxiliar[],2,0)</f>
        <v>4. Despesas Operacionais</v>
      </c>
      <c r="E950" t="str">
        <f>VLOOKUP(B950,Tabela_Auxiliar[],4,0)</f>
        <v>Despesa com Ocupação</v>
      </c>
      <c r="F950" t="str">
        <f>VLOOKUP(B950,Tabela_Auxiliar[],3,0)</f>
        <v>Saída</v>
      </c>
      <c r="G950" t="str">
        <f>UPPER(TEXT(Tabela_DB[[#This Row],[DATA]],"mmm"))</f>
        <v>FEV</v>
      </c>
      <c r="H950" t="str">
        <f>UPPER(TEXT(Tabela_DB[[#This Row],[DATA]],"aaaa"))</f>
        <v>2021</v>
      </c>
    </row>
    <row r="951" spans="1:8" x14ac:dyDescent="0.25">
      <c r="A951" s="2">
        <v>44255</v>
      </c>
      <c r="B951" t="s">
        <v>90</v>
      </c>
      <c r="C951">
        <v>-1711</v>
      </c>
      <c r="D951" t="str">
        <f>VLOOKUP(B951,Tabela_Auxiliar[],2,0)</f>
        <v>4. Despesas Operacionais</v>
      </c>
      <c r="E951" t="str">
        <f>VLOOKUP(B951,Tabela_Auxiliar[],4,0)</f>
        <v>Despesa Tributária</v>
      </c>
      <c r="F951" t="str">
        <f>VLOOKUP(B951,Tabela_Auxiliar[],3,0)</f>
        <v>Saída</v>
      </c>
      <c r="G951" t="str">
        <f>UPPER(TEXT(Tabela_DB[[#This Row],[DATA]],"mmm"))</f>
        <v>FEV</v>
      </c>
      <c r="H951" t="str">
        <f>UPPER(TEXT(Tabela_DB[[#This Row],[DATA]],"aaaa"))</f>
        <v>2021</v>
      </c>
    </row>
    <row r="952" spans="1:8" x14ac:dyDescent="0.25">
      <c r="A952" s="2">
        <v>44255</v>
      </c>
      <c r="B952" t="s">
        <v>35</v>
      </c>
      <c r="C952">
        <v>-1675</v>
      </c>
      <c r="D952" t="str">
        <f>VLOOKUP(B952,Tabela_Auxiliar[],2,0)</f>
        <v>2. Deduções da Receita</v>
      </c>
      <c r="E952" t="str">
        <f>VLOOKUP(B952,Tabela_Auxiliar[],4,0)</f>
        <v>Imposto</v>
      </c>
      <c r="F952" t="str">
        <f>VLOOKUP(B952,Tabela_Auxiliar[],3,0)</f>
        <v>Saída</v>
      </c>
      <c r="G952" t="str">
        <f>UPPER(TEXT(Tabela_DB[[#This Row],[DATA]],"mmm"))</f>
        <v>FEV</v>
      </c>
      <c r="H952" t="str">
        <f>UPPER(TEXT(Tabela_DB[[#This Row],[DATA]],"aaaa"))</f>
        <v>2021</v>
      </c>
    </row>
    <row r="953" spans="1:8" x14ac:dyDescent="0.25">
      <c r="A953" s="2">
        <v>44255</v>
      </c>
      <c r="B953" t="s">
        <v>3</v>
      </c>
      <c r="C953">
        <v>13475</v>
      </c>
      <c r="D953" t="str">
        <f>VLOOKUP(B953,Tabela_Auxiliar[],2,0)</f>
        <v>1. Receita Operacional Bruta</v>
      </c>
      <c r="E953" t="str">
        <f>VLOOKUP(B953,Tabela_Auxiliar[],4,0)</f>
        <v>Receita Bruta</v>
      </c>
      <c r="F953" t="str">
        <f>VLOOKUP(B953,Tabela_Auxiliar[],3,0)</f>
        <v>Entrada</v>
      </c>
      <c r="G953" t="str">
        <f>UPPER(TEXT(Tabela_DB[[#This Row],[DATA]],"mmm"))</f>
        <v>FEV</v>
      </c>
      <c r="H953" t="str">
        <f>UPPER(TEXT(Tabela_DB[[#This Row],[DATA]],"aaaa"))</f>
        <v>2021</v>
      </c>
    </row>
    <row r="954" spans="1:8" x14ac:dyDescent="0.25">
      <c r="A954" s="2">
        <v>44255</v>
      </c>
      <c r="B954" t="s">
        <v>34</v>
      </c>
      <c r="C954">
        <v>-1458</v>
      </c>
      <c r="D954" t="str">
        <f>VLOOKUP(B954,Tabela_Auxiliar[],2,0)</f>
        <v>2. Deduções da Receita</v>
      </c>
      <c r="E954" t="str">
        <f>VLOOKUP(B954,Tabela_Auxiliar[],4,0)</f>
        <v>Imposto</v>
      </c>
      <c r="F954" t="str">
        <f>VLOOKUP(B954,Tabela_Auxiliar[],3,0)</f>
        <v>Saída</v>
      </c>
      <c r="G954" t="str">
        <f>UPPER(TEXT(Tabela_DB[[#This Row],[DATA]],"mmm"))</f>
        <v>FEV</v>
      </c>
      <c r="H954" t="str">
        <f>UPPER(TEXT(Tabela_DB[[#This Row],[DATA]],"aaaa"))</f>
        <v>2021</v>
      </c>
    </row>
    <row r="955" spans="1:8" x14ac:dyDescent="0.25">
      <c r="A955" s="2">
        <v>44255</v>
      </c>
      <c r="B955" t="s">
        <v>34</v>
      </c>
      <c r="C955">
        <v>-2296</v>
      </c>
      <c r="D955" t="str">
        <f>VLOOKUP(B955,Tabela_Auxiliar[],2,0)</f>
        <v>2. Deduções da Receita</v>
      </c>
      <c r="E955" t="str">
        <f>VLOOKUP(B955,Tabela_Auxiliar[],4,0)</f>
        <v>Imposto</v>
      </c>
      <c r="F955" t="str">
        <f>VLOOKUP(B955,Tabela_Auxiliar[],3,0)</f>
        <v>Saída</v>
      </c>
      <c r="G955" t="str">
        <f>UPPER(TEXT(Tabela_DB[[#This Row],[DATA]],"mmm"))</f>
        <v>FEV</v>
      </c>
      <c r="H955" t="str">
        <f>UPPER(TEXT(Tabela_DB[[#This Row],[DATA]],"aaaa"))</f>
        <v>2021</v>
      </c>
    </row>
    <row r="956" spans="1:8" x14ac:dyDescent="0.25">
      <c r="A956" s="2">
        <v>44256</v>
      </c>
      <c r="B956" t="s">
        <v>38</v>
      </c>
      <c r="C956">
        <v>-1468</v>
      </c>
      <c r="D956" t="str">
        <f>VLOOKUP(B956,Tabela_Auxiliar[],2,0)</f>
        <v>2. Deduções da Receita</v>
      </c>
      <c r="E956" t="str">
        <f>VLOOKUP(B956,Tabela_Auxiliar[],4,0)</f>
        <v>Deduções</v>
      </c>
      <c r="F956" t="str">
        <f>VLOOKUP(B956,Tabela_Auxiliar[],3,0)</f>
        <v>Saída</v>
      </c>
      <c r="G956" t="str">
        <f>UPPER(TEXT(Tabela_DB[[#This Row],[DATA]],"mmm"))</f>
        <v>MAR</v>
      </c>
      <c r="H956" t="str">
        <f>UPPER(TEXT(Tabela_DB[[#This Row],[DATA]],"aaaa"))</f>
        <v>2021</v>
      </c>
    </row>
    <row r="957" spans="1:8" x14ac:dyDescent="0.25">
      <c r="A957" s="2">
        <v>44256</v>
      </c>
      <c r="B957" t="s">
        <v>111</v>
      </c>
      <c r="C957">
        <v>-1954</v>
      </c>
      <c r="D957" t="str">
        <f>VLOOKUP(B957,Tabela_Auxiliar[],2,0)</f>
        <v>2. Deduções da Receita</v>
      </c>
      <c r="E957" t="str">
        <f>VLOOKUP(B957,Tabela_Auxiliar[],4,0)</f>
        <v>Imposto</v>
      </c>
      <c r="F957" t="str">
        <f>VLOOKUP(B957,Tabela_Auxiliar[],3,0)</f>
        <v>Saída</v>
      </c>
      <c r="G957" t="str">
        <f>UPPER(TEXT(Tabela_DB[[#This Row],[DATA]],"mmm"))</f>
        <v>MAR</v>
      </c>
      <c r="H957" t="str">
        <f>UPPER(TEXT(Tabela_DB[[#This Row],[DATA]],"aaaa"))</f>
        <v>2021</v>
      </c>
    </row>
    <row r="958" spans="1:8" x14ac:dyDescent="0.25">
      <c r="A958" s="2">
        <v>44256</v>
      </c>
      <c r="B958" t="s">
        <v>37</v>
      </c>
      <c r="C958">
        <v>-4092</v>
      </c>
      <c r="D958" t="str">
        <f>VLOOKUP(B958,Tabela_Auxiliar[],2,0)</f>
        <v>3. Custos do Produto/Mercadoria/Serviço</v>
      </c>
      <c r="E958" t="str">
        <f>VLOOKUP(B958,Tabela_Auxiliar[],4,0)</f>
        <v>Despesas c/ Produto</v>
      </c>
      <c r="F958" t="str">
        <f>VLOOKUP(B958,Tabela_Auxiliar[],3,0)</f>
        <v>Saída</v>
      </c>
      <c r="G958" t="str">
        <f>UPPER(TEXT(Tabela_DB[[#This Row],[DATA]],"mmm"))</f>
        <v>MAR</v>
      </c>
      <c r="H958" t="str">
        <f>UPPER(TEXT(Tabela_DB[[#This Row],[DATA]],"aaaa"))</f>
        <v>2021</v>
      </c>
    </row>
    <row r="959" spans="1:8" x14ac:dyDescent="0.25">
      <c r="A959" s="2">
        <v>44256</v>
      </c>
      <c r="B959" t="s">
        <v>86</v>
      </c>
      <c r="C959">
        <v>-2494</v>
      </c>
      <c r="D959" t="str">
        <f>VLOOKUP(B959,Tabela_Auxiliar[],2,0)</f>
        <v>4. Despesas Operacionais</v>
      </c>
      <c r="E959" t="str">
        <f>VLOOKUP(B959,Tabela_Auxiliar[],4,0)</f>
        <v>Despesa com Veículos</v>
      </c>
      <c r="F959" t="str">
        <f>VLOOKUP(B959,Tabela_Auxiliar[],3,0)</f>
        <v>Saída</v>
      </c>
      <c r="G959" t="str">
        <f>UPPER(TEXT(Tabela_DB[[#This Row],[DATA]],"mmm"))</f>
        <v>MAR</v>
      </c>
      <c r="H959" t="str">
        <f>UPPER(TEXT(Tabela_DB[[#This Row],[DATA]],"aaaa"))</f>
        <v>2021</v>
      </c>
    </row>
    <row r="960" spans="1:8" x14ac:dyDescent="0.25">
      <c r="A960" s="2">
        <v>44256</v>
      </c>
      <c r="B960" t="s">
        <v>3</v>
      </c>
      <c r="C960">
        <v>11654</v>
      </c>
      <c r="D960" t="str">
        <f>VLOOKUP(B960,Tabela_Auxiliar[],2,0)</f>
        <v>1. Receita Operacional Bruta</v>
      </c>
      <c r="E960" t="str">
        <f>VLOOKUP(B960,Tabela_Auxiliar[],4,0)</f>
        <v>Receita Bruta</v>
      </c>
      <c r="F960" t="str">
        <f>VLOOKUP(B960,Tabela_Auxiliar[],3,0)</f>
        <v>Entrada</v>
      </c>
      <c r="G960" t="str">
        <f>UPPER(TEXT(Tabela_DB[[#This Row],[DATA]],"mmm"))</f>
        <v>MAR</v>
      </c>
      <c r="H960" t="str">
        <f>UPPER(TEXT(Tabela_DB[[#This Row],[DATA]],"aaaa"))</f>
        <v>2021</v>
      </c>
    </row>
    <row r="961" spans="1:8" x14ac:dyDescent="0.25">
      <c r="A961" s="2">
        <v>44256</v>
      </c>
      <c r="B961" t="s">
        <v>4</v>
      </c>
      <c r="C961">
        <v>13341</v>
      </c>
      <c r="D961" t="str">
        <f>VLOOKUP(B961,Tabela_Auxiliar[],2,0)</f>
        <v>1. Receita Operacional Bruta</v>
      </c>
      <c r="E961" t="str">
        <f>VLOOKUP(B961,Tabela_Auxiliar[],4,0)</f>
        <v>Receita Bruta</v>
      </c>
      <c r="F961" t="str">
        <f>VLOOKUP(B961,Tabela_Auxiliar[],3,0)</f>
        <v>Entrada</v>
      </c>
      <c r="G961" t="str">
        <f>UPPER(TEXT(Tabela_DB[[#This Row],[DATA]],"mmm"))</f>
        <v>MAR</v>
      </c>
      <c r="H961" t="str">
        <f>UPPER(TEXT(Tabela_DB[[#This Row],[DATA]],"aaaa"))</f>
        <v>2021</v>
      </c>
    </row>
    <row r="962" spans="1:8" x14ac:dyDescent="0.25">
      <c r="A962" s="2">
        <v>44256</v>
      </c>
      <c r="B962" t="s">
        <v>38</v>
      </c>
      <c r="C962">
        <v>-1959</v>
      </c>
      <c r="D962" t="str">
        <f>VLOOKUP(B962,Tabela_Auxiliar[],2,0)</f>
        <v>2. Deduções da Receita</v>
      </c>
      <c r="E962" t="str">
        <f>VLOOKUP(B962,Tabela_Auxiliar[],4,0)</f>
        <v>Deduções</v>
      </c>
      <c r="F962" t="str">
        <f>VLOOKUP(B962,Tabela_Auxiliar[],3,0)</f>
        <v>Saída</v>
      </c>
      <c r="G962" t="str">
        <f>UPPER(TEXT(Tabela_DB[[#This Row],[DATA]],"mmm"))</f>
        <v>MAR</v>
      </c>
      <c r="H962" t="str">
        <f>UPPER(TEXT(Tabela_DB[[#This Row],[DATA]],"aaaa"))</f>
        <v>2021</v>
      </c>
    </row>
    <row r="963" spans="1:8" x14ac:dyDescent="0.25">
      <c r="A963" s="2">
        <v>44256</v>
      </c>
      <c r="B963" t="s">
        <v>43</v>
      </c>
      <c r="C963">
        <v>-1611</v>
      </c>
      <c r="D963" t="str">
        <f>VLOOKUP(B963,Tabela_Auxiliar[],2,0)</f>
        <v>4. Despesas Operacionais</v>
      </c>
      <c r="E963" t="str">
        <f>VLOOKUP(B963,Tabela_Auxiliar[],4,0)</f>
        <v>Despesa com Pessoal</v>
      </c>
      <c r="F963" t="str">
        <f>VLOOKUP(B963,Tabela_Auxiliar[],3,0)</f>
        <v>Saída</v>
      </c>
      <c r="G963" t="str">
        <f>UPPER(TEXT(Tabela_DB[[#This Row],[DATA]],"mmm"))</f>
        <v>MAR</v>
      </c>
      <c r="H963" t="str">
        <f>UPPER(TEXT(Tabela_DB[[#This Row],[DATA]],"aaaa"))</f>
        <v>2021</v>
      </c>
    </row>
    <row r="964" spans="1:8" x14ac:dyDescent="0.25">
      <c r="A964" s="2">
        <v>44256</v>
      </c>
      <c r="B964" t="s">
        <v>85</v>
      </c>
      <c r="C964">
        <v>-2321</v>
      </c>
      <c r="D964" t="str">
        <f>VLOOKUP(B964,Tabela_Auxiliar[],2,0)</f>
        <v>4. Despesas Operacionais</v>
      </c>
      <c r="E964" t="str">
        <f>VLOOKUP(B964,Tabela_Auxiliar[],4,0)</f>
        <v>Despesa com Veículos</v>
      </c>
      <c r="F964" t="str">
        <f>VLOOKUP(B964,Tabela_Auxiliar[],3,0)</f>
        <v>Saída</v>
      </c>
      <c r="G964" t="str">
        <f>UPPER(TEXT(Tabela_DB[[#This Row],[DATA]],"mmm"))</f>
        <v>MAR</v>
      </c>
      <c r="H964" t="str">
        <f>UPPER(TEXT(Tabela_DB[[#This Row],[DATA]],"aaaa"))</f>
        <v>2021</v>
      </c>
    </row>
    <row r="965" spans="1:8" x14ac:dyDescent="0.25">
      <c r="A965" s="2">
        <v>44256</v>
      </c>
      <c r="B965" t="s">
        <v>69</v>
      </c>
      <c r="C965">
        <v>-1383</v>
      </c>
      <c r="D965" t="str">
        <f>VLOOKUP(B965,Tabela_Auxiliar[],2,0)</f>
        <v>4. Despesas Operacionais</v>
      </c>
      <c r="E965" t="str">
        <f>VLOOKUP(B965,Tabela_Auxiliar[],4,0)</f>
        <v>Despesa com Ocupação</v>
      </c>
      <c r="F965" t="str">
        <f>VLOOKUP(B965,Tabela_Auxiliar[],3,0)</f>
        <v>Saída</v>
      </c>
      <c r="G965" t="str">
        <f>UPPER(TEXT(Tabela_DB[[#This Row],[DATA]],"mmm"))</f>
        <v>MAR</v>
      </c>
      <c r="H965" t="str">
        <f>UPPER(TEXT(Tabela_DB[[#This Row],[DATA]],"aaaa"))</f>
        <v>2021</v>
      </c>
    </row>
    <row r="966" spans="1:8" x14ac:dyDescent="0.25">
      <c r="A966" s="2">
        <v>44256</v>
      </c>
      <c r="B966" t="s">
        <v>111</v>
      </c>
      <c r="C966">
        <v>-2155</v>
      </c>
      <c r="D966" t="str">
        <f>VLOOKUP(B966,Tabela_Auxiliar[],2,0)</f>
        <v>2. Deduções da Receita</v>
      </c>
      <c r="E966" t="str">
        <f>VLOOKUP(B966,Tabela_Auxiliar[],4,0)</f>
        <v>Imposto</v>
      </c>
      <c r="F966" t="str">
        <f>VLOOKUP(B966,Tabela_Auxiliar[],3,0)</f>
        <v>Saída</v>
      </c>
      <c r="G966" t="str">
        <f>UPPER(TEXT(Tabela_DB[[#This Row],[DATA]],"mmm"))</f>
        <v>MAR</v>
      </c>
      <c r="H966" t="str">
        <f>UPPER(TEXT(Tabela_DB[[#This Row],[DATA]],"aaaa"))</f>
        <v>2021</v>
      </c>
    </row>
    <row r="967" spans="1:8" x14ac:dyDescent="0.25">
      <c r="A967" s="2">
        <v>44256</v>
      </c>
      <c r="B967" t="s">
        <v>4</v>
      </c>
      <c r="C967">
        <v>11741</v>
      </c>
      <c r="D967" t="str">
        <f>VLOOKUP(B967,Tabela_Auxiliar[],2,0)</f>
        <v>1. Receita Operacional Bruta</v>
      </c>
      <c r="E967" t="str">
        <f>VLOOKUP(B967,Tabela_Auxiliar[],4,0)</f>
        <v>Receita Bruta</v>
      </c>
      <c r="F967" t="str">
        <f>VLOOKUP(B967,Tabela_Auxiliar[],3,0)</f>
        <v>Entrada</v>
      </c>
      <c r="G967" t="str">
        <f>UPPER(TEXT(Tabela_DB[[#This Row],[DATA]],"mmm"))</f>
        <v>MAR</v>
      </c>
      <c r="H967" t="str">
        <f>UPPER(TEXT(Tabela_DB[[#This Row],[DATA]],"aaaa"))</f>
        <v>2021</v>
      </c>
    </row>
    <row r="968" spans="1:8" x14ac:dyDescent="0.25">
      <c r="A968" s="2">
        <v>44256</v>
      </c>
      <c r="B968" t="s">
        <v>34</v>
      </c>
      <c r="C968">
        <v>-2125</v>
      </c>
      <c r="D968" t="str">
        <f>VLOOKUP(B968,Tabela_Auxiliar[],2,0)</f>
        <v>2. Deduções da Receita</v>
      </c>
      <c r="E968" t="str">
        <f>VLOOKUP(B968,Tabela_Auxiliar[],4,0)</f>
        <v>Imposto</v>
      </c>
      <c r="F968" t="str">
        <f>VLOOKUP(B968,Tabela_Auxiliar[],3,0)</f>
        <v>Saída</v>
      </c>
      <c r="G968" t="str">
        <f>UPPER(TEXT(Tabela_DB[[#This Row],[DATA]],"mmm"))</f>
        <v>MAR</v>
      </c>
      <c r="H968" t="str">
        <f>UPPER(TEXT(Tabela_DB[[#This Row],[DATA]],"aaaa"))</f>
        <v>2021</v>
      </c>
    </row>
    <row r="969" spans="1:8" x14ac:dyDescent="0.25">
      <c r="A969" s="2">
        <v>44256</v>
      </c>
      <c r="B969" t="s">
        <v>37</v>
      </c>
      <c r="C969">
        <v>-3699</v>
      </c>
      <c r="D969" t="str">
        <f>VLOOKUP(B969,Tabela_Auxiliar[],2,0)</f>
        <v>3. Custos do Produto/Mercadoria/Serviço</v>
      </c>
      <c r="E969" t="str">
        <f>VLOOKUP(B969,Tabela_Auxiliar[],4,0)</f>
        <v>Despesas c/ Produto</v>
      </c>
      <c r="F969" t="str">
        <f>VLOOKUP(B969,Tabela_Auxiliar[],3,0)</f>
        <v>Saída</v>
      </c>
      <c r="G969" t="str">
        <f>UPPER(TEXT(Tabela_DB[[#This Row],[DATA]],"mmm"))</f>
        <v>MAR</v>
      </c>
      <c r="H969" t="str">
        <f>UPPER(TEXT(Tabela_DB[[#This Row],[DATA]],"aaaa"))</f>
        <v>2021</v>
      </c>
    </row>
    <row r="970" spans="1:8" x14ac:dyDescent="0.25">
      <c r="A970" s="2">
        <v>44256</v>
      </c>
      <c r="B970" t="s">
        <v>34</v>
      </c>
      <c r="C970">
        <v>-2414</v>
      </c>
      <c r="D970" t="str">
        <f>VLOOKUP(B970,Tabela_Auxiliar[],2,0)</f>
        <v>2. Deduções da Receita</v>
      </c>
      <c r="E970" t="str">
        <f>VLOOKUP(B970,Tabela_Auxiliar[],4,0)</f>
        <v>Imposto</v>
      </c>
      <c r="F970" t="str">
        <f>VLOOKUP(B970,Tabela_Auxiliar[],3,0)</f>
        <v>Saída</v>
      </c>
      <c r="G970" t="str">
        <f>UPPER(TEXT(Tabela_DB[[#This Row],[DATA]],"mmm"))</f>
        <v>MAR</v>
      </c>
      <c r="H970" t="str">
        <f>UPPER(TEXT(Tabela_DB[[#This Row],[DATA]],"aaaa"))</f>
        <v>2021</v>
      </c>
    </row>
    <row r="971" spans="1:8" x14ac:dyDescent="0.25">
      <c r="A971" s="2">
        <v>44256</v>
      </c>
      <c r="B971" t="s">
        <v>52</v>
      </c>
      <c r="C971">
        <v>-1801</v>
      </c>
      <c r="D971" t="str">
        <f>VLOOKUP(B971,Tabela_Auxiliar[],2,0)</f>
        <v>4. Despesas Operacionais</v>
      </c>
      <c r="E971" t="str">
        <f>VLOOKUP(B971,Tabela_Auxiliar[],4,0)</f>
        <v>Despesa com Pessoal</v>
      </c>
      <c r="F971" t="str">
        <f>VLOOKUP(B971,Tabela_Auxiliar[],3,0)</f>
        <v>Saída</v>
      </c>
      <c r="G971" t="str">
        <f>UPPER(TEXT(Tabela_DB[[#This Row],[DATA]],"mmm"))</f>
        <v>MAR</v>
      </c>
      <c r="H971" t="str">
        <f>UPPER(TEXT(Tabela_DB[[#This Row],[DATA]],"aaaa"))</f>
        <v>2021</v>
      </c>
    </row>
    <row r="972" spans="1:8" x14ac:dyDescent="0.25">
      <c r="A972" s="2">
        <v>44256</v>
      </c>
      <c r="B972" t="s">
        <v>88</v>
      </c>
      <c r="C972">
        <v>-1025</v>
      </c>
      <c r="D972" t="str">
        <f>VLOOKUP(B972,Tabela_Auxiliar[],2,0)</f>
        <v>4. Despesas Operacionais</v>
      </c>
      <c r="E972" t="str">
        <f>VLOOKUP(B972,Tabela_Auxiliar[],4,0)</f>
        <v>Despesa Tributária</v>
      </c>
      <c r="F972" t="str">
        <f>VLOOKUP(B972,Tabela_Auxiliar[],3,0)</f>
        <v>Saída</v>
      </c>
      <c r="G972" t="str">
        <f>UPPER(TEXT(Tabela_DB[[#This Row],[DATA]],"mmm"))</f>
        <v>MAR</v>
      </c>
      <c r="H972" t="str">
        <f>UPPER(TEXT(Tabela_DB[[#This Row],[DATA]],"aaaa"))</f>
        <v>2021</v>
      </c>
    </row>
    <row r="973" spans="1:8" x14ac:dyDescent="0.25">
      <c r="A973" s="2">
        <v>44256</v>
      </c>
      <c r="B973" t="s">
        <v>35</v>
      </c>
      <c r="C973">
        <v>-1978</v>
      </c>
      <c r="D973" t="str">
        <f>VLOOKUP(B973,Tabela_Auxiliar[],2,0)</f>
        <v>2. Deduções da Receita</v>
      </c>
      <c r="E973" t="str">
        <f>VLOOKUP(B973,Tabela_Auxiliar[],4,0)</f>
        <v>Imposto</v>
      </c>
      <c r="F973" t="str">
        <f>VLOOKUP(B973,Tabela_Auxiliar[],3,0)</f>
        <v>Saída</v>
      </c>
      <c r="G973" t="str">
        <f>UPPER(TEXT(Tabela_DB[[#This Row],[DATA]],"mmm"))</f>
        <v>MAR</v>
      </c>
      <c r="H973" t="str">
        <f>UPPER(TEXT(Tabela_DB[[#This Row],[DATA]],"aaaa"))</f>
        <v>2021</v>
      </c>
    </row>
    <row r="974" spans="1:8" x14ac:dyDescent="0.25">
      <c r="A974" s="2">
        <v>44256</v>
      </c>
      <c r="B974" t="s">
        <v>37</v>
      </c>
      <c r="C974">
        <v>-3291</v>
      </c>
      <c r="D974" t="str">
        <f>VLOOKUP(B974,Tabela_Auxiliar[],2,0)</f>
        <v>3. Custos do Produto/Mercadoria/Serviço</v>
      </c>
      <c r="E974" t="str">
        <f>VLOOKUP(B974,Tabela_Auxiliar[],4,0)</f>
        <v>Despesas c/ Produto</v>
      </c>
      <c r="F974" t="str">
        <f>VLOOKUP(B974,Tabela_Auxiliar[],3,0)</f>
        <v>Saída</v>
      </c>
      <c r="G974" t="str">
        <f>UPPER(TEXT(Tabela_DB[[#This Row],[DATA]],"mmm"))</f>
        <v>MAR</v>
      </c>
      <c r="H974" t="str">
        <f>UPPER(TEXT(Tabela_DB[[#This Row],[DATA]],"aaaa"))</f>
        <v>2021</v>
      </c>
    </row>
    <row r="975" spans="1:8" x14ac:dyDescent="0.25">
      <c r="A975" s="2">
        <v>44256</v>
      </c>
      <c r="B975" t="s">
        <v>65</v>
      </c>
      <c r="C975">
        <v>-1905</v>
      </c>
      <c r="D975" t="str">
        <f>VLOOKUP(B975,Tabela_Auxiliar[],2,0)</f>
        <v>4. Despesas Operacionais</v>
      </c>
      <c r="E975" t="str">
        <f>VLOOKUP(B975,Tabela_Auxiliar[],4,0)</f>
        <v>Despesa Gerais</v>
      </c>
      <c r="F975" t="str">
        <f>VLOOKUP(B975,Tabela_Auxiliar[],3,0)</f>
        <v>Saída</v>
      </c>
      <c r="G975" t="str">
        <f>UPPER(TEXT(Tabela_DB[[#This Row],[DATA]],"mmm"))</f>
        <v>MAR</v>
      </c>
      <c r="H975" t="str">
        <f>UPPER(TEXT(Tabela_DB[[#This Row],[DATA]],"aaaa"))</f>
        <v>2021</v>
      </c>
    </row>
    <row r="976" spans="1:8" x14ac:dyDescent="0.25">
      <c r="A976" s="2">
        <v>44257</v>
      </c>
      <c r="B976" t="s">
        <v>3</v>
      </c>
      <c r="C976">
        <v>13429</v>
      </c>
      <c r="D976" t="str">
        <f>VLOOKUP(B976,Tabela_Auxiliar[],2,0)</f>
        <v>1. Receita Operacional Bruta</v>
      </c>
      <c r="E976" t="str">
        <f>VLOOKUP(B976,Tabela_Auxiliar[],4,0)</f>
        <v>Receita Bruta</v>
      </c>
      <c r="F976" t="str">
        <f>VLOOKUP(B976,Tabela_Auxiliar[],3,0)</f>
        <v>Entrada</v>
      </c>
      <c r="G976" t="str">
        <f>UPPER(TEXT(Tabela_DB[[#This Row],[DATA]],"mmm"))</f>
        <v>MAR</v>
      </c>
      <c r="H976" t="str">
        <f>UPPER(TEXT(Tabela_DB[[#This Row],[DATA]],"aaaa"))</f>
        <v>2021</v>
      </c>
    </row>
    <row r="977" spans="1:8" x14ac:dyDescent="0.25">
      <c r="A977" s="2">
        <v>44257</v>
      </c>
      <c r="B977" t="s">
        <v>111</v>
      </c>
      <c r="C977">
        <v>-1678</v>
      </c>
      <c r="D977" t="str">
        <f>VLOOKUP(B977,Tabela_Auxiliar[],2,0)</f>
        <v>2. Deduções da Receita</v>
      </c>
      <c r="E977" t="str">
        <f>VLOOKUP(B977,Tabela_Auxiliar[],4,0)</f>
        <v>Imposto</v>
      </c>
      <c r="F977" t="str">
        <f>VLOOKUP(B977,Tabela_Auxiliar[],3,0)</f>
        <v>Saída</v>
      </c>
      <c r="G977" t="str">
        <f>UPPER(TEXT(Tabela_DB[[#This Row],[DATA]],"mmm"))</f>
        <v>MAR</v>
      </c>
      <c r="H977" t="str">
        <f>UPPER(TEXT(Tabela_DB[[#This Row],[DATA]],"aaaa"))</f>
        <v>2021</v>
      </c>
    </row>
    <row r="978" spans="1:8" x14ac:dyDescent="0.25">
      <c r="A978" s="2">
        <v>44257</v>
      </c>
      <c r="B978" t="s">
        <v>83</v>
      </c>
      <c r="C978">
        <v>-1805</v>
      </c>
      <c r="D978" t="str">
        <f>VLOOKUP(B978,Tabela_Auxiliar[],2,0)</f>
        <v>4. Despesas Operacionais</v>
      </c>
      <c r="E978" t="str">
        <f>VLOOKUP(B978,Tabela_Auxiliar[],4,0)</f>
        <v>Despesa com Veículos</v>
      </c>
      <c r="F978" t="str">
        <f>VLOOKUP(B978,Tabela_Auxiliar[],3,0)</f>
        <v>Saída</v>
      </c>
      <c r="G978" t="str">
        <f>UPPER(TEXT(Tabela_DB[[#This Row],[DATA]],"mmm"))</f>
        <v>MAR</v>
      </c>
      <c r="H978" t="str">
        <f>UPPER(TEXT(Tabela_DB[[#This Row],[DATA]],"aaaa"))</f>
        <v>2021</v>
      </c>
    </row>
    <row r="979" spans="1:8" x14ac:dyDescent="0.25">
      <c r="A979" s="2">
        <v>44257</v>
      </c>
      <c r="B979" t="s">
        <v>35</v>
      </c>
      <c r="C979">
        <v>-1280</v>
      </c>
      <c r="D979" t="str">
        <f>VLOOKUP(B979,Tabela_Auxiliar[],2,0)</f>
        <v>2. Deduções da Receita</v>
      </c>
      <c r="E979" t="str">
        <f>VLOOKUP(B979,Tabela_Auxiliar[],4,0)</f>
        <v>Imposto</v>
      </c>
      <c r="F979" t="str">
        <f>VLOOKUP(B979,Tabela_Auxiliar[],3,0)</f>
        <v>Saída</v>
      </c>
      <c r="G979" t="str">
        <f>UPPER(TEXT(Tabela_DB[[#This Row],[DATA]],"mmm"))</f>
        <v>MAR</v>
      </c>
      <c r="H979" t="str">
        <f>UPPER(TEXT(Tabela_DB[[#This Row],[DATA]],"aaaa"))</f>
        <v>2021</v>
      </c>
    </row>
    <row r="980" spans="1:8" x14ac:dyDescent="0.25">
      <c r="A980" s="2">
        <v>44257</v>
      </c>
      <c r="B980" t="s">
        <v>4</v>
      </c>
      <c r="C980">
        <v>13819</v>
      </c>
      <c r="D980" t="str">
        <f>VLOOKUP(B980,Tabela_Auxiliar[],2,0)</f>
        <v>1. Receita Operacional Bruta</v>
      </c>
      <c r="E980" t="str">
        <f>VLOOKUP(B980,Tabela_Auxiliar[],4,0)</f>
        <v>Receita Bruta</v>
      </c>
      <c r="F980" t="str">
        <f>VLOOKUP(B980,Tabela_Auxiliar[],3,0)</f>
        <v>Entrada</v>
      </c>
      <c r="G980" t="str">
        <f>UPPER(TEXT(Tabela_DB[[#This Row],[DATA]],"mmm"))</f>
        <v>MAR</v>
      </c>
      <c r="H980" t="str">
        <f>UPPER(TEXT(Tabela_DB[[#This Row],[DATA]],"aaaa"))</f>
        <v>2021</v>
      </c>
    </row>
    <row r="981" spans="1:8" x14ac:dyDescent="0.25">
      <c r="A981" s="2">
        <v>44257</v>
      </c>
      <c r="B981" t="s">
        <v>34</v>
      </c>
      <c r="C981">
        <v>-1913</v>
      </c>
      <c r="D981" t="str">
        <f>VLOOKUP(B981,Tabela_Auxiliar[],2,0)</f>
        <v>2. Deduções da Receita</v>
      </c>
      <c r="E981" t="str">
        <f>VLOOKUP(B981,Tabela_Auxiliar[],4,0)</f>
        <v>Imposto</v>
      </c>
      <c r="F981" t="str">
        <f>VLOOKUP(B981,Tabela_Auxiliar[],3,0)</f>
        <v>Saída</v>
      </c>
      <c r="G981" t="str">
        <f>UPPER(TEXT(Tabela_DB[[#This Row],[DATA]],"mmm"))</f>
        <v>MAR</v>
      </c>
      <c r="H981" t="str">
        <f>UPPER(TEXT(Tabela_DB[[#This Row],[DATA]],"aaaa"))</f>
        <v>2021</v>
      </c>
    </row>
    <row r="982" spans="1:8" x14ac:dyDescent="0.25">
      <c r="A982" s="2">
        <v>44257</v>
      </c>
      <c r="B982" t="s">
        <v>34</v>
      </c>
      <c r="C982">
        <v>-1578</v>
      </c>
      <c r="D982" t="str">
        <f>VLOOKUP(B982,Tabela_Auxiliar[],2,0)</f>
        <v>2. Deduções da Receita</v>
      </c>
      <c r="E982" t="str">
        <f>VLOOKUP(B982,Tabela_Auxiliar[],4,0)</f>
        <v>Imposto</v>
      </c>
      <c r="F982" t="str">
        <f>VLOOKUP(B982,Tabela_Auxiliar[],3,0)</f>
        <v>Saída</v>
      </c>
      <c r="G982" t="str">
        <f>UPPER(TEXT(Tabela_DB[[#This Row],[DATA]],"mmm"))</f>
        <v>MAR</v>
      </c>
      <c r="H982" t="str">
        <f>UPPER(TEXT(Tabela_DB[[#This Row],[DATA]],"aaaa"))</f>
        <v>2021</v>
      </c>
    </row>
    <row r="983" spans="1:8" x14ac:dyDescent="0.25">
      <c r="A983" s="2">
        <v>44257</v>
      </c>
      <c r="B983" t="s">
        <v>111</v>
      </c>
      <c r="C983">
        <v>-2265</v>
      </c>
      <c r="D983" t="str">
        <f>VLOOKUP(B983,Tabela_Auxiliar[],2,0)</f>
        <v>2. Deduções da Receita</v>
      </c>
      <c r="E983" t="str">
        <f>VLOOKUP(B983,Tabela_Auxiliar[],4,0)</f>
        <v>Imposto</v>
      </c>
      <c r="F983" t="str">
        <f>VLOOKUP(B983,Tabela_Auxiliar[],3,0)</f>
        <v>Saída</v>
      </c>
      <c r="G983" t="str">
        <f>UPPER(TEXT(Tabela_DB[[#This Row],[DATA]],"mmm"))</f>
        <v>MAR</v>
      </c>
      <c r="H983" t="str">
        <f>UPPER(TEXT(Tabela_DB[[#This Row],[DATA]],"aaaa"))</f>
        <v>2021</v>
      </c>
    </row>
    <row r="984" spans="1:8" x14ac:dyDescent="0.25">
      <c r="A984" s="2">
        <v>44257</v>
      </c>
      <c r="B984" t="s">
        <v>111</v>
      </c>
      <c r="C984">
        <v>-1822</v>
      </c>
      <c r="D984" t="str">
        <f>VLOOKUP(B984,Tabela_Auxiliar[],2,0)</f>
        <v>2. Deduções da Receita</v>
      </c>
      <c r="E984" t="str">
        <f>VLOOKUP(B984,Tabela_Auxiliar[],4,0)</f>
        <v>Imposto</v>
      </c>
      <c r="F984" t="str">
        <f>VLOOKUP(B984,Tabela_Auxiliar[],3,0)</f>
        <v>Saída</v>
      </c>
      <c r="G984" t="str">
        <f>UPPER(TEXT(Tabela_DB[[#This Row],[DATA]],"mmm"))</f>
        <v>MAR</v>
      </c>
      <c r="H984" t="str">
        <f>UPPER(TEXT(Tabela_DB[[#This Row],[DATA]],"aaaa"))</f>
        <v>2021</v>
      </c>
    </row>
    <row r="985" spans="1:8" x14ac:dyDescent="0.25">
      <c r="A985" s="2">
        <v>44257</v>
      </c>
      <c r="B985" t="s">
        <v>37</v>
      </c>
      <c r="C985">
        <v>-4989</v>
      </c>
      <c r="D985" t="str">
        <f>VLOOKUP(B985,Tabela_Auxiliar[],2,0)</f>
        <v>3. Custos do Produto/Mercadoria/Serviço</v>
      </c>
      <c r="E985" t="str">
        <f>VLOOKUP(B985,Tabela_Auxiliar[],4,0)</f>
        <v>Despesas c/ Produto</v>
      </c>
      <c r="F985" t="str">
        <f>VLOOKUP(B985,Tabela_Auxiliar[],3,0)</f>
        <v>Saída</v>
      </c>
      <c r="G985" t="str">
        <f>UPPER(TEXT(Tabela_DB[[#This Row],[DATA]],"mmm"))</f>
        <v>MAR</v>
      </c>
      <c r="H985" t="str">
        <f>UPPER(TEXT(Tabela_DB[[#This Row],[DATA]],"aaaa"))</f>
        <v>2021</v>
      </c>
    </row>
    <row r="986" spans="1:8" x14ac:dyDescent="0.25">
      <c r="A986" s="2">
        <v>44257</v>
      </c>
      <c r="B986" t="s">
        <v>34</v>
      </c>
      <c r="C986">
        <v>-1104</v>
      </c>
      <c r="D986" t="str">
        <f>VLOOKUP(B986,Tabela_Auxiliar[],2,0)</f>
        <v>2. Deduções da Receita</v>
      </c>
      <c r="E986" t="str">
        <f>VLOOKUP(B986,Tabela_Auxiliar[],4,0)</f>
        <v>Imposto</v>
      </c>
      <c r="F986" t="str">
        <f>VLOOKUP(B986,Tabela_Auxiliar[],3,0)</f>
        <v>Saída</v>
      </c>
      <c r="G986" t="str">
        <f>UPPER(TEXT(Tabela_DB[[#This Row],[DATA]],"mmm"))</f>
        <v>MAR</v>
      </c>
      <c r="H986" t="str">
        <f>UPPER(TEXT(Tabela_DB[[#This Row],[DATA]],"aaaa"))</f>
        <v>2021</v>
      </c>
    </row>
    <row r="987" spans="1:8" x14ac:dyDescent="0.25">
      <c r="A987" s="2">
        <v>44257</v>
      </c>
      <c r="B987" t="s">
        <v>8</v>
      </c>
      <c r="C987">
        <v>-1006</v>
      </c>
      <c r="D987" t="str">
        <f>VLOOKUP(B987,Tabela_Auxiliar[],2,0)</f>
        <v>4. Despesas Operacionais</v>
      </c>
      <c r="E987" t="str">
        <f>VLOOKUP(B987,Tabela_Auxiliar[],4,0)</f>
        <v>Despesa com Pessoal</v>
      </c>
      <c r="F987" t="str">
        <f>VLOOKUP(B987,Tabela_Auxiliar[],3,0)</f>
        <v>Saída</v>
      </c>
      <c r="G987" t="str">
        <f>UPPER(TEXT(Tabela_DB[[#This Row],[DATA]],"mmm"))</f>
        <v>MAR</v>
      </c>
      <c r="H987" t="str">
        <f>UPPER(TEXT(Tabela_DB[[#This Row],[DATA]],"aaaa"))</f>
        <v>2021</v>
      </c>
    </row>
    <row r="988" spans="1:8" x14ac:dyDescent="0.25">
      <c r="A988" s="2">
        <v>44257</v>
      </c>
      <c r="B988" t="s">
        <v>4</v>
      </c>
      <c r="C988">
        <v>14686</v>
      </c>
      <c r="D988" t="str">
        <f>VLOOKUP(B988,Tabela_Auxiliar[],2,0)</f>
        <v>1. Receita Operacional Bruta</v>
      </c>
      <c r="E988" t="str">
        <f>VLOOKUP(B988,Tabela_Auxiliar[],4,0)</f>
        <v>Receita Bruta</v>
      </c>
      <c r="F988" t="str">
        <f>VLOOKUP(B988,Tabela_Auxiliar[],3,0)</f>
        <v>Entrada</v>
      </c>
      <c r="G988" t="str">
        <f>UPPER(TEXT(Tabela_DB[[#This Row],[DATA]],"mmm"))</f>
        <v>MAR</v>
      </c>
      <c r="H988" t="str">
        <f>UPPER(TEXT(Tabela_DB[[#This Row],[DATA]],"aaaa"))</f>
        <v>2021</v>
      </c>
    </row>
    <row r="989" spans="1:8" x14ac:dyDescent="0.25">
      <c r="A989" s="2">
        <v>44257</v>
      </c>
      <c r="B989" t="s">
        <v>111</v>
      </c>
      <c r="C989">
        <v>-2400</v>
      </c>
      <c r="D989" t="str">
        <f>VLOOKUP(B989,Tabela_Auxiliar[],2,0)</f>
        <v>2. Deduções da Receita</v>
      </c>
      <c r="E989" t="str">
        <f>VLOOKUP(B989,Tabela_Auxiliar[],4,0)</f>
        <v>Imposto</v>
      </c>
      <c r="F989" t="str">
        <f>VLOOKUP(B989,Tabela_Auxiliar[],3,0)</f>
        <v>Saída</v>
      </c>
      <c r="G989" t="str">
        <f>UPPER(TEXT(Tabela_DB[[#This Row],[DATA]],"mmm"))</f>
        <v>MAR</v>
      </c>
      <c r="H989" t="str">
        <f>UPPER(TEXT(Tabela_DB[[#This Row],[DATA]],"aaaa"))</f>
        <v>2021</v>
      </c>
    </row>
    <row r="990" spans="1:8" x14ac:dyDescent="0.25">
      <c r="A990" s="2">
        <v>44257</v>
      </c>
      <c r="B990" t="s">
        <v>4</v>
      </c>
      <c r="C990">
        <v>12050</v>
      </c>
      <c r="D990" t="str">
        <f>VLOOKUP(B990,Tabela_Auxiliar[],2,0)</f>
        <v>1. Receita Operacional Bruta</v>
      </c>
      <c r="E990" t="str">
        <f>VLOOKUP(B990,Tabela_Auxiliar[],4,0)</f>
        <v>Receita Bruta</v>
      </c>
      <c r="F990" t="str">
        <f>VLOOKUP(B990,Tabela_Auxiliar[],3,0)</f>
        <v>Entrada</v>
      </c>
      <c r="G990" t="str">
        <f>UPPER(TEXT(Tabela_DB[[#This Row],[DATA]],"mmm"))</f>
        <v>MAR</v>
      </c>
      <c r="H990" t="str">
        <f>UPPER(TEXT(Tabela_DB[[#This Row],[DATA]],"aaaa"))</f>
        <v>2021</v>
      </c>
    </row>
    <row r="991" spans="1:8" x14ac:dyDescent="0.25">
      <c r="A991" s="2">
        <v>44257</v>
      </c>
      <c r="B991" t="s">
        <v>35</v>
      </c>
      <c r="C991">
        <v>-1375</v>
      </c>
      <c r="D991" t="str">
        <f>VLOOKUP(B991,Tabela_Auxiliar[],2,0)</f>
        <v>2. Deduções da Receita</v>
      </c>
      <c r="E991" t="str">
        <f>VLOOKUP(B991,Tabela_Auxiliar[],4,0)</f>
        <v>Imposto</v>
      </c>
      <c r="F991" t="str">
        <f>VLOOKUP(B991,Tabela_Auxiliar[],3,0)</f>
        <v>Saída</v>
      </c>
      <c r="G991" t="str">
        <f>UPPER(TEXT(Tabela_DB[[#This Row],[DATA]],"mmm"))</f>
        <v>MAR</v>
      </c>
      <c r="H991" t="str">
        <f>UPPER(TEXT(Tabela_DB[[#This Row],[DATA]],"aaaa"))</f>
        <v>2021</v>
      </c>
    </row>
    <row r="992" spans="1:8" x14ac:dyDescent="0.25">
      <c r="A992" s="2">
        <v>44257</v>
      </c>
      <c r="B992" t="s">
        <v>37</v>
      </c>
      <c r="C992">
        <v>-3457</v>
      </c>
      <c r="D992" t="str">
        <f>VLOOKUP(B992,Tabela_Auxiliar[],2,0)</f>
        <v>3. Custos do Produto/Mercadoria/Serviço</v>
      </c>
      <c r="E992" t="str">
        <f>VLOOKUP(B992,Tabela_Auxiliar[],4,0)</f>
        <v>Despesas c/ Produto</v>
      </c>
      <c r="F992" t="str">
        <f>VLOOKUP(B992,Tabela_Auxiliar[],3,0)</f>
        <v>Saída</v>
      </c>
      <c r="G992" t="str">
        <f>UPPER(TEXT(Tabela_DB[[#This Row],[DATA]],"mmm"))</f>
        <v>MAR</v>
      </c>
      <c r="H992" t="str">
        <f>UPPER(TEXT(Tabela_DB[[#This Row],[DATA]],"aaaa"))</f>
        <v>2021</v>
      </c>
    </row>
    <row r="993" spans="1:8" x14ac:dyDescent="0.25">
      <c r="A993" s="2">
        <v>44257</v>
      </c>
      <c r="B993" t="s">
        <v>35</v>
      </c>
      <c r="C993">
        <v>-1179</v>
      </c>
      <c r="D993" t="str">
        <f>VLOOKUP(B993,Tabela_Auxiliar[],2,0)</f>
        <v>2. Deduções da Receita</v>
      </c>
      <c r="E993" t="str">
        <f>VLOOKUP(B993,Tabela_Auxiliar[],4,0)</f>
        <v>Imposto</v>
      </c>
      <c r="F993" t="str">
        <f>VLOOKUP(B993,Tabela_Auxiliar[],3,0)</f>
        <v>Saída</v>
      </c>
      <c r="G993" t="str">
        <f>UPPER(TEXT(Tabela_DB[[#This Row],[DATA]],"mmm"))</f>
        <v>MAR</v>
      </c>
      <c r="H993" t="str">
        <f>UPPER(TEXT(Tabela_DB[[#This Row],[DATA]],"aaaa"))</f>
        <v>2021</v>
      </c>
    </row>
    <row r="994" spans="1:8" x14ac:dyDescent="0.25">
      <c r="A994" s="2">
        <v>44258</v>
      </c>
      <c r="B994" t="s">
        <v>35</v>
      </c>
      <c r="C994">
        <v>-1283</v>
      </c>
      <c r="D994" t="str">
        <f>VLOOKUP(B994,Tabela_Auxiliar[],2,0)</f>
        <v>2. Deduções da Receita</v>
      </c>
      <c r="E994" t="str">
        <f>VLOOKUP(B994,Tabela_Auxiliar[],4,0)</f>
        <v>Imposto</v>
      </c>
      <c r="F994" t="str">
        <f>VLOOKUP(B994,Tabela_Auxiliar[],3,0)</f>
        <v>Saída</v>
      </c>
      <c r="G994" t="str">
        <f>UPPER(TEXT(Tabela_DB[[#This Row],[DATA]],"mmm"))</f>
        <v>MAR</v>
      </c>
      <c r="H994" t="str">
        <f>UPPER(TEXT(Tabela_DB[[#This Row],[DATA]],"aaaa"))</f>
        <v>2021</v>
      </c>
    </row>
    <row r="995" spans="1:8" x14ac:dyDescent="0.25">
      <c r="A995" s="2">
        <v>44258</v>
      </c>
      <c r="B995" t="s">
        <v>3</v>
      </c>
      <c r="C995">
        <v>11622</v>
      </c>
      <c r="D995" t="str">
        <f>VLOOKUP(B995,Tabela_Auxiliar[],2,0)</f>
        <v>1. Receita Operacional Bruta</v>
      </c>
      <c r="E995" t="str">
        <f>VLOOKUP(B995,Tabela_Auxiliar[],4,0)</f>
        <v>Receita Bruta</v>
      </c>
      <c r="F995" t="str">
        <f>VLOOKUP(B995,Tabela_Auxiliar[],3,0)</f>
        <v>Entrada</v>
      </c>
      <c r="G995" t="str">
        <f>UPPER(TEXT(Tabela_DB[[#This Row],[DATA]],"mmm"))</f>
        <v>MAR</v>
      </c>
      <c r="H995" t="str">
        <f>UPPER(TEXT(Tabela_DB[[#This Row],[DATA]],"aaaa"))</f>
        <v>2021</v>
      </c>
    </row>
    <row r="996" spans="1:8" x14ac:dyDescent="0.25">
      <c r="A996" s="2">
        <v>44258</v>
      </c>
      <c r="B996" t="s">
        <v>34</v>
      </c>
      <c r="C996">
        <v>-1429</v>
      </c>
      <c r="D996" t="str">
        <f>VLOOKUP(B996,Tabela_Auxiliar[],2,0)</f>
        <v>2. Deduções da Receita</v>
      </c>
      <c r="E996" t="str">
        <f>VLOOKUP(B996,Tabela_Auxiliar[],4,0)</f>
        <v>Imposto</v>
      </c>
      <c r="F996" t="str">
        <f>VLOOKUP(B996,Tabela_Auxiliar[],3,0)</f>
        <v>Saída</v>
      </c>
      <c r="G996" t="str">
        <f>UPPER(TEXT(Tabela_DB[[#This Row],[DATA]],"mmm"))</f>
        <v>MAR</v>
      </c>
      <c r="H996" t="str">
        <f>UPPER(TEXT(Tabela_DB[[#This Row],[DATA]],"aaaa"))</f>
        <v>2021</v>
      </c>
    </row>
    <row r="997" spans="1:8" x14ac:dyDescent="0.25">
      <c r="A997" s="2">
        <v>44258</v>
      </c>
      <c r="B997" t="s">
        <v>37</v>
      </c>
      <c r="C997">
        <v>-4920</v>
      </c>
      <c r="D997" t="str">
        <f>VLOOKUP(B997,Tabela_Auxiliar[],2,0)</f>
        <v>3. Custos do Produto/Mercadoria/Serviço</v>
      </c>
      <c r="E997" t="str">
        <f>VLOOKUP(B997,Tabela_Auxiliar[],4,0)</f>
        <v>Despesas c/ Produto</v>
      </c>
      <c r="F997" t="str">
        <f>VLOOKUP(B997,Tabela_Auxiliar[],3,0)</f>
        <v>Saída</v>
      </c>
      <c r="G997" t="str">
        <f>UPPER(TEXT(Tabela_DB[[#This Row],[DATA]],"mmm"))</f>
        <v>MAR</v>
      </c>
      <c r="H997" t="str">
        <f>UPPER(TEXT(Tabela_DB[[#This Row],[DATA]],"aaaa"))</f>
        <v>2021</v>
      </c>
    </row>
    <row r="998" spans="1:8" x14ac:dyDescent="0.25">
      <c r="A998" s="2">
        <v>44258</v>
      </c>
      <c r="B998" t="s">
        <v>37</v>
      </c>
      <c r="C998">
        <v>-2722</v>
      </c>
      <c r="D998" t="str">
        <f>VLOOKUP(B998,Tabela_Auxiliar[],2,0)</f>
        <v>3. Custos do Produto/Mercadoria/Serviço</v>
      </c>
      <c r="E998" t="str">
        <f>VLOOKUP(B998,Tabela_Auxiliar[],4,0)</f>
        <v>Despesas c/ Produto</v>
      </c>
      <c r="F998" t="str">
        <f>VLOOKUP(B998,Tabela_Auxiliar[],3,0)</f>
        <v>Saída</v>
      </c>
      <c r="G998" t="str">
        <f>UPPER(TEXT(Tabela_DB[[#This Row],[DATA]],"mmm"))</f>
        <v>MAR</v>
      </c>
      <c r="H998" t="str">
        <f>UPPER(TEXT(Tabela_DB[[#This Row],[DATA]],"aaaa"))</f>
        <v>2021</v>
      </c>
    </row>
    <row r="999" spans="1:8" x14ac:dyDescent="0.25">
      <c r="A999" s="2">
        <v>44258</v>
      </c>
      <c r="B999" t="s">
        <v>37</v>
      </c>
      <c r="C999">
        <v>-4883</v>
      </c>
      <c r="D999" t="str">
        <f>VLOOKUP(B999,Tabela_Auxiliar[],2,0)</f>
        <v>3. Custos do Produto/Mercadoria/Serviço</v>
      </c>
      <c r="E999" t="str">
        <f>VLOOKUP(B999,Tabela_Auxiliar[],4,0)</f>
        <v>Despesas c/ Produto</v>
      </c>
      <c r="F999" t="str">
        <f>VLOOKUP(B999,Tabela_Auxiliar[],3,0)</f>
        <v>Saída</v>
      </c>
      <c r="G999" t="str">
        <f>UPPER(TEXT(Tabela_DB[[#This Row],[DATA]],"mmm"))</f>
        <v>MAR</v>
      </c>
      <c r="H999" t="str">
        <f>UPPER(TEXT(Tabela_DB[[#This Row],[DATA]],"aaaa"))</f>
        <v>2021</v>
      </c>
    </row>
    <row r="1000" spans="1:8" x14ac:dyDescent="0.25">
      <c r="A1000" s="2">
        <v>44258</v>
      </c>
      <c r="B1000" t="s">
        <v>4</v>
      </c>
      <c r="C1000">
        <v>12832</v>
      </c>
      <c r="D1000" t="str">
        <f>VLOOKUP(B1000,Tabela_Auxiliar[],2,0)</f>
        <v>1. Receita Operacional Bruta</v>
      </c>
      <c r="E1000" t="str">
        <f>VLOOKUP(B1000,Tabela_Auxiliar[],4,0)</f>
        <v>Receita Bruta</v>
      </c>
      <c r="F1000" t="str">
        <f>VLOOKUP(B1000,Tabela_Auxiliar[],3,0)</f>
        <v>Entrada</v>
      </c>
      <c r="G1000" t="str">
        <f>UPPER(TEXT(Tabela_DB[[#This Row],[DATA]],"mmm"))</f>
        <v>MAR</v>
      </c>
      <c r="H1000" t="str">
        <f>UPPER(TEXT(Tabela_DB[[#This Row],[DATA]],"aaaa"))</f>
        <v>2021</v>
      </c>
    </row>
    <row r="1001" spans="1:8" x14ac:dyDescent="0.25">
      <c r="A1001" s="2">
        <v>44258</v>
      </c>
      <c r="B1001" t="s">
        <v>35</v>
      </c>
      <c r="C1001">
        <v>-1124</v>
      </c>
      <c r="D1001" t="str">
        <f>VLOOKUP(B1001,Tabela_Auxiliar[],2,0)</f>
        <v>2. Deduções da Receita</v>
      </c>
      <c r="E1001" t="str">
        <f>VLOOKUP(B1001,Tabela_Auxiliar[],4,0)</f>
        <v>Imposto</v>
      </c>
      <c r="F1001" t="str">
        <f>VLOOKUP(B1001,Tabela_Auxiliar[],3,0)</f>
        <v>Saída</v>
      </c>
      <c r="G1001" t="str">
        <f>UPPER(TEXT(Tabela_DB[[#This Row],[DATA]],"mmm"))</f>
        <v>MAR</v>
      </c>
      <c r="H1001" t="str">
        <f>UPPER(TEXT(Tabela_DB[[#This Row],[DATA]],"aaaa"))</f>
        <v>2021</v>
      </c>
    </row>
    <row r="1002" spans="1:8" x14ac:dyDescent="0.25">
      <c r="A1002" s="2">
        <v>44258</v>
      </c>
      <c r="B1002" t="s">
        <v>65</v>
      </c>
      <c r="C1002">
        <v>-2169</v>
      </c>
      <c r="D1002" t="str">
        <f>VLOOKUP(B1002,Tabela_Auxiliar[],2,0)</f>
        <v>4. Despesas Operacionais</v>
      </c>
      <c r="E1002" t="str">
        <f>VLOOKUP(B1002,Tabela_Auxiliar[],4,0)</f>
        <v>Despesa Gerais</v>
      </c>
      <c r="F1002" t="str">
        <f>VLOOKUP(B1002,Tabela_Auxiliar[],3,0)</f>
        <v>Saída</v>
      </c>
      <c r="G1002" t="str">
        <f>UPPER(TEXT(Tabela_DB[[#This Row],[DATA]],"mmm"))</f>
        <v>MAR</v>
      </c>
      <c r="H1002" t="str">
        <f>UPPER(TEXT(Tabela_DB[[#This Row],[DATA]],"aaaa"))</f>
        <v>2021</v>
      </c>
    </row>
    <row r="1003" spans="1:8" x14ac:dyDescent="0.25">
      <c r="A1003" s="2">
        <v>44258</v>
      </c>
      <c r="B1003" t="s">
        <v>38</v>
      </c>
      <c r="C1003">
        <v>-1431</v>
      </c>
      <c r="D1003" t="str">
        <f>VLOOKUP(B1003,Tabela_Auxiliar[],2,0)</f>
        <v>2. Deduções da Receita</v>
      </c>
      <c r="E1003" t="str">
        <f>VLOOKUP(B1003,Tabela_Auxiliar[],4,0)</f>
        <v>Deduções</v>
      </c>
      <c r="F1003" t="str">
        <f>VLOOKUP(B1003,Tabela_Auxiliar[],3,0)</f>
        <v>Saída</v>
      </c>
      <c r="G1003" t="str">
        <f>UPPER(TEXT(Tabela_DB[[#This Row],[DATA]],"mmm"))</f>
        <v>MAR</v>
      </c>
      <c r="H1003" t="str">
        <f>UPPER(TEXT(Tabela_DB[[#This Row],[DATA]],"aaaa"))</f>
        <v>2021</v>
      </c>
    </row>
    <row r="1004" spans="1:8" x14ac:dyDescent="0.25">
      <c r="A1004" s="2">
        <v>44258</v>
      </c>
      <c r="B1004" t="s">
        <v>4</v>
      </c>
      <c r="C1004">
        <v>11303</v>
      </c>
      <c r="D1004" t="str">
        <f>VLOOKUP(B1004,Tabela_Auxiliar[],2,0)</f>
        <v>1. Receita Operacional Bruta</v>
      </c>
      <c r="E1004" t="str">
        <f>VLOOKUP(B1004,Tabela_Auxiliar[],4,0)</f>
        <v>Receita Bruta</v>
      </c>
      <c r="F1004" t="str">
        <f>VLOOKUP(B1004,Tabela_Auxiliar[],3,0)</f>
        <v>Entrada</v>
      </c>
      <c r="G1004" t="str">
        <f>UPPER(TEXT(Tabela_DB[[#This Row],[DATA]],"mmm"))</f>
        <v>MAR</v>
      </c>
      <c r="H1004" t="str">
        <f>UPPER(TEXT(Tabela_DB[[#This Row],[DATA]],"aaaa"))</f>
        <v>2021</v>
      </c>
    </row>
    <row r="1005" spans="1:8" x14ac:dyDescent="0.25">
      <c r="A1005" s="2">
        <v>44258</v>
      </c>
      <c r="B1005" t="s">
        <v>3</v>
      </c>
      <c r="C1005">
        <v>14855</v>
      </c>
      <c r="D1005" t="str">
        <f>VLOOKUP(B1005,Tabela_Auxiliar[],2,0)</f>
        <v>1. Receita Operacional Bruta</v>
      </c>
      <c r="E1005" t="str">
        <f>VLOOKUP(B1005,Tabela_Auxiliar[],4,0)</f>
        <v>Receita Bruta</v>
      </c>
      <c r="F1005" t="str">
        <f>VLOOKUP(B1005,Tabela_Auxiliar[],3,0)</f>
        <v>Entrada</v>
      </c>
      <c r="G1005" t="str">
        <f>UPPER(TEXT(Tabela_DB[[#This Row],[DATA]],"mmm"))</f>
        <v>MAR</v>
      </c>
      <c r="H1005" t="str">
        <f>UPPER(TEXT(Tabela_DB[[#This Row],[DATA]],"aaaa"))</f>
        <v>2021</v>
      </c>
    </row>
    <row r="1006" spans="1:8" x14ac:dyDescent="0.25">
      <c r="A1006" s="2">
        <v>44258</v>
      </c>
      <c r="B1006" t="s">
        <v>3</v>
      </c>
      <c r="C1006">
        <v>11755</v>
      </c>
      <c r="D1006" t="str">
        <f>VLOOKUP(B1006,Tabela_Auxiliar[],2,0)</f>
        <v>1. Receita Operacional Bruta</v>
      </c>
      <c r="E1006" t="str">
        <f>VLOOKUP(B1006,Tabela_Auxiliar[],4,0)</f>
        <v>Receita Bruta</v>
      </c>
      <c r="F1006" t="str">
        <f>VLOOKUP(B1006,Tabela_Auxiliar[],3,0)</f>
        <v>Entrada</v>
      </c>
      <c r="G1006" t="str">
        <f>UPPER(TEXT(Tabela_DB[[#This Row],[DATA]],"mmm"))</f>
        <v>MAR</v>
      </c>
      <c r="H1006" t="str">
        <f>UPPER(TEXT(Tabela_DB[[#This Row],[DATA]],"aaaa"))</f>
        <v>2021</v>
      </c>
    </row>
    <row r="1007" spans="1:8" x14ac:dyDescent="0.25">
      <c r="A1007" s="2">
        <v>44258</v>
      </c>
      <c r="B1007" t="s">
        <v>34</v>
      </c>
      <c r="C1007">
        <v>-1230</v>
      </c>
      <c r="D1007" t="str">
        <f>VLOOKUP(B1007,Tabela_Auxiliar[],2,0)</f>
        <v>2. Deduções da Receita</v>
      </c>
      <c r="E1007" t="str">
        <f>VLOOKUP(B1007,Tabela_Auxiliar[],4,0)</f>
        <v>Imposto</v>
      </c>
      <c r="F1007" t="str">
        <f>VLOOKUP(B1007,Tabela_Auxiliar[],3,0)</f>
        <v>Saída</v>
      </c>
      <c r="G1007" t="str">
        <f>UPPER(TEXT(Tabela_DB[[#This Row],[DATA]],"mmm"))</f>
        <v>MAR</v>
      </c>
      <c r="H1007" t="str">
        <f>UPPER(TEXT(Tabela_DB[[#This Row],[DATA]],"aaaa"))</f>
        <v>2021</v>
      </c>
    </row>
    <row r="1008" spans="1:8" x14ac:dyDescent="0.25">
      <c r="A1008" s="2">
        <v>44258</v>
      </c>
      <c r="B1008" t="s">
        <v>34</v>
      </c>
      <c r="C1008">
        <v>-1998</v>
      </c>
      <c r="D1008" t="str">
        <f>VLOOKUP(B1008,Tabela_Auxiliar[],2,0)</f>
        <v>2. Deduções da Receita</v>
      </c>
      <c r="E1008" t="str">
        <f>VLOOKUP(B1008,Tabela_Auxiliar[],4,0)</f>
        <v>Imposto</v>
      </c>
      <c r="F1008" t="str">
        <f>VLOOKUP(B1008,Tabela_Auxiliar[],3,0)</f>
        <v>Saída</v>
      </c>
      <c r="G1008" t="str">
        <f>UPPER(TEXT(Tabela_DB[[#This Row],[DATA]],"mmm"))</f>
        <v>MAR</v>
      </c>
      <c r="H1008" t="str">
        <f>UPPER(TEXT(Tabela_DB[[#This Row],[DATA]],"aaaa"))</f>
        <v>2021</v>
      </c>
    </row>
    <row r="1009" spans="1:8" x14ac:dyDescent="0.25">
      <c r="A1009" s="2">
        <v>44258</v>
      </c>
      <c r="B1009" t="s">
        <v>51</v>
      </c>
      <c r="C1009">
        <v>-1596</v>
      </c>
      <c r="D1009" t="str">
        <f>VLOOKUP(B1009,Tabela_Auxiliar[],2,0)</f>
        <v>4. Despesas Operacionais</v>
      </c>
      <c r="E1009" t="str">
        <f>VLOOKUP(B1009,Tabela_Auxiliar[],4,0)</f>
        <v>Despesa com Pessoal</v>
      </c>
      <c r="F1009" t="str">
        <f>VLOOKUP(B1009,Tabela_Auxiliar[],3,0)</f>
        <v>Saída</v>
      </c>
      <c r="G1009" t="str">
        <f>UPPER(TEXT(Tabela_DB[[#This Row],[DATA]],"mmm"))</f>
        <v>MAR</v>
      </c>
      <c r="H1009" t="str">
        <f>UPPER(TEXT(Tabela_DB[[#This Row],[DATA]],"aaaa"))</f>
        <v>2021</v>
      </c>
    </row>
    <row r="1010" spans="1:8" x14ac:dyDescent="0.25">
      <c r="A1010" s="2">
        <v>44258</v>
      </c>
      <c r="B1010" t="s">
        <v>4</v>
      </c>
      <c r="C1010">
        <v>14016</v>
      </c>
      <c r="D1010" t="str">
        <f>VLOOKUP(B1010,Tabela_Auxiliar[],2,0)</f>
        <v>1. Receita Operacional Bruta</v>
      </c>
      <c r="E1010" t="str">
        <f>VLOOKUP(B1010,Tabela_Auxiliar[],4,0)</f>
        <v>Receita Bruta</v>
      </c>
      <c r="F1010" t="str">
        <f>VLOOKUP(B1010,Tabela_Auxiliar[],3,0)</f>
        <v>Entrada</v>
      </c>
      <c r="G1010" t="str">
        <f>UPPER(TEXT(Tabela_DB[[#This Row],[DATA]],"mmm"))</f>
        <v>MAR</v>
      </c>
      <c r="H1010" t="str">
        <f>UPPER(TEXT(Tabela_DB[[#This Row],[DATA]],"aaaa"))</f>
        <v>2021</v>
      </c>
    </row>
    <row r="1011" spans="1:8" x14ac:dyDescent="0.25">
      <c r="A1011" s="2">
        <v>44258</v>
      </c>
      <c r="B1011" t="s">
        <v>76</v>
      </c>
      <c r="C1011">
        <v>-1773</v>
      </c>
      <c r="D1011" t="str">
        <f>VLOOKUP(B1011,Tabela_Auxiliar[],2,0)</f>
        <v>4. Despesas Operacionais</v>
      </c>
      <c r="E1011" t="str">
        <f>VLOOKUP(B1011,Tabela_Auxiliar[],4,0)</f>
        <v>Serviços Contratados</v>
      </c>
      <c r="F1011" t="str">
        <f>VLOOKUP(B1011,Tabela_Auxiliar[],3,0)</f>
        <v>Saída</v>
      </c>
      <c r="G1011" t="str">
        <f>UPPER(TEXT(Tabela_DB[[#This Row],[DATA]],"mmm"))</f>
        <v>MAR</v>
      </c>
      <c r="H1011" t="str">
        <f>UPPER(TEXT(Tabela_DB[[#This Row],[DATA]],"aaaa"))</f>
        <v>2021</v>
      </c>
    </row>
    <row r="1012" spans="1:8" x14ac:dyDescent="0.25">
      <c r="A1012" s="2">
        <v>44259</v>
      </c>
      <c r="B1012" t="s">
        <v>49</v>
      </c>
      <c r="C1012">
        <v>-1628</v>
      </c>
      <c r="D1012" t="str">
        <f>VLOOKUP(B1012,Tabela_Auxiliar[],2,0)</f>
        <v>4. Despesas Operacionais</v>
      </c>
      <c r="E1012" t="str">
        <f>VLOOKUP(B1012,Tabela_Auxiliar[],4,0)</f>
        <v>Despesa com Pessoal</v>
      </c>
      <c r="F1012" t="str">
        <f>VLOOKUP(B1012,Tabela_Auxiliar[],3,0)</f>
        <v>Saída</v>
      </c>
      <c r="G1012" t="str">
        <f>UPPER(TEXT(Tabela_DB[[#This Row],[DATA]],"mmm"))</f>
        <v>MAR</v>
      </c>
      <c r="H1012" t="str">
        <f>UPPER(TEXT(Tabela_DB[[#This Row],[DATA]],"aaaa"))</f>
        <v>2021</v>
      </c>
    </row>
    <row r="1013" spans="1:8" x14ac:dyDescent="0.25">
      <c r="A1013" s="2">
        <v>44259</v>
      </c>
      <c r="B1013" t="s">
        <v>4</v>
      </c>
      <c r="C1013">
        <v>10416</v>
      </c>
      <c r="D1013" t="str">
        <f>VLOOKUP(B1013,Tabela_Auxiliar[],2,0)</f>
        <v>1. Receita Operacional Bruta</v>
      </c>
      <c r="E1013" t="str">
        <f>VLOOKUP(B1013,Tabela_Auxiliar[],4,0)</f>
        <v>Receita Bruta</v>
      </c>
      <c r="F1013" t="str">
        <f>VLOOKUP(B1013,Tabela_Auxiliar[],3,0)</f>
        <v>Entrada</v>
      </c>
      <c r="G1013" t="str">
        <f>UPPER(TEXT(Tabela_DB[[#This Row],[DATA]],"mmm"))</f>
        <v>MAR</v>
      </c>
      <c r="H1013" t="str">
        <f>UPPER(TEXT(Tabela_DB[[#This Row],[DATA]],"aaaa"))</f>
        <v>2021</v>
      </c>
    </row>
    <row r="1014" spans="1:8" x14ac:dyDescent="0.25">
      <c r="A1014" s="2">
        <v>44259</v>
      </c>
      <c r="B1014" t="s">
        <v>79</v>
      </c>
      <c r="C1014">
        <v>-1920</v>
      </c>
      <c r="D1014" t="str">
        <f>VLOOKUP(B1014,Tabela_Auxiliar[],2,0)</f>
        <v>4. Despesas Operacionais</v>
      </c>
      <c r="E1014" t="str">
        <f>VLOOKUP(B1014,Tabela_Auxiliar[],4,0)</f>
        <v>Serviços Contratados</v>
      </c>
      <c r="F1014" t="str">
        <f>VLOOKUP(B1014,Tabela_Auxiliar[],3,0)</f>
        <v>Saída</v>
      </c>
      <c r="G1014" t="str">
        <f>UPPER(TEXT(Tabela_DB[[#This Row],[DATA]],"mmm"))</f>
        <v>MAR</v>
      </c>
      <c r="H1014" t="str">
        <f>UPPER(TEXT(Tabela_DB[[#This Row],[DATA]],"aaaa"))</f>
        <v>2021</v>
      </c>
    </row>
    <row r="1015" spans="1:8" x14ac:dyDescent="0.25">
      <c r="A1015" s="2">
        <v>44259</v>
      </c>
      <c r="B1015" t="s">
        <v>3</v>
      </c>
      <c r="C1015">
        <v>13462</v>
      </c>
      <c r="D1015" t="str">
        <f>VLOOKUP(B1015,Tabela_Auxiliar[],2,0)</f>
        <v>1. Receita Operacional Bruta</v>
      </c>
      <c r="E1015" t="str">
        <f>VLOOKUP(B1015,Tabela_Auxiliar[],4,0)</f>
        <v>Receita Bruta</v>
      </c>
      <c r="F1015" t="str">
        <f>VLOOKUP(B1015,Tabela_Auxiliar[],3,0)</f>
        <v>Entrada</v>
      </c>
      <c r="G1015" t="str">
        <f>UPPER(TEXT(Tabela_DB[[#This Row],[DATA]],"mmm"))</f>
        <v>MAR</v>
      </c>
      <c r="H1015" t="str">
        <f>UPPER(TEXT(Tabela_DB[[#This Row],[DATA]],"aaaa"))</f>
        <v>2021</v>
      </c>
    </row>
    <row r="1016" spans="1:8" x14ac:dyDescent="0.25">
      <c r="A1016" s="2">
        <v>44259</v>
      </c>
      <c r="B1016" t="s">
        <v>35</v>
      </c>
      <c r="C1016">
        <v>-2044</v>
      </c>
      <c r="D1016" t="str">
        <f>VLOOKUP(B1016,Tabela_Auxiliar[],2,0)</f>
        <v>2. Deduções da Receita</v>
      </c>
      <c r="E1016" t="str">
        <f>VLOOKUP(B1016,Tabela_Auxiliar[],4,0)</f>
        <v>Imposto</v>
      </c>
      <c r="F1016" t="str">
        <f>VLOOKUP(B1016,Tabela_Auxiliar[],3,0)</f>
        <v>Saída</v>
      </c>
      <c r="G1016" t="str">
        <f>UPPER(TEXT(Tabela_DB[[#This Row],[DATA]],"mmm"))</f>
        <v>MAR</v>
      </c>
      <c r="H1016" t="str">
        <f>UPPER(TEXT(Tabela_DB[[#This Row],[DATA]],"aaaa"))</f>
        <v>2021</v>
      </c>
    </row>
    <row r="1017" spans="1:8" x14ac:dyDescent="0.25">
      <c r="A1017" s="2">
        <v>44259</v>
      </c>
      <c r="B1017" t="s">
        <v>4</v>
      </c>
      <c r="C1017">
        <v>10926</v>
      </c>
      <c r="D1017" t="str">
        <f>VLOOKUP(B1017,Tabela_Auxiliar[],2,0)</f>
        <v>1. Receita Operacional Bruta</v>
      </c>
      <c r="E1017" t="str">
        <f>VLOOKUP(B1017,Tabela_Auxiliar[],4,0)</f>
        <v>Receita Bruta</v>
      </c>
      <c r="F1017" t="str">
        <f>VLOOKUP(B1017,Tabela_Auxiliar[],3,0)</f>
        <v>Entrada</v>
      </c>
      <c r="G1017" t="str">
        <f>UPPER(TEXT(Tabela_DB[[#This Row],[DATA]],"mmm"))</f>
        <v>MAR</v>
      </c>
      <c r="H1017" t="str">
        <f>UPPER(TEXT(Tabela_DB[[#This Row],[DATA]],"aaaa"))</f>
        <v>2021</v>
      </c>
    </row>
    <row r="1018" spans="1:8" x14ac:dyDescent="0.25">
      <c r="A1018" s="2">
        <v>44259</v>
      </c>
      <c r="B1018" t="s">
        <v>3</v>
      </c>
      <c r="C1018">
        <v>12501</v>
      </c>
      <c r="D1018" t="str">
        <f>VLOOKUP(B1018,Tabela_Auxiliar[],2,0)</f>
        <v>1. Receita Operacional Bruta</v>
      </c>
      <c r="E1018" t="str">
        <f>VLOOKUP(B1018,Tabela_Auxiliar[],4,0)</f>
        <v>Receita Bruta</v>
      </c>
      <c r="F1018" t="str">
        <f>VLOOKUP(B1018,Tabela_Auxiliar[],3,0)</f>
        <v>Entrada</v>
      </c>
      <c r="G1018" t="str">
        <f>UPPER(TEXT(Tabela_DB[[#This Row],[DATA]],"mmm"))</f>
        <v>MAR</v>
      </c>
      <c r="H1018" t="str">
        <f>UPPER(TEXT(Tabela_DB[[#This Row],[DATA]],"aaaa"))</f>
        <v>2021</v>
      </c>
    </row>
    <row r="1019" spans="1:8" x14ac:dyDescent="0.25">
      <c r="A1019" s="2">
        <v>44259</v>
      </c>
      <c r="B1019" t="s">
        <v>4</v>
      </c>
      <c r="C1019">
        <v>13063</v>
      </c>
      <c r="D1019" t="str">
        <f>VLOOKUP(B1019,Tabela_Auxiliar[],2,0)</f>
        <v>1. Receita Operacional Bruta</v>
      </c>
      <c r="E1019" t="str">
        <f>VLOOKUP(B1019,Tabela_Auxiliar[],4,0)</f>
        <v>Receita Bruta</v>
      </c>
      <c r="F1019" t="str">
        <f>VLOOKUP(B1019,Tabela_Auxiliar[],3,0)</f>
        <v>Entrada</v>
      </c>
      <c r="G1019" t="str">
        <f>UPPER(TEXT(Tabela_DB[[#This Row],[DATA]],"mmm"))</f>
        <v>MAR</v>
      </c>
      <c r="H1019" t="str">
        <f>UPPER(TEXT(Tabela_DB[[#This Row],[DATA]],"aaaa"))</f>
        <v>2021</v>
      </c>
    </row>
    <row r="1020" spans="1:8" x14ac:dyDescent="0.25">
      <c r="A1020" s="2">
        <v>44259</v>
      </c>
      <c r="B1020" t="s">
        <v>3</v>
      </c>
      <c r="C1020">
        <v>14069</v>
      </c>
      <c r="D1020" t="str">
        <f>VLOOKUP(B1020,Tabela_Auxiliar[],2,0)</f>
        <v>1. Receita Operacional Bruta</v>
      </c>
      <c r="E1020" t="str">
        <f>VLOOKUP(B1020,Tabela_Auxiliar[],4,0)</f>
        <v>Receita Bruta</v>
      </c>
      <c r="F1020" t="str">
        <f>VLOOKUP(B1020,Tabela_Auxiliar[],3,0)</f>
        <v>Entrada</v>
      </c>
      <c r="G1020" t="str">
        <f>UPPER(TEXT(Tabela_DB[[#This Row],[DATA]],"mmm"))</f>
        <v>MAR</v>
      </c>
      <c r="H1020" t="str">
        <f>UPPER(TEXT(Tabela_DB[[#This Row],[DATA]],"aaaa"))</f>
        <v>2021</v>
      </c>
    </row>
    <row r="1021" spans="1:8" x14ac:dyDescent="0.25">
      <c r="A1021" s="2">
        <v>44259</v>
      </c>
      <c r="B1021" t="s">
        <v>52</v>
      </c>
      <c r="C1021">
        <v>-1185</v>
      </c>
      <c r="D1021" t="str">
        <f>VLOOKUP(B1021,Tabela_Auxiliar[],2,0)</f>
        <v>4. Despesas Operacionais</v>
      </c>
      <c r="E1021" t="str">
        <f>VLOOKUP(B1021,Tabela_Auxiliar[],4,0)</f>
        <v>Despesa com Pessoal</v>
      </c>
      <c r="F1021" t="str">
        <f>VLOOKUP(B1021,Tabela_Auxiliar[],3,0)</f>
        <v>Saída</v>
      </c>
      <c r="G1021" t="str">
        <f>UPPER(TEXT(Tabela_DB[[#This Row],[DATA]],"mmm"))</f>
        <v>MAR</v>
      </c>
      <c r="H1021" t="str">
        <f>UPPER(TEXT(Tabela_DB[[#This Row],[DATA]],"aaaa"))</f>
        <v>2021</v>
      </c>
    </row>
    <row r="1022" spans="1:8" x14ac:dyDescent="0.25">
      <c r="A1022" s="2">
        <v>44259</v>
      </c>
      <c r="B1022" t="s">
        <v>34</v>
      </c>
      <c r="C1022">
        <v>-2003</v>
      </c>
      <c r="D1022" t="str">
        <f>VLOOKUP(B1022,Tabela_Auxiliar[],2,0)</f>
        <v>2. Deduções da Receita</v>
      </c>
      <c r="E1022" t="str">
        <f>VLOOKUP(B1022,Tabela_Auxiliar[],4,0)</f>
        <v>Imposto</v>
      </c>
      <c r="F1022" t="str">
        <f>VLOOKUP(B1022,Tabela_Auxiliar[],3,0)</f>
        <v>Saída</v>
      </c>
      <c r="G1022" t="str">
        <f>UPPER(TEXT(Tabela_DB[[#This Row],[DATA]],"mmm"))</f>
        <v>MAR</v>
      </c>
      <c r="H1022" t="str">
        <f>UPPER(TEXT(Tabela_DB[[#This Row],[DATA]],"aaaa"))</f>
        <v>2021</v>
      </c>
    </row>
    <row r="1023" spans="1:8" x14ac:dyDescent="0.25">
      <c r="A1023" s="2">
        <v>44259</v>
      </c>
      <c r="B1023" t="s">
        <v>4</v>
      </c>
      <c r="C1023">
        <v>11229</v>
      </c>
      <c r="D1023" t="str">
        <f>VLOOKUP(B1023,Tabela_Auxiliar[],2,0)</f>
        <v>1. Receita Operacional Bruta</v>
      </c>
      <c r="E1023" t="str">
        <f>VLOOKUP(B1023,Tabela_Auxiliar[],4,0)</f>
        <v>Receita Bruta</v>
      </c>
      <c r="F1023" t="str">
        <f>VLOOKUP(B1023,Tabela_Auxiliar[],3,0)</f>
        <v>Entrada</v>
      </c>
      <c r="G1023" t="str">
        <f>UPPER(TEXT(Tabela_DB[[#This Row],[DATA]],"mmm"))</f>
        <v>MAR</v>
      </c>
      <c r="H1023" t="str">
        <f>UPPER(TEXT(Tabela_DB[[#This Row],[DATA]],"aaaa"))</f>
        <v>2021</v>
      </c>
    </row>
    <row r="1024" spans="1:8" x14ac:dyDescent="0.25">
      <c r="A1024" s="2">
        <v>44259</v>
      </c>
      <c r="B1024" t="s">
        <v>111</v>
      </c>
      <c r="C1024">
        <v>-1580</v>
      </c>
      <c r="D1024" t="str">
        <f>VLOOKUP(B1024,Tabela_Auxiliar[],2,0)</f>
        <v>2. Deduções da Receita</v>
      </c>
      <c r="E1024" t="str">
        <f>VLOOKUP(B1024,Tabela_Auxiliar[],4,0)</f>
        <v>Imposto</v>
      </c>
      <c r="F1024" t="str">
        <f>VLOOKUP(B1024,Tabela_Auxiliar[],3,0)</f>
        <v>Saída</v>
      </c>
      <c r="G1024" t="str">
        <f>UPPER(TEXT(Tabela_DB[[#This Row],[DATA]],"mmm"))</f>
        <v>MAR</v>
      </c>
      <c r="H1024" t="str">
        <f>UPPER(TEXT(Tabela_DB[[#This Row],[DATA]],"aaaa"))</f>
        <v>2021</v>
      </c>
    </row>
    <row r="1025" spans="1:8" x14ac:dyDescent="0.25">
      <c r="A1025" s="2">
        <v>44259</v>
      </c>
      <c r="B1025" t="s">
        <v>44</v>
      </c>
      <c r="C1025">
        <v>-1639</v>
      </c>
      <c r="D1025" t="str">
        <f>VLOOKUP(B1025,Tabela_Auxiliar[],2,0)</f>
        <v>4. Despesas Operacionais</v>
      </c>
      <c r="E1025" t="str">
        <f>VLOOKUP(B1025,Tabela_Auxiliar[],4,0)</f>
        <v>Despesa com Pessoal</v>
      </c>
      <c r="F1025" t="str">
        <f>VLOOKUP(B1025,Tabela_Auxiliar[],3,0)</f>
        <v>Saída</v>
      </c>
      <c r="G1025" t="str">
        <f>UPPER(TEXT(Tabela_DB[[#This Row],[DATA]],"mmm"))</f>
        <v>MAR</v>
      </c>
      <c r="H1025" t="str">
        <f>UPPER(TEXT(Tabela_DB[[#This Row],[DATA]],"aaaa"))</f>
        <v>2021</v>
      </c>
    </row>
    <row r="1026" spans="1:8" x14ac:dyDescent="0.25">
      <c r="A1026" s="2">
        <v>44259</v>
      </c>
      <c r="B1026" t="s">
        <v>89</v>
      </c>
      <c r="C1026">
        <v>-1899</v>
      </c>
      <c r="D1026" t="str">
        <f>VLOOKUP(B1026,Tabela_Auxiliar[],2,0)</f>
        <v>4. Despesas Operacionais</v>
      </c>
      <c r="E1026" t="str">
        <f>VLOOKUP(B1026,Tabela_Auxiliar[],4,0)</f>
        <v>Despesa Tributária</v>
      </c>
      <c r="F1026" t="str">
        <f>VLOOKUP(B1026,Tabela_Auxiliar[],3,0)</f>
        <v>Saída</v>
      </c>
      <c r="G1026" t="str">
        <f>UPPER(TEXT(Tabela_DB[[#This Row],[DATA]],"mmm"))</f>
        <v>MAR</v>
      </c>
      <c r="H1026" t="str">
        <f>UPPER(TEXT(Tabela_DB[[#This Row],[DATA]],"aaaa"))</f>
        <v>2021</v>
      </c>
    </row>
    <row r="1027" spans="1:8" x14ac:dyDescent="0.25">
      <c r="A1027" s="2">
        <v>44259</v>
      </c>
      <c r="B1027" t="s">
        <v>3</v>
      </c>
      <c r="C1027">
        <v>11644</v>
      </c>
      <c r="D1027" t="str">
        <f>VLOOKUP(B1027,Tabela_Auxiliar[],2,0)</f>
        <v>1. Receita Operacional Bruta</v>
      </c>
      <c r="E1027" t="str">
        <f>VLOOKUP(B1027,Tabela_Auxiliar[],4,0)</f>
        <v>Receita Bruta</v>
      </c>
      <c r="F1027" t="str">
        <f>VLOOKUP(B1027,Tabela_Auxiliar[],3,0)</f>
        <v>Entrada</v>
      </c>
      <c r="G1027" t="str">
        <f>UPPER(TEXT(Tabela_DB[[#This Row],[DATA]],"mmm"))</f>
        <v>MAR</v>
      </c>
      <c r="H1027" t="str">
        <f>UPPER(TEXT(Tabela_DB[[#This Row],[DATA]],"aaaa"))</f>
        <v>2021</v>
      </c>
    </row>
    <row r="1028" spans="1:8" x14ac:dyDescent="0.25">
      <c r="A1028" s="2">
        <v>44260</v>
      </c>
      <c r="B1028" t="s">
        <v>34</v>
      </c>
      <c r="C1028">
        <v>-1871</v>
      </c>
      <c r="D1028" t="str">
        <f>VLOOKUP(B1028,Tabela_Auxiliar[],2,0)</f>
        <v>2. Deduções da Receita</v>
      </c>
      <c r="E1028" t="str">
        <f>VLOOKUP(B1028,Tabela_Auxiliar[],4,0)</f>
        <v>Imposto</v>
      </c>
      <c r="F1028" t="str">
        <f>VLOOKUP(B1028,Tabela_Auxiliar[],3,0)</f>
        <v>Saída</v>
      </c>
      <c r="G1028" t="str">
        <f>UPPER(TEXT(Tabela_DB[[#This Row],[DATA]],"mmm"))</f>
        <v>MAR</v>
      </c>
      <c r="H1028" t="str">
        <f>UPPER(TEXT(Tabela_DB[[#This Row],[DATA]],"aaaa"))</f>
        <v>2021</v>
      </c>
    </row>
    <row r="1029" spans="1:8" x14ac:dyDescent="0.25">
      <c r="A1029" s="2">
        <v>44260</v>
      </c>
      <c r="B1029" t="s">
        <v>90</v>
      </c>
      <c r="C1029">
        <v>-2317</v>
      </c>
      <c r="D1029" t="str">
        <f>VLOOKUP(B1029,Tabela_Auxiliar[],2,0)</f>
        <v>4. Despesas Operacionais</v>
      </c>
      <c r="E1029" t="str">
        <f>VLOOKUP(B1029,Tabela_Auxiliar[],4,0)</f>
        <v>Despesa Tributária</v>
      </c>
      <c r="F1029" t="str">
        <f>VLOOKUP(B1029,Tabela_Auxiliar[],3,0)</f>
        <v>Saída</v>
      </c>
      <c r="G1029" t="str">
        <f>UPPER(TEXT(Tabela_DB[[#This Row],[DATA]],"mmm"))</f>
        <v>MAR</v>
      </c>
      <c r="H1029" t="str">
        <f>UPPER(TEXT(Tabela_DB[[#This Row],[DATA]],"aaaa"))</f>
        <v>2021</v>
      </c>
    </row>
    <row r="1030" spans="1:8" x14ac:dyDescent="0.25">
      <c r="A1030" s="2">
        <v>44260</v>
      </c>
      <c r="B1030" t="s">
        <v>35</v>
      </c>
      <c r="C1030">
        <v>-1044</v>
      </c>
      <c r="D1030" t="str">
        <f>VLOOKUP(B1030,Tabela_Auxiliar[],2,0)</f>
        <v>2. Deduções da Receita</v>
      </c>
      <c r="E1030" t="str">
        <f>VLOOKUP(B1030,Tabela_Auxiliar[],4,0)</f>
        <v>Imposto</v>
      </c>
      <c r="F1030" t="str">
        <f>VLOOKUP(B1030,Tabela_Auxiliar[],3,0)</f>
        <v>Saída</v>
      </c>
      <c r="G1030" t="str">
        <f>UPPER(TEXT(Tabela_DB[[#This Row],[DATA]],"mmm"))</f>
        <v>MAR</v>
      </c>
      <c r="H1030" t="str">
        <f>UPPER(TEXT(Tabela_DB[[#This Row],[DATA]],"aaaa"))</f>
        <v>2021</v>
      </c>
    </row>
    <row r="1031" spans="1:8" x14ac:dyDescent="0.25">
      <c r="A1031" s="2">
        <v>44260</v>
      </c>
      <c r="B1031" t="s">
        <v>79</v>
      </c>
      <c r="C1031">
        <v>-2446</v>
      </c>
      <c r="D1031" t="str">
        <f>VLOOKUP(B1031,Tabela_Auxiliar[],2,0)</f>
        <v>4. Despesas Operacionais</v>
      </c>
      <c r="E1031" t="str">
        <f>VLOOKUP(B1031,Tabela_Auxiliar[],4,0)</f>
        <v>Serviços Contratados</v>
      </c>
      <c r="F1031" t="str">
        <f>VLOOKUP(B1031,Tabela_Auxiliar[],3,0)</f>
        <v>Saída</v>
      </c>
      <c r="G1031" t="str">
        <f>UPPER(TEXT(Tabela_DB[[#This Row],[DATA]],"mmm"))</f>
        <v>MAR</v>
      </c>
      <c r="H1031" t="str">
        <f>UPPER(TEXT(Tabela_DB[[#This Row],[DATA]],"aaaa"))</f>
        <v>2021</v>
      </c>
    </row>
    <row r="1032" spans="1:8" x14ac:dyDescent="0.25">
      <c r="A1032" s="2">
        <v>44260</v>
      </c>
      <c r="B1032" t="s">
        <v>111</v>
      </c>
      <c r="C1032">
        <v>-1540</v>
      </c>
      <c r="D1032" t="str">
        <f>VLOOKUP(B1032,Tabela_Auxiliar[],2,0)</f>
        <v>2. Deduções da Receita</v>
      </c>
      <c r="E1032" t="str">
        <f>VLOOKUP(B1032,Tabela_Auxiliar[],4,0)</f>
        <v>Imposto</v>
      </c>
      <c r="F1032" t="str">
        <f>VLOOKUP(B1032,Tabela_Auxiliar[],3,0)</f>
        <v>Saída</v>
      </c>
      <c r="G1032" t="str">
        <f>UPPER(TEXT(Tabela_DB[[#This Row],[DATA]],"mmm"))</f>
        <v>MAR</v>
      </c>
      <c r="H1032" t="str">
        <f>UPPER(TEXT(Tabela_DB[[#This Row],[DATA]],"aaaa"))</f>
        <v>2021</v>
      </c>
    </row>
    <row r="1033" spans="1:8" x14ac:dyDescent="0.25">
      <c r="A1033" s="2">
        <v>44260</v>
      </c>
      <c r="B1033" t="s">
        <v>59</v>
      </c>
      <c r="C1033">
        <v>-1620</v>
      </c>
      <c r="D1033" t="str">
        <f>VLOOKUP(B1033,Tabela_Auxiliar[],2,0)</f>
        <v>4. Despesas Operacionais</v>
      </c>
      <c r="E1033" t="str">
        <f>VLOOKUP(B1033,Tabela_Auxiliar[],4,0)</f>
        <v>Despesa de Depreciação</v>
      </c>
      <c r="F1033" t="str">
        <f>VLOOKUP(B1033,Tabela_Auxiliar[],3,0)</f>
        <v>Saída</v>
      </c>
      <c r="G1033" t="str">
        <f>UPPER(TEXT(Tabela_DB[[#This Row],[DATA]],"mmm"))</f>
        <v>MAR</v>
      </c>
      <c r="H1033" t="str">
        <f>UPPER(TEXT(Tabela_DB[[#This Row],[DATA]],"aaaa"))</f>
        <v>2021</v>
      </c>
    </row>
    <row r="1034" spans="1:8" x14ac:dyDescent="0.25">
      <c r="A1034" s="2">
        <v>44260</v>
      </c>
      <c r="B1034" t="s">
        <v>48</v>
      </c>
      <c r="C1034">
        <v>-1052</v>
      </c>
      <c r="D1034" t="str">
        <f>VLOOKUP(B1034,Tabela_Auxiliar[],2,0)</f>
        <v>4. Despesas Operacionais</v>
      </c>
      <c r="E1034" t="str">
        <f>VLOOKUP(B1034,Tabela_Auxiliar[],4,0)</f>
        <v>Despesa com Pessoal</v>
      </c>
      <c r="F1034" t="str">
        <f>VLOOKUP(B1034,Tabela_Auxiliar[],3,0)</f>
        <v>Saída</v>
      </c>
      <c r="G1034" t="str">
        <f>UPPER(TEXT(Tabela_DB[[#This Row],[DATA]],"mmm"))</f>
        <v>MAR</v>
      </c>
      <c r="H1034" t="str">
        <f>UPPER(TEXT(Tabela_DB[[#This Row],[DATA]],"aaaa"))</f>
        <v>2021</v>
      </c>
    </row>
    <row r="1035" spans="1:8" x14ac:dyDescent="0.25">
      <c r="A1035" s="2">
        <v>44260</v>
      </c>
      <c r="B1035" t="s">
        <v>35</v>
      </c>
      <c r="C1035">
        <v>-1212</v>
      </c>
      <c r="D1035" t="str">
        <f>VLOOKUP(B1035,Tabela_Auxiliar[],2,0)</f>
        <v>2. Deduções da Receita</v>
      </c>
      <c r="E1035" t="str">
        <f>VLOOKUP(B1035,Tabela_Auxiliar[],4,0)</f>
        <v>Imposto</v>
      </c>
      <c r="F1035" t="str">
        <f>VLOOKUP(B1035,Tabela_Auxiliar[],3,0)</f>
        <v>Saída</v>
      </c>
      <c r="G1035" t="str">
        <f>UPPER(TEXT(Tabela_DB[[#This Row],[DATA]],"mmm"))</f>
        <v>MAR</v>
      </c>
      <c r="H1035" t="str">
        <f>UPPER(TEXT(Tabela_DB[[#This Row],[DATA]],"aaaa"))</f>
        <v>2021</v>
      </c>
    </row>
    <row r="1036" spans="1:8" x14ac:dyDescent="0.25">
      <c r="A1036" s="2">
        <v>44260</v>
      </c>
      <c r="B1036" t="s">
        <v>55</v>
      </c>
      <c r="C1036">
        <v>-2348</v>
      </c>
      <c r="D1036" t="str">
        <f>VLOOKUP(B1036,Tabela_Auxiliar[],2,0)</f>
        <v>4. Despesas Operacionais</v>
      </c>
      <c r="E1036" t="str">
        <f>VLOOKUP(B1036,Tabela_Auxiliar[],4,0)</f>
        <v>Despesa com Pessoal</v>
      </c>
      <c r="F1036" t="str">
        <f>VLOOKUP(B1036,Tabela_Auxiliar[],3,0)</f>
        <v>Saída</v>
      </c>
      <c r="G1036" t="str">
        <f>UPPER(TEXT(Tabela_DB[[#This Row],[DATA]],"mmm"))</f>
        <v>MAR</v>
      </c>
      <c r="H1036" t="str">
        <f>UPPER(TEXT(Tabela_DB[[#This Row],[DATA]],"aaaa"))</f>
        <v>2021</v>
      </c>
    </row>
    <row r="1037" spans="1:8" x14ac:dyDescent="0.25">
      <c r="A1037" s="2">
        <v>44260</v>
      </c>
      <c r="B1037" t="s">
        <v>37</v>
      </c>
      <c r="C1037">
        <v>-3347</v>
      </c>
      <c r="D1037" t="str">
        <f>VLOOKUP(B1037,Tabela_Auxiliar[],2,0)</f>
        <v>3. Custos do Produto/Mercadoria/Serviço</v>
      </c>
      <c r="E1037" t="str">
        <f>VLOOKUP(B1037,Tabela_Auxiliar[],4,0)</f>
        <v>Despesas c/ Produto</v>
      </c>
      <c r="F1037" t="str">
        <f>VLOOKUP(B1037,Tabela_Auxiliar[],3,0)</f>
        <v>Saída</v>
      </c>
      <c r="G1037" t="str">
        <f>UPPER(TEXT(Tabela_DB[[#This Row],[DATA]],"mmm"))</f>
        <v>MAR</v>
      </c>
      <c r="H1037" t="str">
        <f>UPPER(TEXT(Tabela_DB[[#This Row],[DATA]],"aaaa"))</f>
        <v>2021</v>
      </c>
    </row>
    <row r="1038" spans="1:8" x14ac:dyDescent="0.25">
      <c r="A1038" s="2">
        <v>44260</v>
      </c>
      <c r="B1038" t="s">
        <v>51</v>
      </c>
      <c r="C1038">
        <v>-1688</v>
      </c>
      <c r="D1038" t="str">
        <f>VLOOKUP(B1038,Tabela_Auxiliar[],2,0)</f>
        <v>4. Despesas Operacionais</v>
      </c>
      <c r="E1038" t="str">
        <f>VLOOKUP(B1038,Tabela_Auxiliar[],4,0)</f>
        <v>Despesa com Pessoal</v>
      </c>
      <c r="F1038" t="str">
        <f>VLOOKUP(B1038,Tabela_Auxiliar[],3,0)</f>
        <v>Saída</v>
      </c>
      <c r="G1038" t="str">
        <f>UPPER(TEXT(Tabela_DB[[#This Row],[DATA]],"mmm"))</f>
        <v>MAR</v>
      </c>
      <c r="H1038" t="str">
        <f>UPPER(TEXT(Tabela_DB[[#This Row],[DATA]],"aaaa"))</f>
        <v>2021</v>
      </c>
    </row>
    <row r="1039" spans="1:8" x14ac:dyDescent="0.25">
      <c r="A1039" s="2">
        <v>44260</v>
      </c>
      <c r="B1039" t="s">
        <v>35</v>
      </c>
      <c r="C1039">
        <v>-2221</v>
      </c>
      <c r="D1039" t="str">
        <f>VLOOKUP(B1039,Tabela_Auxiliar[],2,0)</f>
        <v>2. Deduções da Receita</v>
      </c>
      <c r="E1039" t="str">
        <f>VLOOKUP(B1039,Tabela_Auxiliar[],4,0)</f>
        <v>Imposto</v>
      </c>
      <c r="F1039" t="str">
        <f>VLOOKUP(B1039,Tabela_Auxiliar[],3,0)</f>
        <v>Saída</v>
      </c>
      <c r="G1039" t="str">
        <f>UPPER(TEXT(Tabela_DB[[#This Row],[DATA]],"mmm"))</f>
        <v>MAR</v>
      </c>
      <c r="H1039" t="str">
        <f>UPPER(TEXT(Tabela_DB[[#This Row],[DATA]],"aaaa"))</f>
        <v>2021</v>
      </c>
    </row>
    <row r="1040" spans="1:8" x14ac:dyDescent="0.25">
      <c r="A1040" s="2">
        <v>44260</v>
      </c>
      <c r="B1040" t="s">
        <v>72</v>
      </c>
      <c r="C1040">
        <v>-1894</v>
      </c>
      <c r="D1040" t="str">
        <f>VLOOKUP(B1040,Tabela_Auxiliar[],2,0)</f>
        <v>4. Despesas Operacionais</v>
      </c>
      <c r="E1040" t="str">
        <f>VLOOKUP(B1040,Tabela_Auxiliar[],4,0)</f>
        <v>Despesa com Ocupação</v>
      </c>
      <c r="F1040" t="str">
        <f>VLOOKUP(B1040,Tabela_Auxiliar[],3,0)</f>
        <v>Saída</v>
      </c>
      <c r="G1040" t="str">
        <f>UPPER(TEXT(Tabela_DB[[#This Row],[DATA]],"mmm"))</f>
        <v>MAR</v>
      </c>
      <c r="H1040" t="str">
        <f>UPPER(TEXT(Tabela_DB[[#This Row],[DATA]],"aaaa"))</f>
        <v>2021</v>
      </c>
    </row>
    <row r="1041" spans="1:8" x14ac:dyDescent="0.25">
      <c r="A1041" s="2">
        <v>44260</v>
      </c>
      <c r="B1041" t="s">
        <v>35</v>
      </c>
      <c r="C1041">
        <v>-1918</v>
      </c>
      <c r="D1041" t="str">
        <f>VLOOKUP(B1041,Tabela_Auxiliar[],2,0)</f>
        <v>2. Deduções da Receita</v>
      </c>
      <c r="E1041" t="str">
        <f>VLOOKUP(B1041,Tabela_Auxiliar[],4,0)</f>
        <v>Imposto</v>
      </c>
      <c r="F1041" t="str">
        <f>VLOOKUP(B1041,Tabela_Auxiliar[],3,0)</f>
        <v>Saída</v>
      </c>
      <c r="G1041" t="str">
        <f>UPPER(TEXT(Tabela_DB[[#This Row],[DATA]],"mmm"))</f>
        <v>MAR</v>
      </c>
      <c r="H1041" t="str">
        <f>UPPER(TEXT(Tabela_DB[[#This Row],[DATA]],"aaaa"))</f>
        <v>2021</v>
      </c>
    </row>
    <row r="1042" spans="1:8" x14ac:dyDescent="0.25">
      <c r="A1042" s="2">
        <v>44260</v>
      </c>
      <c r="B1042" t="s">
        <v>34</v>
      </c>
      <c r="C1042">
        <v>-2456</v>
      </c>
      <c r="D1042" t="str">
        <f>VLOOKUP(B1042,Tabela_Auxiliar[],2,0)</f>
        <v>2. Deduções da Receita</v>
      </c>
      <c r="E1042" t="str">
        <f>VLOOKUP(B1042,Tabela_Auxiliar[],4,0)</f>
        <v>Imposto</v>
      </c>
      <c r="F1042" t="str">
        <f>VLOOKUP(B1042,Tabela_Auxiliar[],3,0)</f>
        <v>Saída</v>
      </c>
      <c r="G1042" t="str">
        <f>UPPER(TEXT(Tabela_DB[[#This Row],[DATA]],"mmm"))</f>
        <v>MAR</v>
      </c>
      <c r="H1042" t="str">
        <f>UPPER(TEXT(Tabela_DB[[#This Row],[DATA]],"aaaa"))</f>
        <v>2021</v>
      </c>
    </row>
    <row r="1043" spans="1:8" x14ac:dyDescent="0.25">
      <c r="A1043" s="2">
        <v>44260</v>
      </c>
      <c r="B1043" t="s">
        <v>4</v>
      </c>
      <c r="C1043">
        <v>12109</v>
      </c>
      <c r="D1043" t="str">
        <f>VLOOKUP(B1043,Tabela_Auxiliar[],2,0)</f>
        <v>1. Receita Operacional Bruta</v>
      </c>
      <c r="E1043" t="str">
        <f>VLOOKUP(B1043,Tabela_Auxiliar[],4,0)</f>
        <v>Receita Bruta</v>
      </c>
      <c r="F1043" t="str">
        <f>VLOOKUP(B1043,Tabela_Auxiliar[],3,0)</f>
        <v>Entrada</v>
      </c>
      <c r="G1043" t="str">
        <f>UPPER(TEXT(Tabela_DB[[#This Row],[DATA]],"mmm"))</f>
        <v>MAR</v>
      </c>
      <c r="H1043" t="str">
        <f>UPPER(TEXT(Tabela_DB[[#This Row],[DATA]],"aaaa"))</f>
        <v>2021</v>
      </c>
    </row>
    <row r="1044" spans="1:8" x14ac:dyDescent="0.25">
      <c r="A1044" s="2">
        <v>44260</v>
      </c>
      <c r="B1044" t="s">
        <v>34</v>
      </c>
      <c r="C1044">
        <v>-1867</v>
      </c>
      <c r="D1044" t="str">
        <f>VLOOKUP(B1044,Tabela_Auxiliar[],2,0)</f>
        <v>2. Deduções da Receita</v>
      </c>
      <c r="E1044" t="str">
        <f>VLOOKUP(B1044,Tabela_Auxiliar[],4,0)</f>
        <v>Imposto</v>
      </c>
      <c r="F1044" t="str">
        <f>VLOOKUP(B1044,Tabela_Auxiliar[],3,0)</f>
        <v>Saída</v>
      </c>
      <c r="G1044" t="str">
        <f>UPPER(TEXT(Tabela_DB[[#This Row],[DATA]],"mmm"))</f>
        <v>MAR</v>
      </c>
      <c r="H1044" t="str">
        <f>UPPER(TEXT(Tabela_DB[[#This Row],[DATA]],"aaaa"))</f>
        <v>2021</v>
      </c>
    </row>
    <row r="1045" spans="1:8" x14ac:dyDescent="0.25">
      <c r="A1045" s="2">
        <v>44260</v>
      </c>
      <c r="B1045" t="s">
        <v>47</v>
      </c>
      <c r="C1045">
        <v>-1013</v>
      </c>
      <c r="D1045" t="str">
        <f>VLOOKUP(B1045,Tabela_Auxiliar[],2,0)</f>
        <v>4. Despesas Operacionais</v>
      </c>
      <c r="E1045" t="str">
        <f>VLOOKUP(B1045,Tabela_Auxiliar[],4,0)</f>
        <v>Despesa com Pessoal</v>
      </c>
      <c r="F1045" t="str">
        <f>VLOOKUP(B1045,Tabela_Auxiliar[],3,0)</f>
        <v>Saída</v>
      </c>
      <c r="G1045" t="str">
        <f>UPPER(TEXT(Tabela_DB[[#This Row],[DATA]],"mmm"))</f>
        <v>MAR</v>
      </c>
      <c r="H1045" t="str">
        <f>UPPER(TEXT(Tabela_DB[[#This Row],[DATA]],"aaaa"))</f>
        <v>2021</v>
      </c>
    </row>
    <row r="1046" spans="1:8" x14ac:dyDescent="0.25">
      <c r="A1046" s="2">
        <v>44261</v>
      </c>
      <c r="B1046" t="s">
        <v>37</v>
      </c>
      <c r="C1046">
        <v>-3231</v>
      </c>
      <c r="D1046" t="str">
        <f>VLOOKUP(B1046,Tabela_Auxiliar[],2,0)</f>
        <v>3. Custos do Produto/Mercadoria/Serviço</v>
      </c>
      <c r="E1046" t="str">
        <f>VLOOKUP(B1046,Tabela_Auxiliar[],4,0)</f>
        <v>Despesas c/ Produto</v>
      </c>
      <c r="F1046" t="str">
        <f>VLOOKUP(B1046,Tabela_Auxiliar[],3,0)</f>
        <v>Saída</v>
      </c>
      <c r="G1046" t="str">
        <f>UPPER(TEXT(Tabela_DB[[#This Row],[DATA]],"mmm"))</f>
        <v>MAR</v>
      </c>
      <c r="H1046" t="str">
        <f>UPPER(TEXT(Tabela_DB[[#This Row],[DATA]],"aaaa"))</f>
        <v>2021</v>
      </c>
    </row>
    <row r="1047" spans="1:8" x14ac:dyDescent="0.25">
      <c r="A1047" s="2">
        <v>44261</v>
      </c>
      <c r="B1047" t="s">
        <v>90</v>
      </c>
      <c r="C1047">
        <v>-1124</v>
      </c>
      <c r="D1047" t="str">
        <f>VLOOKUP(B1047,Tabela_Auxiliar[],2,0)</f>
        <v>4. Despesas Operacionais</v>
      </c>
      <c r="E1047" t="str">
        <f>VLOOKUP(B1047,Tabela_Auxiliar[],4,0)</f>
        <v>Despesa Tributária</v>
      </c>
      <c r="F1047" t="str">
        <f>VLOOKUP(B1047,Tabela_Auxiliar[],3,0)</f>
        <v>Saída</v>
      </c>
      <c r="G1047" t="str">
        <f>UPPER(TEXT(Tabela_DB[[#This Row],[DATA]],"mmm"))</f>
        <v>MAR</v>
      </c>
      <c r="H1047" t="str">
        <f>UPPER(TEXT(Tabela_DB[[#This Row],[DATA]],"aaaa"))</f>
        <v>2021</v>
      </c>
    </row>
    <row r="1048" spans="1:8" x14ac:dyDescent="0.25">
      <c r="A1048" s="2">
        <v>44261</v>
      </c>
      <c r="B1048" t="s">
        <v>55</v>
      </c>
      <c r="C1048">
        <v>-2466</v>
      </c>
      <c r="D1048" t="str">
        <f>VLOOKUP(B1048,Tabela_Auxiliar[],2,0)</f>
        <v>4. Despesas Operacionais</v>
      </c>
      <c r="E1048" t="str">
        <f>VLOOKUP(B1048,Tabela_Auxiliar[],4,0)</f>
        <v>Despesa com Pessoal</v>
      </c>
      <c r="F1048" t="str">
        <f>VLOOKUP(B1048,Tabela_Auxiliar[],3,0)</f>
        <v>Saída</v>
      </c>
      <c r="G1048" t="str">
        <f>UPPER(TEXT(Tabela_DB[[#This Row],[DATA]],"mmm"))</f>
        <v>MAR</v>
      </c>
      <c r="H1048" t="str">
        <f>UPPER(TEXT(Tabela_DB[[#This Row],[DATA]],"aaaa"))</f>
        <v>2021</v>
      </c>
    </row>
    <row r="1049" spans="1:8" x14ac:dyDescent="0.25">
      <c r="A1049" s="2">
        <v>44261</v>
      </c>
      <c r="B1049" t="s">
        <v>3</v>
      </c>
      <c r="C1049">
        <v>14287</v>
      </c>
      <c r="D1049" t="str">
        <f>VLOOKUP(B1049,Tabela_Auxiliar[],2,0)</f>
        <v>1. Receita Operacional Bruta</v>
      </c>
      <c r="E1049" t="str">
        <f>VLOOKUP(B1049,Tabela_Auxiliar[],4,0)</f>
        <v>Receita Bruta</v>
      </c>
      <c r="F1049" t="str">
        <f>VLOOKUP(B1049,Tabela_Auxiliar[],3,0)</f>
        <v>Entrada</v>
      </c>
      <c r="G1049" t="str">
        <f>UPPER(TEXT(Tabela_DB[[#This Row],[DATA]],"mmm"))</f>
        <v>MAR</v>
      </c>
      <c r="H1049" t="str">
        <f>UPPER(TEXT(Tabela_DB[[#This Row],[DATA]],"aaaa"))</f>
        <v>2021</v>
      </c>
    </row>
    <row r="1050" spans="1:8" x14ac:dyDescent="0.25">
      <c r="A1050" s="2">
        <v>44261</v>
      </c>
      <c r="B1050" t="s">
        <v>4</v>
      </c>
      <c r="C1050">
        <v>14677</v>
      </c>
      <c r="D1050" t="str">
        <f>VLOOKUP(B1050,Tabela_Auxiliar[],2,0)</f>
        <v>1. Receita Operacional Bruta</v>
      </c>
      <c r="E1050" t="str">
        <f>VLOOKUP(B1050,Tabela_Auxiliar[],4,0)</f>
        <v>Receita Bruta</v>
      </c>
      <c r="F1050" t="str">
        <f>VLOOKUP(B1050,Tabela_Auxiliar[],3,0)</f>
        <v>Entrada</v>
      </c>
      <c r="G1050" t="str">
        <f>UPPER(TEXT(Tabela_DB[[#This Row],[DATA]],"mmm"))</f>
        <v>MAR</v>
      </c>
      <c r="H1050" t="str">
        <f>UPPER(TEXT(Tabela_DB[[#This Row],[DATA]],"aaaa"))</f>
        <v>2021</v>
      </c>
    </row>
    <row r="1051" spans="1:8" x14ac:dyDescent="0.25">
      <c r="A1051" s="2">
        <v>44261</v>
      </c>
      <c r="B1051" t="s">
        <v>34</v>
      </c>
      <c r="C1051">
        <v>-2245</v>
      </c>
      <c r="D1051" t="str">
        <f>VLOOKUP(B1051,Tabela_Auxiliar[],2,0)</f>
        <v>2. Deduções da Receita</v>
      </c>
      <c r="E1051" t="str">
        <f>VLOOKUP(B1051,Tabela_Auxiliar[],4,0)</f>
        <v>Imposto</v>
      </c>
      <c r="F1051" t="str">
        <f>VLOOKUP(B1051,Tabela_Auxiliar[],3,0)</f>
        <v>Saída</v>
      </c>
      <c r="G1051" t="str">
        <f>UPPER(TEXT(Tabela_DB[[#This Row],[DATA]],"mmm"))</f>
        <v>MAR</v>
      </c>
      <c r="H1051" t="str">
        <f>UPPER(TEXT(Tabela_DB[[#This Row],[DATA]],"aaaa"))</f>
        <v>2021</v>
      </c>
    </row>
    <row r="1052" spans="1:8" x14ac:dyDescent="0.25">
      <c r="A1052" s="2">
        <v>44261</v>
      </c>
      <c r="B1052" t="s">
        <v>37</v>
      </c>
      <c r="C1052">
        <v>-2573</v>
      </c>
      <c r="D1052" t="str">
        <f>VLOOKUP(B1052,Tabela_Auxiliar[],2,0)</f>
        <v>3. Custos do Produto/Mercadoria/Serviço</v>
      </c>
      <c r="E1052" t="str">
        <f>VLOOKUP(B1052,Tabela_Auxiliar[],4,0)</f>
        <v>Despesas c/ Produto</v>
      </c>
      <c r="F1052" t="str">
        <f>VLOOKUP(B1052,Tabela_Auxiliar[],3,0)</f>
        <v>Saída</v>
      </c>
      <c r="G1052" t="str">
        <f>UPPER(TEXT(Tabela_DB[[#This Row],[DATA]],"mmm"))</f>
        <v>MAR</v>
      </c>
      <c r="H1052" t="str">
        <f>UPPER(TEXT(Tabela_DB[[#This Row],[DATA]],"aaaa"))</f>
        <v>2021</v>
      </c>
    </row>
    <row r="1053" spans="1:8" x14ac:dyDescent="0.25">
      <c r="A1053" s="2">
        <v>44261</v>
      </c>
      <c r="B1053" t="s">
        <v>3</v>
      </c>
      <c r="C1053">
        <v>14025</v>
      </c>
      <c r="D1053" t="str">
        <f>VLOOKUP(B1053,Tabela_Auxiliar[],2,0)</f>
        <v>1. Receita Operacional Bruta</v>
      </c>
      <c r="E1053" t="str">
        <f>VLOOKUP(B1053,Tabela_Auxiliar[],4,0)</f>
        <v>Receita Bruta</v>
      </c>
      <c r="F1053" t="str">
        <f>VLOOKUP(B1053,Tabela_Auxiliar[],3,0)</f>
        <v>Entrada</v>
      </c>
      <c r="G1053" t="str">
        <f>UPPER(TEXT(Tabela_DB[[#This Row],[DATA]],"mmm"))</f>
        <v>MAR</v>
      </c>
      <c r="H1053" t="str">
        <f>UPPER(TEXT(Tabela_DB[[#This Row],[DATA]],"aaaa"))</f>
        <v>2021</v>
      </c>
    </row>
    <row r="1054" spans="1:8" x14ac:dyDescent="0.25">
      <c r="A1054" s="2">
        <v>44261</v>
      </c>
      <c r="B1054" t="s">
        <v>69</v>
      </c>
      <c r="C1054">
        <v>-1128</v>
      </c>
      <c r="D1054" t="str">
        <f>VLOOKUP(B1054,Tabela_Auxiliar[],2,0)</f>
        <v>4. Despesas Operacionais</v>
      </c>
      <c r="E1054" t="str">
        <f>VLOOKUP(B1054,Tabela_Auxiliar[],4,0)</f>
        <v>Despesa com Ocupação</v>
      </c>
      <c r="F1054" t="str">
        <f>VLOOKUP(B1054,Tabela_Auxiliar[],3,0)</f>
        <v>Saída</v>
      </c>
      <c r="G1054" t="str">
        <f>UPPER(TEXT(Tabela_DB[[#This Row],[DATA]],"mmm"))</f>
        <v>MAR</v>
      </c>
      <c r="H1054" t="str">
        <f>UPPER(TEXT(Tabela_DB[[#This Row],[DATA]],"aaaa"))</f>
        <v>2021</v>
      </c>
    </row>
    <row r="1055" spans="1:8" x14ac:dyDescent="0.25">
      <c r="A1055" s="2">
        <v>44261</v>
      </c>
      <c r="B1055" t="s">
        <v>4</v>
      </c>
      <c r="C1055">
        <v>14429</v>
      </c>
      <c r="D1055" t="str">
        <f>VLOOKUP(B1055,Tabela_Auxiliar[],2,0)</f>
        <v>1. Receita Operacional Bruta</v>
      </c>
      <c r="E1055" t="str">
        <f>VLOOKUP(B1055,Tabela_Auxiliar[],4,0)</f>
        <v>Receita Bruta</v>
      </c>
      <c r="F1055" t="str">
        <f>VLOOKUP(B1055,Tabela_Auxiliar[],3,0)</f>
        <v>Entrada</v>
      </c>
      <c r="G1055" t="str">
        <f>UPPER(TEXT(Tabela_DB[[#This Row],[DATA]],"mmm"))</f>
        <v>MAR</v>
      </c>
      <c r="H1055" t="str">
        <f>UPPER(TEXT(Tabela_DB[[#This Row],[DATA]],"aaaa"))</f>
        <v>2021</v>
      </c>
    </row>
    <row r="1056" spans="1:8" x14ac:dyDescent="0.25">
      <c r="A1056" s="2">
        <v>44261</v>
      </c>
      <c r="B1056" t="s">
        <v>34</v>
      </c>
      <c r="C1056">
        <v>-1327</v>
      </c>
      <c r="D1056" t="str">
        <f>VLOOKUP(B1056,Tabela_Auxiliar[],2,0)</f>
        <v>2. Deduções da Receita</v>
      </c>
      <c r="E1056" t="str">
        <f>VLOOKUP(B1056,Tabela_Auxiliar[],4,0)</f>
        <v>Imposto</v>
      </c>
      <c r="F1056" t="str">
        <f>VLOOKUP(B1056,Tabela_Auxiliar[],3,0)</f>
        <v>Saída</v>
      </c>
      <c r="G1056" t="str">
        <f>UPPER(TEXT(Tabela_DB[[#This Row],[DATA]],"mmm"))</f>
        <v>MAR</v>
      </c>
      <c r="H1056" t="str">
        <f>UPPER(TEXT(Tabela_DB[[#This Row],[DATA]],"aaaa"))</f>
        <v>2021</v>
      </c>
    </row>
    <row r="1057" spans="1:8" x14ac:dyDescent="0.25">
      <c r="A1057" s="2">
        <v>44261</v>
      </c>
      <c r="B1057" t="s">
        <v>84</v>
      </c>
      <c r="C1057">
        <v>-1856</v>
      </c>
      <c r="D1057" t="str">
        <f>VLOOKUP(B1057,Tabela_Auxiliar[],2,0)</f>
        <v>4. Despesas Operacionais</v>
      </c>
      <c r="E1057" t="str">
        <f>VLOOKUP(B1057,Tabela_Auxiliar[],4,0)</f>
        <v>Despesa com Veículos</v>
      </c>
      <c r="F1057" t="str">
        <f>VLOOKUP(B1057,Tabela_Auxiliar[],3,0)</f>
        <v>Saída</v>
      </c>
      <c r="G1057" t="str">
        <f>UPPER(TEXT(Tabela_DB[[#This Row],[DATA]],"mmm"))</f>
        <v>MAR</v>
      </c>
      <c r="H1057" t="str">
        <f>UPPER(TEXT(Tabela_DB[[#This Row],[DATA]],"aaaa"))</f>
        <v>2021</v>
      </c>
    </row>
    <row r="1058" spans="1:8" x14ac:dyDescent="0.25">
      <c r="A1058" s="2">
        <v>44262</v>
      </c>
      <c r="B1058" t="s">
        <v>3</v>
      </c>
      <c r="C1058">
        <v>14735</v>
      </c>
      <c r="D1058" t="str">
        <f>VLOOKUP(B1058,Tabela_Auxiliar[],2,0)</f>
        <v>1. Receita Operacional Bruta</v>
      </c>
      <c r="E1058" t="str">
        <f>VLOOKUP(B1058,Tabela_Auxiliar[],4,0)</f>
        <v>Receita Bruta</v>
      </c>
      <c r="F1058" t="str">
        <f>VLOOKUP(B1058,Tabela_Auxiliar[],3,0)</f>
        <v>Entrada</v>
      </c>
      <c r="G1058" t="str">
        <f>UPPER(TEXT(Tabela_DB[[#This Row],[DATA]],"mmm"))</f>
        <v>MAR</v>
      </c>
      <c r="H1058" t="str">
        <f>UPPER(TEXT(Tabela_DB[[#This Row],[DATA]],"aaaa"))</f>
        <v>2021</v>
      </c>
    </row>
    <row r="1059" spans="1:8" x14ac:dyDescent="0.25">
      <c r="A1059" s="2">
        <v>44262</v>
      </c>
      <c r="B1059" t="s">
        <v>34</v>
      </c>
      <c r="C1059">
        <v>-2057</v>
      </c>
      <c r="D1059" t="str">
        <f>VLOOKUP(B1059,Tabela_Auxiliar[],2,0)</f>
        <v>2. Deduções da Receita</v>
      </c>
      <c r="E1059" t="str">
        <f>VLOOKUP(B1059,Tabela_Auxiliar[],4,0)</f>
        <v>Imposto</v>
      </c>
      <c r="F1059" t="str">
        <f>VLOOKUP(B1059,Tabela_Auxiliar[],3,0)</f>
        <v>Saída</v>
      </c>
      <c r="G1059" t="str">
        <f>UPPER(TEXT(Tabela_DB[[#This Row],[DATA]],"mmm"))</f>
        <v>MAR</v>
      </c>
      <c r="H1059" t="str">
        <f>UPPER(TEXT(Tabela_DB[[#This Row],[DATA]],"aaaa"))</f>
        <v>2021</v>
      </c>
    </row>
    <row r="1060" spans="1:8" x14ac:dyDescent="0.25">
      <c r="A1060" s="2">
        <v>44262</v>
      </c>
      <c r="B1060" t="s">
        <v>37</v>
      </c>
      <c r="C1060">
        <v>-4391</v>
      </c>
      <c r="D1060" t="str">
        <f>VLOOKUP(B1060,Tabela_Auxiliar[],2,0)</f>
        <v>3. Custos do Produto/Mercadoria/Serviço</v>
      </c>
      <c r="E1060" t="str">
        <f>VLOOKUP(B1060,Tabela_Auxiliar[],4,0)</f>
        <v>Despesas c/ Produto</v>
      </c>
      <c r="F1060" t="str">
        <f>VLOOKUP(B1060,Tabela_Auxiliar[],3,0)</f>
        <v>Saída</v>
      </c>
      <c r="G1060" t="str">
        <f>UPPER(TEXT(Tabela_DB[[#This Row],[DATA]],"mmm"))</f>
        <v>MAR</v>
      </c>
      <c r="H1060" t="str">
        <f>UPPER(TEXT(Tabela_DB[[#This Row],[DATA]],"aaaa"))</f>
        <v>2021</v>
      </c>
    </row>
    <row r="1061" spans="1:8" x14ac:dyDescent="0.25">
      <c r="A1061" s="2">
        <v>44262</v>
      </c>
      <c r="B1061" t="s">
        <v>76</v>
      </c>
      <c r="C1061">
        <v>-1767</v>
      </c>
      <c r="D1061" t="str">
        <f>VLOOKUP(B1061,Tabela_Auxiliar[],2,0)</f>
        <v>4. Despesas Operacionais</v>
      </c>
      <c r="E1061" t="str">
        <f>VLOOKUP(B1061,Tabela_Auxiliar[],4,0)</f>
        <v>Serviços Contratados</v>
      </c>
      <c r="F1061" t="str">
        <f>VLOOKUP(B1061,Tabela_Auxiliar[],3,0)</f>
        <v>Saída</v>
      </c>
      <c r="G1061" t="str">
        <f>UPPER(TEXT(Tabela_DB[[#This Row],[DATA]],"mmm"))</f>
        <v>MAR</v>
      </c>
      <c r="H1061" t="str">
        <f>UPPER(TEXT(Tabela_DB[[#This Row],[DATA]],"aaaa"))</f>
        <v>2021</v>
      </c>
    </row>
    <row r="1062" spans="1:8" x14ac:dyDescent="0.25">
      <c r="A1062" s="2">
        <v>44262</v>
      </c>
      <c r="B1062" t="s">
        <v>4</v>
      </c>
      <c r="C1062">
        <v>14301</v>
      </c>
      <c r="D1062" t="str">
        <f>VLOOKUP(B1062,Tabela_Auxiliar[],2,0)</f>
        <v>1. Receita Operacional Bruta</v>
      </c>
      <c r="E1062" t="str">
        <f>VLOOKUP(B1062,Tabela_Auxiliar[],4,0)</f>
        <v>Receita Bruta</v>
      </c>
      <c r="F1062" t="str">
        <f>VLOOKUP(B1062,Tabela_Auxiliar[],3,0)</f>
        <v>Entrada</v>
      </c>
      <c r="G1062" t="str">
        <f>UPPER(TEXT(Tabela_DB[[#This Row],[DATA]],"mmm"))</f>
        <v>MAR</v>
      </c>
      <c r="H1062" t="str">
        <f>UPPER(TEXT(Tabela_DB[[#This Row],[DATA]],"aaaa"))</f>
        <v>2021</v>
      </c>
    </row>
    <row r="1063" spans="1:8" x14ac:dyDescent="0.25">
      <c r="A1063" s="2">
        <v>44262</v>
      </c>
      <c r="B1063" t="s">
        <v>38</v>
      </c>
      <c r="C1063">
        <v>-1457</v>
      </c>
      <c r="D1063" t="str">
        <f>VLOOKUP(B1063,Tabela_Auxiliar[],2,0)</f>
        <v>2. Deduções da Receita</v>
      </c>
      <c r="E1063" t="str">
        <f>VLOOKUP(B1063,Tabela_Auxiliar[],4,0)</f>
        <v>Deduções</v>
      </c>
      <c r="F1063" t="str">
        <f>VLOOKUP(B1063,Tabela_Auxiliar[],3,0)</f>
        <v>Saída</v>
      </c>
      <c r="G1063" t="str">
        <f>UPPER(TEXT(Tabela_DB[[#This Row],[DATA]],"mmm"))</f>
        <v>MAR</v>
      </c>
      <c r="H1063" t="str">
        <f>UPPER(TEXT(Tabela_DB[[#This Row],[DATA]],"aaaa"))</f>
        <v>2021</v>
      </c>
    </row>
    <row r="1064" spans="1:8" x14ac:dyDescent="0.25">
      <c r="A1064" s="2">
        <v>44262</v>
      </c>
      <c r="B1064" t="s">
        <v>77</v>
      </c>
      <c r="C1064">
        <v>-1507</v>
      </c>
      <c r="D1064" t="str">
        <f>VLOOKUP(B1064,Tabela_Auxiliar[],2,0)</f>
        <v>4. Despesas Operacionais</v>
      </c>
      <c r="E1064" t="str">
        <f>VLOOKUP(B1064,Tabela_Auxiliar[],4,0)</f>
        <v>Serviços Contratados</v>
      </c>
      <c r="F1064" t="str">
        <f>VLOOKUP(B1064,Tabela_Auxiliar[],3,0)</f>
        <v>Saída</v>
      </c>
      <c r="G1064" t="str">
        <f>UPPER(TEXT(Tabela_DB[[#This Row],[DATA]],"mmm"))</f>
        <v>MAR</v>
      </c>
      <c r="H1064" t="str">
        <f>UPPER(TEXT(Tabela_DB[[#This Row],[DATA]],"aaaa"))</f>
        <v>2021</v>
      </c>
    </row>
    <row r="1065" spans="1:8" x14ac:dyDescent="0.25">
      <c r="A1065" s="2">
        <v>44262</v>
      </c>
      <c r="B1065" t="s">
        <v>60</v>
      </c>
      <c r="C1065">
        <v>-1842</v>
      </c>
      <c r="D1065" t="str">
        <f>VLOOKUP(B1065,Tabela_Auxiliar[],2,0)</f>
        <v>4. Despesas Operacionais</v>
      </c>
      <c r="E1065" t="str">
        <f>VLOOKUP(B1065,Tabela_Auxiliar[],4,0)</f>
        <v>Despesa de Depreciação</v>
      </c>
      <c r="F1065" t="str">
        <f>VLOOKUP(B1065,Tabela_Auxiliar[],3,0)</f>
        <v>Saída</v>
      </c>
      <c r="G1065" t="str">
        <f>UPPER(TEXT(Tabela_DB[[#This Row],[DATA]],"mmm"))</f>
        <v>MAR</v>
      </c>
      <c r="H1065" t="str">
        <f>UPPER(TEXT(Tabela_DB[[#This Row],[DATA]],"aaaa"))</f>
        <v>2021</v>
      </c>
    </row>
    <row r="1066" spans="1:8" x14ac:dyDescent="0.25">
      <c r="A1066" s="2">
        <v>44262</v>
      </c>
      <c r="B1066" t="s">
        <v>62</v>
      </c>
      <c r="C1066">
        <v>-1781</v>
      </c>
      <c r="D1066" t="str">
        <f>VLOOKUP(B1066,Tabela_Auxiliar[],2,0)</f>
        <v>4. Despesas Operacionais</v>
      </c>
      <c r="E1066" t="str">
        <f>VLOOKUP(B1066,Tabela_Auxiliar[],4,0)</f>
        <v>Despesa Gerais</v>
      </c>
      <c r="F1066" t="str">
        <f>VLOOKUP(B1066,Tabela_Auxiliar[],3,0)</f>
        <v>Saída</v>
      </c>
      <c r="G1066" t="str">
        <f>UPPER(TEXT(Tabela_DB[[#This Row],[DATA]],"mmm"))</f>
        <v>MAR</v>
      </c>
      <c r="H1066" t="str">
        <f>UPPER(TEXT(Tabela_DB[[#This Row],[DATA]],"aaaa"))</f>
        <v>2021</v>
      </c>
    </row>
    <row r="1067" spans="1:8" x14ac:dyDescent="0.25">
      <c r="A1067" s="2">
        <v>44262</v>
      </c>
      <c r="B1067" t="s">
        <v>38</v>
      </c>
      <c r="C1067">
        <v>-1786</v>
      </c>
      <c r="D1067" t="str">
        <f>VLOOKUP(B1067,Tabela_Auxiliar[],2,0)</f>
        <v>2. Deduções da Receita</v>
      </c>
      <c r="E1067" t="str">
        <f>VLOOKUP(B1067,Tabela_Auxiliar[],4,0)</f>
        <v>Deduções</v>
      </c>
      <c r="F1067" t="str">
        <f>VLOOKUP(B1067,Tabela_Auxiliar[],3,0)</f>
        <v>Saída</v>
      </c>
      <c r="G1067" t="str">
        <f>UPPER(TEXT(Tabela_DB[[#This Row],[DATA]],"mmm"))</f>
        <v>MAR</v>
      </c>
      <c r="H1067" t="str">
        <f>UPPER(TEXT(Tabela_DB[[#This Row],[DATA]],"aaaa"))</f>
        <v>2021</v>
      </c>
    </row>
    <row r="1068" spans="1:8" x14ac:dyDescent="0.25">
      <c r="A1068" s="2">
        <v>44262</v>
      </c>
      <c r="B1068" t="s">
        <v>34</v>
      </c>
      <c r="C1068">
        <v>-2389</v>
      </c>
      <c r="D1068" t="str">
        <f>VLOOKUP(B1068,Tabela_Auxiliar[],2,0)</f>
        <v>2. Deduções da Receita</v>
      </c>
      <c r="E1068" t="str">
        <f>VLOOKUP(B1068,Tabela_Auxiliar[],4,0)</f>
        <v>Imposto</v>
      </c>
      <c r="F1068" t="str">
        <f>VLOOKUP(B1068,Tabela_Auxiliar[],3,0)</f>
        <v>Saída</v>
      </c>
      <c r="G1068" t="str">
        <f>UPPER(TEXT(Tabela_DB[[#This Row],[DATA]],"mmm"))</f>
        <v>MAR</v>
      </c>
      <c r="H1068" t="str">
        <f>UPPER(TEXT(Tabela_DB[[#This Row],[DATA]],"aaaa"))</f>
        <v>2021</v>
      </c>
    </row>
    <row r="1069" spans="1:8" x14ac:dyDescent="0.25">
      <c r="A1069" s="2">
        <v>44262</v>
      </c>
      <c r="B1069" t="s">
        <v>111</v>
      </c>
      <c r="C1069">
        <v>-1293</v>
      </c>
      <c r="D1069" t="str">
        <f>VLOOKUP(B1069,Tabela_Auxiliar[],2,0)</f>
        <v>2. Deduções da Receita</v>
      </c>
      <c r="E1069" t="str">
        <f>VLOOKUP(B1069,Tabela_Auxiliar[],4,0)</f>
        <v>Imposto</v>
      </c>
      <c r="F1069" t="str">
        <f>VLOOKUP(B1069,Tabela_Auxiliar[],3,0)</f>
        <v>Saída</v>
      </c>
      <c r="G1069" t="str">
        <f>UPPER(TEXT(Tabela_DB[[#This Row],[DATA]],"mmm"))</f>
        <v>MAR</v>
      </c>
      <c r="H1069" t="str">
        <f>UPPER(TEXT(Tabela_DB[[#This Row],[DATA]],"aaaa"))</f>
        <v>2021</v>
      </c>
    </row>
    <row r="1070" spans="1:8" x14ac:dyDescent="0.25">
      <c r="A1070" s="2">
        <v>44262</v>
      </c>
      <c r="B1070" t="s">
        <v>4</v>
      </c>
      <c r="C1070">
        <v>10560</v>
      </c>
      <c r="D1070" t="str">
        <f>VLOOKUP(B1070,Tabela_Auxiliar[],2,0)</f>
        <v>1. Receita Operacional Bruta</v>
      </c>
      <c r="E1070" t="str">
        <f>VLOOKUP(B1070,Tabela_Auxiliar[],4,0)</f>
        <v>Receita Bruta</v>
      </c>
      <c r="F1070" t="str">
        <f>VLOOKUP(B1070,Tabela_Auxiliar[],3,0)</f>
        <v>Entrada</v>
      </c>
      <c r="G1070" t="str">
        <f>UPPER(TEXT(Tabela_DB[[#This Row],[DATA]],"mmm"))</f>
        <v>MAR</v>
      </c>
      <c r="H1070" t="str">
        <f>UPPER(TEXT(Tabela_DB[[#This Row],[DATA]],"aaaa"))</f>
        <v>2021</v>
      </c>
    </row>
    <row r="1071" spans="1:8" x14ac:dyDescent="0.25">
      <c r="A1071" s="2">
        <v>44262</v>
      </c>
      <c r="B1071" t="s">
        <v>38</v>
      </c>
      <c r="C1071">
        <v>-1179</v>
      </c>
      <c r="D1071" t="str">
        <f>VLOOKUP(B1071,Tabela_Auxiliar[],2,0)</f>
        <v>2. Deduções da Receita</v>
      </c>
      <c r="E1071" t="str">
        <f>VLOOKUP(B1071,Tabela_Auxiliar[],4,0)</f>
        <v>Deduções</v>
      </c>
      <c r="F1071" t="str">
        <f>VLOOKUP(B1071,Tabela_Auxiliar[],3,0)</f>
        <v>Saída</v>
      </c>
      <c r="G1071" t="str">
        <f>UPPER(TEXT(Tabela_DB[[#This Row],[DATA]],"mmm"))</f>
        <v>MAR</v>
      </c>
      <c r="H1071" t="str">
        <f>UPPER(TEXT(Tabela_DB[[#This Row],[DATA]],"aaaa"))</f>
        <v>2021</v>
      </c>
    </row>
    <row r="1072" spans="1:8" x14ac:dyDescent="0.25">
      <c r="A1072" s="2">
        <v>44262</v>
      </c>
      <c r="B1072" t="s">
        <v>68</v>
      </c>
      <c r="C1072">
        <v>-1368</v>
      </c>
      <c r="D1072" t="str">
        <f>VLOOKUP(B1072,Tabela_Auxiliar[],2,0)</f>
        <v>4. Despesas Operacionais</v>
      </c>
      <c r="E1072" t="str">
        <f>VLOOKUP(B1072,Tabela_Auxiliar[],4,0)</f>
        <v>Despesa com Ocupação</v>
      </c>
      <c r="F1072" t="str">
        <f>VLOOKUP(B1072,Tabela_Auxiliar[],3,0)</f>
        <v>Saída</v>
      </c>
      <c r="G1072" t="str">
        <f>UPPER(TEXT(Tabela_DB[[#This Row],[DATA]],"mmm"))</f>
        <v>MAR</v>
      </c>
      <c r="H1072" t="str">
        <f>UPPER(TEXT(Tabela_DB[[#This Row],[DATA]],"aaaa"))</f>
        <v>2021</v>
      </c>
    </row>
    <row r="1073" spans="1:8" x14ac:dyDescent="0.25">
      <c r="A1073" s="2">
        <v>44262</v>
      </c>
      <c r="B1073" t="s">
        <v>37</v>
      </c>
      <c r="C1073">
        <v>-3792</v>
      </c>
      <c r="D1073" t="str">
        <f>VLOOKUP(B1073,Tabela_Auxiliar[],2,0)</f>
        <v>3. Custos do Produto/Mercadoria/Serviço</v>
      </c>
      <c r="E1073" t="str">
        <f>VLOOKUP(B1073,Tabela_Auxiliar[],4,0)</f>
        <v>Despesas c/ Produto</v>
      </c>
      <c r="F1073" t="str">
        <f>VLOOKUP(B1073,Tabela_Auxiliar[],3,0)</f>
        <v>Saída</v>
      </c>
      <c r="G1073" t="str">
        <f>UPPER(TEXT(Tabela_DB[[#This Row],[DATA]],"mmm"))</f>
        <v>MAR</v>
      </c>
      <c r="H1073" t="str">
        <f>UPPER(TEXT(Tabela_DB[[#This Row],[DATA]],"aaaa"))</f>
        <v>2021</v>
      </c>
    </row>
    <row r="1074" spans="1:8" x14ac:dyDescent="0.25">
      <c r="A1074" s="2">
        <v>44262</v>
      </c>
      <c r="B1074" t="s">
        <v>111</v>
      </c>
      <c r="C1074">
        <v>-1996</v>
      </c>
      <c r="D1074" t="str">
        <f>VLOOKUP(B1074,Tabela_Auxiliar[],2,0)</f>
        <v>2. Deduções da Receita</v>
      </c>
      <c r="E1074" t="str">
        <f>VLOOKUP(B1074,Tabela_Auxiliar[],4,0)</f>
        <v>Imposto</v>
      </c>
      <c r="F1074" t="str">
        <f>VLOOKUP(B1074,Tabela_Auxiliar[],3,0)</f>
        <v>Saída</v>
      </c>
      <c r="G1074" t="str">
        <f>UPPER(TEXT(Tabela_DB[[#This Row],[DATA]],"mmm"))</f>
        <v>MAR</v>
      </c>
      <c r="H1074" t="str">
        <f>UPPER(TEXT(Tabela_DB[[#This Row],[DATA]],"aaaa"))</f>
        <v>2021</v>
      </c>
    </row>
    <row r="1075" spans="1:8" x14ac:dyDescent="0.25">
      <c r="A1075" s="2">
        <v>44262</v>
      </c>
      <c r="B1075" t="s">
        <v>4</v>
      </c>
      <c r="C1075">
        <v>13516</v>
      </c>
      <c r="D1075" t="str">
        <f>VLOOKUP(B1075,Tabela_Auxiliar[],2,0)</f>
        <v>1. Receita Operacional Bruta</v>
      </c>
      <c r="E1075" t="str">
        <f>VLOOKUP(B1075,Tabela_Auxiliar[],4,0)</f>
        <v>Receita Bruta</v>
      </c>
      <c r="F1075" t="str">
        <f>VLOOKUP(B1075,Tabela_Auxiliar[],3,0)</f>
        <v>Entrada</v>
      </c>
      <c r="G1075" t="str">
        <f>UPPER(TEXT(Tabela_DB[[#This Row],[DATA]],"mmm"))</f>
        <v>MAR</v>
      </c>
      <c r="H1075" t="str">
        <f>UPPER(TEXT(Tabela_DB[[#This Row],[DATA]],"aaaa"))</f>
        <v>2021</v>
      </c>
    </row>
    <row r="1076" spans="1:8" x14ac:dyDescent="0.25">
      <c r="A1076" s="2">
        <v>44262</v>
      </c>
      <c r="B1076" t="s">
        <v>38</v>
      </c>
      <c r="C1076">
        <v>-1418</v>
      </c>
      <c r="D1076" t="str">
        <f>VLOOKUP(B1076,Tabela_Auxiliar[],2,0)</f>
        <v>2. Deduções da Receita</v>
      </c>
      <c r="E1076" t="str">
        <f>VLOOKUP(B1076,Tabela_Auxiliar[],4,0)</f>
        <v>Deduções</v>
      </c>
      <c r="F1076" t="str">
        <f>VLOOKUP(B1076,Tabela_Auxiliar[],3,0)</f>
        <v>Saída</v>
      </c>
      <c r="G1076" t="str">
        <f>UPPER(TEXT(Tabela_DB[[#This Row],[DATA]],"mmm"))</f>
        <v>MAR</v>
      </c>
      <c r="H1076" t="str">
        <f>UPPER(TEXT(Tabela_DB[[#This Row],[DATA]],"aaaa"))</f>
        <v>2021</v>
      </c>
    </row>
    <row r="1077" spans="1:8" x14ac:dyDescent="0.25">
      <c r="A1077" s="2">
        <v>44262</v>
      </c>
      <c r="B1077" t="s">
        <v>55</v>
      </c>
      <c r="C1077">
        <v>-1939</v>
      </c>
      <c r="D1077" t="str">
        <f>VLOOKUP(B1077,Tabela_Auxiliar[],2,0)</f>
        <v>4. Despesas Operacionais</v>
      </c>
      <c r="E1077" t="str">
        <f>VLOOKUP(B1077,Tabela_Auxiliar[],4,0)</f>
        <v>Despesa com Pessoal</v>
      </c>
      <c r="F1077" t="str">
        <f>VLOOKUP(B1077,Tabela_Auxiliar[],3,0)</f>
        <v>Saída</v>
      </c>
      <c r="G1077" t="str">
        <f>UPPER(TEXT(Tabela_DB[[#This Row],[DATA]],"mmm"))</f>
        <v>MAR</v>
      </c>
      <c r="H1077" t="str">
        <f>UPPER(TEXT(Tabela_DB[[#This Row],[DATA]],"aaaa"))</f>
        <v>2021</v>
      </c>
    </row>
    <row r="1078" spans="1:8" x14ac:dyDescent="0.25">
      <c r="A1078" s="2">
        <v>44263</v>
      </c>
      <c r="B1078" t="s">
        <v>38</v>
      </c>
      <c r="C1078">
        <v>-1970</v>
      </c>
      <c r="D1078" t="str">
        <f>VLOOKUP(B1078,Tabela_Auxiliar[],2,0)</f>
        <v>2. Deduções da Receita</v>
      </c>
      <c r="E1078" t="str">
        <f>VLOOKUP(B1078,Tabela_Auxiliar[],4,0)</f>
        <v>Deduções</v>
      </c>
      <c r="F1078" t="str">
        <f>VLOOKUP(B1078,Tabela_Auxiliar[],3,0)</f>
        <v>Saída</v>
      </c>
      <c r="G1078" t="str">
        <f>UPPER(TEXT(Tabela_DB[[#This Row],[DATA]],"mmm"))</f>
        <v>MAR</v>
      </c>
      <c r="H1078" t="str">
        <f>UPPER(TEXT(Tabela_DB[[#This Row],[DATA]],"aaaa"))</f>
        <v>2021</v>
      </c>
    </row>
    <row r="1079" spans="1:8" x14ac:dyDescent="0.25">
      <c r="A1079" s="2">
        <v>44263</v>
      </c>
      <c r="B1079" t="s">
        <v>31</v>
      </c>
      <c r="C1079">
        <v>-1432</v>
      </c>
      <c r="D1079" t="str">
        <f>VLOOKUP(B1079,Tabela_Auxiliar[],2,0)</f>
        <v>5. Resultado Financeiro</v>
      </c>
      <c r="E1079" t="str">
        <f>VLOOKUP(B1079,Tabela_Auxiliar[],4,0)</f>
        <v>Participação nos resultados</v>
      </c>
      <c r="F1079" t="str">
        <f>VLOOKUP(B1079,Tabela_Auxiliar[],3,0)</f>
        <v>Saída</v>
      </c>
      <c r="G1079" t="str">
        <f>UPPER(TEXT(Tabela_DB[[#This Row],[DATA]],"mmm"))</f>
        <v>MAR</v>
      </c>
      <c r="H1079" t="str">
        <f>UPPER(TEXT(Tabela_DB[[#This Row],[DATA]],"aaaa"))</f>
        <v>2021</v>
      </c>
    </row>
    <row r="1080" spans="1:8" x14ac:dyDescent="0.25">
      <c r="A1080" s="2">
        <v>44263</v>
      </c>
      <c r="B1080" t="s">
        <v>66</v>
      </c>
      <c r="C1080">
        <v>-1220</v>
      </c>
      <c r="D1080" t="str">
        <f>VLOOKUP(B1080,Tabela_Auxiliar[],2,0)</f>
        <v>4. Despesas Operacionais</v>
      </c>
      <c r="E1080" t="str">
        <f>VLOOKUP(B1080,Tabela_Auxiliar[],4,0)</f>
        <v>Despesa com Vendas</v>
      </c>
      <c r="F1080" t="str">
        <f>VLOOKUP(B1080,Tabela_Auxiliar[],3,0)</f>
        <v>Saída</v>
      </c>
      <c r="G1080" t="str">
        <f>UPPER(TEXT(Tabela_DB[[#This Row],[DATA]],"mmm"))</f>
        <v>MAR</v>
      </c>
      <c r="H1080" t="str">
        <f>UPPER(TEXT(Tabela_DB[[#This Row],[DATA]],"aaaa"))</f>
        <v>2021</v>
      </c>
    </row>
    <row r="1081" spans="1:8" x14ac:dyDescent="0.25">
      <c r="A1081" s="2">
        <v>44263</v>
      </c>
      <c r="B1081" t="s">
        <v>111</v>
      </c>
      <c r="C1081">
        <v>-1286</v>
      </c>
      <c r="D1081" t="str">
        <f>VLOOKUP(B1081,Tabela_Auxiliar[],2,0)</f>
        <v>2. Deduções da Receita</v>
      </c>
      <c r="E1081" t="str">
        <f>VLOOKUP(B1081,Tabela_Auxiliar[],4,0)</f>
        <v>Imposto</v>
      </c>
      <c r="F1081" t="str">
        <f>VLOOKUP(B1081,Tabela_Auxiliar[],3,0)</f>
        <v>Saída</v>
      </c>
      <c r="G1081" t="str">
        <f>UPPER(TEXT(Tabela_DB[[#This Row],[DATA]],"mmm"))</f>
        <v>MAR</v>
      </c>
      <c r="H1081" t="str">
        <f>UPPER(TEXT(Tabela_DB[[#This Row],[DATA]],"aaaa"))</f>
        <v>2021</v>
      </c>
    </row>
    <row r="1082" spans="1:8" x14ac:dyDescent="0.25">
      <c r="A1082" s="2">
        <v>44263</v>
      </c>
      <c r="B1082" t="s">
        <v>81</v>
      </c>
      <c r="C1082">
        <v>-1489</v>
      </c>
      <c r="D1082" t="str">
        <f>VLOOKUP(B1082,Tabela_Auxiliar[],2,0)</f>
        <v>4. Despesas Operacionais</v>
      </c>
      <c r="E1082" t="str">
        <f>VLOOKUP(B1082,Tabela_Auxiliar[],4,0)</f>
        <v>Serviços Contratados</v>
      </c>
      <c r="F1082" t="str">
        <f>VLOOKUP(B1082,Tabela_Auxiliar[],3,0)</f>
        <v>Saída</v>
      </c>
      <c r="G1082" t="str">
        <f>UPPER(TEXT(Tabela_DB[[#This Row],[DATA]],"mmm"))</f>
        <v>MAR</v>
      </c>
      <c r="H1082" t="str">
        <f>UPPER(TEXT(Tabela_DB[[#This Row],[DATA]],"aaaa"))</f>
        <v>2021</v>
      </c>
    </row>
    <row r="1083" spans="1:8" x14ac:dyDescent="0.25">
      <c r="A1083" s="2">
        <v>44263</v>
      </c>
      <c r="B1083" t="s">
        <v>37</v>
      </c>
      <c r="C1083">
        <v>-4899</v>
      </c>
      <c r="D1083" t="str">
        <f>VLOOKUP(B1083,Tabela_Auxiliar[],2,0)</f>
        <v>3. Custos do Produto/Mercadoria/Serviço</v>
      </c>
      <c r="E1083" t="str">
        <f>VLOOKUP(B1083,Tabela_Auxiliar[],4,0)</f>
        <v>Despesas c/ Produto</v>
      </c>
      <c r="F1083" t="str">
        <f>VLOOKUP(B1083,Tabela_Auxiliar[],3,0)</f>
        <v>Saída</v>
      </c>
      <c r="G1083" t="str">
        <f>UPPER(TEXT(Tabela_DB[[#This Row],[DATA]],"mmm"))</f>
        <v>MAR</v>
      </c>
      <c r="H1083" t="str">
        <f>UPPER(TEXT(Tabela_DB[[#This Row],[DATA]],"aaaa"))</f>
        <v>2021</v>
      </c>
    </row>
    <row r="1084" spans="1:8" x14ac:dyDescent="0.25">
      <c r="A1084" s="2">
        <v>44263</v>
      </c>
      <c r="B1084" t="s">
        <v>111</v>
      </c>
      <c r="C1084">
        <v>-1069</v>
      </c>
      <c r="D1084" t="str">
        <f>VLOOKUP(B1084,Tabela_Auxiliar[],2,0)</f>
        <v>2. Deduções da Receita</v>
      </c>
      <c r="E1084" t="str">
        <f>VLOOKUP(B1084,Tabela_Auxiliar[],4,0)</f>
        <v>Imposto</v>
      </c>
      <c r="F1084" t="str">
        <f>VLOOKUP(B1084,Tabela_Auxiliar[],3,0)</f>
        <v>Saída</v>
      </c>
      <c r="G1084" t="str">
        <f>UPPER(TEXT(Tabela_DB[[#This Row],[DATA]],"mmm"))</f>
        <v>MAR</v>
      </c>
      <c r="H1084" t="str">
        <f>UPPER(TEXT(Tabela_DB[[#This Row],[DATA]],"aaaa"))</f>
        <v>2021</v>
      </c>
    </row>
    <row r="1085" spans="1:8" x14ac:dyDescent="0.25">
      <c r="A1085" s="2">
        <v>44263</v>
      </c>
      <c r="B1085" t="s">
        <v>61</v>
      </c>
      <c r="C1085">
        <v>-2421</v>
      </c>
      <c r="D1085" t="str">
        <f>VLOOKUP(B1085,Tabela_Auxiliar[],2,0)</f>
        <v>4. Despesas Operacionais</v>
      </c>
      <c r="E1085" t="str">
        <f>VLOOKUP(B1085,Tabela_Auxiliar[],4,0)</f>
        <v>Despesa de Depreciação</v>
      </c>
      <c r="F1085" t="str">
        <f>VLOOKUP(B1085,Tabela_Auxiliar[],3,0)</f>
        <v>Saída</v>
      </c>
      <c r="G1085" t="str">
        <f>UPPER(TEXT(Tabela_DB[[#This Row],[DATA]],"mmm"))</f>
        <v>MAR</v>
      </c>
      <c r="H1085" t="str">
        <f>UPPER(TEXT(Tabela_DB[[#This Row],[DATA]],"aaaa"))</f>
        <v>2021</v>
      </c>
    </row>
    <row r="1086" spans="1:8" x14ac:dyDescent="0.25">
      <c r="A1086" s="2">
        <v>44263</v>
      </c>
      <c r="B1086" t="s">
        <v>35</v>
      </c>
      <c r="C1086">
        <v>-1156</v>
      </c>
      <c r="D1086" t="str">
        <f>VLOOKUP(B1086,Tabela_Auxiliar[],2,0)</f>
        <v>2. Deduções da Receita</v>
      </c>
      <c r="E1086" t="str">
        <f>VLOOKUP(B1086,Tabela_Auxiliar[],4,0)</f>
        <v>Imposto</v>
      </c>
      <c r="F1086" t="str">
        <f>VLOOKUP(B1086,Tabela_Auxiliar[],3,0)</f>
        <v>Saída</v>
      </c>
      <c r="G1086" t="str">
        <f>UPPER(TEXT(Tabela_DB[[#This Row],[DATA]],"mmm"))</f>
        <v>MAR</v>
      </c>
      <c r="H1086" t="str">
        <f>UPPER(TEXT(Tabela_DB[[#This Row],[DATA]],"aaaa"))</f>
        <v>2021</v>
      </c>
    </row>
    <row r="1087" spans="1:8" x14ac:dyDescent="0.25">
      <c r="A1087" s="2">
        <v>44263</v>
      </c>
      <c r="B1087" t="s">
        <v>3</v>
      </c>
      <c r="C1087">
        <v>10423</v>
      </c>
      <c r="D1087" t="str">
        <f>VLOOKUP(B1087,Tabela_Auxiliar[],2,0)</f>
        <v>1. Receita Operacional Bruta</v>
      </c>
      <c r="E1087" t="str">
        <f>VLOOKUP(B1087,Tabela_Auxiliar[],4,0)</f>
        <v>Receita Bruta</v>
      </c>
      <c r="F1087" t="str">
        <f>VLOOKUP(B1087,Tabela_Auxiliar[],3,0)</f>
        <v>Entrada</v>
      </c>
      <c r="G1087" t="str">
        <f>UPPER(TEXT(Tabela_DB[[#This Row],[DATA]],"mmm"))</f>
        <v>MAR</v>
      </c>
      <c r="H1087" t="str">
        <f>UPPER(TEXT(Tabela_DB[[#This Row],[DATA]],"aaaa"))</f>
        <v>2021</v>
      </c>
    </row>
    <row r="1088" spans="1:8" x14ac:dyDescent="0.25">
      <c r="A1088" s="2">
        <v>44263</v>
      </c>
      <c r="B1088" t="s">
        <v>111</v>
      </c>
      <c r="C1088">
        <v>-2325</v>
      </c>
      <c r="D1088" t="str">
        <f>VLOOKUP(B1088,Tabela_Auxiliar[],2,0)</f>
        <v>2. Deduções da Receita</v>
      </c>
      <c r="E1088" t="str">
        <f>VLOOKUP(B1088,Tabela_Auxiliar[],4,0)</f>
        <v>Imposto</v>
      </c>
      <c r="F1088" t="str">
        <f>VLOOKUP(B1088,Tabela_Auxiliar[],3,0)</f>
        <v>Saída</v>
      </c>
      <c r="G1088" t="str">
        <f>UPPER(TEXT(Tabela_DB[[#This Row],[DATA]],"mmm"))</f>
        <v>MAR</v>
      </c>
      <c r="H1088" t="str">
        <f>UPPER(TEXT(Tabela_DB[[#This Row],[DATA]],"aaaa"))</f>
        <v>2021</v>
      </c>
    </row>
    <row r="1089" spans="1:8" x14ac:dyDescent="0.25">
      <c r="A1089" s="2">
        <v>44263</v>
      </c>
      <c r="B1089" t="s">
        <v>3</v>
      </c>
      <c r="C1089">
        <v>13338</v>
      </c>
      <c r="D1089" t="str">
        <f>VLOOKUP(B1089,Tabela_Auxiliar[],2,0)</f>
        <v>1. Receita Operacional Bruta</v>
      </c>
      <c r="E1089" t="str">
        <f>VLOOKUP(B1089,Tabela_Auxiliar[],4,0)</f>
        <v>Receita Bruta</v>
      </c>
      <c r="F1089" t="str">
        <f>VLOOKUP(B1089,Tabela_Auxiliar[],3,0)</f>
        <v>Entrada</v>
      </c>
      <c r="G1089" t="str">
        <f>UPPER(TEXT(Tabela_DB[[#This Row],[DATA]],"mmm"))</f>
        <v>MAR</v>
      </c>
      <c r="H1089" t="str">
        <f>UPPER(TEXT(Tabela_DB[[#This Row],[DATA]],"aaaa"))</f>
        <v>2021</v>
      </c>
    </row>
    <row r="1090" spans="1:8" x14ac:dyDescent="0.25">
      <c r="A1090" s="2">
        <v>44263</v>
      </c>
      <c r="B1090" t="s">
        <v>34</v>
      </c>
      <c r="C1090">
        <v>-1261</v>
      </c>
      <c r="D1090" t="str">
        <f>VLOOKUP(B1090,Tabela_Auxiliar[],2,0)</f>
        <v>2. Deduções da Receita</v>
      </c>
      <c r="E1090" t="str">
        <f>VLOOKUP(B1090,Tabela_Auxiliar[],4,0)</f>
        <v>Imposto</v>
      </c>
      <c r="F1090" t="str">
        <f>VLOOKUP(B1090,Tabela_Auxiliar[],3,0)</f>
        <v>Saída</v>
      </c>
      <c r="G1090" t="str">
        <f>UPPER(TEXT(Tabela_DB[[#This Row],[DATA]],"mmm"))</f>
        <v>MAR</v>
      </c>
      <c r="H1090" t="str">
        <f>UPPER(TEXT(Tabela_DB[[#This Row],[DATA]],"aaaa"))</f>
        <v>2021</v>
      </c>
    </row>
    <row r="1091" spans="1:8" x14ac:dyDescent="0.25">
      <c r="A1091" s="2">
        <v>44263</v>
      </c>
      <c r="B1091" t="s">
        <v>111</v>
      </c>
      <c r="C1091">
        <v>-2381</v>
      </c>
      <c r="D1091" t="str">
        <f>VLOOKUP(B1091,Tabela_Auxiliar[],2,0)</f>
        <v>2. Deduções da Receita</v>
      </c>
      <c r="E1091" t="str">
        <f>VLOOKUP(B1091,Tabela_Auxiliar[],4,0)</f>
        <v>Imposto</v>
      </c>
      <c r="F1091" t="str">
        <f>VLOOKUP(B1091,Tabela_Auxiliar[],3,0)</f>
        <v>Saída</v>
      </c>
      <c r="G1091" t="str">
        <f>UPPER(TEXT(Tabela_DB[[#This Row],[DATA]],"mmm"))</f>
        <v>MAR</v>
      </c>
      <c r="H1091" t="str">
        <f>UPPER(TEXT(Tabela_DB[[#This Row],[DATA]],"aaaa"))</f>
        <v>2021</v>
      </c>
    </row>
    <row r="1092" spans="1:8" x14ac:dyDescent="0.25">
      <c r="A1092" s="2">
        <v>44264</v>
      </c>
      <c r="B1092" t="s">
        <v>3</v>
      </c>
      <c r="C1092">
        <v>14760</v>
      </c>
      <c r="D1092" t="str">
        <f>VLOOKUP(B1092,Tabela_Auxiliar[],2,0)</f>
        <v>1. Receita Operacional Bruta</v>
      </c>
      <c r="E1092" t="str">
        <f>VLOOKUP(B1092,Tabela_Auxiliar[],4,0)</f>
        <v>Receita Bruta</v>
      </c>
      <c r="F1092" t="str">
        <f>VLOOKUP(B1092,Tabela_Auxiliar[],3,0)</f>
        <v>Entrada</v>
      </c>
      <c r="G1092" t="str">
        <f>UPPER(TEXT(Tabela_DB[[#This Row],[DATA]],"mmm"))</f>
        <v>MAR</v>
      </c>
      <c r="H1092" t="str">
        <f>UPPER(TEXT(Tabela_DB[[#This Row],[DATA]],"aaaa"))</f>
        <v>2021</v>
      </c>
    </row>
    <row r="1093" spans="1:8" x14ac:dyDescent="0.25">
      <c r="A1093" s="2">
        <v>44264</v>
      </c>
      <c r="B1093" t="s">
        <v>62</v>
      </c>
      <c r="C1093">
        <v>-2029</v>
      </c>
      <c r="D1093" t="str">
        <f>VLOOKUP(B1093,Tabela_Auxiliar[],2,0)</f>
        <v>4. Despesas Operacionais</v>
      </c>
      <c r="E1093" t="str">
        <f>VLOOKUP(B1093,Tabela_Auxiliar[],4,0)</f>
        <v>Despesa Gerais</v>
      </c>
      <c r="F1093" t="str">
        <f>VLOOKUP(B1093,Tabela_Auxiliar[],3,0)</f>
        <v>Saída</v>
      </c>
      <c r="G1093" t="str">
        <f>UPPER(TEXT(Tabela_DB[[#This Row],[DATA]],"mmm"))</f>
        <v>MAR</v>
      </c>
      <c r="H1093" t="str">
        <f>UPPER(TEXT(Tabela_DB[[#This Row],[DATA]],"aaaa"))</f>
        <v>2021</v>
      </c>
    </row>
    <row r="1094" spans="1:8" x14ac:dyDescent="0.25">
      <c r="A1094" s="2">
        <v>44264</v>
      </c>
      <c r="B1094" t="s">
        <v>57</v>
      </c>
      <c r="C1094">
        <v>-1738</v>
      </c>
      <c r="D1094" t="str">
        <f>VLOOKUP(B1094,Tabela_Auxiliar[],2,0)</f>
        <v>4. Despesas Operacionais</v>
      </c>
      <c r="E1094" t="str">
        <f>VLOOKUP(B1094,Tabela_Auxiliar[],4,0)</f>
        <v>Despesa com Pessoal</v>
      </c>
      <c r="F1094" t="str">
        <f>VLOOKUP(B1094,Tabela_Auxiliar[],3,0)</f>
        <v>Saída</v>
      </c>
      <c r="G1094" t="str">
        <f>UPPER(TEXT(Tabela_DB[[#This Row],[DATA]],"mmm"))</f>
        <v>MAR</v>
      </c>
      <c r="H1094" t="str">
        <f>UPPER(TEXT(Tabela_DB[[#This Row],[DATA]],"aaaa"))</f>
        <v>2021</v>
      </c>
    </row>
    <row r="1095" spans="1:8" x14ac:dyDescent="0.25">
      <c r="A1095" s="2">
        <v>44264</v>
      </c>
      <c r="B1095" t="s">
        <v>56</v>
      </c>
      <c r="C1095">
        <v>-1717</v>
      </c>
      <c r="D1095" t="str">
        <f>VLOOKUP(B1095,Tabela_Auxiliar[],2,0)</f>
        <v>4. Despesas Operacionais</v>
      </c>
      <c r="E1095" t="str">
        <f>VLOOKUP(B1095,Tabela_Auxiliar[],4,0)</f>
        <v>Despesa com Pessoal</v>
      </c>
      <c r="F1095" t="str">
        <f>VLOOKUP(B1095,Tabela_Auxiliar[],3,0)</f>
        <v>Saída</v>
      </c>
      <c r="G1095" t="str">
        <f>UPPER(TEXT(Tabela_DB[[#This Row],[DATA]],"mmm"))</f>
        <v>MAR</v>
      </c>
      <c r="H1095" t="str">
        <f>UPPER(TEXT(Tabela_DB[[#This Row],[DATA]],"aaaa"))</f>
        <v>2021</v>
      </c>
    </row>
    <row r="1096" spans="1:8" x14ac:dyDescent="0.25">
      <c r="A1096" s="2">
        <v>44264</v>
      </c>
      <c r="B1096" t="s">
        <v>8</v>
      </c>
      <c r="C1096">
        <v>-1113</v>
      </c>
      <c r="D1096" t="str">
        <f>VLOOKUP(B1096,Tabela_Auxiliar[],2,0)</f>
        <v>4. Despesas Operacionais</v>
      </c>
      <c r="E1096" t="str">
        <f>VLOOKUP(B1096,Tabela_Auxiliar[],4,0)</f>
        <v>Despesa com Pessoal</v>
      </c>
      <c r="F1096" t="str">
        <f>VLOOKUP(B1096,Tabela_Auxiliar[],3,0)</f>
        <v>Saída</v>
      </c>
      <c r="G1096" t="str">
        <f>UPPER(TEXT(Tabela_DB[[#This Row],[DATA]],"mmm"))</f>
        <v>MAR</v>
      </c>
      <c r="H1096" t="str">
        <f>UPPER(TEXT(Tabela_DB[[#This Row],[DATA]],"aaaa"))</f>
        <v>2021</v>
      </c>
    </row>
    <row r="1097" spans="1:8" x14ac:dyDescent="0.25">
      <c r="A1097" s="2">
        <v>44264</v>
      </c>
      <c r="B1097" t="s">
        <v>48</v>
      </c>
      <c r="C1097">
        <v>-2355</v>
      </c>
      <c r="D1097" t="str">
        <f>VLOOKUP(B1097,Tabela_Auxiliar[],2,0)</f>
        <v>4. Despesas Operacionais</v>
      </c>
      <c r="E1097" t="str">
        <f>VLOOKUP(B1097,Tabela_Auxiliar[],4,0)</f>
        <v>Despesa com Pessoal</v>
      </c>
      <c r="F1097" t="str">
        <f>VLOOKUP(B1097,Tabela_Auxiliar[],3,0)</f>
        <v>Saída</v>
      </c>
      <c r="G1097" t="str">
        <f>UPPER(TEXT(Tabela_DB[[#This Row],[DATA]],"mmm"))</f>
        <v>MAR</v>
      </c>
      <c r="H1097" t="str">
        <f>UPPER(TEXT(Tabela_DB[[#This Row],[DATA]],"aaaa"))</f>
        <v>2021</v>
      </c>
    </row>
    <row r="1098" spans="1:8" x14ac:dyDescent="0.25">
      <c r="A1098" s="2">
        <v>44264</v>
      </c>
      <c r="B1098" t="s">
        <v>66</v>
      </c>
      <c r="C1098">
        <v>-1907</v>
      </c>
      <c r="D1098" t="str">
        <f>VLOOKUP(B1098,Tabela_Auxiliar[],2,0)</f>
        <v>4. Despesas Operacionais</v>
      </c>
      <c r="E1098" t="str">
        <f>VLOOKUP(B1098,Tabela_Auxiliar[],4,0)</f>
        <v>Despesa com Vendas</v>
      </c>
      <c r="F1098" t="str">
        <f>VLOOKUP(B1098,Tabela_Auxiliar[],3,0)</f>
        <v>Saída</v>
      </c>
      <c r="G1098" t="str">
        <f>UPPER(TEXT(Tabela_DB[[#This Row],[DATA]],"mmm"))</f>
        <v>MAR</v>
      </c>
      <c r="H1098" t="str">
        <f>UPPER(TEXT(Tabela_DB[[#This Row],[DATA]],"aaaa"))</f>
        <v>2021</v>
      </c>
    </row>
    <row r="1099" spans="1:8" x14ac:dyDescent="0.25">
      <c r="A1099" s="2">
        <v>44264</v>
      </c>
      <c r="B1099" t="s">
        <v>77</v>
      </c>
      <c r="C1099">
        <v>-1009</v>
      </c>
      <c r="D1099" t="str">
        <f>VLOOKUP(B1099,Tabela_Auxiliar[],2,0)</f>
        <v>4. Despesas Operacionais</v>
      </c>
      <c r="E1099" t="str">
        <f>VLOOKUP(B1099,Tabela_Auxiliar[],4,0)</f>
        <v>Serviços Contratados</v>
      </c>
      <c r="F1099" t="str">
        <f>VLOOKUP(B1099,Tabela_Auxiliar[],3,0)</f>
        <v>Saída</v>
      </c>
      <c r="G1099" t="str">
        <f>UPPER(TEXT(Tabela_DB[[#This Row],[DATA]],"mmm"))</f>
        <v>MAR</v>
      </c>
      <c r="H1099" t="str">
        <f>UPPER(TEXT(Tabela_DB[[#This Row],[DATA]],"aaaa"))</f>
        <v>2021</v>
      </c>
    </row>
    <row r="1100" spans="1:8" x14ac:dyDescent="0.25">
      <c r="A1100" s="2">
        <v>44264</v>
      </c>
      <c r="B1100" t="s">
        <v>3</v>
      </c>
      <c r="C1100">
        <v>12127</v>
      </c>
      <c r="D1100" t="str">
        <f>VLOOKUP(B1100,Tabela_Auxiliar[],2,0)</f>
        <v>1. Receita Operacional Bruta</v>
      </c>
      <c r="E1100" t="str">
        <f>VLOOKUP(B1100,Tabela_Auxiliar[],4,0)</f>
        <v>Receita Bruta</v>
      </c>
      <c r="F1100" t="str">
        <f>VLOOKUP(B1100,Tabela_Auxiliar[],3,0)</f>
        <v>Entrada</v>
      </c>
      <c r="G1100" t="str">
        <f>UPPER(TEXT(Tabela_DB[[#This Row],[DATA]],"mmm"))</f>
        <v>MAR</v>
      </c>
      <c r="H1100" t="str">
        <f>UPPER(TEXT(Tabela_DB[[#This Row],[DATA]],"aaaa"))</f>
        <v>2021</v>
      </c>
    </row>
    <row r="1101" spans="1:8" x14ac:dyDescent="0.25">
      <c r="A1101" s="2">
        <v>44264</v>
      </c>
      <c r="B1101" t="s">
        <v>111</v>
      </c>
      <c r="C1101">
        <v>-1080</v>
      </c>
      <c r="D1101" t="str">
        <f>VLOOKUP(B1101,Tabela_Auxiliar[],2,0)</f>
        <v>2. Deduções da Receita</v>
      </c>
      <c r="E1101" t="str">
        <f>VLOOKUP(B1101,Tabela_Auxiliar[],4,0)</f>
        <v>Imposto</v>
      </c>
      <c r="F1101" t="str">
        <f>VLOOKUP(B1101,Tabela_Auxiliar[],3,0)</f>
        <v>Saída</v>
      </c>
      <c r="G1101" t="str">
        <f>UPPER(TEXT(Tabela_DB[[#This Row],[DATA]],"mmm"))</f>
        <v>MAR</v>
      </c>
      <c r="H1101" t="str">
        <f>UPPER(TEXT(Tabela_DB[[#This Row],[DATA]],"aaaa"))</f>
        <v>2021</v>
      </c>
    </row>
    <row r="1102" spans="1:8" x14ac:dyDescent="0.25">
      <c r="A1102" s="2">
        <v>44264</v>
      </c>
      <c r="B1102" t="s">
        <v>100</v>
      </c>
      <c r="C1102">
        <v>1006</v>
      </c>
      <c r="D1102" t="str">
        <f>VLOOKUP(B1102,Tabela_Auxiliar[],2,0)</f>
        <v>5. Resultado Financeiro</v>
      </c>
      <c r="E1102" t="str">
        <f>VLOOKUP(B1102,Tabela_Auxiliar[],4,0)</f>
        <v>Receita Financeira</v>
      </c>
      <c r="F1102" t="str">
        <f>VLOOKUP(B1102,Tabela_Auxiliar[],3,0)</f>
        <v>Saída</v>
      </c>
      <c r="G1102" t="str">
        <f>UPPER(TEXT(Tabela_DB[[#This Row],[DATA]],"mmm"))</f>
        <v>MAR</v>
      </c>
      <c r="H1102" t="str">
        <f>UPPER(TEXT(Tabela_DB[[#This Row],[DATA]],"aaaa"))</f>
        <v>2021</v>
      </c>
    </row>
    <row r="1103" spans="1:8" x14ac:dyDescent="0.25">
      <c r="A1103" s="2">
        <v>44264</v>
      </c>
      <c r="B1103" t="s">
        <v>37</v>
      </c>
      <c r="C1103">
        <v>-3220</v>
      </c>
      <c r="D1103" t="str">
        <f>VLOOKUP(B1103,Tabela_Auxiliar[],2,0)</f>
        <v>3. Custos do Produto/Mercadoria/Serviço</v>
      </c>
      <c r="E1103" t="str">
        <f>VLOOKUP(B1103,Tabela_Auxiliar[],4,0)</f>
        <v>Despesas c/ Produto</v>
      </c>
      <c r="F1103" t="str">
        <f>VLOOKUP(B1103,Tabela_Auxiliar[],3,0)</f>
        <v>Saída</v>
      </c>
      <c r="G1103" t="str">
        <f>UPPER(TEXT(Tabela_DB[[#This Row],[DATA]],"mmm"))</f>
        <v>MAR</v>
      </c>
      <c r="H1103" t="str">
        <f>UPPER(TEXT(Tabela_DB[[#This Row],[DATA]],"aaaa"))</f>
        <v>2021</v>
      </c>
    </row>
    <row r="1104" spans="1:8" x14ac:dyDescent="0.25">
      <c r="A1104" s="2">
        <v>44264</v>
      </c>
      <c r="B1104" t="s">
        <v>72</v>
      </c>
      <c r="C1104">
        <v>-2423</v>
      </c>
      <c r="D1104" t="str">
        <f>VLOOKUP(B1104,Tabela_Auxiliar[],2,0)</f>
        <v>4. Despesas Operacionais</v>
      </c>
      <c r="E1104" t="str">
        <f>VLOOKUP(B1104,Tabela_Auxiliar[],4,0)</f>
        <v>Despesa com Ocupação</v>
      </c>
      <c r="F1104" t="str">
        <f>VLOOKUP(B1104,Tabela_Auxiliar[],3,0)</f>
        <v>Saída</v>
      </c>
      <c r="G1104" t="str">
        <f>UPPER(TEXT(Tabela_DB[[#This Row],[DATA]],"mmm"))</f>
        <v>MAR</v>
      </c>
      <c r="H1104" t="str">
        <f>UPPER(TEXT(Tabela_DB[[#This Row],[DATA]],"aaaa"))</f>
        <v>2021</v>
      </c>
    </row>
    <row r="1105" spans="1:8" x14ac:dyDescent="0.25">
      <c r="A1105" s="2">
        <v>44264</v>
      </c>
      <c r="B1105" t="s">
        <v>34</v>
      </c>
      <c r="C1105">
        <v>-1986</v>
      </c>
      <c r="D1105" t="str">
        <f>VLOOKUP(B1105,Tabela_Auxiliar[],2,0)</f>
        <v>2. Deduções da Receita</v>
      </c>
      <c r="E1105" t="str">
        <f>VLOOKUP(B1105,Tabela_Auxiliar[],4,0)</f>
        <v>Imposto</v>
      </c>
      <c r="F1105" t="str">
        <f>VLOOKUP(B1105,Tabela_Auxiliar[],3,0)</f>
        <v>Saída</v>
      </c>
      <c r="G1105" t="str">
        <f>UPPER(TEXT(Tabela_DB[[#This Row],[DATA]],"mmm"))</f>
        <v>MAR</v>
      </c>
      <c r="H1105" t="str">
        <f>UPPER(TEXT(Tabela_DB[[#This Row],[DATA]],"aaaa"))</f>
        <v>2021</v>
      </c>
    </row>
    <row r="1106" spans="1:8" x14ac:dyDescent="0.25">
      <c r="A1106" s="2">
        <v>44265</v>
      </c>
      <c r="B1106" t="s">
        <v>35</v>
      </c>
      <c r="C1106">
        <v>-1014</v>
      </c>
      <c r="D1106" t="str">
        <f>VLOOKUP(B1106,Tabela_Auxiliar[],2,0)</f>
        <v>2. Deduções da Receita</v>
      </c>
      <c r="E1106" t="str">
        <f>VLOOKUP(B1106,Tabela_Auxiliar[],4,0)</f>
        <v>Imposto</v>
      </c>
      <c r="F1106" t="str">
        <f>VLOOKUP(B1106,Tabela_Auxiliar[],3,0)</f>
        <v>Saída</v>
      </c>
      <c r="G1106" t="str">
        <f>UPPER(TEXT(Tabela_DB[[#This Row],[DATA]],"mmm"))</f>
        <v>MAR</v>
      </c>
      <c r="H1106" t="str">
        <f>UPPER(TEXT(Tabela_DB[[#This Row],[DATA]],"aaaa"))</f>
        <v>2021</v>
      </c>
    </row>
    <row r="1107" spans="1:8" x14ac:dyDescent="0.25">
      <c r="A1107" s="2">
        <v>44265</v>
      </c>
      <c r="B1107" t="s">
        <v>68</v>
      </c>
      <c r="C1107">
        <v>-1275</v>
      </c>
      <c r="D1107" t="str">
        <f>VLOOKUP(B1107,Tabela_Auxiliar[],2,0)</f>
        <v>4. Despesas Operacionais</v>
      </c>
      <c r="E1107" t="str">
        <f>VLOOKUP(B1107,Tabela_Auxiliar[],4,0)</f>
        <v>Despesa com Ocupação</v>
      </c>
      <c r="F1107" t="str">
        <f>VLOOKUP(B1107,Tabela_Auxiliar[],3,0)</f>
        <v>Saída</v>
      </c>
      <c r="G1107" t="str">
        <f>UPPER(TEXT(Tabela_DB[[#This Row],[DATA]],"mmm"))</f>
        <v>MAR</v>
      </c>
      <c r="H1107" t="str">
        <f>UPPER(TEXT(Tabela_DB[[#This Row],[DATA]],"aaaa"))</f>
        <v>2021</v>
      </c>
    </row>
    <row r="1108" spans="1:8" x14ac:dyDescent="0.25">
      <c r="A1108" s="2">
        <v>44265</v>
      </c>
      <c r="B1108" t="s">
        <v>38</v>
      </c>
      <c r="C1108">
        <v>-2047</v>
      </c>
      <c r="D1108" t="str">
        <f>VLOOKUP(B1108,Tabela_Auxiliar[],2,0)</f>
        <v>2. Deduções da Receita</v>
      </c>
      <c r="E1108" t="str">
        <f>VLOOKUP(B1108,Tabela_Auxiliar[],4,0)</f>
        <v>Deduções</v>
      </c>
      <c r="F1108" t="str">
        <f>VLOOKUP(B1108,Tabela_Auxiliar[],3,0)</f>
        <v>Saída</v>
      </c>
      <c r="G1108" t="str">
        <f>UPPER(TEXT(Tabela_DB[[#This Row],[DATA]],"mmm"))</f>
        <v>MAR</v>
      </c>
      <c r="H1108" t="str">
        <f>UPPER(TEXT(Tabela_DB[[#This Row],[DATA]],"aaaa"))</f>
        <v>2021</v>
      </c>
    </row>
    <row r="1109" spans="1:8" x14ac:dyDescent="0.25">
      <c r="A1109" s="2">
        <v>44265</v>
      </c>
      <c r="B1109" t="s">
        <v>35</v>
      </c>
      <c r="C1109">
        <v>-1481</v>
      </c>
      <c r="D1109" t="str">
        <f>VLOOKUP(B1109,Tabela_Auxiliar[],2,0)</f>
        <v>2. Deduções da Receita</v>
      </c>
      <c r="E1109" t="str">
        <f>VLOOKUP(B1109,Tabela_Auxiliar[],4,0)</f>
        <v>Imposto</v>
      </c>
      <c r="F1109" t="str">
        <f>VLOOKUP(B1109,Tabela_Auxiliar[],3,0)</f>
        <v>Saída</v>
      </c>
      <c r="G1109" t="str">
        <f>UPPER(TEXT(Tabela_DB[[#This Row],[DATA]],"mmm"))</f>
        <v>MAR</v>
      </c>
      <c r="H1109" t="str">
        <f>UPPER(TEXT(Tabela_DB[[#This Row],[DATA]],"aaaa"))</f>
        <v>2021</v>
      </c>
    </row>
    <row r="1110" spans="1:8" x14ac:dyDescent="0.25">
      <c r="A1110" s="2">
        <v>44265</v>
      </c>
      <c r="B1110" t="s">
        <v>65</v>
      </c>
      <c r="C1110">
        <v>-1450</v>
      </c>
      <c r="D1110" t="str">
        <f>VLOOKUP(B1110,Tabela_Auxiliar[],2,0)</f>
        <v>4. Despesas Operacionais</v>
      </c>
      <c r="E1110" t="str">
        <f>VLOOKUP(B1110,Tabela_Auxiliar[],4,0)</f>
        <v>Despesa Gerais</v>
      </c>
      <c r="F1110" t="str">
        <f>VLOOKUP(B1110,Tabela_Auxiliar[],3,0)</f>
        <v>Saída</v>
      </c>
      <c r="G1110" t="str">
        <f>UPPER(TEXT(Tabela_DB[[#This Row],[DATA]],"mmm"))</f>
        <v>MAR</v>
      </c>
      <c r="H1110" t="str">
        <f>UPPER(TEXT(Tabela_DB[[#This Row],[DATA]],"aaaa"))</f>
        <v>2021</v>
      </c>
    </row>
    <row r="1111" spans="1:8" x14ac:dyDescent="0.25">
      <c r="A1111" s="2">
        <v>44265</v>
      </c>
      <c r="B1111" t="s">
        <v>111</v>
      </c>
      <c r="C1111">
        <v>-1305</v>
      </c>
      <c r="D1111" t="str">
        <f>VLOOKUP(B1111,Tabela_Auxiliar[],2,0)</f>
        <v>2. Deduções da Receita</v>
      </c>
      <c r="E1111" t="str">
        <f>VLOOKUP(B1111,Tabela_Auxiliar[],4,0)</f>
        <v>Imposto</v>
      </c>
      <c r="F1111" t="str">
        <f>VLOOKUP(B1111,Tabela_Auxiliar[],3,0)</f>
        <v>Saída</v>
      </c>
      <c r="G1111" t="str">
        <f>UPPER(TEXT(Tabela_DB[[#This Row],[DATA]],"mmm"))</f>
        <v>MAR</v>
      </c>
      <c r="H1111" t="str">
        <f>UPPER(TEXT(Tabela_DB[[#This Row],[DATA]],"aaaa"))</f>
        <v>2021</v>
      </c>
    </row>
    <row r="1112" spans="1:8" x14ac:dyDescent="0.25">
      <c r="A1112" s="2">
        <v>44265</v>
      </c>
      <c r="B1112" t="s">
        <v>51</v>
      </c>
      <c r="C1112">
        <v>-1244</v>
      </c>
      <c r="D1112" t="str">
        <f>VLOOKUP(B1112,Tabela_Auxiliar[],2,0)</f>
        <v>4. Despesas Operacionais</v>
      </c>
      <c r="E1112" t="str">
        <f>VLOOKUP(B1112,Tabela_Auxiliar[],4,0)</f>
        <v>Despesa com Pessoal</v>
      </c>
      <c r="F1112" t="str">
        <f>VLOOKUP(B1112,Tabela_Auxiliar[],3,0)</f>
        <v>Saída</v>
      </c>
      <c r="G1112" t="str">
        <f>UPPER(TEXT(Tabela_DB[[#This Row],[DATA]],"mmm"))</f>
        <v>MAR</v>
      </c>
      <c r="H1112" t="str">
        <f>UPPER(TEXT(Tabela_DB[[#This Row],[DATA]],"aaaa"))</f>
        <v>2021</v>
      </c>
    </row>
    <row r="1113" spans="1:8" x14ac:dyDescent="0.25">
      <c r="A1113" s="2">
        <v>44265</v>
      </c>
      <c r="B1113" t="s">
        <v>38</v>
      </c>
      <c r="C1113">
        <v>-2051</v>
      </c>
      <c r="D1113" t="str">
        <f>VLOOKUP(B1113,Tabela_Auxiliar[],2,0)</f>
        <v>2. Deduções da Receita</v>
      </c>
      <c r="E1113" t="str">
        <f>VLOOKUP(B1113,Tabela_Auxiliar[],4,0)</f>
        <v>Deduções</v>
      </c>
      <c r="F1113" t="str">
        <f>VLOOKUP(B1113,Tabela_Auxiliar[],3,0)</f>
        <v>Saída</v>
      </c>
      <c r="G1113" t="str">
        <f>UPPER(TEXT(Tabela_DB[[#This Row],[DATA]],"mmm"))</f>
        <v>MAR</v>
      </c>
      <c r="H1113" t="str">
        <f>UPPER(TEXT(Tabela_DB[[#This Row],[DATA]],"aaaa"))</f>
        <v>2021</v>
      </c>
    </row>
    <row r="1114" spans="1:8" x14ac:dyDescent="0.25">
      <c r="A1114" s="2">
        <v>44266</v>
      </c>
      <c r="B1114" t="s">
        <v>34</v>
      </c>
      <c r="C1114">
        <v>-1957</v>
      </c>
      <c r="D1114" t="str">
        <f>VLOOKUP(B1114,Tabela_Auxiliar[],2,0)</f>
        <v>2. Deduções da Receita</v>
      </c>
      <c r="E1114" t="str">
        <f>VLOOKUP(B1114,Tabela_Auxiliar[],4,0)</f>
        <v>Imposto</v>
      </c>
      <c r="F1114" t="str">
        <f>VLOOKUP(B1114,Tabela_Auxiliar[],3,0)</f>
        <v>Saída</v>
      </c>
      <c r="G1114" t="str">
        <f>UPPER(TEXT(Tabela_DB[[#This Row],[DATA]],"mmm"))</f>
        <v>MAR</v>
      </c>
      <c r="H1114" t="str">
        <f>UPPER(TEXT(Tabela_DB[[#This Row],[DATA]],"aaaa"))</f>
        <v>2021</v>
      </c>
    </row>
    <row r="1115" spans="1:8" x14ac:dyDescent="0.25">
      <c r="A1115" s="2">
        <v>44266</v>
      </c>
      <c r="B1115" t="s">
        <v>3</v>
      </c>
      <c r="C1115">
        <v>12867</v>
      </c>
      <c r="D1115" t="str">
        <f>VLOOKUP(B1115,Tabela_Auxiliar[],2,0)</f>
        <v>1. Receita Operacional Bruta</v>
      </c>
      <c r="E1115" t="str">
        <f>VLOOKUP(B1115,Tabela_Auxiliar[],4,0)</f>
        <v>Receita Bruta</v>
      </c>
      <c r="F1115" t="str">
        <f>VLOOKUP(B1115,Tabela_Auxiliar[],3,0)</f>
        <v>Entrada</v>
      </c>
      <c r="G1115" t="str">
        <f>UPPER(TEXT(Tabela_DB[[#This Row],[DATA]],"mmm"))</f>
        <v>MAR</v>
      </c>
      <c r="H1115" t="str">
        <f>UPPER(TEXT(Tabela_DB[[#This Row],[DATA]],"aaaa"))</f>
        <v>2021</v>
      </c>
    </row>
    <row r="1116" spans="1:8" x14ac:dyDescent="0.25">
      <c r="A1116" s="2">
        <v>44266</v>
      </c>
      <c r="B1116" t="s">
        <v>34</v>
      </c>
      <c r="C1116">
        <v>-1187</v>
      </c>
      <c r="D1116" t="str">
        <f>VLOOKUP(B1116,Tabela_Auxiliar[],2,0)</f>
        <v>2. Deduções da Receita</v>
      </c>
      <c r="E1116" t="str">
        <f>VLOOKUP(B1116,Tabela_Auxiliar[],4,0)</f>
        <v>Imposto</v>
      </c>
      <c r="F1116" t="str">
        <f>VLOOKUP(B1116,Tabela_Auxiliar[],3,0)</f>
        <v>Saída</v>
      </c>
      <c r="G1116" t="str">
        <f>UPPER(TEXT(Tabela_DB[[#This Row],[DATA]],"mmm"))</f>
        <v>MAR</v>
      </c>
      <c r="H1116" t="str">
        <f>UPPER(TEXT(Tabela_DB[[#This Row],[DATA]],"aaaa"))</f>
        <v>2021</v>
      </c>
    </row>
    <row r="1117" spans="1:8" x14ac:dyDescent="0.25">
      <c r="A1117" s="2">
        <v>44266</v>
      </c>
      <c r="B1117" t="s">
        <v>38</v>
      </c>
      <c r="C1117">
        <v>-2140</v>
      </c>
      <c r="D1117" t="str">
        <f>VLOOKUP(B1117,Tabela_Auxiliar[],2,0)</f>
        <v>2. Deduções da Receita</v>
      </c>
      <c r="E1117" t="str">
        <f>VLOOKUP(B1117,Tabela_Auxiliar[],4,0)</f>
        <v>Deduções</v>
      </c>
      <c r="F1117" t="str">
        <f>VLOOKUP(B1117,Tabela_Auxiliar[],3,0)</f>
        <v>Saída</v>
      </c>
      <c r="G1117" t="str">
        <f>UPPER(TEXT(Tabela_DB[[#This Row],[DATA]],"mmm"))</f>
        <v>MAR</v>
      </c>
      <c r="H1117" t="str">
        <f>UPPER(TEXT(Tabela_DB[[#This Row],[DATA]],"aaaa"))</f>
        <v>2021</v>
      </c>
    </row>
    <row r="1118" spans="1:8" x14ac:dyDescent="0.25">
      <c r="A1118" s="2">
        <v>44266</v>
      </c>
      <c r="B1118" t="s">
        <v>46</v>
      </c>
      <c r="C1118">
        <v>-1687</v>
      </c>
      <c r="D1118" t="str">
        <f>VLOOKUP(B1118,Tabela_Auxiliar[],2,0)</f>
        <v>4. Despesas Operacionais</v>
      </c>
      <c r="E1118" t="str">
        <f>VLOOKUP(B1118,Tabela_Auxiliar[],4,0)</f>
        <v>Despesa com Pessoal</v>
      </c>
      <c r="F1118" t="str">
        <f>VLOOKUP(B1118,Tabela_Auxiliar[],3,0)</f>
        <v>Saída</v>
      </c>
      <c r="G1118" t="str">
        <f>UPPER(TEXT(Tabela_DB[[#This Row],[DATA]],"mmm"))</f>
        <v>MAR</v>
      </c>
      <c r="H1118" t="str">
        <f>UPPER(TEXT(Tabela_DB[[#This Row],[DATA]],"aaaa"))</f>
        <v>2021</v>
      </c>
    </row>
    <row r="1119" spans="1:8" x14ac:dyDescent="0.25">
      <c r="A1119" s="2">
        <v>44266</v>
      </c>
      <c r="B1119" t="s">
        <v>83</v>
      </c>
      <c r="C1119">
        <v>-1318</v>
      </c>
      <c r="D1119" t="str">
        <f>VLOOKUP(B1119,Tabela_Auxiliar[],2,0)</f>
        <v>4. Despesas Operacionais</v>
      </c>
      <c r="E1119" t="str">
        <f>VLOOKUP(B1119,Tabela_Auxiliar[],4,0)</f>
        <v>Despesa com Veículos</v>
      </c>
      <c r="F1119" t="str">
        <f>VLOOKUP(B1119,Tabela_Auxiliar[],3,0)</f>
        <v>Saída</v>
      </c>
      <c r="G1119" t="str">
        <f>UPPER(TEXT(Tabela_DB[[#This Row],[DATA]],"mmm"))</f>
        <v>MAR</v>
      </c>
      <c r="H1119" t="str">
        <f>UPPER(TEXT(Tabela_DB[[#This Row],[DATA]],"aaaa"))</f>
        <v>2021</v>
      </c>
    </row>
    <row r="1120" spans="1:8" x14ac:dyDescent="0.25">
      <c r="A1120" s="2">
        <v>44266</v>
      </c>
      <c r="B1120" t="s">
        <v>38</v>
      </c>
      <c r="C1120">
        <v>-2202</v>
      </c>
      <c r="D1120" t="str">
        <f>VLOOKUP(B1120,Tabela_Auxiliar[],2,0)</f>
        <v>2. Deduções da Receita</v>
      </c>
      <c r="E1120" t="str">
        <f>VLOOKUP(B1120,Tabela_Auxiliar[],4,0)</f>
        <v>Deduções</v>
      </c>
      <c r="F1120" t="str">
        <f>VLOOKUP(B1120,Tabela_Auxiliar[],3,0)</f>
        <v>Saída</v>
      </c>
      <c r="G1120" t="str">
        <f>UPPER(TEXT(Tabela_DB[[#This Row],[DATA]],"mmm"))</f>
        <v>MAR</v>
      </c>
      <c r="H1120" t="str">
        <f>UPPER(TEXT(Tabela_DB[[#This Row],[DATA]],"aaaa"))</f>
        <v>2021</v>
      </c>
    </row>
    <row r="1121" spans="1:8" x14ac:dyDescent="0.25">
      <c r="A1121" s="2">
        <v>44266</v>
      </c>
      <c r="B1121" t="s">
        <v>38</v>
      </c>
      <c r="C1121">
        <v>-1857</v>
      </c>
      <c r="D1121" t="str">
        <f>VLOOKUP(B1121,Tabela_Auxiliar[],2,0)</f>
        <v>2. Deduções da Receita</v>
      </c>
      <c r="E1121" t="str">
        <f>VLOOKUP(B1121,Tabela_Auxiliar[],4,0)</f>
        <v>Deduções</v>
      </c>
      <c r="F1121" t="str">
        <f>VLOOKUP(B1121,Tabela_Auxiliar[],3,0)</f>
        <v>Saída</v>
      </c>
      <c r="G1121" t="str">
        <f>UPPER(TEXT(Tabela_DB[[#This Row],[DATA]],"mmm"))</f>
        <v>MAR</v>
      </c>
      <c r="H1121" t="str">
        <f>UPPER(TEXT(Tabela_DB[[#This Row],[DATA]],"aaaa"))</f>
        <v>2021</v>
      </c>
    </row>
    <row r="1122" spans="1:8" x14ac:dyDescent="0.25">
      <c r="A1122" s="2">
        <v>44267</v>
      </c>
      <c r="B1122" t="s">
        <v>111</v>
      </c>
      <c r="C1122">
        <v>-1345</v>
      </c>
      <c r="D1122" t="str">
        <f>VLOOKUP(B1122,Tabela_Auxiliar[],2,0)</f>
        <v>2. Deduções da Receita</v>
      </c>
      <c r="E1122" t="str">
        <f>VLOOKUP(B1122,Tabela_Auxiliar[],4,0)</f>
        <v>Imposto</v>
      </c>
      <c r="F1122" t="str">
        <f>VLOOKUP(B1122,Tabela_Auxiliar[],3,0)</f>
        <v>Saída</v>
      </c>
      <c r="G1122" t="str">
        <f>UPPER(TEXT(Tabela_DB[[#This Row],[DATA]],"mmm"))</f>
        <v>MAR</v>
      </c>
      <c r="H1122" t="str">
        <f>UPPER(TEXT(Tabela_DB[[#This Row],[DATA]],"aaaa"))</f>
        <v>2021</v>
      </c>
    </row>
    <row r="1123" spans="1:8" x14ac:dyDescent="0.25">
      <c r="A1123" s="2">
        <v>44267</v>
      </c>
      <c r="B1123" t="s">
        <v>44</v>
      </c>
      <c r="C1123">
        <v>-1923</v>
      </c>
      <c r="D1123" t="str">
        <f>VLOOKUP(B1123,Tabela_Auxiliar[],2,0)</f>
        <v>4. Despesas Operacionais</v>
      </c>
      <c r="E1123" t="str">
        <f>VLOOKUP(B1123,Tabela_Auxiliar[],4,0)</f>
        <v>Despesa com Pessoal</v>
      </c>
      <c r="F1123" t="str">
        <f>VLOOKUP(B1123,Tabela_Auxiliar[],3,0)</f>
        <v>Saída</v>
      </c>
      <c r="G1123" t="str">
        <f>UPPER(TEXT(Tabela_DB[[#This Row],[DATA]],"mmm"))</f>
        <v>MAR</v>
      </c>
      <c r="H1123" t="str">
        <f>UPPER(TEXT(Tabela_DB[[#This Row],[DATA]],"aaaa"))</f>
        <v>2021</v>
      </c>
    </row>
    <row r="1124" spans="1:8" x14ac:dyDescent="0.25">
      <c r="A1124" s="2">
        <v>44267</v>
      </c>
      <c r="B1124" t="s">
        <v>37</v>
      </c>
      <c r="C1124">
        <v>-3496</v>
      </c>
      <c r="D1124" t="str">
        <f>VLOOKUP(B1124,Tabela_Auxiliar[],2,0)</f>
        <v>3. Custos do Produto/Mercadoria/Serviço</v>
      </c>
      <c r="E1124" t="str">
        <f>VLOOKUP(B1124,Tabela_Auxiliar[],4,0)</f>
        <v>Despesas c/ Produto</v>
      </c>
      <c r="F1124" t="str">
        <f>VLOOKUP(B1124,Tabela_Auxiliar[],3,0)</f>
        <v>Saída</v>
      </c>
      <c r="G1124" t="str">
        <f>UPPER(TEXT(Tabela_DB[[#This Row],[DATA]],"mmm"))</f>
        <v>MAR</v>
      </c>
      <c r="H1124" t="str">
        <f>UPPER(TEXT(Tabela_DB[[#This Row],[DATA]],"aaaa"))</f>
        <v>2021</v>
      </c>
    </row>
    <row r="1125" spans="1:8" x14ac:dyDescent="0.25">
      <c r="A1125" s="2">
        <v>44267</v>
      </c>
      <c r="B1125" t="s">
        <v>66</v>
      </c>
      <c r="C1125">
        <v>-1133</v>
      </c>
      <c r="D1125" t="str">
        <f>VLOOKUP(B1125,Tabela_Auxiliar[],2,0)</f>
        <v>4. Despesas Operacionais</v>
      </c>
      <c r="E1125" t="str">
        <f>VLOOKUP(B1125,Tabela_Auxiliar[],4,0)</f>
        <v>Despesa com Vendas</v>
      </c>
      <c r="F1125" t="str">
        <f>VLOOKUP(B1125,Tabela_Auxiliar[],3,0)</f>
        <v>Saída</v>
      </c>
      <c r="G1125" t="str">
        <f>UPPER(TEXT(Tabela_DB[[#This Row],[DATA]],"mmm"))</f>
        <v>MAR</v>
      </c>
      <c r="H1125" t="str">
        <f>UPPER(TEXT(Tabela_DB[[#This Row],[DATA]],"aaaa"))</f>
        <v>2021</v>
      </c>
    </row>
    <row r="1126" spans="1:8" x14ac:dyDescent="0.25">
      <c r="A1126" s="2">
        <v>44267</v>
      </c>
      <c r="B1126" t="s">
        <v>87</v>
      </c>
      <c r="C1126">
        <v>-1852</v>
      </c>
      <c r="D1126" t="str">
        <f>VLOOKUP(B1126,Tabela_Auxiliar[],2,0)</f>
        <v>4. Despesas Operacionais</v>
      </c>
      <c r="E1126" t="str">
        <f>VLOOKUP(B1126,Tabela_Auxiliar[],4,0)</f>
        <v>Despesa Tributária</v>
      </c>
      <c r="F1126" t="str">
        <f>VLOOKUP(B1126,Tabela_Auxiliar[],3,0)</f>
        <v>Saída</v>
      </c>
      <c r="G1126" t="str">
        <f>UPPER(TEXT(Tabela_DB[[#This Row],[DATA]],"mmm"))</f>
        <v>MAR</v>
      </c>
      <c r="H1126" t="str">
        <f>UPPER(TEXT(Tabela_DB[[#This Row],[DATA]],"aaaa"))</f>
        <v>2021</v>
      </c>
    </row>
    <row r="1127" spans="1:8" x14ac:dyDescent="0.25">
      <c r="A1127" s="2">
        <v>44267</v>
      </c>
      <c r="B1127" t="s">
        <v>77</v>
      </c>
      <c r="C1127">
        <v>-2194</v>
      </c>
      <c r="D1127" t="str">
        <f>VLOOKUP(B1127,Tabela_Auxiliar[],2,0)</f>
        <v>4. Despesas Operacionais</v>
      </c>
      <c r="E1127" t="str">
        <f>VLOOKUP(B1127,Tabela_Auxiliar[],4,0)</f>
        <v>Serviços Contratados</v>
      </c>
      <c r="F1127" t="str">
        <f>VLOOKUP(B1127,Tabela_Auxiliar[],3,0)</f>
        <v>Saída</v>
      </c>
      <c r="G1127" t="str">
        <f>UPPER(TEXT(Tabela_DB[[#This Row],[DATA]],"mmm"))</f>
        <v>MAR</v>
      </c>
      <c r="H1127" t="str">
        <f>UPPER(TEXT(Tabela_DB[[#This Row],[DATA]],"aaaa"))</f>
        <v>2021</v>
      </c>
    </row>
    <row r="1128" spans="1:8" x14ac:dyDescent="0.25">
      <c r="A1128" s="2">
        <v>44267</v>
      </c>
      <c r="B1128" t="s">
        <v>35</v>
      </c>
      <c r="C1128">
        <v>-1198</v>
      </c>
      <c r="D1128" t="str">
        <f>VLOOKUP(B1128,Tabela_Auxiliar[],2,0)</f>
        <v>2. Deduções da Receita</v>
      </c>
      <c r="E1128" t="str">
        <f>VLOOKUP(B1128,Tabela_Auxiliar[],4,0)</f>
        <v>Imposto</v>
      </c>
      <c r="F1128" t="str">
        <f>VLOOKUP(B1128,Tabela_Auxiliar[],3,0)</f>
        <v>Saída</v>
      </c>
      <c r="G1128" t="str">
        <f>UPPER(TEXT(Tabela_DB[[#This Row],[DATA]],"mmm"))</f>
        <v>MAR</v>
      </c>
      <c r="H1128" t="str">
        <f>UPPER(TEXT(Tabela_DB[[#This Row],[DATA]],"aaaa"))</f>
        <v>2021</v>
      </c>
    </row>
    <row r="1129" spans="1:8" x14ac:dyDescent="0.25">
      <c r="A1129" s="2">
        <v>44267</v>
      </c>
      <c r="B1129" t="s">
        <v>35</v>
      </c>
      <c r="C1129">
        <v>-1433</v>
      </c>
      <c r="D1129" t="str">
        <f>VLOOKUP(B1129,Tabela_Auxiliar[],2,0)</f>
        <v>2. Deduções da Receita</v>
      </c>
      <c r="E1129" t="str">
        <f>VLOOKUP(B1129,Tabela_Auxiliar[],4,0)</f>
        <v>Imposto</v>
      </c>
      <c r="F1129" t="str">
        <f>VLOOKUP(B1129,Tabela_Auxiliar[],3,0)</f>
        <v>Saída</v>
      </c>
      <c r="G1129" t="str">
        <f>UPPER(TEXT(Tabela_DB[[#This Row],[DATA]],"mmm"))</f>
        <v>MAR</v>
      </c>
      <c r="H1129" t="str">
        <f>UPPER(TEXT(Tabela_DB[[#This Row],[DATA]],"aaaa"))</f>
        <v>2021</v>
      </c>
    </row>
    <row r="1130" spans="1:8" x14ac:dyDescent="0.25">
      <c r="A1130" s="2">
        <v>44267</v>
      </c>
      <c r="B1130" t="s">
        <v>38</v>
      </c>
      <c r="C1130">
        <v>-1699</v>
      </c>
      <c r="D1130" t="str">
        <f>VLOOKUP(B1130,Tabela_Auxiliar[],2,0)</f>
        <v>2. Deduções da Receita</v>
      </c>
      <c r="E1130" t="str">
        <f>VLOOKUP(B1130,Tabela_Auxiliar[],4,0)</f>
        <v>Deduções</v>
      </c>
      <c r="F1130" t="str">
        <f>VLOOKUP(B1130,Tabela_Auxiliar[],3,0)</f>
        <v>Saída</v>
      </c>
      <c r="G1130" t="str">
        <f>UPPER(TEXT(Tabela_DB[[#This Row],[DATA]],"mmm"))</f>
        <v>MAR</v>
      </c>
      <c r="H1130" t="str">
        <f>UPPER(TEXT(Tabela_DB[[#This Row],[DATA]],"aaaa"))</f>
        <v>2021</v>
      </c>
    </row>
    <row r="1131" spans="1:8" x14ac:dyDescent="0.25">
      <c r="A1131" s="2">
        <v>44267</v>
      </c>
      <c r="B1131" t="s">
        <v>3</v>
      </c>
      <c r="C1131">
        <v>14837</v>
      </c>
      <c r="D1131" t="str">
        <f>VLOOKUP(B1131,Tabela_Auxiliar[],2,0)</f>
        <v>1. Receita Operacional Bruta</v>
      </c>
      <c r="E1131" t="str">
        <f>VLOOKUP(B1131,Tabela_Auxiliar[],4,0)</f>
        <v>Receita Bruta</v>
      </c>
      <c r="F1131" t="str">
        <f>VLOOKUP(B1131,Tabela_Auxiliar[],3,0)</f>
        <v>Entrada</v>
      </c>
      <c r="G1131" t="str">
        <f>UPPER(TEXT(Tabela_DB[[#This Row],[DATA]],"mmm"))</f>
        <v>MAR</v>
      </c>
      <c r="H1131" t="str">
        <f>UPPER(TEXT(Tabela_DB[[#This Row],[DATA]],"aaaa"))</f>
        <v>2021</v>
      </c>
    </row>
    <row r="1132" spans="1:8" x14ac:dyDescent="0.25">
      <c r="A1132" s="2">
        <v>44267</v>
      </c>
      <c r="B1132" t="s">
        <v>34</v>
      </c>
      <c r="C1132">
        <v>-1362</v>
      </c>
      <c r="D1132" t="str">
        <f>VLOOKUP(B1132,Tabela_Auxiliar[],2,0)</f>
        <v>2. Deduções da Receita</v>
      </c>
      <c r="E1132" t="str">
        <f>VLOOKUP(B1132,Tabela_Auxiliar[],4,0)</f>
        <v>Imposto</v>
      </c>
      <c r="F1132" t="str">
        <f>VLOOKUP(B1132,Tabela_Auxiliar[],3,0)</f>
        <v>Saída</v>
      </c>
      <c r="G1132" t="str">
        <f>UPPER(TEXT(Tabela_DB[[#This Row],[DATA]],"mmm"))</f>
        <v>MAR</v>
      </c>
      <c r="H1132" t="str">
        <f>UPPER(TEXT(Tabela_DB[[#This Row],[DATA]],"aaaa"))</f>
        <v>2021</v>
      </c>
    </row>
    <row r="1133" spans="1:8" x14ac:dyDescent="0.25">
      <c r="A1133" s="2">
        <v>44267</v>
      </c>
      <c r="B1133" t="s">
        <v>37</v>
      </c>
      <c r="C1133">
        <v>-4711</v>
      </c>
      <c r="D1133" t="str">
        <f>VLOOKUP(B1133,Tabela_Auxiliar[],2,0)</f>
        <v>3. Custos do Produto/Mercadoria/Serviço</v>
      </c>
      <c r="E1133" t="str">
        <f>VLOOKUP(B1133,Tabela_Auxiliar[],4,0)</f>
        <v>Despesas c/ Produto</v>
      </c>
      <c r="F1133" t="str">
        <f>VLOOKUP(B1133,Tabela_Auxiliar[],3,0)</f>
        <v>Saída</v>
      </c>
      <c r="G1133" t="str">
        <f>UPPER(TEXT(Tabela_DB[[#This Row],[DATA]],"mmm"))</f>
        <v>MAR</v>
      </c>
      <c r="H1133" t="str">
        <f>UPPER(TEXT(Tabela_DB[[#This Row],[DATA]],"aaaa"))</f>
        <v>2021</v>
      </c>
    </row>
    <row r="1134" spans="1:8" x14ac:dyDescent="0.25">
      <c r="A1134" s="2">
        <v>44267</v>
      </c>
      <c r="B1134" t="s">
        <v>37</v>
      </c>
      <c r="C1134">
        <v>-3980</v>
      </c>
      <c r="D1134" t="str">
        <f>VLOOKUP(B1134,Tabela_Auxiliar[],2,0)</f>
        <v>3. Custos do Produto/Mercadoria/Serviço</v>
      </c>
      <c r="E1134" t="str">
        <f>VLOOKUP(B1134,Tabela_Auxiliar[],4,0)</f>
        <v>Despesas c/ Produto</v>
      </c>
      <c r="F1134" t="str">
        <f>VLOOKUP(B1134,Tabela_Auxiliar[],3,0)</f>
        <v>Saída</v>
      </c>
      <c r="G1134" t="str">
        <f>UPPER(TEXT(Tabela_DB[[#This Row],[DATA]],"mmm"))</f>
        <v>MAR</v>
      </c>
      <c r="H1134" t="str">
        <f>UPPER(TEXT(Tabela_DB[[#This Row],[DATA]],"aaaa"))</f>
        <v>2021</v>
      </c>
    </row>
    <row r="1135" spans="1:8" x14ac:dyDescent="0.25">
      <c r="A1135" s="2">
        <v>44267</v>
      </c>
      <c r="B1135" t="s">
        <v>38</v>
      </c>
      <c r="C1135">
        <v>-1692</v>
      </c>
      <c r="D1135" t="str">
        <f>VLOOKUP(B1135,Tabela_Auxiliar[],2,0)</f>
        <v>2. Deduções da Receita</v>
      </c>
      <c r="E1135" t="str">
        <f>VLOOKUP(B1135,Tabela_Auxiliar[],4,0)</f>
        <v>Deduções</v>
      </c>
      <c r="F1135" t="str">
        <f>VLOOKUP(B1135,Tabela_Auxiliar[],3,0)</f>
        <v>Saída</v>
      </c>
      <c r="G1135" t="str">
        <f>UPPER(TEXT(Tabela_DB[[#This Row],[DATA]],"mmm"))</f>
        <v>MAR</v>
      </c>
      <c r="H1135" t="str">
        <f>UPPER(TEXT(Tabela_DB[[#This Row],[DATA]],"aaaa"))</f>
        <v>2021</v>
      </c>
    </row>
    <row r="1136" spans="1:8" x14ac:dyDescent="0.25">
      <c r="A1136" s="2">
        <v>44267</v>
      </c>
      <c r="B1136" t="s">
        <v>37</v>
      </c>
      <c r="C1136">
        <v>-4072</v>
      </c>
      <c r="D1136" t="str">
        <f>VLOOKUP(B1136,Tabela_Auxiliar[],2,0)</f>
        <v>3. Custos do Produto/Mercadoria/Serviço</v>
      </c>
      <c r="E1136" t="str">
        <f>VLOOKUP(B1136,Tabela_Auxiliar[],4,0)</f>
        <v>Despesas c/ Produto</v>
      </c>
      <c r="F1136" t="str">
        <f>VLOOKUP(B1136,Tabela_Auxiliar[],3,0)</f>
        <v>Saída</v>
      </c>
      <c r="G1136" t="str">
        <f>UPPER(TEXT(Tabela_DB[[#This Row],[DATA]],"mmm"))</f>
        <v>MAR</v>
      </c>
      <c r="H1136" t="str">
        <f>UPPER(TEXT(Tabela_DB[[#This Row],[DATA]],"aaaa"))</f>
        <v>2021</v>
      </c>
    </row>
    <row r="1137" spans="1:8" x14ac:dyDescent="0.25">
      <c r="A1137" s="2">
        <v>44267</v>
      </c>
      <c r="B1137" t="s">
        <v>4</v>
      </c>
      <c r="C1137">
        <v>10604</v>
      </c>
      <c r="D1137" t="str">
        <f>VLOOKUP(B1137,Tabela_Auxiliar[],2,0)</f>
        <v>1. Receita Operacional Bruta</v>
      </c>
      <c r="E1137" t="str">
        <f>VLOOKUP(B1137,Tabela_Auxiliar[],4,0)</f>
        <v>Receita Bruta</v>
      </c>
      <c r="F1137" t="str">
        <f>VLOOKUP(B1137,Tabela_Auxiliar[],3,0)</f>
        <v>Entrada</v>
      </c>
      <c r="G1137" t="str">
        <f>UPPER(TEXT(Tabela_DB[[#This Row],[DATA]],"mmm"))</f>
        <v>MAR</v>
      </c>
      <c r="H1137" t="str">
        <f>UPPER(TEXT(Tabela_DB[[#This Row],[DATA]],"aaaa"))</f>
        <v>2021</v>
      </c>
    </row>
    <row r="1138" spans="1:8" x14ac:dyDescent="0.25">
      <c r="A1138" s="2">
        <v>44268</v>
      </c>
      <c r="B1138" t="s">
        <v>57</v>
      </c>
      <c r="C1138">
        <v>-1660</v>
      </c>
      <c r="D1138" t="str">
        <f>VLOOKUP(B1138,Tabela_Auxiliar[],2,0)</f>
        <v>4. Despesas Operacionais</v>
      </c>
      <c r="E1138" t="str">
        <f>VLOOKUP(B1138,Tabela_Auxiliar[],4,0)</f>
        <v>Despesa com Pessoal</v>
      </c>
      <c r="F1138" t="str">
        <f>VLOOKUP(B1138,Tabela_Auxiliar[],3,0)</f>
        <v>Saída</v>
      </c>
      <c r="G1138" t="str">
        <f>UPPER(TEXT(Tabela_DB[[#This Row],[DATA]],"mmm"))</f>
        <v>MAR</v>
      </c>
      <c r="H1138" t="str">
        <f>UPPER(TEXT(Tabela_DB[[#This Row],[DATA]],"aaaa"))</f>
        <v>2021</v>
      </c>
    </row>
    <row r="1139" spans="1:8" x14ac:dyDescent="0.25">
      <c r="A1139" s="2">
        <v>44268</v>
      </c>
      <c r="B1139" t="s">
        <v>56</v>
      </c>
      <c r="C1139">
        <v>-1713</v>
      </c>
      <c r="D1139" t="str">
        <f>VLOOKUP(B1139,Tabela_Auxiliar[],2,0)</f>
        <v>4. Despesas Operacionais</v>
      </c>
      <c r="E1139" t="str">
        <f>VLOOKUP(B1139,Tabela_Auxiliar[],4,0)</f>
        <v>Despesa com Pessoal</v>
      </c>
      <c r="F1139" t="str">
        <f>VLOOKUP(B1139,Tabela_Auxiliar[],3,0)</f>
        <v>Saída</v>
      </c>
      <c r="G1139" t="str">
        <f>UPPER(TEXT(Tabela_DB[[#This Row],[DATA]],"mmm"))</f>
        <v>MAR</v>
      </c>
      <c r="H1139" t="str">
        <f>UPPER(TEXT(Tabela_DB[[#This Row],[DATA]],"aaaa"))</f>
        <v>2021</v>
      </c>
    </row>
    <row r="1140" spans="1:8" x14ac:dyDescent="0.25">
      <c r="A1140" s="2">
        <v>44268</v>
      </c>
      <c r="B1140" t="s">
        <v>79</v>
      </c>
      <c r="C1140">
        <v>-1598</v>
      </c>
      <c r="D1140" t="str">
        <f>VLOOKUP(B1140,Tabela_Auxiliar[],2,0)</f>
        <v>4. Despesas Operacionais</v>
      </c>
      <c r="E1140" t="str">
        <f>VLOOKUP(B1140,Tabela_Auxiliar[],4,0)</f>
        <v>Serviços Contratados</v>
      </c>
      <c r="F1140" t="str">
        <f>VLOOKUP(B1140,Tabela_Auxiliar[],3,0)</f>
        <v>Saída</v>
      </c>
      <c r="G1140" t="str">
        <f>UPPER(TEXT(Tabela_DB[[#This Row],[DATA]],"mmm"))</f>
        <v>MAR</v>
      </c>
      <c r="H1140" t="str">
        <f>UPPER(TEXT(Tabela_DB[[#This Row],[DATA]],"aaaa"))</f>
        <v>2021</v>
      </c>
    </row>
    <row r="1141" spans="1:8" x14ac:dyDescent="0.25">
      <c r="A1141" s="2">
        <v>44268</v>
      </c>
      <c r="B1141" t="s">
        <v>35</v>
      </c>
      <c r="C1141">
        <v>-1846</v>
      </c>
      <c r="D1141" t="str">
        <f>VLOOKUP(B1141,Tabela_Auxiliar[],2,0)</f>
        <v>2. Deduções da Receita</v>
      </c>
      <c r="E1141" t="str">
        <f>VLOOKUP(B1141,Tabela_Auxiliar[],4,0)</f>
        <v>Imposto</v>
      </c>
      <c r="F1141" t="str">
        <f>VLOOKUP(B1141,Tabela_Auxiliar[],3,0)</f>
        <v>Saída</v>
      </c>
      <c r="G1141" t="str">
        <f>UPPER(TEXT(Tabela_DB[[#This Row],[DATA]],"mmm"))</f>
        <v>MAR</v>
      </c>
      <c r="H1141" t="str">
        <f>UPPER(TEXT(Tabela_DB[[#This Row],[DATA]],"aaaa"))</f>
        <v>2021</v>
      </c>
    </row>
    <row r="1142" spans="1:8" x14ac:dyDescent="0.25">
      <c r="A1142" s="2">
        <v>44268</v>
      </c>
      <c r="B1142" t="s">
        <v>3</v>
      </c>
      <c r="C1142">
        <v>12607</v>
      </c>
      <c r="D1142" t="str">
        <f>VLOOKUP(B1142,Tabela_Auxiliar[],2,0)</f>
        <v>1. Receita Operacional Bruta</v>
      </c>
      <c r="E1142" t="str">
        <f>VLOOKUP(B1142,Tabela_Auxiliar[],4,0)</f>
        <v>Receita Bruta</v>
      </c>
      <c r="F1142" t="str">
        <f>VLOOKUP(B1142,Tabela_Auxiliar[],3,0)</f>
        <v>Entrada</v>
      </c>
      <c r="G1142" t="str">
        <f>UPPER(TEXT(Tabela_DB[[#This Row],[DATA]],"mmm"))</f>
        <v>MAR</v>
      </c>
      <c r="H1142" t="str">
        <f>UPPER(TEXT(Tabela_DB[[#This Row],[DATA]],"aaaa"))</f>
        <v>2021</v>
      </c>
    </row>
    <row r="1143" spans="1:8" x14ac:dyDescent="0.25">
      <c r="A1143" s="2">
        <v>44268</v>
      </c>
      <c r="B1143" t="s">
        <v>3</v>
      </c>
      <c r="C1143">
        <v>14657</v>
      </c>
      <c r="D1143" t="str">
        <f>VLOOKUP(B1143,Tabela_Auxiliar[],2,0)</f>
        <v>1. Receita Operacional Bruta</v>
      </c>
      <c r="E1143" t="str">
        <f>VLOOKUP(B1143,Tabela_Auxiliar[],4,0)</f>
        <v>Receita Bruta</v>
      </c>
      <c r="F1143" t="str">
        <f>VLOOKUP(B1143,Tabela_Auxiliar[],3,0)</f>
        <v>Entrada</v>
      </c>
      <c r="G1143" t="str">
        <f>UPPER(TEXT(Tabela_DB[[#This Row],[DATA]],"mmm"))</f>
        <v>MAR</v>
      </c>
      <c r="H1143" t="str">
        <f>UPPER(TEXT(Tabela_DB[[#This Row],[DATA]],"aaaa"))</f>
        <v>2021</v>
      </c>
    </row>
    <row r="1144" spans="1:8" x14ac:dyDescent="0.25">
      <c r="A1144" s="2">
        <v>44268</v>
      </c>
      <c r="B1144" t="s">
        <v>3</v>
      </c>
      <c r="C1144">
        <v>12047</v>
      </c>
      <c r="D1144" t="str">
        <f>VLOOKUP(B1144,Tabela_Auxiliar[],2,0)</f>
        <v>1. Receita Operacional Bruta</v>
      </c>
      <c r="E1144" t="str">
        <f>VLOOKUP(B1144,Tabela_Auxiliar[],4,0)</f>
        <v>Receita Bruta</v>
      </c>
      <c r="F1144" t="str">
        <f>VLOOKUP(B1144,Tabela_Auxiliar[],3,0)</f>
        <v>Entrada</v>
      </c>
      <c r="G1144" t="str">
        <f>UPPER(TEXT(Tabela_DB[[#This Row],[DATA]],"mmm"))</f>
        <v>MAR</v>
      </c>
      <c r="H1144" t="str">
        <f>UPPER(TEXT(Tabela_DB[[#This Row],[DATA]],"aaaa"))</f>
        <v>2021</v>
      </c>
    </row>
    <row r="1145" spans="1:8" x14ac:dyDescent="0.25">
      <c r="A1145" s="2">
        <v>44268</v>
      </c>
      <c r="B1145" t="s">
        <v>37</v>
      </c>
      <c r="C1145">
        <v>-2679</v>
      </c>
      <c r="D1145" t="str">
        <f>VLOOKUP(B1145,Tabela_Auxiliar[],2,0)</f>
        <v>3. Custos do Produto/Mercadoria/Serviço</v>
      </c>
      <c r="E1145" t="str">
        <f>VLOOKUP(B1145,Tabela_Auxiliar[],4,0)</f>
        <v>Despesas c/ Produto</v>
      </c>
      <c r="F1145" t="str">
        <f>VLOOKUP(B1145,Tabela_Auxiliar[],3,0)</f>
        <v>Saída</v>
      </c>
      <c r="G1145" t="str">
        <f>UPPER(TEXT(Tabela_DB[[#This Row],[DATA]],"mmm"))</f>
        <v>MAR</v>
      </c>
      <c r="H1145" t="str">
        <f>UPPER(TEXT(Tabela_DB[[#This Row],[DATA]],"aaaa"))</f>
        <v>2021</v>
      </c>
    </row>
    <row r="1146" spans="1:8" x14ac:dyDescent="0.25">
      <c r="A1146" s="2">
        <v>44268</v>
      </c>
      <c r="B1146" t="s">
        <v>59</v>
      </c>
      <c r="C1146">
        <v>-2230</v>
      </c>
      <c r="D1146" t="str">
        <f>VLOOKUP(B1146,Tabela_Auxiliar[],2,0)</f>
        <v>4. Despesas Operacionais</v>
      </c>
      <c r="E1146" t="str">
        <f>VLOOKUP(B1146,Tabela_Auxiliar[],4,0)</f>
        <v>Despesa de Depreciação</v>
      </c>
      <c r="F1146" t="str">
        <f>VLOOKUP(B1146,Tabela_Auxiliar[],3,0)</f>
        <v>Saída</v>
      </c>
      <c r="G1146" t="str">
        <f>UPPER(TEXT(Tabela_DB[[#This Row],[DATA]],"mmm"))</f>
        <v>MAR</v>
      </c>
      <c r="H1146" t="str">
        <f>UPPER(TEXT(Tabela_DB[[#This Row],[DATA]],"aaaa"))</f>
        <v>2021</v>
      </c>
    </row>
    <row r="1147" spans="1:8" x14ac:dyDescent="0.25">
      <c r="A1147" s="2">
        <v>44268</v>
      </c>
      <c r="B1147" t="s">
        <v>38</v>
      </c>
      <c r="C1147">
        <v>-1716</v>
      </c>
      <c r="D1147" t="str">
        <f>VLOOKUP(B1147,Tabela_Auxiliar[],2,0)</f>
        <v>2. Deduções da Receita</v>
      </c>
      <c r="E1147" t="str">
        <f>VLOOKUP(B1147,Tabela_Auxiliar[],4,0)</f>
        <v>Deduções</v>
      </c>
      <c r="F1147" t="str">
        <f>VLOOKUP(B1147,Tabela_Auxiliar[],3,0)</f>
        <v>Saída</v>
      </c>
      <c r="G1147" t="str">
        <f>UPPER(TEXT(Tabela_DB[[#This Row],[DATA]],"mmm"))</f>
        <v>MAR</v>
      </c>
      <c r="H1147" t="str">
        <f>UPPER(TEXT(Tabela_DB[[#This Row],[DATA]],"aaaa"))</f>
        <v>2021</v>
      </c>
    </row>
    <row r="1148" spans="1:8" x14ac:dyDescent="0.25">
      <c r="A1148" s="2">
        <v>44268</v>
      </c>
      <c r="B1148" t="s">
        <v>87</v>
      </c>
      <c r="C1148">
        <v>-1170</v>
      </c>
      <c r="D1148" t="str">
        <f>VLOOKUP(B1148,Tabela_Auxiliar[],2,0)</f>
        <v>4. Despesas Operacionais</v>
      </c>
      <c r="E1148" t="str">
        <f>VLOOKUP(B1148,Tabela_Auxiliar[],4,0)</f>
        <v>Despesa Tributária</v>
      </c>
      <c r="F1148" t="str">
        <f>VLOOKUP(B1148,Tabela_Auxiliar[],3,0)</f>
        <v>Saída</v>
      </c>
      <c r="G1148" t="str">
        <f>UPPER(TEXT(Tabela_DB[[#This Row],[DATA]],"mmm"))</f>
        <v>MAR</v>
      </c>
      <c r="H1148" t="str">
        <f>UPPER(TEXT(Tabela_DB[[#This Row],[DATA]],"aaaa"))</f>
        <v>2021</v>
      </c>
    </row>
    <row r="1149" spans="1:8" x14ac:dyDescent="0.25">
      <c r="A1149" s="2">
        <v>44268</v>
      </c>
      <c r="B1149" t="s">
        <v>4</v>
      </c>
      <c r="C1149">
        <v>13228</v>
      </c>
      <c r="D1149" t="str">
        <f>VLOOKUP(B1149,Tabela_Auxiliar[],2,0)</f>
        <v>1. Receita Operacional Bruta</v>
      </c>
      <c r="E1149" t="str">
        <f>VLOOKUP(B1149,Tabela_Auxiliar[],4,0)</f>
        <v>Receita Bruta</v>
      </c>
      <c r="F1149" t="str">
        <f>VLOOKUP(B1149,Tabela_Auxiliar[],3,0)</f>
        <v>Entrada</v>
      </c>
      <c r="G1149" t="str">
        <f>UPPER(TEXT(Tabela_DB[[#This Row],[DATA]],"mmm"))</f>
        <v>MAR</v>
      </c>
      <c r="H1149" t="str">
        <f>UPPER(TEXT(Tabela_DB[[#This Row],[DATA]],"aaaa"))</f>
        <v>2021</v>
      </c>
    </row>
    <row r="1150" spans="1:8" x14ac:dyDescent="0.25">
      <c r="A1150" s="2">
        <v>44268</v>
      </c>
      <c r="B1150" t="s">
        <v>3</v>
      </c>
      <c r="C1150">
        <v>11741</v>
      </c>
      <c r="D1150" t="str">
        <f>VLOOKUP(B1150,Tabela_Auxiliar[],2,0)</f>
        <v>1. Receita Operacional Bruta</v>
      </c>
      <c r="E1150" t="str">
        <f>VLOOKUP(B1150,Tabela_Auxiliar[],4,0)</f>
        <v>Receita Bruta</v>
      </c>
      <c r="F1150" t="str">
        <f>VLOOKUP(B1150,Tabela_Auxiliar[],3,0)</f>
        <v>Entrada</v>
      </c>
      <c r="G1150" t="str">
        <f>UPPER(TEXT(Tabela_DB[[#This Row],[DATA]],"mmm"))</f>
        <v>MAR</v>
      </c>
      <c r="H1150" t="str">
        <f>UPPER(TEXT(Tabela_DB[[#This Row],[DATA]],"aaaa"))</f>
        <v>2021</v>
      </c>
    </row>
    <row r="1151" spans="1:8" x14ac:dyDescent="0.25">
      <c r="A1151" s="2">
        <v>44268</v>
      </c>
      <c r="B1151" t="s">
        <v>89</v>
      </c>
      <c r="C1151">
        <v>-2259</v>
      </c>
      <c r="D1151" t="str">
        <f>VLOOKUP(B1151,Tabela_Auxiliar[],2,0)</f>
        <v>4. Despesas Operacionais</v>
      </c>
      <c r="E1151" t="str">
        <f>VLOOKUP(B1151,Tabela_Auxiliar[],4,0)</f>
        <v>Despesa Tributária</v>
      </c>
      <c r="F1151" t="str">
        <f>VLOOKUP(B1151,Tabela_Auxiliar[],3,0)</f>
        <v>Saída</v>
      </c>
      <c r="G1151" t="str">
        <f>UPPER(TEXT(Tabela_DB[[#This Row],[DATA]],"mmm"))</f>
        <v>MAR</v>
      </c>
      <c r="H1151" t="str">
        <f>UPPER(TEXT(Tabela_DB[[#This Row],[DATA]],"aaaa"))</f>
        <v>2021</v>
      </c>
    </row>
    <row r="1152" spans="1:8" x14ac:dyDescent="0.25">
      <c r="A1152" s="2">
        <v>44268</v>
      </c>
      <c r="B1152" t="s">
        <v>80</v>
      </c>
      <c r="C1152">
        <v>-1532</v>
      </c>
      <c r="D1152" t="str">
        <f>VLOOKUP(B1152,Tabela_Auxiliar[],2,0)</f>
        <v>4. Despesas Operacionais</v>
      </c>
      <c r="E1152" t="str">
        <f>VLOOKUP(B1152,Tabela_Auxiliar[],4,0)</f>
        <v>Serviços Contratados</v>
      </c>
      <c r="F1152" t="str">
        <f>VLOOKUP(B1152,Tabela_Auxiliar[],3,0)</f>
        <v>Saída</v>
      </c>
      <c r="G1152" t="str">
        <f>UPPER(TEXT(Tabela_DB[[#This Row],[DATA]],"mmm"))</f>
        <v>MAR</v>
      </c>
      <c r="H1152" t="str">
        <f>UPPER(TEXT(Tabela_DB[[#This Row],[DATA]],"aaaa"))</f>
        <v>2021</v>
      </c>
    </row>
    <row r="1153" spans="1:8" x14ac:dyDescent="0.25">
      <c r="A1153" s="2">
        <v>44268</v>
      </c>
      <c r="B1153" t="s">
        <v>76</v>
      </c>
      <c r="C1153">
        <v>-1880</v>
      </c>
      <c r="D1153" t="str">
        <f>VLOOKUP(B1153,Tabela_Auxiliar[],2,0)</f>
        <v>4. Despesas Operacionais</v>
      </c>
      <c r="E1153" t="str">
        <f>VLOOKUP(B1153,Tabela_Auxiliar[],4,0)</f>
        <v>Serviços Contratados</v>
      </c>
      <c r="F1153" t="str">
        <f>VLOOKUP(B1153,Tabela_Auxiliar[],3,0)</f>
        <v>Saída</v>
      </c>
      <c r="G1153" t="str">
        <f>UPPER(TEXT(Tabela_DB[[#This Row],[DATA]],"mmm"))</f>
        <v>MAR</v>
      </c>
      <c r="H1153" t="str">
        <f>UPPER(TEXT(Tabela_DB[[#This Row],[DATA]],"aaaa"))</f>
        <v>2021</v>
      </c>
    </row>
    <row r="1154" spans="1:8" x14ac:dyDescent="0.25">
      <c r="A1154" s="2">
        <v>44268</v>
      </c>
      <c r="B1154" t="s">
        <v>101</v>
      </c>
      <c r="C1154">
        <v>-1821</v>
      </c>
      <c r="D1154" t="str">
        <f>VLOOKUP(B1154,Tabela_Auxiliar[],2,0)</f>
        <v>5. Resultado Financeiro</v>
      </c>
      <c r="E1154" t="str">
        <f>VLOOKUP(B1154,Tabela_Auxiliar[],4,0)</f>
        <v>Despesa Financeira</v>
      </c>
      <c r="F1154" t="str">
        <f>VLOOKUP(B1154,Tabela_Auxiliar[],3,0)</f>
        <v>Saída</v>
      </c>
      <c r="G1154" t="str">
        <f>UPPER(TEXT(Tabela_DB[[#This Row],[DATA]],"mmm"))</f>
        <v>MAR</v>
      </c>
      <c r="H1154" t="str">
        <f>UPPER(TEXT(Tabela_DB[[#This Row],[DATA]],"aaaa"))</f>
        <v>2021</v>
      </c>
    </row>
    <row r="1155" spans="1:8" x14ac:dyDescent="0.25">
      <c r="A1155" s="2">
        <v>44268</v>
      </c>
      <c r="B1155" t="s">
        <v>4</v>
      </c>
      <c r="C1155">
        <v>11270</v>
      </c>
      <c r="D1155" t="str">
        <f>VLOOKUP(B1155,Tabela_Auxiliar[],2,0)</f>
        <v>1. Receita Operacional Bruta</v>
      </c>
      <c r="E1155" t="str">
        <f>VLOOKUP(B1155,Tabela_Auxiliar[],4,0)</f>
        <v>Receita Bruta</v>
      </c>
      <c r="F1155" t="str">
        <f>VLOOKUP(B1155,Tabela_Auxiliar[],3,0)</f>
        <v>Entrada</v>
      </c>
      <c r="G1155" t="str">
        <f>UPPER(TEXT(Tabela_DB[[#This Row],[DATA]],"mmm"))</f>
        <v>MAR</v>
      </c>
      <c r="H1155" t="str">
        <f>UPPER(TEXT(Tabela_DB[[#This Row],[DATA]],"aaaa"))</f>
        <v>2021</v>
      </c>
    </row>
    <row r="1156" spans="1:8" x14ac:dyDescent="0.25">
      <c r="A1156" s="2">
        <v>44268</v>
      </c>
      <c r="B1156" t="s">
        <v>4</v>
      </c>
      <c r="C1156">
        <v>12773</v>
      </c>
      <c r="D1156" t="str">
        <f>VLOOKUP(B1156,Tabela_Auxiliar[],2,0)</f>
        <v>1. Receita Operacional Bruta</v>
      </c>
      <c r="E1156" t="str">
        <f>VLOOKUP(B1156,Tabela_Auxiliar[],4,0)</f>
        <v>Receita Bruta</v>
      </c>
      <c r="F1156" t="str">
        <f>VLOOKUP(B1156,Tabela_Auxiliar[],3,0)</f>
        <v>Entrada</v>
      </c>
      <c r="G1156" t="str">
        <f>UPPER(TEXT(Tabela_DB[[#This Row],[DATA]],"mmm"))</f>
        <v>MAR</v>
      </c>
      <c r="H1156" t="str">
        <f>UPPER(TEXT(Tabela_DB[[#This Row],[DATA]],"aaaa"))</f>
        <v>2021</v>
      </c>
    </row>
    <row r="1157" spans="1:8" x14ac:dyDescent="0.25">
      <c r="A1157" s="2">
        <v>44268</v>
      </c>
      <c r="B1157" t="s">
        <v>38</v>
      </c>
      <c r="C1157">
        <v>-1429</v>
      </c>
      <c r="D1157" t="str">
        <f>VLOOKUP(B1157,Tabela_Auxiliar[],2,0)</f>
        <v>2. Deduções da Receita</v>
      </c>
      <c r="E1157" t="str">
        <f>VLOOKUP(B1157,Tabela_Auxiliar[],4,0)</f>
        <v>Deduções</v>
      </c>
      <c r="F1157" t="str">
        <f>VLOOKUP(B1157,Tabela_Auxiliar[],3,0)</f>
        <v>Saída</v>
      </c>
      <c r="G1157" t="str">
        <f>UPPER(TEXT(Tabela_DB[[#This Row],[DATA]],"mmm"))</f>
        <v>MAR</v>
      </c>
      <c r="H1157" t="str">
        <f>UPPER(TEXT(Tabela_DB[[#This Row],[DATA]],"aaaa"))</f>
        <v>2021</v>
      </c>
    </row>
    <row r="1158" spans="1:8" x14ac:dyDescent="0.25">
      <c r="A1158" s="2">
        <v>44268</v>
      </c>
      <c r="B1158" t="s">
        <v>111</v>
      </c>
      <c r="C1158">
        <v>-1250</v>
      </c>
      <c r="D1158" t="str">
        <f>VLOOKUP(B1158,Tabela_Auxiliar[],2,0)</f>
        <v>2. Deduções da Receita</v>
      </c>
      <c r="E1158" t="str">
        <f>VLOOKUP(B1158,Tabela_Auxiliar[],4,0)</f>
        <v>Imposto</v>
      </c>
      <c r="F1158" t="str">
        <f>VLOOKUP(B1158,Tabela_Auxiliar[],3,0)</f>
        <v>Saída</v>
      </c>
      <c r="G1158" t="str">
        <f>UPPER(TEXT(Tabela_DB[[#This Row],[DATA]],"mmm"))</f>
        <v>MAR</v>
      </c>
      <c r="H1158" t="str">
        <f>UPPER(TEXT(Tabela_DB[[#This Row],[DATA]],"aaaa"))</f>
        <v>2021</v>
      </c>
    </row>
    <row r="1159" spans="1:8" x14ac:dyDescent="0.25">
      <c r="A1159" s="2">
        <v>44268</v>
      </c>
      <c r="B1159" t="s">
        <v>60</v>
      </c>
      <c r="C1159">
        <v>-2500</v>
      </c>
      <c r="D1159" t="str">
        <f>VLOOKUP(B1159,Tabela_Auxiliar[],2,0)</f>
        <v>4. Despesas Operacionais</v>
      </c>
      <c r="E1159" t="str">
        <f>VLOOKUP(B1159,Tabela_Auxiliar[],4,0)</f>
        <v>Despesa de Depreciação</v>
      </c>
      <c r="F1159" t="str">
        <f>VLOOKUP(B1159,Tabela_Auxiliar[],3,0)</f>
        <v>Saída</v>
      </c>
      <c r="G1159" t="str">
        <f>UPPER(TEXT(Tabela_DB[[#This Row],[DATA]],"mmm"))</f>
        <v>MAR</v>
      </c>
      <c r="H1159" t="str">
        <f>UPPER(TEXT(Tabela_DB[[#This Row],[DATA]],"aaaa"))</f>
        <v>2021</v>
      </c>
    </row>
    <row r="1160" spans="1:8" x14ac:dyDescent="0.25">
      <c r="A1160" s="2">
        <v>44268</v>
      </c>
      <c r="B1160" t="s">
        <v>73</v>
      </c>
      <c r="C1160">
        <v>-2414</v>
      </c>
      <c r="D1160" t="str">
        <f>VLOOKUP(B1160,Tabela_Auxiliar[],2,0)</f>
        <v>4. Despesas Operacionais</v>
      </c>
      <c r="E1160" t="str">
        <f>VLOOKUP(B1160,Tabela_Auxiliar[],4,0)</f>
        <v>Despesa com Ocupação</v>
      </c>
      <c r="F1160" t="str">
        <f>VLOOKUP(B1160,Tabela_Auxiliar[],3,0)</f>
        <v>Saída</v>
      </c>
      <c r="G1160" t="str">
        <f>UPPER(TEXT(Tabela_DB[[#This Row],[DATA]],"mmm"))</f>
        <v>MAR</v>
      </c>
      <c r="H1160" t="str">
        <f>UPPER(TEXT(Tabela_DB[[#This Row],[DATA]],"aaaa"))</f>
        <v>2021</v>
      </c>
    </row>
    <row r="1161" spans="1:8" x14ac:dyDescent="0.25">
      <c r="A1161" s="2">
        <v>44268</v>
      </c>
      <c r="B1161" t="s">
        <v>37</v>
      </c>
      <c r="C1161">
        <v>-3384</v>
      </c>
      <c r="D1161" t="str">
        <f>VLOOKUP(B1161,Tabela_Auxiliar[],2,0)</f>
        <v>3. Custos do Produto/Mercadoria/Serviço</v>
      </c>
      <c r="E1161" t="str">
        <f>VLOOKUP(B1161,Tabela_Auxiliar[],4,0)</f>
        <v>Despesas c/ Produto</v>
      </c>
      <c r="F1161" t="str">
        <f>VLOOKUP(B1161,Tabela_Auxiliar[],3,0)</f>
        <v>Saída</v>
      </c>
      <c r="G1161" t="str">
        <f>UPPER(TEXT(Tabela_DB[[#This Row],[DATA]],"mmm"))</f>
        <v>MAR</v>
      </c>
      <c r="H1161" t="str">
        <f>UPPER(TEXT(Tabela_DB[[#This Row],[DATA]],"aaaa"))</f>
        <v>2021</v>
      </c>
    </row>
    <row r="1162" spans="1:8" x14ac:dyDescent="0.25">
      <c r="A1162" s="2">
        <v>44268</v>
      </c>
      <c r="B1162" t="s">
        <v>43</v>
      </c>
      <c r="C1162">
        <v>-1231</v>
      </c>
      <c r="D1162" t="str">
        <f>VLOOKUP(B1162,Tabela_Auxiliar[],2,0)</f>
        <v>4. Despesas Operacionais</v>
      </c>
      <c r="E1162" t="str">
        <f>VLOOKUP(B1162,Tabela_Auxiliar[],4,0)</f>
        <v>Despesa com Pessoal</v>
      </c>
      <c r="F1162" t="str">
        <f>VLOOKUP(B1162,Tabela_Auxiliar[],3,0)</f>
        <v>Saída</v>
      </c>
      <c r="G1162" t="str">
        <f>UPPER(TEXT(Tabela_DB[[#This Row],[DATA]],"mmm"))</f>
        <v>MAR</v>
      </c>
      <c r="H1162" t="str">
        <f>UPPER(TEXT(Tabela_DB[[#This Row],[DATA]],"aaaa"))</f>
        <v>2021</v>
      </c>
    </row>
    <row r="1163" spans="1:8" x14ac:dyDescent="0.25">
      <c r="A1163" s="2">
        <v>44268</v>
      </c>
      <c r="B1163" t="s">
        <v>37</v>
      </c>
      <c r="C1163">
        <v>-4343</v>
      </c>
      <c r="D1163" t="str">
        <f>VLOOKUP(B1163,Tabela_Auxiliar[],2,0)</f>
        <v>3. Custos do Produto/Mercadoria/Serviço</v>
      </c>
      <c r="E1163" t="str">
        <f>VLOOKUP(B1163,Tabela_Auxiliar[],4,0)</f>
        <v>Despesas c/ Produto</v>
      </c>
      <c r="F1163" t="str">
        <f>VLOOKUP(B1163,Tabela_Auxiliar[],3,0)</f>
        <v>Saída</v>
      </c>
      <c r="G1163" t="str">
        <f>UPPER(TEXT(Tabela_DB[[#This Row],[DATA]],"mmm"))</f>
        <v>MAR</v>
      </c>
      <c r="H1163" t="str">
        <f>UPPER(TEXT(Tabela_DB[[#This Row],[DATA]],"aaaa"))</f>
        <v>2021</v>
      </c>
    </row>
    <row r="1164" spans="1:8" x14ac:dyDescent="0.25">
      <c r="A1164" s="2">
        <v>44269</v>
      </c>
      <c r="B1164" t="s">
        <v>38</v>
      </c>
      <c r="C1164">
        <v>-1774</v>
      </c>
      <c r="D1164" t="str">
        <f>VLOOKUP(B1164,Tabela_Auxiliar[],2,0)</f>
        <v>2. Deduções da Receita</v>
      </c>
      <c r="E1164" t="str">
        <f>VLOOKUP(B1164,Tabela_Auxiliar[],4,0)</f>
        <v>Deduções</v>
      </c>
      <c r="F1164" t="str">
        <f>VLOOKUP(B1164,Tabela_Auxiliar[],3,0)</f>
        <v>Saída</v>
      </c>
      <c r="G1164" t="str">
        <f>UPPER(TEXT(Tabela_DB[[#This Row],[DATA]],"mmm"))</f>
        <v>MAR</v>
      </c>
      <c r="H1164" t="str">
        <f>UPPER(TEXT(Tabela_DB[[#This Row],[DATA]],"aaaa"))</f>
        <v>2021</v>
      </c>
    </row>
    <row r="1165" spans="1:8" x14ac:dyDescent="0.25">
      <c r="A1165" s="2">
        <v>44269</v>
      </c>
      <c r="B1165" t="s">
        <v>37</v>
      </c>
      <c r="C1165">
        <v>-3657</v>
      </c>
      <c r="D1165" t="str">
        <f>VLOOKUP(B1165,Tabela_Auxiliar[],2,0)</f>
        <v>3. Custos do Produto/Mercadoria/Serviço</v>
      </c>
      <c r="E1165" t="str">
        <f>VLOOKUP(B1165,Tabela_Auxiliar[],4,0)</f>
        <v>Despesas c/ Produto</v>
      </c>
      <c r="F1165" t="str">
        <f>VLOOKUP(B1165,Tabela_Auxiliar[],3,0)</f>
        <v>Saída</v>
      </c>
      <c r="G1165" t="str">
        <f>UPPER(TEXT(Tabela_DB[[#This Row],[DATA]],"mmm"))</f>
        <v>MAR</v>
      </c>
      <c r="H1165" t="str">
        <f>UPPER(TEXT(Tabela_DB[[#This Row],[DATA]],"aaaa"))</f>
        <v>2021</v>
      </c>
    </row>
    <row r="1166" spans="1:8" x14ac:dyDescent="0.25">
      <c r="A1166" s="2">
        <v>44269</v>
      </c>
      <c r="B1166" t="s">
        <v>34</v>
      </c>
      <c r="C1166">
        <v>-1985</v>
      </c>
      <c r="D1166" t="str">
        <f>VLOOKUP(B1166,Tabela_Auxiliar[],2,0)</f>
        <v>2. Deduções da Receita</v>
      </c>
      <c r="E1166" t="str">
        <f>VLOOKUP(B1166,Tabela_Auxiliar[],4,0)</f>
        <v>Imposto</v>
      </c>
      <c r="F1166" t="str">
        <f>VLOOKUP(B1166,Tabela_Auxiliar[],3,0)</f>
        <v>Saída</v>
      </c>
      <c r="G1166" t="str">
        <f>UPPER(TEXT(Tabela_DB[[#This Row],[DATA]],"mmm"))</f>
        <v>MAR</v>
      </c>
      <c r="H1166" t="str">
        <f>UPPER(TEXT(Tabela_DB[[#This Row],[DATA]],"aaaa"))</f>
        <v>2021</v>
      </c>
    </row>
    <row r="1167" spans="1:8" x14ac:dyDescent="0.25">
      <c r="A1167" s="2">
        <v>44269</v>
      </c>
      <c r="B1167" t="s">
        <v>45</v>
      </c>
      <c r="C1167">
        <v>-1842</v>
      </c>
      <c r="D1167" t="str">
        <f>VLOOKUP(B1167,Tabela_Auxiliar[],2,0)</f>
        <v>4. Despesas Operacionais</v>
      </c>
      <c r="E1167" t="str">
        <f>VLOOKUP(B1167,Tabela_Auxiliar[],4,0)</f>
        <v>Despesa com Pessoal</v>
      </c>
      <c r="F1167" t="str">
        <f>VLOOKUP(B1167,Tabela_Auxiliar[],3,0)</f>
        <v>Saída</v>
      </c>
      <c r="G1167" t="str">
        <f>UPPER(TEXT(Tabela_DB[[#This Row],[DATA]],"mmm"))</f>
        <v>MAR</v>
      </c>
      <c r="H1167" t="str">
        <f>UPPER(TEXT(Tabela_DB[[#This Row],[DATA]],"aaaa"))</f>
        <v>2021</v>
      </c>
    </row>
    <row r="1168" spans="1:8" x14ac:dyDescent="0.25">
      <c r="A1168" s="2">
        <v>44269</v>
      </c>
      <c r="B1168" t="s">
        <v>38</v>
      </c>
      <c r="C1168">
        <v>-1083</v>
      </c>
      <c r="D1168" t="str">
        <f>VLOOKUP(B1168,Tabela_Auxiliar[],2,0)</f>
        <v>2. Deduções da Receita</v>
      </c>
      <c r="E1168" t="str">
        <f>VLOOKUP(B1168,Tabela_Auxiliar[],4,0)</f>
        <v>Deduções</v>
      </c>
      <c r="F1168" t="str">
        <f>VLOOKUP(B1168,Tabela_Auxiliar[],3,0)</f>
        <v>Saída</v>
      </c>
      <c r="G1168" t="str">
        <f>UPPER(TEXT(Tabela_DB[[#This Row],[DATA]],"mmm"))</f>
        <v>MAR</v>
      </c>
      <c r="H1168" t="str">
        <f>UPPER(TEXT(Tabela_DB[[#This Row],[DATA]],"aaaa"))</f>
        <v>2021</v>
      </c>
    </row>
    <row r="1169" spans="1:8" x14ac:dyDescent="0.25">
      <c r="A1169" s="2">
        <v>44269</v>
      </c>
      <c r="B1169" t="s">
        <v>38</v>
      </c>
      <c r="C1169">
        <v>-2252</v>
      </c>
      <c r="D1169" t="str">
        <f>VLOOKUP(B1169,Tabela_Auxiliar[],2,0)</f>
        <v>2. Deduções da Receita</v>
      </c>
      <c r="E1169" t="str">
        <f>VLOOKUP(B1169,Tabela_Auxiliar[],4,0)</f>
        <v>Deduções</v>
      </c>
      <c r="F1169" t="str">
        <f>VLOOKUP(B1169,Tabela_Auxiliar[],3,0)</f>
        <v>Saída</v>
      </c>
      <c r="G1169" t="str">
        <f>UPPER(TEXT(Tabela_DB[[#This Row],[DATA]],"mmm"))</f>
        <v>MAR</v>
      </c>
      <c r="H1169" t="str">
        <f>UPPER(TEXT(Tabela_DB[[#This Row],[DATA]],"aaaa"))</f>
        <v>2021</v>
      </c>
    </row>
    <row r="1170" spans="1:8" x14ac:dyDescent="0.25">
      <c r="A1170" s="2">
        <v>44269</v>
      </c>
      <c r="B1170" t="s">
        <v>85</v>
      </c>
      <c r="C1170">
        <v>-1579</v>
      </c>
      <c r="D1170" t="str">
        <f>VLOOKUP(B1170,Tabela_Auxiliar[],2,0)</f>
        <v>4. Despesas Operacionais</v>
      </c>
      <c r="E1170" t="str">
        <f>VLOOKUP(B1170,Tabela_Auxiliar[],4,0)</f>
        <v>Despesa com Veículos</v>
      </c>
      <c r="F1170" t="str">
        <f>VLOOKUP(B1170,Tabela_Auxiliar[],3,0)</f>
        <v>Saída</v>
      </c>
      <c r="G1170" t="str">
        <f>UPPER(TEXT(Tabela_DB[[#This Row],[DATA]],"mmm"))</f>
        <v>MAR</v>
      </c>
      <c r="H1170" t="str">
        <f>UPPER(TEXT(Tabela_DB[[#This Row],[DATA]],"aaaa"))</f>
        <v>2021</v>
      </c>
    </row>
    <row r="1171" spans="1:8" x14ac:dyDescent="0.25">
      <c r="A1171" s="2">
        <v>44269</v>
      </c>
      <c r="B1171" t="s">
        <v>35</v>
      </c>
      <c r="C1171">
        <v>-1059</v>
      </c>
      <c r="D1171" t="str">
        <f>VLOOKUP(B1171,Tabela_Auxiliar[],2,0)</f>
        <v>2. Deduções da Receita</v>
      </c>
      <c r="E1171" t="str">
        <f>VLOOKUP(B1171,Tabela_Auxiliar[],4,0)</f>
        <v>Imposto</v>
      </c>
      <c r="F1171" t="str">
        <f>VLOOKUP(B1171,Tabela_Auxiliar[],3,0)</f>
        <v>Saída</v>
      </c>
      <c r="G1171" t="str">
        <f>UPPER(TEXT(Tabela_DB[[#This Row],[DATA]],"mmm"))</f>
        <v>MAR</v>
      </c>
      <c r="H1171" t="str">
        <f>UPPER(TEXT(Tabela_DB[[#This Row],[DATA]],"aaaa"))</f>
        <v>2021</v>
      </c>
    </row>
    <row r="1172" spans="1:8" x14ac:dyDescent="0.25">
      <c r="A1172" s="2">
        <v>44269</v>
      </c>
      <c r="B1172" t="s">
        <v>38</v>
      </c>
      <c r="C1172">
        <v>-1013</v>
      </c>
      <c r="D1172" t="str">
        <f>VLOOKUP(B1172,Tabela_Auxiliar[],2,0)</f>
        <v>2. Deduções da Receita</v>
      </c>
      <c r="E1172" t="str">
        <f>VLOOKUP(B1172,Tabela_Auxiliar[],4,0)</f>
        <v>Deduções</v>
      </c>
      <c r="F1172" t="str">
        <f>VLOOKUP(B1172,Tabela_Auxiliar[],3,0)</f>
        <v>Saída</v>
      </c>
      <c r="G1172" t="str">
        <f>UPPER(TEXT(Tabela_DB[[#This Row],[DATA]],"mmm"))</f>
        <v>MAR</v>
      </c>
      <c r="H1172" t="str">
        <f>UPPER(TEXT(Tabela_DB[[#This Row],[DATA]],"aaaa"))</f>
        <v>2021</v>
      </c>
    </row>
    <row r="1173" spans="1:8" x14ac:dyDescent="0.25">
      <c r="A1173" s="2">
        <v>44269</v>
      </c>
      <c r="B1173" t="s">
        <v>34</v>
      </c>
      <c r="C1173">
        <v>-1718</v>
      </c>
      <c r="D1173" t="str">
        <f>VLOOKUP(B1173,Tabela_Auxiliar[],2,0)</f>
        <v>2. Deduções da Receita</v>
      </c>
      <c r="E1173" t="str">
        <f>VLOOKUP(B1173,Tabela_Auxiliar[],4,0)</f>
        <v>Imposto</v>
      </c>
      <c r="F1173" t="str">
        <f>VLOOKUP(B1173,Tabela_Auxiliar[],3,0)</f>
        <v>Saída</v>
      </c>
      <c r="G1173" t="str">
        <f>UPPER(TEXT(Tabela_DB[[#This Row],[DATA]],"mmm"))</f>
        <v>MAR</v>
      </c>
      <c r="H1173" t="str">
        <f>UPPER(TEXT(Tabela_DB[[#This Row],[DATA]],"aaaa"))</f>
        <v>2021</v>
      </c>
    </row>
    <row r="1174" spans="1:8" x14ac:dyDescent="0.25">
      <c r="A1174" s="2">
        <v>44269</v>
      </c>
      <c r="B1174" t="s">
        <v>78</v>
      </c>
      <c r="C1174">
        <v>-2453</v>
      </c>
      <c r="D1174" t="str">
        <f>VLOOKUP(B1174,Tabela_Auxiliar[],2,0)</f>
        <v>4. Despesas Operacionais</v>
      </c>
      <c r="E1174" t="str">
        <f>VLOOKUP(B1174,Tabela_Auxiliar[],4,0)</f>
        <v>Serviços Contratados</v>
      </c>
      <c r="F1174" t="str">
        <f>VLOOKUP(B1174,Tabela_Auxiliar[],3,0)</f>
        <v>Saída</v>
      </c>
      <c r="G1174" t="str">
        <f>UPPER(TEXT(Tabela_DB[[#This Row],[DATA]],"mmm"))</f>
        <v>MAR</v>
      </c>
      <c r="H1174" t="str">
        <f>UPPER(TEXT(Tabela_DB[[#This Row],[DATA]],"aaaa"))</f>
        <v>2021</v>
      </c>
    </row>
    <row r="1175" spans="1:8" x14ac:dyDescent="0.25">
      <c r="A1175" s="2">
        <v>44269</v>
      </c>
      <c r="B1175" t="s">
        <v>111</v>
      </c>
      <c r="C1175">
        <v>-1306</v>
      </c>
      <c r="D1175" t="str">
        <f>VLOOKUP(B1175,Tabela_Auxiliar[],2,0)</f>
        <v>2. Deduções da Receita</v>
      </c>
      <c r="E1175" t="str">
        <f>VLOOKUP(B1175,Tabela_Auxiliar[],4,0)</f>
        <v>Imposto</v>
      </c>
      <c r="F1175" t="str">
        <f>VLOOKUP(B1175,Tabela_Auxiliar[],3,0)</f>
        <v>Saída</v>
      </c>
      <c r="G1175" t="str">
        <f>UPPER(TEXT(Tabela_DB[[#This Row],[DATA]],"mmm"))</f>
        <v>MAR</v>
      </c>
      <c r="H1175" t="str">
        <f>UPPER(TEXT(Tabela_DB[[#This Row],[DATA]],"aaaa"))</f>
        <v>2021</v>
      </c>
    </row>
    <row r="1176" spans="1:8" x14ac:dyDescent="0.25">
      <c r="A1176" s="2">
        <v>44269</v>
      </c>
      <c r="B1176" t="s">
        <v>62</v>
      </c>
      <c r="C1176">
        <v>-1825</v>
      </c>
      <c r="D1176" t="str">
        <f>VLOOKUP(B1176,Tabela_Auxiliar[],2,0)</f>
        <v>4. Despesas Operacionais</v>
      </c>
      <c r="E1176" t="str">
        <f>VLOOKUP(B1176,Tabela_Auxiliar[],4,0)</f>
        <v>Despesa Gerais</v>
      </c>
      <c r="F1176" t="str">
        <f>VLOOKUP(B1176,Tabela_Auxiliar[],3,0)</f>
        <v>Saída</v>
      </c>
      <c r="G1176" t="str">
        <f>UPPER(TEXT(Tabela_DB[[#This Row],[DATA]],"mmm"))</f>
        <v>MAR</v>
      </c>
      <c r="H1176" t="str">
        <f>UPPER(TEXT(Tabela_DB[[#This Row],[DATA]],"aaaa"))</f>
        <v>2021</v>
      </c>
    </row>
    <row r="1177" spans="1:8" x14ac:dyDescent="0.25">
      <c r="A1177" s="2">
        <v>44269</v>
      </c>
      <c r="B1177" t="s">
        <v>52</v>
      </c>
      <c r="C1177">
        <v>-2472</v>
      </c>
      <c r="D1177" t="str">
        <f>VLOOKUP(B1177,Tabela_Auxiliar[],2,0)</f>
        <v>4. Despesas Operacionais</v>
      </c>
      <c r="E1177" t="str">
        <f>VLOOKUP(B1177,Tabela_Auxiliar[],4,0)</f>
        <v>Despesa com Pessoal</v>
      </c>
      <c r="F1177" t="str">
        <f>VLOOKUP(B1177,Tabela_Auxiliar[],3,0)</f>
        <v>Saída</v>
      </c>
      <c r="G1177" t="str">
        <f>UPPER(TEXT(Tabela_DB[[#This Row],[DATA]],"mmm"))</f>
        <v>MAR</v>
      </c>
      <c r="H1177" t="str">
        <f>UPPER(TEXT(Tabela_DB[[#This Row],[DATA]],"aaaa"))</f>
        <v>2021</v>
      </c>
    </row>
    <row r="1178" spans="1:8" x14ac:dyDescent="0.25">
      <c r="A1178" s="2">
        <v>44270</v>
      </c>
      <c r="B1178" t="s">
        <v>4</v>
      </c>
      <c r="C1178">
        <v>11124</v>
      </c>
      <c r="D1178" t="str">
        <f>VLOOKUP(B1178,Tabela_Auxiliar[],2,0)</f>
        <v>1. Receita Operacional Bruta</v>
      </c>
      <c r="E1178" t="str">
        <f>VLOOKUP(B1178,Tabela_Auxiliar[],4,0)</f>
        <v>Receita Bruta</v>
      </c>
      <c r="F1178" t="str">
        <f>VLOOKUP(B1178,Tabela_Auxiliar[],3,0)</f>
        <v>Entrada</v>
      </c>
      <c r="G1178" t="str">
        <f>UPPER(TEXT(Tabela_DB[[#This Row],[DATA]],"mmm"))</f>
        <v>MAR</v>
      </c>
      <c r="H1178" t="str">
        <f>UPPER(TEXT(Tabela_DB[[#This Row],[DATA]],"aaaa"))</f>
        <v>2021</v>
      </c>
    </row>
    <row r="1179" spans="1:8" x14ac:dyDescent="0.25">
      <c r="A1179" s="2">
        <v>44270</v>
      </c>
      <c r="B1179" t="s">
        <v>4</v>
      </c>
      <c r="C1179">
        <v>12952</v>
      </c>
      <c r="D1179" t="str">
        <f>VLOOKUP(B1179,Tabela_Auxiliar[],2,0)</f>
        <v>1. Receita Operacional Bruta</v>
      </c>
      <c r="E1179" t="str">
        <f>VLOOKUP(B1179,Tabela_Auxiliar[],4,0)</f>
        <v>Receita Bruta</v>
      </c>
      <c r="F1179" t="str">
        <f>VLOOKUP(B1179,Tabela_Auxiliar[],3,0)</f>
        <v>Entrada</v>
      </c>
      <c r="G1179" t="str">
        <f>UPPER(TEXT(Tabela_DB[[#This Row],[DATA]],"mmm"))</f>
        <v>MAR</v>
      </c>
      <c r="H1179" t="str">
        <f>UPPER(TEXT(Tabela_DB[[#This Row],[DATA]],"aaaa"))</f>
        <v>2021</v>
      </c>
    </row>
    <row r="1180" spans="1:8" x14ac:dyDescent="0.25">
      <c r="A1180" s="2">
        <v>44270</v>
      </c>
      <c r="B1180" t="s">
        <v>31</v>
      </c>
      <c r="C1180">
        <v>-2457</v>
      </c>
      <c r="D1180" t="str">
        <f>VLOOKUP(B1180,Tabela_Auxiliar[],2,0)</f>
        <v>5. Resultado Financeiro</v>
      </c>
      <c r="E1180" t="str">
        <f>VLOOKUP(B1180,Tabela_Auxiliar[],4,0)</f>
        <v>Participação nos resultados</v>
      </c>
      <c r="F1180" t="str">
        <f>VLOOKUP(B1180,Tabela_Auxiliar[],3,0)</f>
        <v>Saída</v>
      </c>
      <c r="G1180" t="str">
        <f>UPPER(TEXT(Tabela_DB[[#This Row],[DATA]],"mmm"))</f>
        <v>MAR</v>
      </c>
      <c r="H1180" t="str">
        <f>UPPER(TEXT(Tabela_DB[[#This Row],[DATA]],"aaaa"))</f>
        <v>2021</v>
      </c>
    </row>
    <row r="1181" spans="1:8" x14ac:dyDescent="0.25">
      <c r="A1181" s="2">
        <v>44270</v>
      </c>
      <c r="B1181" t="s">
        <v>66</v>
      </c>
      <c r="C1181">
        <v>-1182</v>
      </c>
      <c r="D1181" t="str">
        <f>VLOOKUP(B1181,Tabela_Auxiliar[],2,0)</f>
        <v>4. Despesas Operacionais</v>
      </c>
      <c r="E1181" t="str">
        <f>VLOOKUP(B1181,Tabela_Auxiliar[],4,0)</f>
        <v>Despesa com Vendas</v>
      </c>
      <c r="F1181" t="str">
        <f>VLOOKUP(B1181,Tabela_Auxiliar[],3,0)</f>
        <v>Saída</v>
      </c>
      <c r="G1181" t="str">
        <f>UPPER(TEXT(Tabela_DB[[#This Row],[DATA]],"mmm"))</f>
        <v>MAR</v>
      </c>
      <c r="H1181" t="str">
        <f>UPPER(TEXT(Tabela_DB[[#This Row],[DATA]],"aaaa"))</f>
        <v>2021</v>
      </c>
    </row>
    <row r="1182" spans="1:8" x14ac:dyDescent="0.25">
      <c r="A1182" s="2">
        <v>44270</v>
      </c>
      <c r="B1182" t="s">
        <v>38</v>
      </c>
      <c r="C1182">
        <v>-1873</v>
      </c>
      <c r="D1182" t="str">
        <f>VLOOKUP(B1182,Tabela_Auxiliar[],2,0)</f>
        <v>2. Deduções da Receita</v>
      </c>
      <c r="E1182" t="str">
        <f>VLOOKUP(B1182,Tabela_Auxiliar[],4,0)</f>
        <v>Deduções</v>
      </c>
      <c r="F1182" t="str">
        <f>VLOOKUP(B1182,Tabela_Auxiliar[],3,0)</f>
        <v>Saída</v>
      </c>
      <c r="G1182" t="str">
        <f>UPPER(TEXT(Tabela_DB[[#This Row],[DATA]],"mmm"))</f>
        <v>MAR</v>
      </c>
      <c r="H1182" t="str">
        <f>UPPER(TEXT(Tabela_DB[[#This Row],[DATA]],"aaaa"))</f>
        <v>2021</v>
      </c>
    </row>
    <row r="1183" spans="1:8" x14ac:dyDescent="0.25">
      <c r="A1183" s="2">
        <v>44270</v>
      </c>
      <c r="B1183" t="s">
        <v>84</v>
      </c>
      <c r="C1183">
        <v>-1735</v>
      </c>
      <c r="D1183" t="str">
        <f>VLOOKUP(B1183,Tabela_Auxiliar[],2,0)</f>
        <v>4. Despesas Operacionais</v>
      </c>
      <c r="E1183" t="str">
        <f>VLOOKUP(B1183,Tabela_Auxiliar[],4,0)</f>
        <v>Despesa com Veículos</v>
      </c>
      <c r="F1183" t="str">
        <f>VLOOKUP(B1183,Tabela_Auxiliar[],3,0)</f>
        <v>Saída</v>
      </c>
      <c r="G1183" t="str">
        <f>UPPER(TEXT(Tabela_DB[[#This Row],[DATA]],"mmm"))</f>
        <v>MAR</v>
      </c>
      <c r="H1183" t="str">
        <f>UPPER(TEXT(Tabela_DB[[#This Row],[DATA]],"aaaa"))</f>
        <v>2021</v>
      </c>
    </row>
    <row r="1184" spans="1:8" x14ac:dyDescent="0.25">
      <c r="A1184" s="2">
        <v>44270</v>
      </c>
      <c r="B1184" t="s">
        <v>38</v>
      </c>
      <c r="C1184">
        <v>-1555</v>
      </c>
      <c r="D1184" t="str">
        <f>VLOOKUP(B1184,Tabela_Auxiliar[],2,0)</f>
        <v>2. Deduções da Receita</v>
      </c>
      <c r="E1184" t="str">
        <f>VLOOKUP(B1184,Tabela_Auxiliar[],4,0)</f>
        <v>Deduções</v>
      </c>
      <c r="F1184" t="str">
        <f>VLOOKUP(B1184,Tabela_Auxiliar[],3,0)</f>
        <v>Saída</v>
      </c>
      <c r="G1184" t="str">
        <f>UPPER(TEXT(Tabela_DB[[#This Row],[DATA]],"mmm"))</f>
        <v>MAR</v>
      </c>
      <c r="H1184" t="str">
        <f>UPPER(TEXT(Tabela_DB[[#This Row],[DATA]],"aaaa"))</f>
        <v>2021</v>
      </c>
    </row>
    <row r="1185" spans="1:8" x14ac:dyDescent="0.25">
      <c r="A1185" s="2">
        <v>44270</v>
      </c>
      <c r="B1185" t="s">
        <v>35</v>
      </c>
      <c r="C1185">
        <v>-1404</v>
      </c>
      <c r="D1185" t="str">
        <f>VLOOKUP(B1185,Tabela_Auxiliar[],2,0)</f>
        <v>2. Deduções da Receita</v>
      </c>
      <c r="E1185" t="str">
        <f>VLOOKUP(B1185,Tabela_Auxiliar[],4,0)</f>
        <v>Imposto</v>
      </c>
      <c r="F1185" t="str">
        <f>VLOOKUP(B1185,Tabela_Auxiliar[],3,0)</f>
        <v>Saída</v>
      </c>
      <c r="G1185" t="str">
        <f>UPPER(TEXT(Tabela_DB[[#This Row],[DATA]],"mmm"))</f>
        <v>MAR</v>
      </c>
      <c r="H1185" t="str">
        <f>UPPER(TEXT(Tabela_DB[[#This Row],[DATA]],"aaaa"))</f>
        <v>2021</v>
      </c>
    </row>
    <row r="1186" spans="1:8" x14ac:dyDescent="0.25">
      <c r="A1186" s="2">
        <v>44270</v>
      </c>
      <c r="B1186" t="s">
        <v>64</v>
      </c>
      <c r="C1186">
        <v>-2154</v>
      </c>
      <c r="D1186" t="str">
        <f>VLOOKUP(B1186,Tabela_Auxiliar[],2,0)</f>
        <v>4. Despesas Operacionais</v>
      </c>
      <c r="E1186" t="str">
        <f>VLOOKUP(B1186,Tabela_Auxiliar[],4,0)</f>
        <v>Despesa Gerais</v>
      </c>
      <c r="F1186" t="str">
        <f>VLOOKUP(B1186,Tabela_Auxiliar[],3,0)</f>
        <v>Saída</v>
      </c>
      <c r="G1186" t="str">
        <f>UPPER(TEXT(Tabela_DB[[#This Row],[DATA]],"mmm"))</f>
        <v>MAR</v>
      </c>
      <c r="H1186" t="str">
        <f>UPPER(TEXT(Tabela_DB[[#This Row],[DATA]],"aaaa"))</f>
        <v>2021</v>
      </c>
    </row>
    <row r="1187" spans="1:8" x14ac:dyDescent="0.25">
      <c r="A1187" s="2">
        <v>44270</v>
      </c>
      <c r="B1187" t="s">
        <v>44</v>
      </c>
      <c r="C1187">
        <v>-1655</v>
      </c>
      <c r="D1187" t="str">
        <f>VLOOKUP(B1187,Tabela_Auxiliar[],2,0)</f>
        <v>4. Despesas Operacionais</v>
      </c>
      <c r="E1187" t="str">
        <f>VLOOKUP(B1187,Tabela_Auxiliar[],4,0)</f>
        <v>Despesa com Pessoal</v>
      </c>
      <c r="F1187" t="str">
        <f>VLOOKUP(B1187,Tabela_Auxiliar[],3,0)</f>
        <v>Saída</v>
      </c>
      <c r="G1187" t="str">
        <f>UPPER(TEXT(Tabela_DB[[#This Row],[DATA]],"mmm"))</f>
        <v>MAR</v>
      </c>
      <c r="H1187" t="str">
        <f>UPPER(TEXT(Tabela_DB[[#This Row],[DATA]],"aaaa"))</f>
        <v>2021</v>
      </c>
    </row>
    <row r="1188" spans="1:8" x14ac:dyDescent="0.25">
      <c r="A1188" s="2">
        <v>44270</v>
      </c>
      <c r="B1188" t="s">
        <v>3</v>
      </c>
      <c r="C1188">
        <v>13292</v>
      </c>
      <c r="D1188" t="str">
        <f>VLOOKUP(B1188,Tabela_Auxiliar[],2,0)</f>
        <v>1. Receita Operacional Bruta</v>
      </c>
      <c r="E1188" t="str">
        <f>VLOOKUP(B1188,Tabela_Auxiliar[],4,0)</f>
        <v>Receita Bruta</v>
      </c>
      <c r="F1188" t="str">
        <f>VLOOKUP(B1188,Tabela_Auxiliar[],3,0)</f>
        <v>Entrada</v>
      </c>
      <c r="G1188" t="str">
        <f>UPPER(TEXT(Tabela_DB[[#This Row],[DATA]],"mmm"))</f>
        <v>MAR</v>
      </c>
      <c r="H1188" t="str">
        <f>UPPER(TEXT(Tabela_DB[[#This Row],[DATA]],"aaaa"))</f>
        <v>2021</v>
      </c>
    </row>
    <row r="1189" spans="1:8" x14ac:dyDescent="0.25">
      <c r="A1189" s="2">
        <v>44270</v>
      </c>
      <c r="B1189" t="s">
        <v>4</v>
      </c>
      <c r="C1189">
        <v>14561</v>
      </c>
      <c r="D1189" t="str">
        <f>VLOOKUP(B1189,Tabela_Auxiliar[],2,0)</f>
        <v>1. Receita Operacional Bruta</v>
      </c>
      <c r="E1189" t="str">
        <f>VLOOKUP(B1189,Tabela_Auxiliar[],4,0)</f>
        <v>Receita Bruta</v>
      </c>
      <c r="F1189" t="str">
        <f>VLOOKUP(B1189,Tabela_Auxiliar[],3,0)</f>
        <v>Entrada</v>
      </c>
      <c r="G1189" t="str">
        <f>UPPER(TEXT(Tabela_DB[[#This Row],[DATA]],"mmm"))</f>
        <v>MAR</v>
      </c>
      <c r="H1189" t="str">
        <f>UPPER(TEXT(Tabela_DB[[#This Row],[DATA]],"aaaa"))</f>
        <v>2021</v>
      </c>
    </row>
    <row r="1190" spans="1:8" x14ac:dyDescent="0.25">
      <c r="A1190" s="2">
        <v>44270</v>
      </c>
      <c r="B1190" t="s">
        <v>37</v>
      </c>
      <c r="C1190">
        <v>-4543</v>
      </c>
      <c r="D1190" t="str">
        <f>VLOOKUP(B1190,Tabela_Auxiliar[],2,0)</f>
        <v>3. Custos do Produto/Mercadoria/Serviço</v>
      </c>
      <c r="E1190" t="str">
        <f>VLOOKUP(B1190,Tabela_Auxiliar[],4,0)</f>
        <v>Despesas c/ Produto</v>
      </c>
      <c r="F1190" t="str">
        <f>VLOOKUP(B1190,Tabela_Auxiliar[],3,0)</f>
        <v>Saída</v>
      </c>
      <c r="G1190" t="str">
        <f>UPPER(TEXT(Tabela_DB[[#This Row],[DATA]],"mmm"))</f>
        <v>MAR</v>
      </c>
      <c r="H1190" t="str">
        <f>UPPER(TEXT(Tabela_DB[[#This Row],[DATA]],"aaaa"))</f>
        <v>2021</v>
      </c>
    </row>
    <row r="1191" spans="1:8" x14ac:dyDescent="0.25">
      <c r="A1191" s="2">
        <v>44270</v>
      </c>
      <c r="B1191" t="s">
        <v>38</v>
      </c>
      <c r="C1191">
        <v>-1712</v>
      </c>
      <c r="D1191" t="str">
        <f>VLOOKUP(B1191,Tabela_Auxiliar[],2,0)</f>
        <v>2. Deduções da Receita</v>
      </c>
      <c r="E1191" t="str">
        <f>VLOOKUP(B1191,Tabela_Auxiliar[],4,0)</f>
        <v>Deduções</v>
      </c>
      <c r="F1191" t="str">
        <f>VLOOKUP(B1191,Tabela_Auxiliar[],3,0)</f>
        <v>Saída</v>
      </c>
      <c r="G1191" t="str">
        <f>UPPER(TEXT(Tabela_DB[[#This Row],[DATA]],"mmm"))</f>
        <v>MAR</v>
      </c>
      <c r="H1191" t="str">
        <f>UPPER(TEXT(Tabela_DB[[#This Row],[DATA]],"aaaa"))</f>
        <v>2021</v>
      </c>
    </row>
    <row r="1192" spans="1:8" x14ac:dyDescent="0.25">
      <c r="A1192" s="2">
        <v>44270</v>
      </c>
      <c r="B1192" t="s">
        <v>34</v>
      </c>
      <c r="C1192">
        <v>-2103</v>
      </c>
      <c r="D1192" t="str">
        <f>VLOOKUP(B1192,Tabela_Auxiliar[],2,0)</f>
        <v>2. Deduções da Receita</v>
      </c>
      <c r="E1192" t="str">
        <f>VLOOKUP(B1192,Tabela_Auxiliar[],4,0)</f>
        <v>Imposto</v>
      </c>
      <c r="F1192" t="str">
        <f>VLOOKUP(B1192,Tabela_Auxiliar[],3,0)</f>
        <v>Saída</v>
      </c>
      <c r="G1192" t="str">
        <f>UPPER(TEXT(Tabela_DB[[#This Row],[DATA]],"mmm"))</f>
        <v>MAR</v>
      </c>
      <c r="H1192" t="str">
        <f>UPPER(TEXT(Tabela_DB[[#This Row],[DATA]],"aaaa"))</f>
        <v>2021</v>
      </c>
    </row>
    <row r="1193" spans="1:8" x14ac:dyDescent="0.25">
      <c r="A1193" s="2">
        <v>44270</v>
      </c>
      <c r="B1193" t="s">
        <v>37</v>
      </c>
      <c r="C1193">
        <v>-4760</v>
      </c>
      <c r="D1193" t="str">
        <f>VLOOKUP(B1193,Tabela_Auxiliar[],2,0)</f>
        <v>3. Custos do Produto/Mercadoria/Serviço</v>
      </c>
      <c r="E1193" t="str">
        <f>VLOOKUP(B1193,Tabela_Auxiliar[],4,0)</f>
        <v>Despesas c/ Produto</v>
      </c>
      <c r="F1193" t="str">
        <f>VLOOKUP(B1193,Tabela_Auxiliar[],3,0)</f>
        <v>Saída</v>
      </c>
      <c r="G1193" t="str">
        <f>UPPER(TEXT(Tabela_DB[[#This Row],[DATA]],"mmm"))</f>
        <v>MAR</v>
      </c>
      <c r="H1193" t="str">
        <f>UPPER(TEXT(Tabela_DB[[#This Row],[DATA]],"aaaa"))</f>
        <v>2021</v>
      </c>
    </row>
    <row r="1194" spans="1:8" x14ac:dyDescent="0.25">
      <c r="A1194" s="2">
        <v>44270</v>
      </c>
      <c r="B1194" t="s">
        <v>38</v>
      </c>
      <c r="C1194">
        <v>-2218</v>
      </c>
      <c r="D1194" t="str">
        <f>VLOOKUP(B1194,Tabela_Auxiliar[],2,0)</f>
        <v>2. Deduções da Receita</v>
      </c>
      <c r="E1194" t="str">
        <f>VLOOKUP(B1194,Tabela_Auxiliar[],4,0)</f>
        <v>Deduções</v>
      </c>
      <c r="F1194" t="str">
        <f>VLOOKUP(B1194,Tabela_Auxiliar[],3,0)</f>
        <v>Saída</v>
      </c>
      <c r="G1194" t="str">
        <f>UPPER(TEXT(Tabela_DB[[#This Row],[DATA]],"mmm"))</f>
        <v>MAR</v>
      </c>
      <c r="H1194" t="str">
        <f>UPPER(TEXT(Tabela_DB[[#This Row],[DATA]],"aaaa"))</f>
        <v>2021</v>
      </c>
    </row>
    <row r="1195" spans="1:8" x14ac:dyDescent="0.25">
      <c r="A1195" s="2">
        <v>44270</v>
      </c>
      <c r="B1195" t="s">
        <v>31</v>
      </c>
      <c r="C1195">
        <v>-2144</v>
      </c>
      <c r="D1195" t="str">
        <f>VLOOKUP(B1195,Tabela_Auxiliar[],2,0)</f>
        <v>5. Resultado Financeiro</v>
      </c>
      <c r="E1195" t="str">
        <f>VLOOKUP(B1195,Tabela_Auxiliar[],4,0)</f>
        <v>Participação nos resultados</v>
      </c>
      <c r="F1195" t="str">
        <f>VLOOKUP(B1195,Tabela_Auxiliar[],3,0)</f>
        <v>Saída</v>
      </c>
      <c r="G1195" t="str">
        <f>UPPER(TEXT(Tabela_DB[[#This Row],[DATA]],"mmm"))</f>
        <v>MAR</v>
      </c>
      <c r="H1195" t="str">
        <f>UPPER(TEXT(Tabela_DB[[#This Row],[DATA]],"aaaa"))</f>
        <v>2021</v>
      </c>
    </row>
    <row r="1196" spans="1:8" x14ac:dyDescent="0.25">
      <c r="A1196" s="2">
        <v>44270</v>
      </c>
      <c r="B1196" t="s">
        <v>3</v>
      </c>
      <c r="C1196">
        <v>10825</v>
      </c>
      <c r="D1196" t="str">
        <f>VLOOKUP(B1196,Tabela_Auxiliar[],2,0)</f>
        <v>1. Receita Operacional Bruta</v>
      </c>
      <c r="E1196" t="str">
        <f>VLOOKUP(B1196,Tabela_Auxiliar[],4,0)</f>
        <v>Receita Bruta</v>
      </c>
      <c r="F1196" t="str">
        <f>VLOOKUP(B1196,Tabela_Auxiliar[],3,0)</f>
        <v>Entrada</v>
      </c>
      <c r="G1196" t="str">
        <f>UPPER(TEXT(Tabela_DB[[#This Row],[DATA]],"mmm"))</f>
        <v>MAR</v>
      </c>
      <c r="H1196" t="str">
        <f>UPPER(TEXT(Tabela_DB[[#This Row],[DATA]],"aaaa"))</f>
        <v>2021</v>
      </c>
    </row>
    <row r="1197" spans="1:8" x14ac:dyDescent="0.25">
      <c r="A1197" s="2">
        <v>44270</v>
      </c>
      <c r="B1197" t="s">
        <v>59</v>
      </c>
      <c r="C1197">
        <v>-1101</v>
      </c>
      <c r="D1197" t="str">
        <f>VLOOKUP(B1197,Tabela_Auxiliar[],2,0)</f>
        <v>4. Despesas Operacionais</v>
      </c>
      <c r="E1197" t="str">
        <f>VLOOKUP(B1197,Tabela_Auxiliar[],4,0)</f>
        <v>Despesa de Depreciação</v>
      </c>
      <c r="F1197" t="str">
        <f>VLOOKUP(B1197,Tabela_Auxiliar[],3,0)</f>
        <v>Saída</v>
      </c>
      <c r="G1197" t="str">
        <f>UPPER(TEXT(Tabela_DB[[#This Row],[DATA]],"mmm"))</f>
        <v>MAR</v>
      </c>
      <c r="H1197" t="str">
        <f>UPPER(TEXT(Tabela_DB[[#This Row],[DATA]],"aaaa"))</f>
        <v>2021</v>
      </c>
    </row>
    <row r="1198" spans="1:8" x14ac:dyDescent="0.25">
      <c r="A1198" s="2">
        <v>44270</v>
      </c>
      <c r="B1198" t="s">
        <v>37</v>
      </c>
      <c r="C1198">
        <v>-3572</v>
      </c>
      <c r="D1198" t="str">
        <f>VLOOKUP(B1198,Tabela_Auxiliar[],2,0)</f>
        <v>3. Custos do Produto/Mercadoria/Serviço</v>
      </c>
      <c r="E1198" t="str">
        <f>VLOOKUP(B1198,Tabela_Auxiliar[],4,0)</f>
        <v>Despesas c/ Produto</v>
      </c>
      <c r="F1198" t="str">
        <f>VLOOKUP(B1198,Tabela_Auxiliar[],3,0)</f>
        <v>Saída</v>
      </c>
      <c r="G1198" t="str">
        <f>UPPER(TEXT(Tabela_DB[[#This Row],[DATA]],"mmm"))</f>
        <v>MAR</v>
      </c>
      <c r="H1198" t="str">
        <f>UPPER(TEXT(Tabela_DB[[#This Row],[DATA]],"aaaa"))</f>
        <v>2021</v>
      </c>
    </row>
    <row r="1199" spans="1:8" x14ac:dyDescent="0.25">
      <c r="A1199" s="2">
        <v>44270</v>
      </c>
      <c r="B1199" t="s">
        <v>54</v>
      </c>
      <c r="C1199">
        <v>-1602</v>
      </c>
      <c r="D1199" t="str">
        <f>VLOOKUP(B1199,Tabela_Auxiliar[],2,0)</f>
        <v>4. Despesas Operacionais</v>
      </c>
      <c r="E1199" t="str">
        <f>VLOOKUP(B1199,Tabela_Auxiliar[],4,0)</f>
        <v>Despesa com Pessoal</v>
      </c>
      <c r="F1199" t="str">
        <f>VLOOKUP(B1199,Tabela_Auxiliar[],3,0)</f>
        <v>Saída</v>
      </c>
      <c r="G1199" t="str">
        <f>UPPER(TEXT(Tabela_DB[[#This Row],[DATA]],"mmm"))</f>
        <v>MAR</v>
      </c>
      <c r="H1199" t="str">
        <f>UPPER(TEXT(Tabela_DB[[#This Row],[DATA]],"aaaa"))</f>
        <v>2021</v>
      </c>
    </row>
    <row r="1200" spans="1:8" x14ac:dyDescent="0.25">
      <c r="A1200" s="2">
        <v>44271</v>
      </c>
      <c r="B1200" t="s">
        <v>4</v>
      </c>
      <c r="C1200">
        <v>10547</v>
      </c>
      <c r="D1200" t="str">
        <f>VLOOKUP(B1200,Tabela_Auxiliar[],2,0)</f>
        <v>1. Receita Operacional Bruta</v>
      </c>
      <c r="E1200" t="str">
        <f>VLOOKUP(B1200,Tabela_Auxiliar[],4,0)</f>
        <v>Receita Bruta</v>
      </c>
      <c r="F1200" t="str">
        <f>VLOOKUP(B1200,Tabela_Auxiliar[],3,0)</f>
        <v>Entrada</v>
      </c>
      <c r="G1200" t="str">
        <f>UPPER(TEXT(Tabela_DB[[#This Row],[DATA]],"mmm"))</f>
        <v>MAR</v>
      </c>
      <c r="H1200" t="str">
        <f>UPPER(TEXT(Tabela_DB[[#This Row],[DATA]],"aaaa"))</f>
        <v>2021</v>
      </c>
    </row>
    <row r="1201" spans="1:8" x14ac:dyDescent="0.25">
      <c r="A1201" s="2">
        <v>44271</v>
      </c>
      <c r="B1201" t="s">
        <v>37</v>
      </c>
      <c r="C1201">
        <v>-3827</v>
      </c>
      <c r="D1201" t="str">
        <f>VLOOKUP(B1201,Tabela_Auxiliar[],2,0)</f>
        <v>3. Custos do Produto/Mercadoria/Serviço</v>
      </c>
      <c r="E1201" t="str">
        <f>VLOOKUP(B1201,Tabela_Auxiliar[],4,0)</f>
        <v>Despesas c/ Produto</v>
      </c>
      <c r="F1201" t="str">
        <f>VLOOKUP(B1201,Tabela_Auxiliar[],3,0)</f>
        <v>Saída</v>
      </c>
      <c r="G1201" t="str">
        <f>UPPER(TEXT(Tabela_DB[[#This Row],[DATA]],"mmm"))</f>
        <v>MAR</v>
      </c>
      <c r="H1201" t="str">
        <f>UPPER(TEXT(Tabela_DB[[#This Row],[DATA]],"aaaa"))</f>
        <v>2021</v>
      </c>
    </row>
    <row r="1202" spans="1:8" x14ac:dyDescent="0.25">
      <c r="A1202" s="2">
        <v>44271</v>
      </c>
      <c r="B1202" t="s">
        <v>79</v>
      </c>
      <c r="C1202">
        <v>-2157</v>
      </c>
      <c r="D1202" t="str">
        <f>VLOOKUP(B1202,Tabela_Auxiliar[],2,0)</f>
        <v>4. Despesas Operacionais</v>
      </c>
      <c r="E1202" t="str">
        <f>VLOOKUP(B1202,Tabela_Auxiliar[],4,0)</f>
        <v>Serviços Contratados</v>
      </c>
      <c r="F1202" t="str">
        <f>VLOOKUP(B1202,Tabela_Auxiliar[],3,0)</f>
        <v>Saída</v>
      </c>
      <c r="G1202" t="str">
        <f>UPPER(TEXT(Tabela_DB[[#This Row],[DATA]],"mmm"))</f>
        <v>MAR</v>
      </c>
      <c r="H1202" t="str">
        <f>UPPER(TEXT(Tabela_DB[[#This Row],[DATA]],"aaaa"))</f>
        <v>2021</v>
      </c>
    </row>
    <row r="1203" spans="1:8" x14ac:dyDescent="0.25">
      <c r="A1203" s="2">
        <v>44271</v>
      </c>
      <c r="B1203" t="s">
        <v>3</v>
      </c>
      <c r="C1203">
        <v>11969</v>
      </c>
      <c r="D1203" t="str">
        <f>VLOOKUP(B1203,Tabela_Auxiliar[],2,0)</f>
        <v>1. Receita Operacional Bruta</v>
      </c>
      <c r="E1203" t="str">
        <f>VLOOKUP(B1203,Tabela_Auxiliar[],4,0)</f>
        <v>Receita Bruta</v>
      </c>
      <c r="F1203" t="str">
        <f>VLOOKUP(B1203,Tabela_Auxiliar[],3,0)</f>
        <v>Entrada</v>
      </c>
      <c r="G1203" t="str">
        <f>UPPER(TEXT(Tabela_DB[[#This Row],[DATA]],"mmm"))</f>
        <v>MAR</v>
      </c>
      <c r="H1203" t="str">
        <f>UPPER(TEXT(Tabela_DB[[#This Row],[DATA]],"aaaa"))</f>
        <v>2021</v>
      </c>
    </row>
    <row r="1204" spans="1:8" x14ac:dyDescent="0.25">
      <c r="A1204" s="2">
        <v>44271</v>
      </c>
      <c r="B1204" t="s">
        <v>64</v>
      </c>
      <c r="C1204">
        <v>-1517</v>
      </c>
      <c r="D1204" t="str">
        <f>VLOOKUP(B1204,Tabela_Auxiliar[],2,0)</f>
        <v>4. Despesas Operacionais</v>
      </c>
      <c r="E1204" t="str">
        <f>VLOOKUP(B1204,Tabela_Auxiliar[],4,0)</f>
        <v>Despesa Gerais</v>
      </c>
      <c r="F1204" t="str">
        <f>VLOOKUP(B1204,Tabela_Auxiliar[],3,0)</f>
        <v>Saída</v>
      </c>
      <c r="G1204" t="str">
        <f>UPPER(TEXT(Tabela_DB[[#This Row],[DATA]],"mmm"))</f>
        <v>MAR</v>
      </c>
      <c r="H1204" t="str">
        <f>UPPER(TEXT(Tabela_DB[[#This Row],[DATA]],"aaaa"))</f>
        <v>2021</v>
      </c>
    </row>
    <row r="1205" spans="1:8" x14ac:dyDescent="0.25">
      <c r="A1205" s="2">
        <v>44271</v>
      </c>
      <c r="B1205" t="s">
        <v>68</v>
      </c>
      <c r="C1205">
        <v>-1507</v>
      </c>
      <c r="D1205" t="str">
        <f>VLOOKUP(B1205,Tabela_Auxiliar[],2,0)</f>
        <v>4. Despesas Operacionais</v>
      </c>
      <c r="E1205" t="str">
        <f>VLOOKUP(B1205,Tabela_Auxiliar[],4,0)</f>
        <v>Despesa com Ocupação</v>
      </c>
      <c r="F1205" t="str">
        <f>VLOOKUP(B1205,Tabela_Auxiliar[],3,0)</f>
        <v>Saída</v>
      </c>
      <c r="G1205" t="str">
        <f>UPPER(TEXT(Tabela_DB[[#This Row],[DATA]],"mmm"))</f>
        <v>MAR</v>
      </c>
      <c r="H1205" t="str">
        <f>UPPER(TEXT(Tabela_DB[[#This Row],[DATA]],"aaaa"))</f>
        <v>2021</v>
      </c>
    </row>
    <row r="1206" spans="1:8" x14ac:dyDescent="0.25">
      <c r="A1206" s="2">
        <v>44271</v>
      </c>
      <c r="B1206" t="s">
        <v>71</v>
      </c>
      <c r="C1206">
        <v>-1563</v>
      </c>
      <c r="D1206" t="str">
        <f>VLOOKUP(B1206,Tabela_Auxiliar[],2,0)</f>
        <v>4. Despesas Operacionais</v>
      </c>
      <c r="E1206" t="str">
        <f>VLOOKUP(B1206,Tabela_Auxiliar[],4,0)</f>
        <v>Despesa com Ocupação</v>
      </c>
      <c r="F1206" t="str">
        <f>VLOOKUP(B1206,Tabela_Auxiliar[],3,0)</f>
        <v>Saída</v>
      </c>
      <c r="G1206" t="str">
        <f>UPPER(TEXT(Tabela_DB[[#This Row],[DATA]],"mmm"))</f>
        <v>MAR</v>
      </c>
      <c r="H1206" t="str">
        <f>UPPER(TEXT(Tabela_DB[[#This Row],[DATA]],"aaaa"))</f>
        <v>2021</v>
      </c>
    </row>
    <row r="1207" spans="1:8" x14ac:dyDescent="0.25">
      <c r="A1207" s="2">
        <v>44271</v>
      </c>
      <c r="B1207" t="s">
        <v>37</v>
      </c>
      <c r="C1207">
        <v>-4400</v>
      </c>
      <c r="D1207" t="str">
        <f>VLOOKUP(B1207,Tabela_Auxiliar[],2,0)</f>
        <v>3. Custos do Produto/Mercadoria/Serviço</v>
      </c>
      <c r="E1207" t="str">
        <f>VLOOKUP(B1207,Tabela_Auxiliar[],4,0)</f>
        <v>Despesas c/ Produto</v>
      </c>
      <c r="F1207" t="str">
        <f>VLOOKUP(B1207,Tabela_Auxiliar[],3,0)</f>
        <v>Saída</v>
      </c>
      <c r="G1207" t="str">
        <f>UPPER(TEXT(Tabela_DB[[#This Row],[DATA]],"mmm"))</f>
        <v>MAR</v>
      </c>
      <c r="H1207" t="str">
        <f>UPPER(TEXT(Tabela_DB[[#This Row],[DATA]],"aaaa"))</f>
        <v>2021</v>
      </c>
    </row>
    <row r="1208" spans="1:8" x14ac:dyDescent="0.25">
      <c r="A1208" s="2">
        <v>44271</v>
      </c>
      <c r="B1208" t="s">
        <v>35</v>
      </c>
      <c r="C1208">
        <v>-2076</v>
      </c>
      <c r="D1208" t="str">
        <f>VLOOKUP(B1208,Tabela_Auxiliar[],2,0)</f>
        <v>2. Deduções da Receita</v>
      </c>
      <c r="E1208" t="str">
        <f>VLOOKUP(B1208,Tabela_Auxiliar[],4,0)</f>
        <v>Imposto</v>
      </c>
      <c r="F1208" t="str">
        <f>VLOOKUP(B1208,Tabela_Auxiliar[],3,0)</f>
        <v>Saída</v>
      </c>
      <c r="G1208" t="str">
        <f>UPPER(TEXT(Tabela_DB[[#This Row],[DATA]],"mmm"))</f>
        <v>MAR</v>
      </c>
      <c r="H1208" t="str">
        <f>UPPER(TEXT(Tabela_DB[[#This Row],[DATA]],"aaaa"))</f>
        <v>2021</v>
      </c>
    </row>
    <row r="1209" spans="1:8" x14ac:dyDescent="0.25">
      <c r="A1209" s="2">
        <v>44271</v>
      </c>
      <c r="B1209" t="s">
        <v>90</v>
      </c>
      <c r="C1209">
        <v>-1429</v>
      </c>
      <c r="D1209" t="str">
        <f>VLOOKUP(B1209,Tabela_Auxiliar[],2,0)</f>
        <v>4. Despesas Operacionais</v>
      </c>
      <c r="E1209" t="str">
        <f>VLOOKUP(B1209,Tabela_Auxiliar[],4,0)</f>
        <v>Despesa Tributária</v>
      </c>
      <c r="F1209" t="str">
        <f>VLOOKUP(B1209,Tabela_Auxiliar[],3,0)</f>
        <v>Saída</v>
      </c>
      <c r="G1209" t="str">
        <f>UPPER(TEXT(Tabela_DB[[#This Row],[DATA]],"mmm"))</f>
        <v>MAR</v>
      </c>
      <c r="H1209" t="str">
        <f>UPPER(TEXT(Tabela_DB[[#This Row],[DATA]],"aaaa"))</f>
        <v>2021</v>
      </c>
    </row>
    <row r="1210" spans="1:8" x14ac:dyDescent="0.25">
      <c r="A1210" s="2">
        <v>44271</v>
      </c>
      <c r="B1210" t="s">
        <v>43</v>
      </c>
      <c r="C1210">
        <v>-1047</v>
      </c>
      <c r="D1210" t="str">
        <f>VLOOKUP(B1210,Tabela_Auxiliar[],2,0)</f>
        <v>4. Despesas Operacionais</v>
      </c>
      <c r="E1210" t="str">
        <f>VLOOKUP(B1210,Tabela_Auxiliar[],4,0)</f>
        <v>Despesa com Pessoal</v>
      </c>
      <c r="F1210" t="str">
        <f>VLOOKUP(B1210,Tabela_Auxiliar[],3,0)</f>
        <v>Saída</v>
      </c>
      <c r="G1210" t="str">
        <f>UPPER(TEXT(Tabela_DB[[#This Row],[DATA]],"mmm"))</f>
        <v>MAR</v>
      </c>
      <c r="H1210" t="str">
        <f>UPPER(TEXT(Tabela_DB[[#This Row],[DATA]],"aaaa"))</f>
        <v>2021</v>
      </c>
    </row>
    <row r="1211" spans="1:8" x14ac:dyDescent="0.25">
      <c r="A1211" s="2">
        <v>44271</v>
      </c>
      <c r="B1211" t="s">
        <v>3</v>
      </c>
      <c r="C1211">
        <v>11984</v>
      </c>
      <c r="D1211" t="str">
        <f>VLOOKUP(B1211,Tabela_Auxiliar[],2,0)</f>
        <v>1. Receita Operacional Bruta</v>
      </c>
      <c r="E1211" t="str">
        <f>VLOOKUP(B1211,Tabela_Auxiliar[],4,0)</f>
        <v>Receita Bruta</v>
      </c>
      <c r="F1211" t="str">
        <f>VLOOKUP(B1211,Tabela_Auxiliar[],3,0)</f>
        <v>Entrada</v>
      </c>
      <c r="G1211" t="str">
        <f>UPPER(TEXT(Tabela_DB[[#This Row],[DATA]],"mmm"))</f>
        <v>MAR</v>
      </c>
      <c r="H1211" t="str">
        <f>UPPER(TEXT(Tabela_DB[[#This Row],[DATA]],"aaaa"))</f>
        <v>2021</v>
      </c>
    </row>
    <row r="1212" spans="1:8" x14ac:dyDescent="0.25">
      <c r="A1212" s="2">
        <v>44271</v>
      </c>
      <c r="B1212" t="s">
        <v>40</v>
      </c>
      <c r="C1212">
        <v>-1321</v>
      </c>
      <c r="D1212" t="str">
        <f>VLOOKUP(B1212,Tabela_Auxiliar[],2,0)</f>
        <v>4. Despesas Operacionais</v>
      </c>
      <c r="E1212" t="str">
        <f>VLOOKUP(B1212,Tabela_Auxiliar[],4,0)</f>
        <v>Despesa com Pessoal</v>
      </c>
      <c r="F1212" t="str">
        <f>VLOOKUP(B1212,Tabela_Auxiliar[],3,0)</f>
        <v>Saída</v>
      </c>
      <c r="G1212" t="str">
        <f>UPPER(TEXT(Tabela_DB[[#This Row],[DATA]],"mmm"))</f>
        <v>MAR</v>
      </c>
      <c r="H1212" t="str">
        <f>UPPER(TEXT(Tabela_DB[[#This Row],[DATA]],"aaaa"))</f>
        <v>2021</v>
      </c>
    </row>
    <row r="1213" spans="1:8" x14ac:dyDescent="0.25">
      <c r="A1213" s="2">
        <v>44271</v>
      </c>
      <c r="B1213" t="s">
        <v>87</v>
      </c>
      <c r="C1213">
        <v>-1455</v>
      </c>
      <c r="D1213" t="str">
        <f>VLOOKUP(B1213,Tabela_Auxiliar[],2,0)</f>
        <v>4. Despesas Operacionais</v>
      </c>
      <c r="E1213" t="str">
        <f>VLOOKUP(B1213,Tabela_Auxiliar[],4,0)</f>
        <v>Despesa Tributária</v>
      </c>
      <c r="F1213" t="str">
        <f>VLOOKUP(B1213,Tabela_Auxiliar[],3,0)</f>
        <v>Saída</v>
      </c>
      <c r="G1213" t="str">
        <f>UPPER(TEXT(Tabela_DB[[#This Row],[DATA]],"mmm"))</f>
        <v>MAR</v>
      </c>
      <c r="H1213" t="str">
        <f>UPPER(TEXT(Tabela_DB[[#This Row],[DATA]],"aaaa"))</f>
        <v>2021</v>
      </c>
    </row>
    <row r="1214" spans="1:8" x14ac:dyDescent="0.25">
      <c r="A1214" s="2">
        <v>44271</v>
      </c>
      <c r="B1214" t="s">
        <v>37</v>
      </c>
      <c r="C1214">
        <v>-4199</v>
      </c>
      <c r="D1214" t="str">
        <f>VLOOKUP(B1214,Tabela_Auxiliar[],2,0)</f>
        <v>3. Custos do Produto/Mercadoria/Serviço</v>
      </c>
      <c r="E1214" t="str">
        <f>VLOOKUP(B1214,Tabela_Auxiliar[],4,0)</f>
        <v>Despesas c/ Produto</v>
      </c>
      <c r="F1214" t="str">
        <f>VLOOKUP(B1214,Tabela_Auxiliar[],3,0)</f>
        <v>Saída</v>
      </c>
      <c r="G1214" t="str">
        <f>UPPER(TEXT(Tabela_DB[[#This Row],[DATA]],"mmm"))</f>
        <v>MAR</v>
      </c>
      <c r="H1214" t="str">
        <f>UPPER(TEXT(Tabela_DB[[#This Row],[DATA]],"aaaa"))</f>
        <v>2021</v>
      </c>
    </row>
    <row r="1215" spans="1:8" x14ac:dyDescent="0.25">
      <c r="A1215" s="2">
        <v>44271</v>
      </c>
      <c r="B1215" t="s">
        <v>37</v>
      </c>
      <c r="C1215">
        <v>-4124</v>
      </c>
      <c r="D1215" t="str">
        <f>VLOOKUP(B1215,Tabela_Auxiliar[],2,0)</f>
        <v>3. Custos do Produto/Mercadoria/Serviço</v>
      </c>
      <c r="E1215" t="str">
        <f>VLOOKUP(B1215,Tabela_Auxiliar[],4,0)</f>
        <v>Despesas c/ Produto</v>
      </c>
      <c r="F1215" t="str">
        <f>VLOOKUP(B1215,Tabela_Auxiliar[],3,0)</f>
        <v>Saída</v>
      </c>
      <c r="G1215" t="str">
        <f>UPPER(TEXT(Tabela_DB[[#This Row],[DATA]],"mmm"))</f>
        <v>MAR</v>
      </c>
      <c r="H1215" t="str">
        <f>UPPER(TEXT(Tabela_DB[[#This Row],[DATA]],"aaaa"))</f>
        <v>2021</v>
      </c>
    </row>
    <row r="1216" spans="1:8" x14ac:dyDescent="0.25">
      <c r="A1216" s="2">
        <v>44272</v>
      </c>
      <c r="B1216" t="s">
        <v>35</v>
      </c>
      <c r="C1216">
        <v>-2277</v>
      </c>
      <c r="D1216" t="str">
        <f>VLOOKUP(B1216,Tabela_Auxiliar[],2,0)</f>
        <v>2. Deduções da Receita</v>
      </c>
      <c r="E1216" t="str">
        <f>VLOOKUP(B1216,Tabela_Auxiliar[],4,0)</f>
        <v>Imposto</v>
      </c>
      <c r="F1216" t="str">
        <f>VLOOKUP(B1216,Tabela_Auxiliar[],3,0)</f>
        <v>Saída</v>
      </c>
      <c r="G1216" t="str">
        <f>UPPER(TEXT(Tabela_DB[[#This Row],[DATA]],"mmm"))</f>
        <v>MAR</v>
      </c>
      <c r="H1216" t="str">
        <f>UPPER(TEXT(Tabela_DB[[#This Row],[DATA]],"aaaa"))</f>
        <v>2021</v>
      </c>
    </row>
    <row r="1217" spans="1:8" x14ac:dyDescent="0.25">
      <c r="A1217" s="2">
        <v>44272</v>
      </c>
      <c r="B1217" t="s">
        <v>38</v>
      </c>
      <c r="C1217">
        <v>-1844</v>
      </c>
      <c r="D1217" t="str">
        <f>VLOOKUP(B1217,Tabela_Auxiliar[],2,0)</f>
        <v>2. Deduções da Receita</v>
      </c>
      <c r="E1217" t="str">
        <f>VLOOKUP(B1217,Tabela_Auxiliar[],4,0)</f>
        <v>Deduções</v>
      </c>
      <c r="F1217" t="str">
        <f>VLOOKUP(B1217,Tabela_Auxiliar[],3,0)</f>
        <v>Saída</v>
      </c>
      <c r="G1217" t="str">
        <f>UPPER(TEXT(Tabela_DB[[#This Row],[DATA]],"mmm"))</f>
        <v>MAR</v>
      </c>
      <c r="H1217" t="str">
        <f>UPPER(TEXT(Tabela_DB[[#This Row],[DATA]],"aaaa"))</f>
        <v>2021</v>
      </c>
    </row>
    <row r="1218" spans="1:8" x14ac:dyDescent="0.25">
      <c r="A1218" s="2">
        <v>44272</v>
      </c>
      <c r="B1218" t="s">
        <v>3</v>
      </c>
      <c r="C1218">
        <v>10621</v>
      </c>
      <c r="D1218" t="str">
        <f>VLOOKUP(B1218,Tabela_Auxiliar[],2,0)</f>
        <v>1. Receita Operacional Bruta</v>
      </c>
      <c r="E1218" t="str">
        <f>VLOOKUP(B1218,Tabela_Auxiliar[],4,0)</f>
        <v>Receita Bruta</v>
      </c>
      <c r="F1218" t="str">
        <f>VLOOKUP(B1218,Tabela_Auxiliar[],3,0)</f>
        <v>Entrada</v>
      </c>
      <c r="G1218" t="str">
        <f>UPPER(TEXT(Tabela_DB[[#This Row],[DATA]],"mmm"))</f>
        <v>MAR</v>
      </c>
      <c r="H1218" t="str">
        <f>UPPER(TEXT(Tabela_DB[[#This Row],[DATA]],"aaaa"))</f>
        <v>2021</v>
      </c>
    </row>
    <row r="1219" spans="1:8" x14ac:dyDescent="0.25">
      <c r="A1219" s="2">
        <v>44272</v>
      </c>
      <c r="B1219" t="s">
        <v>37</v>
      </c>
      <c r="C1219">
        <v>-3881</v>
      </c>
      <c r="D1219" t="str">
        <f>VLOOKUP(B1219,Tabela_Auxiliar[],2,0)</f>
        <v>3. Custos do Produto/Mercadoria/Serviço</v>
      </c>
      <c r="E1219" t="str">
        <f>VLOOKUP(B1219,Tabela_Auxiliar[],4,0)</f>
        <v>Despesas c/ Produto</v>
      </c>
      <c r="F1219" t="str">
        <f>VLOOKUP(B1219,Tabela_Auxiliar[],3,0)</f>
        <v>Saída</v>
      </c>
      <c r="G1219" t="str">
        <f>UPPER(TEXT(Tabela_DB[[#This Row],[DATA]],"mmm"))</f>
        <v>MAR</v>
      </c>
      <c r="H1219" t="str">
        <f>UPPER(TEXT(Tabela_DB[[#This Row],[DATA]],"aaaa"))</f>
        <v>2021</v>
      </c>
    </row>
    <row r="1220" spans="1:8" x14ac:dyDescent="0.25">
      <c r="A1220" s="2">
        <v>44272</v>
      </c>
      <c r="B1220" t="s">
        <v>43</v>
      </c>
      <c r="C1220">
        <v>-1912</v>
      </c>
      <c r="D1220" t="str">
        <f>VLOOKUP(B1220,Tabela_Auxiliar[],2,0)</f>
        <v>4. Despesas Operacionais</v>
      </c>
      <c r="E1220" t="str">
        <f>VLOOKUP(B1220,Tabela_Auxiliar[],4,0)</f>
        <v>Despesa com Pessoal</v>
      </c>
      <c r="F1220" t="str">
        <f>VLOOKUP(B1220,Tabela_Auxiliar[],3,0)</f>
        <v>Saída</v>
      </c>
      <c r="G1220" t="str">
        <f>UPPER(TEXT(Tabela_DB[[#This Row],[DATA]],"mmm"))</f>
        <v>MAR</v>
      </c>
      <c r="H1220" t="str">
        <f>UPPER(TEXT(Tabela_DB[[#This Row],[DATA]],"aaaa"))</f>
        <v>2021</v>
      </c>
    </row>
    <row r="1221" spans="1:8" x14ac:dyDescent="0.25">
      <c r="A1221" s="2">
        <v>44272</v>
      </c>
      <c r="B1221" t="s">
        <v>3</v>
      </c>
      <c r="C1221">
        <v>12090</v>
      </c>
      <c r="D1221" t="str">
        <f>VLOOKUP(B1221,Tabela_Auxiliar[],2,0)</f>
        <v>1. Receita Operacional Bruta</v>
      </c>
      <c r="E1221" t="str">
        <f>VLOOKUP(B1221,Tabela_Auxiliar[],4,0)</f>
        <v>Receita Bruta</v>
      </c>
      <c r="F1221" t="str">
        <f>VLOOKUP(B1221,Tabela_Auxiliar[],3,0)</f>
        <v>Entrada</v>
      </c>
      <c r="G1221" t="str">
        <f>UPPER(TEXT(Tabela_DB[[#This Row],[DATA]],"mmm"))</f>
        <v>MAR</v>
      </c>
      <c r="H1221" t="str">
        <f>UPPER(TEXT(Tabela_DB[[#This Row],[DATA]],"aaaa"))</f>
        <v>2021</v>
      </c>
    </row>
    <row r="1222" spans="1:8" x14ac:dyDescent="0.25">
      <c r="A1222" s="2">
        <v>44272</v>
      </c>
      <c r="B1222" t="s">
        <v>48</v>
      </c>
      <c r="C1222">
        <v>-1109</v>
      </c>
      <c r="D1222" t="str">
        <f>VLOOKUP(B1222,Tabela_Auxiliar[],2,0)</f>
        <v>4. Despesas Operacionais</v>
      </c>
      <c r="E1222" t="str">
        <f>VLOOKUP(B1222,Tabela_Auxiliar[],4,0)</f>
        <v>Despesa com Pessoal</v>
      </c>
      <c r="F1222" t="str">
        <f>VLOOKUP(B1222,Tabela_Auxiliar[],3,0)</f>
        <v>Saída</v>
      </c>
      <c r="G1222" t="str">
        <f>UPPER(TEXT(Tabela_DB[[#This Row],[DATA]],"mmm"))</f>
        <v>MAR</v>
      </c>
      <c r="H1222" t="str">
        <f>UPPER(TEXT(Tabela_DB[[#This Row],[DATA]],"aaaa"))</f>
        <v>2021</v>
      </c>
    </row>
    <row r="1223" spans="1:8" x14ac:dyDescent="0.25">
      <c r="A1223" s="2">
        <v>44272</v>
      </c>
      <c r="B1223" t="s">
        <v>111</v>
      </c>
      <c r="C1223">
        <v>-1934</v>
      </c>
      <c r="D1223" t="str">
        <f>VLOOKUP(B1223,Tabela_Auxiliar[],2,0)</f>
        <v>2. Deduções da Receita</v>
      </c>
      <c r="E1223" t="str">
        <f>VLOOKUP(B1223,Tabela_Auxiliar[],4,0)</f>
        <v>Imposto</v>
      </c>
      <c r="F1223" t="str">
        <f>VLOOKUP(B1223,Tabela_Auxiliar[],3,0)</f>
        <v>Saída</v>
      </c>
      <c r="G1223" t="str">
        <f>UPPER(TEXT(Tabela_DB[[#This Row],[DATA]],"mmm"))</f>
        <v>MAR</v>
      </c>
      <c r="H1223" t="str">
        <f>UPPER(TEXT(Tabela_DB[[#This Row],[DATA]],"aaaa"))</f>
        <v>2021</v>
      </c>
    </row>
    <row r="1224" spans="1:8" x14ac:dyDescent="0.25">
      <c r="A1224" s="2">
        <v>44272</v>
      </c>
      <c r="B1224" t="s">
        <v>64</v>
      </c>
      <c r="C1224">
        <v>-1666</v>
      </c>
      <c r="D1224" t="str">
        <f>VLOOKUP(B1224,Tabela_Auxiliar[],2,0)</f>
        <v>4. Despesas Operacionais</v>
      </c>
      <c r="E1224" t="str">
        <f>VLOOKUP(B1224,Tabela_Auxiliar[],4,0)</f>
        <v>Despesa Gerais</v>
      </c>
      <c r="F1224" t="str">
        <f>VLOOKUP(B1224,Tabela_Auxiliar[],3,0)</f>
        <v>Saída</v>
      </c>
      <c r="G1224" t="str">
        <f>UPPER(TEXT(Tabela_DB[[#This Row],[DATA]],"mmm"))</f>
        <v>MAR</v>
      </c>
      <c r="H1224" t="str">
        <f>UPPER(TEXT(Tabela_DB[[#This Row],[DATA]],"aaaa"))</f>
        <v>2021</v>
      </c>
    </row>
    <row r="1225" spans="1:8" x14ac:dyDescent="0.25">
      <c r="A1225" s="2">
        <v>44272</v>
      </c>
      <c r="B1225" t="s">
        <v>3</v>
      </c>
      <c r="C1225">
        <v>14949</v>
      </c>
      <c r="D1225" t="str">
        <f>VLOOKUP(B1225,Tabela_Auxiliar[],2,0)</f>
        <v>1. Receita Operacional Bruta</v>
      </c>
      <c r="E1225" t="str">
        <f>VLOOKUP(B1225,Tabela_Auxiliar[],4,0)</f>
        <v>Receita Bruta</v>
      </c>
      <c r="F1225" t="str">
        <f>VLOOKUP(B1225,Tabela_Auxiliar[],3,0)</f>
        <v>Entrada</v>
      </c>
      <c r="G1225" t="str">
        <f>UPPER(TEXT(Tabela_DB[[#This Row],[DATA]],"mmm"))</f>
        <v>MAR</v>
      </c>
      <c r="H1225" t="str">
        <f>UPPER(TEXT(Tabela_DB[[#This Row],[DATA]],"aaaa"))</f>
        <v>2021</v>
      </c>
    </row>
    <row r="1226" spans="1:8" x14ac:dyDescent="0.25">
      <c r="A1226" s="2">
        <v>44272</v>
      </c>
      <c r="B1226" t="s">
        <v>44</v>
      </c>
      <c r="C1226">
        <v>-2381</v>
      </c>
      <c r="D1226" t="str">
        <f>VLOOKUP(B1226,Tabela_Auxiliar[],2,0)</f>
        <v>4. Despesas Operacionais</v>
      </c>
      <c r="E1226" t="str">
        <f>VLOOKUP(B1226,Tabela_Auxiliar[],4,0)</f>
        <v>Despesa com Pessoal</v>
      </c>
      <c r="F1226" t="str">
        <f>VLOOKUP(B1226,Tabela_Auxiliar[],3,0)</f>
        <v>Saída</v>
      </c>
      <c r="G1226" t="str">
        <f>UPPER(TEXT(Tabela_DB[[#This Row],[DATA]],"mmm"))</f>
        <v>MAR</v>
      </c>
      <c r="H1226" t="str">
        <f>UPPER(TEXT(Tabela_DB[[#This Row],[DATA]],"aaaa"))</f>
        <v>2021</v>
      </c>
    </row>
    <row r="1227" spans="1:8" x14ac:dyDescent="0.25">
      <c r="A1227" s="2">
        <v>44272</v>
      </c>
      <c r="B1227" t="s">
        <v>35</v>
      </c>
      <c r="C1227">
        <v>-2357</v>
      </c>
      <c r="D1227" t="str">
        <f>VLOOKUP(B1227,Tabela_Auxiliar[],2,0)</f>
        <v>2. Deduções da Receita</v>
      </c>
      <c r="E1227" t="str">
        <f>VLOOKUP(B1227,Tabela_Auxiliar[],4,0)</f>
        <v>Imposto</v>
      </c>
      <c r="F1227" t="str">
        <f>VLOOKUP(B1227,Tabela_Auxiliar[],3,0)</f>
        <v>Saída</v>
      </c>
      <c r="G1227" t="str">
        <f>UPPER(TEXT(Tabela_DB[[#This Row],[DATA]],"mmm"))</f>
        <v>MAR</v>
      </c>
      <c r="H1227" t="str">
        <f>UPPER(TEXT(Tabela_DB[[#This Row],[DATA]],"aaaa"))</f>
        <v>2021</v>
      </c>
    </row>
    <row r="1228" spans="1:8" x14ac:dyDescent="0.25">
      <c r="A1228" s="2">
        <v>44272</v>
      </c>
      <c r="B1228" t="s">
        <v>38</v>
      </c>
      <c r="C1228">
        <v>-1610</v>
      </c>
      <c r="D1228" t="str">
        <f>VLOOKUP(B1228,Tabela_Auxiliar[],2,0)</f>
        <v>2. Deduções da Receita</v>
      </c>
      <c r="E1228" t="str">
        <f>VLOOKUP(B1228,Tabela_Auxiliar[],4,0)</f>
        <v>Deduções</v>
      </c>
      <c r="F1228" t="str">
        <f>VLOOKUP(B1228,Tabela_Auxiliar[],3,0)</f>
        <v>Saída</v>
      </c>
      <c r="G1228" t="str">
        <f>UPPER(TEXT(Tabela_DB[[#This Row],[DATA]],"mmm"))</f>
        <v>MAR</v>
      </c>
      <c r="H1228" t="str">
        <f>UPPER(TEXT(Tabela_DB[[#This Row],[DATA]],"aaaa"))</f>
        <v>2021</v>
      </c>
    </row>
    <row r="1229" spans="1:8" x14ac:dyDescent="0.25">
      <c r="A1229" s="2">
        <v>44272</v>
      </c>
      <c r="B1229" t="s">
        <v>35</v>
      </c>
      <c r="C1229">
        <v>-1653</v>
      </c>
      <c r="D1229" t="str">
        <f>VLOOKUP(B1229,Tabela_Auxiliar[],2,0)</f>
        <v>2. Deduções da Receita</v>
      </c>
      <c r="E1229" t="str">
        <f>VLOOKUP(B1229,Tabela_Auxiliar[],4,0)</f>
        <v>Imposto</v>
      </c>
      <c r="F1229" t="str">
        <f>VLOOKUP(B1229,Tabela_Auxiliar[],3,0)</f>
        <v>Saída</v>
      </c>
      <c r="G1229" t="str">
        <f>UPPER(TEXT(Tabela_DB[[#This Row],[DATA]],"mmm"))</f>
        <v>MAR</v>
      </c>
      <c r="H1229" t="str">
        <f>UPPER(TEXT(Tabela_DB[[#This Row],[DATA]],"aaaa"))</f>
        <v>2021</v>
      </c>
    </row>
    <row r="1230" spans="1:8" x14ac:dyDescent="0.25">
      <c r="A1230" s="2">
        <v>44273</v>
      </c>
      <c r="B1230" t="s">
        <v>31</v>
      </c>
      <c r="C1230">
        <v>-1294</v>
      </c>
      <c r="D1230" t="str">
        <f>VLOOKUP(B1230,Tabela_Auxiliar[],2,0)</f>
        <v>5. Resultado Financeiro</v>
      </c>
      <c r="E1230" t="str">
        <f>VLOOKUP(B1230,Tabela_Auxiliar[],4,0)</f>
        <v>Participação nos resultados</v>
      </c>
      <c r="F1230" t="str">
        <f>VLOOKUP(B1230,Tabela_Auxiliar[],3,0)</f>
        <v>Saída</v>
      </c>
      <c r="G1230" t="str">
        <f>UPPER(TEXT(Tabela_DB[[#This Row],[DATA]],"mmm"))</f>
        <v>MAR</v>
      </c>
      <c r="H1230" t="str">
        <f>UPPER(TEXT(Tabela_DB[[#This Row],[DATA]],"aaaa"))</f>
        <v>2021</v>
      </c>
    </row>
    <row r="1231" spans="1:8" x14ac:dyDescent="0.25">
      <c r="A1231" s="2">
        <v>44273</v>
      </c>
      <c r="B1231" t="s">
        <v>38</v>
      </c>
      <c r="C1231">
        <v>-2177</v>
      </c>
      <c r="D1231" t="str">
        <f>VLOOKUP(B1231,Tabela_Auxiliar[],2,0)</f>
        <v>2. Deduções da Receita</v>
      </c>
      <c r="E1231" t="str">
        <f>VLOOKUP(B1231,Tabela_Auxiliar[],4,0)</f>
        <v>Deduções</v>
      </c>
      <c r="F1231" t="str">
        <f>VLOOKUP(B1231,Tabela_Auxiliar[],3,0)</f>
        <v>Saída</v>
      </c>
      <c r="G1231" t="str">
        <f>UPPER(TEXT(Tabela_DB[[#This Row],[DATA]],"mmm"))</f>
        <v>MAR</v>
      </c>
      <c r="H1231" t="str">
        <f>UPPER(TEXT(Tabela_DB[[#This Row],[DATA]],"aaaa"))</f>
        <v>2021</v>
      </c>
    </row>
    <row r="1232" spans="1:8" x14ac:dyDescent="0.25">
      <c r="A1232" s="2">
        <v>44273</v>
      </c>
      <c r="B1232" t="s">
        <v>34</v>
      </c>
      <c r="C1232">
        <v>-1139</v>
      </c>
      <c r="D1232" t="str">
        <f>VLOOKUP(B1232,Tabela_Auxiliar[],2,0)</f>
        <v>2. Deduções da Receita</v>
      </c>
      <c r="E1232" t="str">
        <f>VLOOKUP(B1232,Tabela_Auxiliar[],4,0)</f>
        <v>Imposto</v>
      </c>
      <c r="F1232" t="str">
        <f>VLOOKUP(B1232,Tabela_Auxiliar[],3,0)</f>
        <v>Saída</v>
      </c>
      <c r="G1232" t="str">
        <f>UPPER(TEXT(Tabela_DB[[#This Row],[DATA]],"mmm"))</f>
        <v>MAR</v>
      </c>
      <c r="H1232" t="str">
        <f>UPPER(TEXT(Tabela_DB[[#This Row],[DATA]],"aaaa"))</f>
        <v>2021</v>
      </c>
    </row>
    <row r="1233" spans="1:8" x14ac:dyDescent="0.25">
      <c r="A1233" s="2">
        <v>44273</v>
      </c>
      <c r="B1233" t="s">
        <v>37</v>
      </c>
      <c r="C1233">
        <v>-4926</v>
      </c>
      <c r="D1233" t="str">
        <f>VLOOKUP(B1233,Tabela_Auxiliar[],2,0)</f>
        <v>3. Custos do Produto/Mercadoria/Serviço</v>
      </c>
      <c r="E1233" t="str">
        <f>VLOOKUP(B1233,Tabela_Auxiliar[],4,0)</f>
        <v>Despesas c/ Produto</v>
      </c>
      <c r="F1233" t="str">
        <f>VLOOKUP(B1233,Tabela_Auxiliar[],3,0)</f>
        <v>Saída</v>
      </c>
      <c r="G1233" t="str">
        <f>UPPER(TEXT(Tabela_DB[[#This Row],[DATA]],"mmm"))</f>
        <v>MAR</v>
      </c>
      <c r="H1233" t="str">
        <f>UPPER(TEXT(Tabela_DB[[#This Row],[DATA]],"aaaa"))</f>
        <v>2021</v>
      </c>
    </row>
    <row r="1234" spans="1:8" x14ac:dyDescent="0.25">
      <c r="A1234" s="2">
        <v>44273</v>
      </c>
      <c r="B1234" t="s">
        <v>43</v>
      </c>
      <c r="C1234">
        <v>-2105</v>
      </c>
      <c r="D1234" t="str">
        <f>VLOOKUP(B1234,Tabela_Auxiliar[],2,0)</f>
        <v>4. Despesas Operacionais</v>
      </c>
      <c r="E1234" t="str">
        <f>VLOOKUP(B1234,Tabela_Auxiliar[],4,0)</f>
        <v>Despesa com Pessoal</v>
      </c>
      <c r="F1234" t="str">
        <f>VLOOKUP(B1234,Tabela_Auxiliar[],3,0)</f>
        <v>Saída</v>
      </c>
      <c r="G1234" t="str">
        <f>UPPER(TEXT(Tabela_DB[[#This Row],[DATA]],"mmm"))</f>
        <v>MAR</v>
      </c>
      <c r="H1234" t="str">
        <f>UPPER(TEXT(Tabela_DB[[#This Row],[DATA]],"aaaa"))</f>
        <v>2021</v>
      </c>
    </row>
    <row r="1235" spans="1:8" x14ac:dyDescent="0.25">
      <c r="A1235" s="2">
        <v>44273</v>
      </c>
      <c r="B1235" t="s">
        <v>4</v>
      </c>
      <c r="C1235">
        <v>11049</v>
      </c>
      <c r="D1235" t="str">
        <f>VLOOKUP(B1235,Tabela_Auxiliar[],2,0)</f>
        <v>1. Receita Operacional Bruta</v>
      </c>
      <c r="E1235" t="str">
        <f>VLOOKUP(B1235,Tabela_Auxiliar[],4,0)</f>
        <v>Receita Bruta</v>
      </c>
      <c r="F1235" t="str">
        <f>VLOOKUP(B1235,Tabela_Auxiliar[],3,0)</f>
        <v>Entrada</v>
      </c>
      <c r="G1235" t="str">
        <f>UPPER(TEXT(Tabela_DB[[#This Row],[DATA]],"mmm"))</f>
        <v>MAR</v>
      </c>
      <c r="H1235" t="str">
        <f>UPPER(TEXT(Tabela_DB[[#This Row],[DATA]],"aaaa"))</f>
        <v>2021</v>
      </c>
    </row>
    <row r="1236" spans="1:8" x14ac:dyDescent="0.25">
      <c r="A1236" s="2">
        <v>44273</v>
      </c>
      <c r="B1236" t="s">
        <v>111</v>
      </c>
      <c r="C1236">
        <v>-1299</v>
      </c>
      <c r="D1236" t="str">
        <f>VLOOKUP(B1236,Tabela_Auxiliar[],2,0)</f>
        <v>2. Deduções da Receita</v>
      </c>
      <c r="E1236" t="str">
        <f>VLOOKUP(B1236,Tabela_Auxiliar[],4,0)</f>
        <v>Imposto</v>
      </c>
      <c r="F1236" t="str">
        <f>VLOOKUP(B1236,Tabela_Auxiliar[],3,0)</f>
        <v>Saída</v>
      </c>
      <c r="G1236" t="str">
        <f>UPPER(TEXT(Tabela_DB[[#This Row],[DATA]],"mmm"))</f>
        <v>MAR</v>
      </c>
      <c r="H1236" t="str">
        <f>UPPER(TEXT(Tabela_DB[[#This Row],[DATA]],"aaaa"))</f>
        <v>2021</v>
      </c>
    </row>
    <row r="1237" spans="1:8" x14ac:dyDescent="0.25">
      <c r="A1237" s="2">
        <v>44273</v>
      </c>
      <c r="B1237" t="s">
        <v>74</v>
      </c>
      <c r="C1237">
        <v>-1496</v>
      </c>
      <c r="D1237" t="str">
        <f>VLOOKUP(B1237,Tabela_Auxiliar[],2,0)</f>
        <v>4. Despesas Operacionais</v>
      </c>
      <c r="E1237" t="str">
        <f>VLOOKUP(B1237,Tabela_Auxiliar[],4,0)</f>
        <v>Serviços Contratados</v>
      </c>
      <c r="F1237" t="str">
        <f>VLOOKUP(B1237,Tabela_Auxiliar[],3,0)</f>
        <v>Saída</v>
      </c>
      <c r="G1237" t="str">
        <f>UPPER(TEXT(Tabela_DB[[#This Row],[DATA]],"mmm"))</f>
        <v>MAR</v>
      </c>
      <c r="H1237" t="str">
        <f>UPPER(TEXT(Tabela_DB[[#This Row],[DATA]],"aaaa"))</f>
        <v>2021</v>
      </c>
    </row>
    <row r="1238" spans="1:8" x14ac:dyDescent="0.25">
      <c r="A1238" s="2">
        <v>44273</v>
      </c>
      <c r="B1238" t="s">
        <v>3</v>
      </c>
      <c r="C1238">
        <v>11449</v>
      </c>
      <c r="D1238" t="str">
        <f>VLOOKUP(B1238,Tabela_Auxiliar[],2,0)</f>
        <v>1. Receita Operacional Bruta</v>
      </c>
      <c r="E1238" t="str">
        <f>VLOOKUP(B1238,Tabela_Auxiliar[],4,0)</f>
        <v>Receita Bruta</v>
      </c>
      <c r="F1238" t="str">
        <f>VLOOKUP(B1238,Tabela_Auxiliar[],3,0)</f>
        <v>Entrada</v>
      </c>
      <c r="G1238" t="str">
        <f>UPPER(TEXT(Tabela_DB[[#This Row],[DATA]],"mmm"))</f>
        <v>MAR</v>
      </c>
      <c r="H1238" t="str">
        <f>UPPER(TEXT(Tabela_DB[[#This Row],[DATA]],"aaaa"))</f>
        <v>2021</v>
      </c>
    </row>
    <row r="1239" spans="1:8" x14ac:dyDescent="0.25">
      <c r="A1239" s="2">
        <v>44273</v>
      </c>
      <c r="B1239" t="s">
        <v>111</v>
      </c>
      <c r="C1239">
        <v>-1739</v>
      </c>
      <c r="D1239" t="str">
        <f>VLOOKUP(B1239,Tabela_Auxiliar[],2,0)</f>
        <v>2. Deduções da Receita</v>
      </c>
      <c r="E1239" t="str">
        <f>VLOOKUP(B1239,Tabela_Auxiliar[],4,0)</f>
        <v>Imposto</v>
      </c>
      <c r="F1239" t="str">
        <f>VLOOKUP(B1239,Tabela_Auxiliar[],3,0)</f>
        <v>Saída</v>
      </c>
      <c r="G1239" t="str">
        <f>UPPER(TEXT(Tabela_DB[[#This Row],[DATA]],"mmm"))</f>
        <v>MAR</v>
      </c>
      <c r="H1239" t="str">
        <f>UPPER(TEXT(Tabela_DB[[#This Row],[DATA]],"aaaa"))</f>
        <v>2021</v>
      </c>
    </row>
    <row r="1240" spans="1:8" x14ac:dyDescent="0.25">
      <c r="A1240" s="2">
        <v>44273</v>
      </c>
      <c r="B1240" t="s">
        <v>38</v>
      </c>
      <c r="C1240">
        <v>-1837</v>
      </c>
      <c r="D1240" t="str">
        <f>VLOOKUP(B1240,Tabela_Auxiliar[],2,0)</f>
        <v>2. Deduções da Receita</v>
      </c>
      <c r="E1240" t="str">
        <f>VLOOKUP(B1240,Tabela_Auxiliar[],4,0)</f>
        <v>Deduções</v>
      </c>
      <c r="F1240" t="str">
        <f>VLOOKUP(B1240,Tabela_Auxiliar[],3,0)</f>
        <v>Saída</v>
      </c>
      <c r="G1240" t="str">
        <f>UPPER(TEXT(Tabela_DB[[#This Row],[DATA]],"mmm"))</f>
        <v>MAR</v>
      </c>
      <c r="H1240" t="str">
        <f>UPPER(TEXT(Tabela_DB[[#This Row],[DATA]],"aaaa"))</f>
        <v>2021</v>
      </c>
    </row>
    <row r="1241" spans="1:8" x14ac:dyDescent="0.25">
      <c r="A1241" s="2">
        <v>44273</v>
      </c>
      <c r="B1241" t="s">
        <v>37</v>
      </c>
      <c r="C1241">
        <v>-4279</v>
      </c>
      <c r="D1241" t="str">
        <f>VLOOKUP(B1241,Tabela_Auxiliar[],2,0)</f>
        <v>3. Custos do Produto/Mercadoria/Serviço</v>
      </c>
      <c r="E1241" t="str">
        <f>VLOOKUP(B1241,Tabela_Auxiliar[],4,0)</f>
        <v>Despesas c/ Produto</v>
      </c>
      <c r="F1241" t="str">
        <f>VLOOKUP(B1241,Tabela_Auxiliar[],3,0)</f>
        <v>Saída</v>
      </c>
      <c r="G1241" t="str">
        <f>UPPER(TEXT(Tabela_DB[[#This Row],[DATA]],"mmm"))</f>
        <v>MAR</v>
      </c>
      <c r="H1241" t="str">
        <f>UPPER(TEXT(Tabela_DB[[#This Row],[DATA]],"aaaa"))</f>
        <v>2021</v>
      </c>
    </row>
    <row r="1242" spans="1:8" x14ac:dyDescent="0.25">
      <c r="A1242" s="2">
        <v>44274</v>
      </c>
      <c r="B1242" t="s">
        <v>4</v>
      </c>
      <c r="C1242">
        <v>13973</v>
      </c>
      <c r="D1242" t="str">
        <f>VLOOKUP(B1242,Tabela_Auxiliar[],2,0)</f>
        <v>1. Receita Operacional Bruta</v>
      </c>
      <c r="E1242" t="str">
        <f>VLOOKUP(B1242,Tabela_Auxiliar[],4,0)</f>
        <v>Receita Bruta</v>
      </c>
      <c r="F1242" t="str">
        <f>VLOOKUP(B1242,Tabela_Auxiliar[],3,0)</f>
        <v>Entrada</v>
      </c>
      <c r="G1242" t="str">
        <f>UPPER(TEXT(Tabela_DB[[#This Row],[DATA]],"mmm"))</f>
        <v>MAR</v>
      </c>
      <c r="H1242" t="str">
        <f>UPPER(TEXT(Tabela_DB[[#This Row],[DATA]],"aaaa"))</f>
        <v>2021</v>
      </c>
    </row>
    <row r="1243" spans="1:8" x14ac:dyDescent="0.25">
      <c r="A1243" s="2">
        <v>44274</v>
      </c>
      <c r="B1243" t="s">
        <v>3</v>
      </c>
      <c r="C1243">
        <v>10611</v>
      </c>
      <c r="D1243" t="str">
        <f>VLOOKUP(B1243,Tabela_Auxiliar[],2,0)</f>
        <v>1. Receita Operacional Bruta</v>
      </c>
      <c r="E1243" t="str">
        <f>VLOOKUP(B1243,Tabela_Auxiliar[],4,0)</f>
        <v>Receita Bruta</v>
      </c>
      <c r="F1243" t="str">
        <f>VLOOKUP(B1243,Tabela_Auxiliar[],3,0)</f>
        <v>Entrada</v>
      </c>
      <c r="G1243" t="str">
        <f>UPPER(TEXT(Tabela_DB[[#This Row],[DATA]],"mmm"))</f>
        <v>MAR</v>
      </c>
      <c r="H1243" t="str">
        <f>UPPER(TEXT(Tabela_DB[[#This Row],[DATA]],"aaaa"))</f>
        <v>2021</v>
      </c>
    </row>
    <row r="1244" spans="1:8" x14ac:dyDescent="0.25">
      <c r="A1244" s="2">
        <v>44274</v>
      </c>
      <c r="B1244" t="s">
        <v>66</v>
      </c>
      <c r="C1244">
        <v>-1420</v>
      </c>
      <c r="D1244" t="str">
        <f>VLOOKUP(B1244,Tabela_Auxiliar[],2,0)</f>
        <v>4. Despesas Operacionais</v>
      </c>
      <c r="E1244" t="str">
        <f>VLOOKUP(B1244,Tabela_Auxiliar[],4,0)</f>
        <v>Despesa com Vendas</v>
      </c>
      <c r="F1244" t="str">
        <f>VLOOKUP(B1244,Tabela_Auxiliar[],3,0)</f>
        <v>Saída</v>
      </c>
      <c r="G1244" t="str">
        <f>UPPER(TEXT(Tabela_DB[[#This Row],[DATA]],"mmm"))</f>
        <v>MAR</v>
      </c>
      <c r="H1244" t="str">
        <f>UPPER(TEXT(Tabela_DB[[#This Row],[DATA]],"aaaa"))</f>
        <v>2021</v>
      </c>
    </row>
    <row r="1245" spans="1:8" x14ac:dyDescent="0.25">
      <c r="A1245" s="2">
        <v>44274</v>
      </c>
      <c r="B1245" t="s">
        <v>87</v>
      </c>
      <c r="C1245">
        <v>-1683</v>
      </c>
      <c r="D1245" t="str">
        <f>VLOOKUP(B1245,Tabela_Auxiliar[],2,0)</f>
        <v>4. Despesas Operacionais</v>
      </c>
      <c r="E1245" t="str">
        <f>VLOOKUP(B1245,Tabela_Auxiliar[],4,0)</f>
        <v>Despesa Tributária</v>
      </c>
      <c r="F1245" t="str">
        <f>VLOOKUP(B1245,Tabela_Auxiliar[],3,0)</f>
        <v>Saída</v>
      </c>
      <c r="G1245" t="str">
        <f>UPPER(TEXT(Tabela_DB[[#This Row],[DATA]],"mmm"))</f>
        <v>MAR</v>
      </c>
      <c r="H1245" t="str">
        <f>UPPER(TEXT(Tabela_DB[[#This Row],[DATA]],"aaaa"))</f>
        <v>2021</v>
      </c>
    </row>
    <row r="1246" spans="1:8" x14ac:dyDescent="0.25">
      <c r="A1246" s="2">
        <v>44274</v>
      </c>
      <c r="B1246" t="s">
        <v>43</v>
      </c>
      <c r="C1246">
        <v>-2261</v>
      </c>
      <c r="D1246" t="str">
        <f>VLOOKUP(B1246,Tabela_Auxiliar[],2,0)</f>
        <v>4. Despesas Operacionais</v>
      </c>
      <c r="E1246" t="str">
        <f>VLOOKUP(B1246,Tabela_Auxiliar[],4,0)</f>
        <v>Despesa com Pessoal</v>
      </c>
      <c r="F1246" t="str">
        <f>VLOOKUP(B1246,Tabela_Auxiliar[],3,0)</f>
        <v>Saída</v>
      </c>
      <c r="G1246" t="str">
        <f>UPPER(TEXT(Tabela_DB[[#This Row],[DATA]],"mmm"))</f>
        <v>MAR</v>
      </c>
      <c r="H1246" t="str">
        <f>UPPER(TEXT(Tabela_DB[[#This Row],[DATA]],"aaaa"))</f>
        <v>2021</v>
      </c>
    </row>
    <row r="1247" spans="1:8" x14ac:dyDescent="0.25">
      <c r="A1247" s="2">
        <v>44274</v>
      </c>
      <c r="B1247" t="s">
        <v>73</v>
      </c>
      <c r="C1247">
        <v>-2266</v>
      </c>
      <c r="D1247" t="str">
        <f>VLOOKUP(B1247,Tabela_Auxiliar[],2,0)</f>
        <v>4. Despesas Operacionais</v>
      </c>
      <c r="E1247" t="str">
        <f>VLOOKUP(B1247,Tabela_Auxiliar[],4,0)</f>
        <v>Despesa com Ocupação</v>
      </c>
      <c r="F1247" t="str">
        <f>VLOOKUP(B1247,Tabela_Auxiliar[],3,0)</f>
        <v>Saída</v>
      </c>
      <c r="G1247" t="str">
        <f>UPPER(TEXT(Tabela_DB[[#This Row],[DATA]],"mmm"))</f>
        <v>MAR</v>
      </c>
      <c r="H1247" t="str">
        <f>UPPER(TEXT(Tabela_DB[[#This Row],[DATA]],"aaaa"))</f>
        <v>2021</v>
      </c>
    </row>
    <row r="1248" spans="1:8" x14ac:dyDescent="0.25">
      <c r="A1248" s="2">
        <v>44274</v>
      </c>
      <c r="B1248" t="s">
        <v>4</v>
      </c>
      <c r="C1248">
        <v>14863</v>
      </c>
      <c r="D1248" t="str">
        <f>VLOOKUP(B1248,Tabela_Auxiliar[],2,0)</f>
        <v>1. Receita Operacional Bruta</v>
      </c>
      <c r="E1248" t="str">
        <f>VLOOKUP(B1248,Tabela_Auxiliar[],4,0)</f>
        <v>Receita Bruta</v>
      </c>
      <c r="F1248" t="str">
        <f>VLOOKUP(B1248,Tabela_Auxiliar[],3,0)</f>
        <v>Entrada</v>
      </c>
      <c r="G1248" t="str">
        <f>UPPER(TEXT(Tabela_DB[[#This Row],[DATA]],"mmm"))</f>
        <v>MAR</v>
      </c>
      <c r="H1248" t="str">
        <f>UPPER(TEXT(Tabela_DB[[#This Row],[DATA]],"aaaa"))</f>
        <v>2021</v>
      </c>
    </row>
    <row r="1249" spans="1:8" x14ac:dyDescent="0.25">
      <c r="A1249" s="2">
        <v>44274</v>
      </c>
      <c r="B1249" t="s">
        <v>34</v>
      </c>
      <c r="C1249">
        <v>-1780</v>
      </c>
      <c r="D1249" t="str">
        <f>VLOOKUP(B1249,Tabela_Auxiliar[],2,0)</f>
        <v>2. Deduções da Receita</v>
      </c>
      <c r="E1249" t="str">
        <f>VLOOKUP(B1249,Tabela_Auxiliar[],4,0)</f>
        <v>Imposto</v>
      </c>
      <c r="F1249" t="str">
        <f>VLOOKUP(B1249,Tabela_Auxiliar[],3,0)</f>
        <v>Saída</v>
      </c>
      <c r="G1249" t="str">
        <f>UPPER(TEXT(Tabela_DB[[#This Row],[DATA]],"mmm"))</f>
        <v>MAR</v>
      </c>
      <c r="H1249" t="str">
        <f>UPPER(TEXT(Tabela_DB[[#This Row],[DATA]],"aaaa"))</f>
        <v>2021</v>
      </c>
    </row>
    <row r="1250" spans="1:8" x14ac:dyDescent="0.25">
      <c r="A1250" s="2">
        <v>44274</v>
      </c>
      <c r="B1250" t="s">
        <v>37</v>
      </c>
      <c r="C1250">
        <v>-3806</v>
      </c>
      <c r="D1250" t="str">
        <f>VLOOKUP(B1250,Tabela_Auxiliar[],2,0)</f>
        <v>3. Custos do Produto/Mercadoria/Serviço</v>
      </c>
      <c r="E1250" t="str">
        <f>VLOOKUP(B1250,Tabela_Auxiliar[],4,0)</f>
        <v>Despesas c/ Produto</v>
      </c>
      <c r="F1250" t="str">
        <f>VLOOKUP(B1250,Tabela_Auxiliar[],3,0)</f>
        <v>Saída</v>
      </c>
      <c r="G1250" t="str">
        <f>UPPER(TEXT(Tabela_DB[[#This Row],[DATA]],"mmm"))</f>
        <v>MAR</v>
      </c>
      <c r="H1250" t="str">
        <f>UPPER(TEXT(Tabela_DB[[#This Row],[DATA]],"aaaa"))</f>
        <v>2021</v>
      </c>
    </row>
    <row r="1251" spans="1:8" x14ac:dyDescent="0.25">
      <c r="A1251" s="2">
        <v>44274</v>
      </c>
      <c r="B1251" t="s">
        <v>52</v>
      </c>
      <c r="C1251">
        <v>-1643</v>
      </c>
      <c r="D1251" t="str">
        <f>VLOOKUP(B1251,Tabela_Auxiliar[],2,0)</f>
        <v>4. Despesas Operacionais</v>
      </c>
      <c r="E1251" t="str">
        <f>VLOOKUP(B1251,Tabela_Auxiliar[],4,0)</f>
        <v>Despesa com Pessoal</v>
      </c>
      <c r="F1251" t="str">
        <f>VLOOKUP(B1251,Tabela_Auxiliar[],3,0)</f>
        <v>Saída</v>
      </c>
      <c r="G1251" t="str">
        <f>UPPER(TEXT(Tabela_DB[[#This Row],[DATA]],"mmm"))</f>
        <v>MAR</v>
      </c>
      <c r="H1251" t="str">
        <f>UPPER(TEXT(Tabela_DB[[#This Row],[DATA]],"aaaa"))</f>
        <v>2021</v>
      </c>
    </row>
    <row r="1252" spans="1:8" x14ac:dyDescent="0.25">
      <c r="A1252" s="2">
        <v>44274</v>
      </c>
      <c r="B1252" t="s">
        <v>46</v>
      </c>
      <c r="C1252">
        <v>-1781</v>
      </c>
      <c r="D1252" t="str">
        <f>VLOOKUP(B1252,Tabela_Auxiliar[],2,0)</f>
        <v>4. Despesas Operacionais</v>
      </c>
      <c r="E1252" t="str">
        <f>VLOOKUP(B1252,Tabela_Auxiliar[],4,0)</f>
        <v>Despesa com Pessoal</v>
      </c>
      <c r="F1252" t="str">
        <f>VLOOKUP(B1252,Tabela_Auxiliar[],3,0)</f>
        <v>Saída</v>
      </c>
      <c r="G1252" t="str">
        <f>UPPER(TEXT(Tabela_DB[[#This Row],[DATA]],"mmm"))</f>
        <v>MAR</v>
      </c>
      <c r="H1252" t="str">
        <f>UPPER(TEXT(Tabela_DB[[#This Row],[DATA]],"aaaa"))</f>
        <v>2021</v>
      </c>
    </row>
    <row r="1253" spans="1:8" x14ac:dyDescent="0.25">
      <c r="A1253" s="2">
        <v>44274</v>
      </c>
      <c r="B1253" t="s">
        <v>111</v>
      </c>
      <c r="C1253">
        <v>-1636</v>
      </c>
      <c r="D1253" t="str">
        <f>VLOOKUP(B1253,Tabela_Auxiliar[],2,0)</f>
        <v>2. Deduções da Receita</v>
      </c>
      <c r="E1253" t="str">
        <f>VLOOKUP(B1253,Tabela_Auxiliar[],4,0)</f>
        <v>Imposto</v>
      </c>
      <c r="F1253" t="str">
        <f>VLOOKUP(B1253,Tabela_Auxiliar[],3,0)</f>
        <v>Saída</v>
      </c>
      <c r="G1253" t="str">
        <f>UPPER(TEXT(Tabela_DB[[#This Row],[DATA]],"mmm"))</f>
        <v>MAR</v>
      </c>
      <c r="H1253" t="str">
        <f>UPPER(TEXT(Tabela_DB[[#This Row],[DATA]],"aaaa"))</f>
        <v>2021</v>
      </c>
    </row>
    <row r="1254" spans="1:8" x14ac:dyDescent="0.25">
      <c r="A1254" s="2">
        <v>44275</v>
      </c>
      <c r="B1254" t="s">
        <v>73</v>
      </c>
      <c r="C1254">
        <v>-1129</v>
      </c>
      <c r="D1254" t="str">
        <f>VLOOKUP(B1254,Tabela_Auxiliar[],2,0)</f>
        <v>4. Despesas Operacionais</v>
      </c>
      <c r="E1254" t="str">
        <f>VLOOKUP(B1254,Tabela_Auxiliar[],4,0)</f>
        <v>Despesa com Ocupação</v>
      </c>
      <c r="F1254" t="str">
        <f>VLOOKUP(B1254,Tabela_Auxiliar[],3,0)</f>
        <v>Saída</v>
      </c>
      <c r="G1254" t="str">
        <f>UPPER(TEXT(Tabela_DB[[#This Row],[DATA]],"mmm"))</f>
        <v>MAR</v>
      </c>
      <c r="H1254" t="str">
        <f>UPPER(TEXT(Tabela_DB[[#This Row],[DATA]],"aaaa"))</f>
        <v>2021</v>
      </c>
    </row>
    <row r="1255" spans="1:8" x14ac:dyDescent="0.25">
      <c r="A1255" s="2">
        <v>44275</v>
      </c>
      <c r="B1255" t="s">
        <v>63</v>
      </c>
      <c r="C1255">
        <v>-1491</v>
      </c>
      <c r="D1255" t="str">
        <f>VLOOKUP(B1255,Tabela_Auxiliar[],2,0)</f>
        <v>4. Despesas Operacionais</v>
      </c>
      <c r="E1255" t="str">
        <f>VLOOKUP(B1255,Tabela_Auxiliar[],4,0)</f>
        <v>Despesa Gerais</v>
      </c>
      <c r="F1255" t="str">
        <f>VLOOKUP(B1255,Tabela_Auxiliar[],3,0)</f>
        <v>Saída</v>
      </c>
      <c r="G1255" t="str">
        <f>UPPER(TEXT(Tabela_DB[[#This Row],[DATA]],"mmm"))</f>
        <v>MAR</v>
      </c>
      <c r="H1255" t="str">
        <f>UPPER(TEXT(Tabela_DB[[#This Row],[DATA]],"aaaa"))</f>
        <v>2021</v>
      </c>
    </row>
    <row r="1256" spans="1:8" x14ac:dyDescent="0.25">
      <c r="A1256" s="2">
        <v>44275</v>
      </c>
      <c r="B1256" t="s">
        <v>37</v>
      </c>
      <c r="C1256">
        <v>-2761</v>
      </c>
      <c r="D1256" t="str">
        <f>VLOOKUP(B1256,Tabela_Auxiliar[],2,0)</f>
        <v>3. Custos do Produto/Mercadoria/Serviço</v>
      </c>
      <c r="E1256" t="str">
        <f>VLOOKUP(B1256,Tabela_Auxiliar[],4,0)</f>
        <v>Despesas c/ Produto</v>
      </c>
      <c r="F1256" t="str">
        <f>VLOOKUP(B1256,Tabela_Auxiliar[],3,0)</f>
        <v>Saída</v>
      </c>
      <c r="G1256" t="str">
        <f>UPPER(TEXT(Tabela_DB[[#This Row],[DATA]],"mmm"))</f>
        <v>MAR</v>
      </c>
      <c r="H1256" t="str">
        <f>UPPER(TEXT(Tabela_DB[[#This Row],[DATA]],"aaaa"))</f>
        <v>2021</v>
      </c>
    </row>
    <row r="1257" spans="1:8" x14ac:dyDescent="0.25">
      <c r="A1257" s="2">
        <v>44275</v>
      </c>
      <c r="B1257" t="s">
        <v>3</v>
      </c>
      <c r="C1257">
        <v>14092</v>
      </c>
      <c r="D1257" t="str">
        <f>VLOOKUP(B1257,Tabela_Auxiliar[],2,0)</f>
        <v>1. Receita Operacional Bruta</v>
      </c>
      <c r="E1257" t="str">
        <f>VLOOKUP(B1257,Tabela_Auxiliar[],4,0)</f>
        <v>Receita Bruta</v>
      </c>
      <c r="F1257" t="str">
        <f>VLOOKUP(B1257,Tabela_Auxiliar[],3,0)</f>
        <v>Entrada</v>
      </c>
      <c r="G1257" t="str">
        <f>UPPER(TEXT(Tabela_DB[[#This Row],[DATA]],"mmm"))</f>
        <v>MAR</v>
      </c>
      <c r="H1257" t="str">
        <f>UPPER(TEXT(Tabela_DB[[#This Row],[DATA]],"aaaa"))</f>
        <v>2021</v>
      </c>
    </row>
    <row r="1258" spans="1:8" x14ac:dyDescent="0.25">
      <c r="A1258" s="2">
        <v>44275</v>
      </c>
      <c r="B1258" t="s">
        <v>34</v>
      </c>
      <c r="C1258">
        <v>-1372</v>
      </c>
      <c r="D1258" t="str">
        <f>VLOOKUP(B1258,Tabela_Auxiliar[],2,0)</f>
        <v>2. Deduções da Receita</v>
      </c>
      <c r="E1258" t="str">
        <f>VLOOKUP(B1258,Tabela_Auxiliar[],4,0)</f>
        <v>Imposto</v>
      </c>
      <c r="F1258" t="str">
        <f>VLOOKUP(B1258,Tabela_Auxiliar[],3,0)</f>
        <v>Saída</v>
      </c>
      <c r="G1258" t="str">
        <f>UPPER(TEXT(Tabela_DB[[#This Row],[DATA]],"mmm"))</f>
        <v>MAR</v>
      </c>
      <c r="H1258" t="str">
        <f>UPPER(TEXT(Tabela_DB[[#This Row],[DATA]],"aaaa"))</f>
        <v>2021</v>
      </c>
    </row>
    <row r="1259" spans="1:8" x14ac:dyDescent="0.25">
      <c r="A1259" s="2">
        <v>44275</v>
      </c>
      <c r="B1259" t="s">
        <v>38</v>
      </c>
      <c r="C1259">
        <v>-1664</v>
      </c>
      <c r="D1259" t="str">
        <f>VLOOKUP(B1259,Tabela_Auxiliar[],2,0)</f>
        <v>2. Deduções da Receita</v>
      </c>
      <c r="E1259" t="str">
        <f>VLOOKUP(B1259,Tabela_Auxiliar[],4,0)</f>
        <v>Deduções</v>
      </c>
      <c r="F1259" t="str">
        <f>VLOOKUP(B1259,Tabela_Auxiliar[],3,0)</f>
        <v>Saída</v>
      </c>
      <c r="G1259" t="str">
        <f>UPPER(TEXT(Tabela_DB[[#This Row],[DATA]],"mmm"))</f>
        <v>MAR</v>
      </c>
      <c r="H1259" t="str">
        <f>UPPER(TEXT(Tabela_DB[[#This Row],[DATA]],"aaaa"))</f>
        <v>2021</v>
      </c>
    </row>
    <row r="1260" spans="1:8" x14ac:dyDescent="0.25">
      <c r="A1260" s="2">
        <v>44275</v>
      </c>
      <c r="B1260" t="s">
        <v>8</v>
      </c>
      <c r="C1260">
        <v>-2411</v>
      </c>
      <c r="D1260" t="str">
        <f>VLOOKUP(B1260,Tabela_Auxiliar[],2,0)</f>
        <v>4. Despesas Operacionais</v>
      </c>
      <c r="E1260" t="str">
        <f>VLOOKUP(B1260,Tabela_Auxiliar[],4,0)</f>
        <v>Despesa com Pessoal</v>
      </c>
      <c r="F1260" t="str">
        <f>VLOOKUP(B1260,Tabela_Auxiliar[],3,0)</f>
        <v>Saída</v>
      </c>
      <c r="G1260" t="str">
        <f>UPPER(TEXT(Tabela_DB[[#This Row],[DATA]],"mmm"))</f>
        <v>MAR</v>
      </c>
      <c r="H1260" t="str">
        <f>UPPER(TEXT(Tabela_DB[[#This Row],[DATA]],"aaaa"))</f>
        <v>2021</v>
      </c>
    </row>
    <row r="1261" spans="1:8" x14ac:dyDescent="0.25">
      <c r="A1261" s="2">
        <v>44275</v>
      </c>
      <c r="B1261" t="s">
        <v>64</v>
      </c>
      <c r="C1261">
        <v>-2260</v>
      </c>
      <c r="D1261" t="str">
        <f>VLOOKUP(B1261,Tabela_Auxiliar[],2,0)</f>
        <v>4. Despesas Operacionais</v>
      </c>
      <c r="E1261" t="str">
        <f>VLOOKUP(B1261,Tabela_Auxiliar[],4,0)</f>
        <v>Despesa Gerais</v>
      </c>
      <c r="F1261" t="str">
        <f>VLOOKUP(B1261,Tabela_Auxiliar[],3,0)</f>
        <v>Saída</v>
      </c>
      <c r="G1261" t="str">
        <f>UPPER(TEXT(Tabela_DB[[#This Row],[DATA]],"mmm"))</f>
        <v>MAR</v>
      </c>
      <c r="H1261" t="str">
        <f>UPPER(TEXT(Tabela_DB[[#This Row],[DATA]],"aaaa"))</f>
        <v>2021</v>
      </c>
    </row>
    <row r="1262" spans="1:8" x14ac:dyDescent="0.25">
      <c r="A1262" s="2">
        <v>44275</v>
      </c>
      <c r="B1262" t="s">
        <v>46</v>
      </c>
      <c r="C1262">
        <v>-1085</v>
      </c>
      <c r="D1262" t="str">
        <f>VLOOKUP(B1262,Tabela_Auxiliar[],2,0)</f>
        <v>4. Despesas Operacionais</v>
      </c>
      <c r="E1262" t="str">
        <f>VLOOKUP(B1262,Tabela_Auxiliar[],4,0)</f>
        <v>Despesa com Pessoal</v>
      </c>
      <c r="F1262" t="str">
        <f>VLOOKUP(B1262,Tabela_Auxiliar[],3,0)</f>
        <v>Saída</v>
      </c>
      <c r="G1262" t="str">
        <f>UPPER(TEXT(Tabela_DB[[#This Row],[DATA]],"mmm"))</f>
        <v>MAR</v>
      </c>
      <c r="H1262" t="str">
        <f>UPPER(TEXT(Tabela_DB[[#This Row],[DATA]],"aaaa"))</f>
        <v>2021</v>
      </c>
    </row>
    <row r="1263" spans="1:8" x14ac:dyDescent="0.25">
      <c r="A1263" s="2">
        <v>44275</v>
      </c>
      <c r="B1263" t="s">
        <v>111</v>
      </c>
      <c r="C1263">
        <v>-1836</v>
      </c>
      <c r="D1263" t="str">
        <f>VLOOKUP(B1263,Tabela_Auxiliar[],2,0)</f>
        <v>2. Deduções da Receita</v>
      </c>
      <c r="E1263" t="str">
        <f>VLOOKUP(B1263,Tabela_Auxiliar[],4,0)</f>
        <v>Imposto</v>
      </c>
      <c r="F1263" t="str">
        <f>VLOOKUP(B1263,Tabela_Auxiliar[],3,0)</f>
        <v>Saída</v>
      </c>
      <c r="G1263" t="str">
        <f>UPPER(TEXT(Tabela_DB[[#This Row],[DATA]],"mmm"))</f>
        <v>MAR</v>
      </c>
      <c r="H1263" t="str">
        <f>UPPER(TEXT(Tabela_DB[[#This Row],[DATA]],"aaaa"))</f>
        <v>2021</v>
      </c>
    </row>
    <row r="1264" spans="1:8" x14ac:dyDescent="0.25">
      <c r="A1264" s="2">
        <v>44275</v>
      </c>
      <c r="B1264" t="s">
        <v>5</v>
      </c>
      <c r="C1264">
        <v>-2050</v>
      </c>
      <c r="D1264" t="str">
        <f>VLOOKUP(B1264,Tabela_Auxiliar[],2,0)</f>
        <v>4. Despesas Operacionais</v>
      </c>
      <c r="E1264" t="str">
        <f>VLOOKUP(B1264,Tabela_Auxiliar[],4,0)</f>
        <v>Despesa com Pessoal</v>
      </c>
      <c r="F1264" t="str">
        <f>VLOOKUP(B1264,Tabela_Auxiliar[],3,0)</f>
        <v>Saída</v>
      </c>
      <c r="G1264" t="str">
        <f>UPPER(TEXT(Tabela_DB[[#This Row],[DATA]],"mmm"))</f>
        <v>MAR</v>
      </c>
      <c r="H1264" t="str">
        <f>UPPER(TEXT(Tabela_DB[[#This Row],[DATA]],"aaaa"))</f>
        <v>2021</v>
      </c>
    </row>
    <row r="1265" spans="1:8" x14ac:dyDescent="0.25">
      <c r="A1265" s="2">
        <v>44275</v>
      </c>
      <c r="B1265" t="s">
        <v>3</v>
      </c>
      <c r="C1265">
        <v>13000</v>
      </c>
      <c r="D1265" t="str">
        <f>VLOOKUP(B1265,Tabela_Auxiliar[],2,0)</f>
        <v>1. Receita Operacional Bruta</v>
      </c>
      <c r="E1265" t="str">
        <f>VLOOKUP(B1265,Tabela_Auxiliar[],4,0)</f>
        <v>Receita Bruta</v>
      </c>
      <c r="F1265" t="str">
        <f>VLOOKUP(B1265,Tabela_Auxiliar[],3,0)</f>
        <v>Entrada</v>
      </c>
      <c r="G1265" t="str">
        <f>UPPER(TEXT(Tabela_DB[[#This Row],[DATA]],"mmm"))</f>
        <v>MAR</v>
      </c>
      <c r="H1265" t="str">
        <f>UPPER(TEXT(Tabela_DB[[#This Row],[DATA]],"aaaa"))</f>
        <v>2021</v>
      </c>
    </row>
    <row r="1266" spans="1:8" x14ac:dyDescent="0.25">
      <c r="A1266" s="2">
        <v>44276</v>
      </c>
      <c r="B1266" t="s">
        <v>38</v>
      </c>
      <c r="C1266">
        <v>-2025</v>
      </c>
      <c r="D1266" t="str">
        <f>VLOOKUP(B1266,Tabela_Auxiliar[],2,0)</f>
        <v>2. Deduções da Receita</v>
      </c>
      <c r="E1266" t="str">
        <f>VLOOKUP(B1266,Tabela_Auxiliar[],4,0)</f>
        <v>Deduções</v>
      </c>
      <c r="F1266" t="str">
        <f>VLOOKUP(B1266,Tabela_Auxiliar[],3,0)</f>
        <v>Saída</v>
      </c>
      <c r="G1266" t="str">
        <f>UPPER(TEXT(Tabela_DB[[#This Row],[DATA]],"mmm"))</f>
        <v>MAR</v>
      </c>
      <c r="H1266" t="str">
        <f>UPPER(TEXT(Tabela_DB[[#This Row],[DATA]],"aaaa"))</f>
        <v>2021</v>
      </c>
    </row>
    <row r="1267" spans="1:8" x14ac:dyDescent="0.25">
      <c r="A1267" s="2">
        <v>44276</v>
      </c>
      <c r="B1267" t="s">
        <v>4</v>
      </c>
      <c r="C1267">
        <v>12446</v>
      </c>
      <c r="D1267" t="str">
        <f>VLOOKUP(B1267,Tabela_Auxiliar[],2,0)</f>
        <v>1. Receita Operacional Bruta</v>
      </c>
      <c r="E1267" t="str">
        <f>VLOOKUP(B1267,Tabela_Auxiliar[],4,0)</f>
        <v>Receita Bruta</v>
      </c>
      <c r="F1267" t="str">
        <f>VLOOKUP(B1267,Tabela_Auxiliar[],3,0)</f>
        <v>Entrada</v>
      </c>
      <c r="G1267" t="str">
        <f>UPPER(TEXT(Tabela_DB[[#This Row],[DATA]],"mmm"))</f>
        <v>MAR</v>
      </c>
      <c r="H1267" t="str">
        <f>UPPER(TEXT(Tabela_DB[[#This Row],[DATA]],"aaaa"))</f>
        <v>2021</v>
      </c>
    </row>
    <row r="1268" spans="1:8" x14ac:dyDescent="0.25">
      <c r="A1268" s="2">
        <v>44276</v>
      </c>
      <c r="B1268" t="s">
        <v>73</v>
      </c>
      <c r="C1268">
        <v>-1480</v>
      </c>
      <c r="D1268" t="str">
        <f>VLOOKUP(B1268,Tabela_Auxiliar[],2,0)</f>
        <v>4. Despesas Operacionais</v>
      </c>
      <c r="E1268" t="str">
        <f>VLOOKUP(B1268,Tabela_Auxiliar[],4,0)</f>
        <v>Despesa com Ocupação</v>
      </c>
      <c r="F1268" t="str">
        <f>VLOOKUP(B1268,Tabela_Auxiliar[],3,0)</f>
        <v>Saída</v>
      </c>
      <c r="G1268" t="str">
        <f>UPPER(TEXT(Tabela_DB[[#This Row],[DATA]],"mmm"))</f>
        <v>MAR</v>
      </c>
      <c r="H1268" t="str">
        <f>UPPER(TEXT(Tabela_DB[[#This Row],[DATA]],"aaaa"))</f>
        <v>2021</v>
      </c>
    </row>
    <row r="1269" spans="1:8" x14ac:dyDescent="0.25">
      <c r="A1269" s="2">
        <v>44276</v>
      </c>
      <c r="B1269" t="s">
        <v>90</v>
      </c>
      <c r="C1269">
        <v>-1723</v>
      </c>
      <c r="D1269" t="str">
        <f>VLOOKUP(B1269,Tabela_Auxiliar[],2,0)</f>
        <v>4. Despesas Operacionais</v>
      </c>
      <c r="E1269" t="str">
        <f>VLOOKUP(B1269,Tabela_Auxiliar[],4,0)</f>
        <v>Despesa Tributária</v>
      </c>
      <c r="F1269" t="str">
        <f>VLOOKUP(B1269,Tabela_Auxiliar[],3,0)</f>
        <v>Saída</v>
      </c>
      <c r="G1269" t="str">
        <f>UPPER(TEXT(Tabela_DB[[#This Row],[DATA]],"mmm"))</f>
        <v>MAR</v>
      </c>
      <c r="H1269" t="str">
        <f>UPPER(TEXT(Tabela_DB[[#This Row],[DATA]],"aaaa"))</f>
        <v>2021</v>
      </c>
    </row>
    <row r="1270" spans="1:8" x14ac:dyDescent="0.25">
      <c r="A1270" s="2">
        <v>44276</v>
      </c>
      <c r="B1270" t="s">
        <v>89</v>
      </c>
      <c r="C1270">
        <v>-1651</v>
      </c>
      <c r="D1270" t="str">
        <f>VLOOKUP(B1270,Tabela_Auxiliar[],2,0)</f>
        <v>4. Despesas Operacionais</v>
      </c>
      <c r="E1270" t="str">
        <f>VLOOKUP(B1270,Tabela_Auxiliar[],4,0)</f>
        <v>Despesa Tributária</v>
      </c>
      <c r="F1270" t="str">
        <f>VLOOKUP(B1270,Tabela_Auxiliar[],3,0)</f>
        <v>Saída</v>
      </c>
      <c r="G1270" t="str">
        <f>UPPER(TEXT(Tabela_DB[[#This Row],[DATA]],"mmm"))</f>
        <v>MAR</v>
      </c>
      <c r="H1270" t="str">
        <f>UPPER(TEXT(Tabela_DB[[#This Row],[DATA]],"aaaa"))</f>
        <v>2021</v>
      </c>
    </row>
    <row r="1271" spans="1:8" x14ac:dyDescent="0.25">
      <c r="A1271" s="2">
        <v>44276</v>
      </c>
      <c r="B1271" t="s">
        <v>111</v>
      </c>
      <c r="C1271">
        <v>-2000</v>
      </c>
      <c r="D1271" t="str">
        <f>VLOOKUP(B1271,Tabela_Auxiliar[],2,0)</f>
        <v>2. Deduções da Receita</v>
      </c>
      <c r="E1271" t="str">
        <f>VLOOKUP(B1271,Tabela_Auxiliar[],4,0)</f>
        <v>Imposto</v>
      </c>
      <c r="F1271" t="str">
        <f>VLOOKUP(B1271,Tabela_Auxiliar[],3,0)</f>
        <v>Saída</v>
      </c>
      <c r="G1271" t="str">
        <f>UPPER(TEXT(Tabela_DB[[#This Row],[DATA]],"mmm"))</f>
        <v>MAR</v>
      </c>
      <c r="H1271" t="str">
        <f>UPPER(TEXT(Tabela_DB[[#This Row],[DATA]],"aaaa"))</f>
        <v>2021</v>
      </c>
    </row>
    <row r="1272" spans="1:8" x14ac:dyDescent="0.25">
      <c r="A1272" s="2">
        <v>44276</v>
      </c>
      <c r="B1272" t="s">
        <v>3</v>
      </c>
      <c r="C1272">
        <v>11502</v>
      </c>
      <c r="D1272" t="str">
        <f>VLOOKUP(B1272,Tabela_Auxiliar[],2,0)</f>
        <v>1. Receita Operacional Bruta</v>
      </c>
      <c r="E1272" t="str">
        <f>VLOOKUP(B1272,Tabela_Auxiliar[],4,0)</f>
        <v>Receita Bruta</v>
      </c>
      <c r="F1272" t="str">
        <f>VLOOKUP(B1272,Tabela_Auxiliar[],3,0)</f>
        <v>Entrada</v>
      </c>
      <c r="G1272" t="str">
        <f>UPPER(TEXT(Tabela_DB[[#This Row],[DATA]],"mmm"))</f>
        <v>MAR</v>
      </c>
      <c r="H1272" t="str">
        <f>UPPER(TEXT(Tabela_DB[[#This Row],[DATA]],"aaaa"))</f>
        <v>2021</v>
      </c>
    </row>
    <row r="1273" spans="1:8" x14ac:dyDescent="0.25">
      <c r="A1273" s="2">
        <v>44276</v>
      </c>
      <c r="B1273" t="s">
        <v>33</v>
      </c>
      <c r="C1273">
        <v>-1970</v>
      </c>
      <c r="D1273" t="str">
        <f>VLOOKUP(B1273,Tabela_Auxiliar[],2,0)</f>
        <v>4. Despesas Operacionais</v>
      </c>
      <c r="E1273" t="str">
        <f>VLOOKUP(B1273,Tabela_Auxiliar[],4,0)</f>
        <v>Despesa com Vendas</v>
      </c>
      <c r="F1273" t="str">
        <f>VLOOKUP(B1273,Tabela_Auxiliar[],3,0)</f>
        <v>Saída</v>
      </c>
      <c r="G1273" t="str">
        <f>UPPER(TEXT(Tabela_DB[[#This Row],[DATA]],"mmm"))</f>
        <v>MAR</v>
      </c>
      <c r="H1273" t="str">
        <f>UPPER(TEXT(Tabela_DB[[#This Row],[DATA]],"aaaa"))</f>
        <v>2021</v>
      </c>
    </row>
    <row r="1274" spans="1:8" x14ac:dyDescent="0.25">
      <c r="A1274" s="2">
        <v>44276</v>
      </c>
      <c r="B1274" t="s">
        <v>3</v>
      </c>
      <c r="C1274">
        <v>14844</v>
      </c>
      <c r="D1274" t="str">
        <f>VLOOKUP(B1274,Tabela_Auxiliar[],2,0)</f>
        <v>1. Receita Operacional Bruta</v>
      </c>
      <c r="E1274" t="str">
        <f>VLOOKUP(B1274,Tabela_Auxiliar[],4,0)</f>
        <v>Receita Bruta</v>
      </c>
      <c r="F1274" t="str">
        <f>VLOOKUP(B1274,Tabela_Auxiliar[],3,0)</f>
        <v>Entrada</v>
      </c>
      <c r="G1274" t="str">
        <f>UPPER(TEXT(Tabela_DB[[#This Row],[DATA]],"mmm"))</f>
        <v>MAR</v>
      </c>
      <c r="H1274" t="str">
        <f>UPPER(TEXT(Tabela_DB[[#This Row],[DATA]],"aaaa"))</f>
        <v>2021</v>
      </c>
    </row>
    <row r="1275" spans="1:8" x14ac:dyDescent="0.25">
      <c r="A1275" s="2">
        <v>44276</v>
      </c>
      <c r="B1275" t="s">
        <v>37</v>
      </c>
      <c r="C1275">
        <v>-2594</v>
      </c>
      <c r="D1275" t="str">
        <f>VLOOKUP(B1275,Tabela_Auxiliar[],2,0)</f>
        <v>3. Custos do Produto/Mercadoria/Serviço</v>
      </c>
      <c r="E1275" t="str">
        <f>VLOOKUP(B1275,Tabela_Auxiliar[],4,0)</f>
        <v>Despesas c/ Produto</v>
      </c>
      <c r="F1275" t="str">
        <f>VLOOKUP(B1275,Tabela_Auxiliar[],3,0)</f>
        <v>Saída</v>
      </c>
      <c r="G1275" t="str">
        <f>UPPER(TEXT(Tabela_DB[[#This Row],[DATA]],"mmm"))</f>
        <v>MAR</v>
      </c>
      <c r="H1275" t="str">
        <f>UPPER(TEXT(Tabela_DB[[#This Row],[DATA]],"aaaa"))</f>
        <v>2021</v>
      </c>
    </row>
    <row r="1276" spans="1:8" x14ac:dyDescent="0.25">
      <c r="A1276" s="2">
        <v>44276</v>
      </c>
      <c r="B1276" t="s">
        <v>83</v>
      </c>
      <c r="C1276">
        <v>-2228</v>
      </c>
      <c r="D1276" t="str">
        <f>VLOOKUP(B1276,Tabela_Auxiliar[],2,0)</f>
        <v>4. Despesas Operacionais</v>
      </c>
      <c r="E1276" t="str">
        <f>VLOOKUP(B1276,Tabela_Auxiliar[],4,0)</f>
        <v>Despesa com Veículos</v>
      </c>
      <c r="F1276" t="str">
        <f>VLOOKUP(B1276,Tabela_Auxiliar[],3,0)</f>
        <v>Saída</v>
      </c>
      <c r="G1276" t="str">
        <f>UPPER(TEXT(Tabela_DB[[#This Row],[DATA]],"mmm"))</f>
        <v>MAR</v>
      </c>
      <c r="H1276" t="str">
        <f>UPPER(TEXT(Tabela_DB[[#This Row],[DATA]],"aaaa"))</f>
        <v>2021</v>
      </c>
    </row>
    <row r="1277" spans="1:8" x14ac:dyDescent="0.25">
      <c r="A1277" s="2">
        <v>44276</v>
      </c>
      <c r="B1277" t="s">
        <v>84</v>
      </c>
      <c r="C1277">
        <v>-2339</v>
      </c>
      <c r="D1277" t="str">
        <f>VLOOKUP(B1277,Tabela_Auxiliar[],2,0)</f>
        <v>4. Despesas Operacionais</v>
      </c>
      <c r="E1277" t="str">
        <f>VLOOKUP(B1277,Tabela_Auxiliar[],4,0)</f>
        <v>Despesa com Veículos</v>
      </c>
      <c r="F1277" t="str">
        <f>VLOOKUP(B1277,Tabela_Auxiliar[],3,0)</f>
        <v>Saída</v>
      </c>
      <c r="G1277" t="str">
        <f>UPPER(TEXT(Tabela_DB[[#This Row],[DATA]],"mmm"))</f>
        <v>MAR</v>
      </c>
      <c r="H1277" t="str">
        <f>UPPER(TEXT(Tabela_DB[[#This Row],[DATA]],"aaaa"))</f>
        <v>2021</v>
      </c>
    </row>
    <row r="1278" spans="1:8" x14ac:dyDescent="0.25">
      <c r="A1278" s="2">
        <v>44276</v>
      </c>
      <c r="B1278" t="s">
        <v>55</v>
      </c>
      <c r="C1278">
        <v>-2308</v>
      </c>
      <c r="D1278" t="str">
        <f>VLOOKUP(B1278,Tabela_Auxiliar[],2,0)</f>
        <v>4. Despesas Operacionais</v>
      </c>
      <c r="E1278" t="str">
        <f>VLOOKUP(B1278,Tabela_Auxiliar[],4,0)</f>
        <v>Despesa com Pessoal</v>
      </c>
      <c r="F1278" t="str">
        <f>VLOOKUP(B1278,Tabela_Auxiliar[],3,0)</f>
        <v>Saída</v>
      </c>
      <c r="G1278" t="str">
        <f>UPPER(TEXT(Tabela_DB[[#This Row],[DATA]],"mmm"))</f>
        <v>MAR</v>
      </c>
      <c r="H1278" t="str">
        <f>UPPER(TEXT(Tabela_DB[[#This Row],[DATA]],"aaaa"))</f>
        <v>2021</v>
      </c>
    </row>
    <row r="1279" spans="1:8" x14ac:dyDescent="0.25">
      <c r="A1279" s="2">
        <v>44276</v>
      </c>
      <c r="B1279" t="s">
        <v>35</v>
      </c>
      <c r="C1279">
        <v>-1366</v>
      </c>
      <c r="D1279" t="str">
        <f>VLOOKUP(B1279,Tabela_Auxiliar[],2,0)</f>
        <v>2. Deduções da Receita</v>
      </c>
      <c r="E1279" t="str">
        <f>VLOOKUP(B1279,Tabela_Auxiliar[],4,0)</f>
        <v>Imposto</v>
      </c>
      <c r="F1279" t="str">
        <f>VLOOKUP(B1279,Tabela_Auxiliar[],3,0)</f>
        <v>Saída</v>
      </c>
      <c r="G1279" t="str">
        <f>UPPER(TEXT(Tabela_DB[[#This Row],[DATA]],"mmm"))</f>
        <v>MAR</v>
      </c>
      <c r="H1279" t="str">
        <f>UPPER(TEXT(Tabela_DB[[#This Row],[DATA]],"aaaa"))</f>
        <v>2021</v>
      </c>
    </row>
    <row r="1280" spans="1:8" x14ac:dyDescent="0.25">
      <c r="A1280" s="2">
        <v>44276</v>
      </c>
      <c r="B1280" t="s">
        <v>4</v>
      </c>
      <c r="C1280">
        <v>11514</v>
      </c>
      <c r="D1280" t="str">
        <f>VLOOKUP(B1280,Tabela_Auxiliar[],2,0)</f>
        <v>1. Receita Operacional Bruta</v>
      </c>
      <c r="E1280" t="str">
        <f>VLOOKUP(B1280,Tabela_Auxiliar[],4,0)</f>
        <v>Receita Bruta</v>
      </c>
      <c r="F1280" t="str">
        <f>VLOOKUP(B1280,Tabela_Auxiliar[],3,0)</f>
        <v>Entrada</v>
      </c>
      <c r="G1280" t="str">
        <f>UPPER(TEXT(Tabela_DB[[#This Row],[DATA]],"mmm"))</f>
        <v>MAR</v>
      </c>
      <c r="H1280" t="str">
        <f>UPPER(TEXT(Tabela_DB[[#This Row],[DATA]],"aaaa"))</f>
        <v>2021</v>
      </c>
    </row>
    <row r="1281" spans="1:8" x14ac:dyDescent="0.25">
      <c r="A1281" s="2">
        <v>44276</v>
      </c>
      <c r="B1281" t="s">
        <v>48</v>
      </c>
      <c r="C1281">
        <v>-1834</v>
      </c>
      <c r="D1281" t="str">
        <f>VLOOKUP(B1281,Tabela_Auxiliar[],2,0)</f>
        <v>4. Despesas Operacionais</v>
      </c>
      <c r="E1281" t="str">
        <f>VLOOKUP(B1281,Tabela_Auxiliar[],4,0)</f>
        <v>Despesa com Pessoal</v>
      </c>
      <c r="F1281" t="str">
        <f>VLOOKUP(B1281,Tabela_Auxiliar[],3,0)</f>
        <v>Saída</v>
      </c>
      <c r="G1281" t="str">
        <f>UPPER(TEXT(Tabela_DB[[#This Row],[DATA]],"mmm"))</f>
        <v>MAR</v>
      </c>
      <c r="H1281" t="str">
        <f>UPPER(TEXT(Tabela_DB[[#This Row],[DATA]],"aaaa"))</f>
        <v>2021</v>
      </c>
    </row>
    <row r="1282" spans="1:8" x14ac:dyDescent="0.25">
      <c r="A1282" s="2">
        <v>44276</v>
      </c>
      <c r="B1282" t="s">
        <v>37</v>
      </c>
      <c r="C1282">
        <v>-4639</v>
      </c>
      <c r="D1282" t="str">
        <f>VLOOKUP(B1282,Tabela_Auxiliar[],2,0)</f>
        <v>3. Custos do Produto/Mercadoria/Serviço</v>
      </c>
      <c r="E1282" t="str">
        <f>VLOOKUP(B1282,Tabela_Auxiliar[],4,0)</f>
        <v>Despesas c/ Produto</v>
      </c>
      <c r="F1282" t="str">
        <f>VLOOKUP(B1282,Tabela_Auxiliar[],3,0)</f>
        <v>Saída</v>
      </c>
      <c r="G1282" t="str">
        <f>UPPER(TEXT(Tabela_DB[[#This Row],[DATA]],"mmm"))</f>
        <v>MAR</v>
      </c>
      <c r="H1282" t="str">
        <f>UPPER(TEXT(Tabela_DB[[#This Row],[DATA]],"aaaa"))</f>
        <v>2021</v>
      </c>
    </row>
    <row r="1283" spans="1:8" x14ac:dyDescent="0.25">
      <c r="A1283" s="2">
        <v>44276</v>
      </c>
      <c r="B1283" t="s">
        <v>37</v>
      </c>
      <c r="C1283">
        <v>-3179</v>
      </c>
      <c r="D1283" t="str">
        <f>VLOOKUP(B1283,Tabela_Auxiliar[],2,0)</f>
        <v>3. Custos do Produto/Mercadoria/Serviço</v>
      </c>
      <c r="E1283" t="str">
        <f>VLOOKUP(B1283,Tabela_Auxiliar[],4,0)</f>
        <v>Despesas c/ Produto</v>
      </c>
      <c r="F1283" t="str">
        <f>VLOOKUP(B1283,Tabela_Auxiliar[],3,0)</f>
        <v>Saída</v>
      </c>
      <c r="G1283" t="str">
        <f>UPPER(TEXT(Tabela_DB[[#This Row],[DATA]],"mmm"))</f>
        <v>MAR</v>
      </c>
      <c r="H1283" t="str">
        <f>UPPER(TEXT(Tabela_DB[[#This Row],[DATA]],"aaaa"))</f>
        <v>2021</v>
      </c>
    </row>
    <row r="1284" spans="1:8" x14ac:dyDescent="0.25">
      <c r="A1284" s="2">
        <v>44276</v>
      </c>
      <c r="B1284" t="s">
        <v>50</v>
      </c>
      <c r="C1284">
        <v>-1432</v>
      </c>
      <c r="D1284" t="str">
        <f>VLOOKUP(B1284,Tabela_Auxiliar[],2,0)</f>
        <v>4. Despesas Operacionais</v>
      </c>
      <c r="E1284" t="str">
        <f>VLOOKUP(B1284,Tabela_Auxiliar[],4,0)</f>
        <v>Despesa com Pessoal</v>
      </c>
      <c r="F1284" t="str">
        <f>VLOOKUP(B1284,Tabela_Auxiliar[],3,0)</f>
        <v>Saída</v>
      </c>
      <c r="G1284" t="str">
        <f>UPPER(TEXT(Tabela_DB[[#This Row],[DATA]],"mmm"))</f>
        <v>MAR</v>
      </c>
      <c r="H1284" t="str">
        <f>UPPER(TEXT(Tabela_DB[[#This Row],[DATA]],"aaaa"))</f>
        <v>2021</v>
      </c>
    </row>
    <row r="1285" spans="1:8" x14ac:dyDescent="0.25">
      <c r="A1285" s="2">
        <v>44276</v>
      </c>
      <c r="B1285" t="s">
        <v>52</v>
      </c>
      <c r="C1285">
        <v>-2294</v>
      </c>
      <c r="D1285" t="str">
        <f>VLOOKUP(B1285,Tabela_Auxiliar[],2,0)</f>
        <v>4. Despesas Operacionais</v>
      </c>
      <c r="E1285" t="str">
        <f>VLOOKUP(B1285,Tabela_Auxiliar[],4,0)</f>
        <v>Despesa com Pessoal</v>
      </c>
      <c r="F1285" t="str">
        <f>VLOOKUP(B1285,Tabela_Auxiliar[],3,0)</f>
        <v>Saída</v>
      </c>
      <c r="G1285" t="str">
        <f>UPPER(TEXT(Tabela_DB[[#This Row],[DATA]],"mmm"))</f>
        <v>MAR</v>
      </c>
      <c r="H1285" t="str">
        <f>UPPER(TEXT(Tabela_DB[[#This Row],[DATA]],"aaaa"))</f>
        <v>2021</v>
      </c>
    </row>
    <row r="1286" spans="1:8" x14ac:dyDescent="0.25">
      <c r="A1286" s="2">
        <v>44276</v>
      </c>
      <c r="B1286" t="s">
        <v>57</v>
      </c>
      <c r="C1286">
        <v>-1655</v>
      </c>
      <c r="D1286" t="str">
        <f>VLOOKUP(B1286,Tabela_Auxiliar[],2,0)</f>
        <v>4. Despesas Operacionais</v>
      </c>
      <c r="E1286" t="str">
        <f>VLOOKUP(B1286,Tabela_Auxiliar[],4,0)</f>
        <v>Despesa com Pessoal</v>
      </c>
      <c r="F1286" t="str">
        <f>VLOOKUP(B1286,Tabela_Auxiliar[],3,0)</f>
        <v>Saída</v>
      </c>
      <c r="G1286" t="str">
        <f>UPPER(TEXT(Tabela_DB[[#This Row],[DATA]],"mmm"))</f>
        <v>MAR</v>
      </c>
      <c r="H1286" t="str">
        <f>UPPER(TEXT(Tabela_DB[[#This Row],[DATA]],"aaaa"))</f>
        <v>2021</v>
      </c>
    </row>
    <row r="1287" spans="1:8" x14ac:dyDescent="0.25">
      <c r="A1287" s="2">
        <v>44276</v>
      </c>
      <c r="B1287" t="s">
        <v>82</v>
      </c>
      <c r="C1287">
        <v>-1651</v>
      </c>
      <c r="D1287" t="str">
        <f>VLOOKUP(B1287,Tabela_Auxiliar[],2,0)</f>
        <v>4. Despesas Operacionais</v>
      </c>
      <c r="E1287" t="str">
        <f>VLOOKUP(B1287,Tabela_Auxiliar[],4,0)</f>
        <v>Despesa com Veículos</v>
      </c>
      <c r="F1287" t="str">
        <f>VLOOKUP(B1287,Tabela_Auxiliar[],3,0)</f>
        <v>Saída</v>
      </c>
      <c r="G1287" t="str">
        <f>UPPER(TEXT(Tabela_DB[[#This Row],[DATA]],"mmm"))</f>
        <v>MAR</v>
      </c>
      <c r="H1287" t="str">
        <f>UPPER(TEXT(Tabela_DB[[#This Row],[DATA]],"aaaa"))</f>
        <v>2021</v>
      </c>
    </row>
    <row r="1288" spans="1:8" x14ac:dyDescent="0.25">
      <c r="A1288" s="2">
        <v>44276</v>
      </c>
      <c r="B1288" t="s">
        <v>66</v>
      </c>
      <c r="C1288">
        <v>-1007</v>
      </c>
      <c r="D1288" t="str">
        <f>VLOOKUP(B1288,Tabela_Auxiliar[],2,0)</f>
        <v>4. Despesas Operacionais</v>
      </c>
      <c r="E1288" t="str">
        <f>VLOOKUP(B1288,Tabela_Auxiliar[],4,0)</f>
        <v>Despesa com Vendas</v>
      </c>
      <c r="F1288" t="str">
        <f>VLOOKUP(B1288,Tabela_Auxiliar[],3,0)</f>
        <v>Saída</v>
      </c>
      <c r="G1288" t="str">
        <f>UPPER(TEXT(Tabela_DB[[#This Row],[DATA]],"mmm"))</f>
        <v>MAR</v>
      </c>
      <c r="H1288" t="str">
        <f>UPPER(TEXT(Tabela_DB[[#This Row],[DATA]],"aaaa"))</f>
        <v>2021</v>
      </c>
    </row>
    <row r="1289" spans="1:8" x14ac:dyDescent="0.25">
      <c r="A1289" s="2">
        <v>44276</v>
      </c>
      <c r="B1289" t="s">
        <v>71</v>
      </c>
      <c r="C1289">
        <v>-1991</v>
      </c>
      <c r="D1289" t="str">
        <f>VLOOKUP(B1289,Tabela_Auxiliar[],2,0)</f>
        <v>4. Despesas Operacionais</v>
      </c>
      <c r="E1289" t="str">
        <f>VLOOKUP(B1289,Tabela_Auxiliar[],4,0)</f>
        <v>Despesa com Ocupação</v>
      </c>
      <c r="F1289" t="str">
        <f>VLOOKUP(B1289,Tabela_Auxiliar[],3,0)</f>
        <v>Saída</v>
      </c>
      <c r="G1289" t="str">
        <f>UPPER(TEXT(Tabela_DB[[#This Row],[DATA]],"mmm"))</f>
        <v>MAR</v>
      </c>
      <c r="H1289" t="str">
        <f>UPPER(TEXT(Tabela_DB[[#This Row],[DATA]],"aaaa"))</f>
        <v>2021</v>
      </c>
    </row>
    <row r="1290" spans="1:8" x14ac:dyDescent="0.25">
      <c r="A1290" s="2">
        <v>44277</v>
      </c>
      <c r="B1290" t="s">
        <v>34</v>
      </c>
      <c r="C1290">
        <v>-1128</v>
      </c>
      <c r="D1290" t="str">
        <f>VLOOKUP(B1290,Tabela_Auxiliar[],2,0)</f>
        <v>2. Deduções da Receita</v>
      </c>
      <c r="E1290" t="str">
        <f>VLOOKUP(B1290,Tabela_Auxiliar[],4,0)</f>
        <v>Imposto</v>
      </c>
      <c r="F1290" t="str">
        <f>VLOOKUP(B1290,Tabela_Auxiliar[],3,0)</f>
        <v>Saída</v>
      </c>
      <c r="G1290" t="str">
        <f>UPPER(TEXT(Tabela_DB[[#This Row],[DATA]],"mmm"))</f>
        <v>MAR</v>
      </c>
      <c r="H1290" t="str">
        <f>UPPER(TEXT(Tabela_DB[[#This Row],[DATA]],"aaaa"))</f>
        <v>2021</v>
      </c>
    </row>
    <row r="1291" spans="1:8" x14ac:dyDescent="0.25">
      <c r="A1291" s="2">
        <v>44277</v>
      </c>
      <c r="B1291" t="s">
        <v>3</v>
      </c>
      <c r="C1291">
        <v>13332</v>
      </c>
      <c r="D1291" t="str">
        <f>VLOOKUP(B1291,Tabela_Auxiliar[],2,0)</f>
        <v>1. Receita Operacional Bruta</v>
      </c>
      <c r="E1291" t="str">
        <f>VLOOKUP(B1291,Tabela_Auxiliar[],4,0)</f>
        <v>Receita Bruta</v>
      </c>
      <c r="F1291" t="str">
        <f>VLOOKUP(B1291,Tabela_Auxiliar[],3,0)</f>
        <v>Entrada</v>
      </c>
      <c r="G1291" t="str">
        <f>UPPER(TEXT(Tabela_DB[[#This Row],[DATA]],"mmm"))</f>
        <v>MAR</v>
      </c>
      <c r="H1291" t="str">
        <f>UPPER(TEXT(Tabela_DB[[#This Row],[DATA]],"aaaa"))</f>
        <v>2021</v>
      </c>
    </row>
    <row r="1292" spans="1:8" x14ac:dyDescent="0.25">
      <c r="A1292" s="2">
        <v>44277</v>
      </c>
      <c r="B1292" t="s">
        <v>4</v>
      </c>
      <c r="C1292">
        <v>13618</v>
      </c>
      <c r="D1292" t="str">
        <f>VLOOKUP(B1292,Tabela_Auxiliar[],2,0)</f>
        <v>1. Receita Operacional Bruta</v>
      </c>
      <c r="E1292" t="str">
        <f>VLOOKUP(B1292,Tabela_Auxiliar[],4,0)</f>
        <v>Receita Bruta</v>
      </c>
      <c r="F1292" t="str">
        <f>VLOOKUP(B1292,Tabela_Auxiliar[],3,0)</f>
        <v>Entrada</v>
      </c>
      <c r="G1292" t="str">
        <f>UPPER(TEXT(Tabela_DB[[#This Row],[DATA]],"mmm"))</f>
        <v>MAR</v>
      </c>
      <c r="H1292" t="str">
        <f>UPPER(TEXT(Tabela_DB[[#This Row],[DATA]],"aaaa"))</f>
        <v>2021</v>
      </c>
    </row>
    <row r="1293" spans="1:8" x14ac:dyDescent="0.25">
      <c r="A1293" s="2">
        <v>44277</v>
      </c>
      <c r="B1293" t="s">
        <v>34</v>
      </c>
      <c r="C1293">
        <v>-1584</v>
      </c>
      <c r="D1293" t="str">
        <f>VLOOKUP(B1293,Tabela_Auxiliar[],2,0)</f>
        <v>2. Deduções da Receita</v>
      </c>
      <c r="E1293" t="str">
        <f>VLOOKUP(B1293,Tabela_Auxiliar[],4,0)</f>
        <v>Imposto</v>
      </c>
      <c r="F1293" t="str">
        <f>VLOOKUP(B1293,Tabela_Auxiliar[],3,0)</f>
        <v>Saída</v>
      </c>
      <c r="G1293" t="str">
        <f>UPPER(TEXT(Tabela_DB[[#This Row],[DATA]],"mmm"))</f>
        <v>MAR</v>
      </c>
      <c r="H1293" t="str">
        <f>UPPER(TEXT(Tabela_DB[[#This Row],[DATA]],"aaaa"))</f>
        <v>2021</v>
      </c>
    </row>
    <row r="1294" spans="1:8" x14ac:dyDescent="0.25">
      <c r="A1294" s="2">
        <v>44277</v>
      </c>
      <c r="B1294" t="s">
        <v>49</v>
      </c>
      <c r="C1294">
        <v>-2127</v>
      </c>
      <c r="D1294" t="str">
        <f>VLOOKUP(B1294,Tabela_Auxiliar[],2,0)</f>
        <v>4. Despesas Operacionais</v>
      </c>
      <c r="E1294" t="str">
        <f>VLOOKUP(B1294,Tabela_Auxiliar[],4,0)</f>
        <v>Despesa com Pessoal</v>
      </c>
      <c r="F1294" t="str">
        <f>VLOOKUP(B1294,Tabela_Auxiliar[],3,0)</f>
        <v>Saída</v>
      </c>
      <c r="G1294" t="str">
        <f>UPPER(TEXT(Tabela_DB[[#This Row],[DATA]],"mmm"))</f>
        <v>MAR</v>
      </c>
      <c r="H1294" t="str">
        <f>UPPER(TEXT(Tabela_DB[[#This Row],[DATA]],"aaaa"))</f>
        <v>2021</v>
      </c>
    </row>
    <row r="1295" spans="1:8" x14ac:dyDescent="0.25">
      <c r="A1295" s="2">
        <v>44277</v>
      </c>
      <c r="B1295" t="s">
        <v>38</v>
      </c>
      <c r="C1295">
        <v>-2019</v>
      </c>
      <c r="D1295" t="str">
        <f>VLOOKUP(B1295,Tabela_Auxiliar[],2,0)</f>
        <v>2. Deduções da Receita</v>
      </c>
      <c r="E1295" t="str">
        <f>VLOOKUP(B1295,Tabela_Auxiliar[],4,0)</f>
        <v>Deduções</v>
      </c>
      <c r="F1295" t="str">
        <f>VLOOKUP(B1295,Tabela_Auxiliar[],3,0)</f>
        <v>Saída</v>
      </c>
      <c r="G1295" t="str">
        <f>UPPER(TEXT(Tabela_DB[[#This Row],[DATA]],"mmm"))</f>
        <v>MAR</v>
      </c>
      <c r="H1295" t="str">
        <f>UPPER(TEXT(Tabela_DB[[#This Row],[DATA]],"aaaa"))</f>
        <v>2021</v>
      </c>
    </row>
    <row r="1296" spans="1:8" x14ac:dyDescent="0.25">
      <c r="A1296" s="2">
        <v>44277</v>
      </c>
      <c r="B1296" t="s">
        <v>64</v>
      </c>
      <c r="C1296">
        <v>-2442</v>
      </c>
      <c r="D1296" t="str">
        <f>VLOOKUP(B1296,Tabela_Auxiliar[],2,0)</f>
        <v>4. Despesas Operacionais</v>
      </c>
      <c r="E1296" t="str">
        <f>VLOOKUP(B1296,Tabela_Auxiliar[],4,0)</f>
        <v>Despesa Gerais</v>
      </c>
      <c r="F1296" t="str">
        <f>VLOOKUP(B1296,Tabela_Auxiliar[],3,0)</f>
        <v>Saída</v>
      </c>
      <c r="G1296" t="str">
        <f>UPPER(TEXT(Tabela_DB[[#This Row],[DATA]],"mmm"))</f>
        <v>MAR</v>
      </c>
      <c r="H1296" t="str">
        <f>UPPER(TEXT(Tabela_DB[[#This Row],[DATA]],"aaaa"))</f>
        <v>2021</v>
      </c>
    </row>
    <row r="1297" spans="1:8" x14ac:dyDescent="0.25">
      <c r="A1297" s="2">
        <v>44277</v>
      </c>
      <c r="B1297" t="s">
        <v>4</v>
      </c>
      <c r="C1297">
        <v>12060</v>
      </c>
      <c r="D1297" t="str">
        <f>VLOOKUP(B1297,Tabela_Auxiliar[],2,0)</f>
        <v>1. Receita Operacional Bruta</v>
      </c>
      <c r="E1297" t="str">
        <f>VLOOKUP(B1297,Tabela_Auxiliar[],4,0)</f>
        <v>Receita Bruta</v>
      </c>
      <c r="F1297" t="str">
        <f>VLOOKUP(B1297,Tabela_Auxiliar[],3,0)</f>
        <v>Entrada</v>
      </c>
      <c r="G1297" t="str">
        <f>UPPER(TEXT(Tabela_DB[[#This Row],[DATA]],"mmm"))</f>
        <v>MAR</v>
      </c>
      <c r="H1297" t="str">
        <f>UPPER(TEXT(Tabela_DB[[#This Row],[DATA]],"aaaa"))</f>
        <v>2021</v>
      </c>
    </row>
    <row r="1298" spans="1:8" x14ac:dyDescent="0.25">
      <c r="A1298" s="2">
        <v>44277</v>
      </c>
      <c r="B1298" t="s">
        <v>3</v>
      </c>
      <c r="C1298">
        <v>13645</v>
      </c>
      <c r="D1298" t="str">
        <f>VLOOKUP(B1298,Tabela_Auxiliar[],2,0)</f>
        <v>1. Receita Operacional Bruta</v>
      </c>
      <c r="E1298" t="str">
        <f>VLOOKUP(B1298,Tabela_Auxiliar[],4,0)</f>
        <v>Receita Bruta</v>
      </c>
      <c r="F1298" t="str">
        <f>VLOOKUP(B1298,Tabela_Auxiliar[],3,0)</f>
        <v>Entrada</v>
      </c>
      <c r="G1298" t="str">
        <f>UPPER(TEXT(Tabela_DB[[#This Row],[DATA]],"mmm"))</f>
        <v>MAR</v>
      </c>
      <c r="H1298" t="str">
        <f>UPPER(TEXT(Tabela_DB[[#This Row],[DATA]],"aaaa"))</f>
        <v>2021</v>
      </c>
    </row>
    <row r="1299" spans="1:8" x14ac:dyDescent="0.25">
      <c r="A1299" s="2">
        <v>44277</v>
      </c>
      <c r="B1299" t="s">
        <v>100</v>
      </c>
      <c r="C1299">
        <v>1918</v>
      </c>
      <c r="D1299" t="str">
        <f>VLOOKUP(B1299,Tabela_Auxiliar[],2,0)</f>
        <v>5. Resultado Financeiro</v>
      </c>
      <c r="E1299" t="str">
        <f>VLOOKUP(B1299,Tabela_Auxiliar[],4,0)</f>
        <v>Receita Financeira</v>
      </c>
      <c r="F1299" t="str">
        <f>VLOOKUP(B1299,Tabela_Auxiliar[],3,0)</f>
        <v>Saída</v>
      </c>
      <c r="G1299" t="str">
        <f>UPPER(TEXT(Tabela_DB[[#This Row],[DATA]],"mmm"))</f>
        <v>MAR</v>
      </c>
      <c r="H1299" t="str">
        <f>UPPER(TEXT(Tabela_DB[[#This Row],[DATA]],"aaaa"))</f>
        <v>2021</v>
      </c>
    </row>
    <row r="1300" spans="1:8" x14ac:dyDescent="0.25">
      <c r="A1300" s="2">
        <v>44277</v>
      </c>
      <c r="B1300" t="s">
        <v>75</v>
      </c>
      <c r="C1300">
        <v>-2419</v>
      </c>
      <c r="D1300" t="str">
        <f>VLOOKUP(B1300,Tabela_Auxiliar[],2,0)</f>
        <v>4. Despesas Operacionais</v>
      </c>
      <c r="E1300" t="str">
        <f>VLOOKUP(B1300,Tabela_Auxiliar[],4,0)</f>
        <v>Serviços Contratados</v>
      </c>
      <c r="F1300" t="str">
        <f>VLOOKUP(B1300,Tabela_Auxiliar[],3,0)</f>
        <v>Saída</v>
      </c>
      <c r="G1300" t="str">
        <f>UPPER(TEXT(Tabela_DB[[#This Row],[DATA]],"mmm"))</f>
        <v>MAR</v>
      </c>
      <c r="H1300" t="str">
        <f>UPPER(TEXT(Tabela_DB[[#This Row],[DATA]],"aaaa"))</f>
        <v>2021</v>
      </c>
    </row>
    <row r="1301" spans="1:8" x14ac:dyDescent="0.25">
      <c r="A1301" s="2">
        <v>44277</v>
      </c>
      <c r="B1301" t="s">
        <v>35</v>
      </c>
      <c r="C1301">
        <v>-1077</v>
      </c>
      <c r="D1301" t="str">
        <f>VLOOKUP(B1301,Tabela_Auxiliar[],2,0)</f>
        <v>2. Deduções da Receita</v>
      </c>
      <c r="E1301" t="str">
        <f>VLOOKUP(B1301,Tabela_Auxiliar[],4,0)</f>
        <v>Imposto</v>
      </c>
      <c r="F1301" t="str">
        <f>VLOOKUP(B1301,Tabela_Auxiliar[],3,0)</f>
        <v>Saída</v>
      </c>
      <c r="G1301" t="str">
        <f>UPPER(TEXT(Tabela_DB[[#This Row],[DATA]],"mmm"))</f>
        <v>MAR</v>
      </c>
      <c r="H1301" t="str">
        <f>UPPER(TEXT(Tabela_DB[[#This Row],[DATA]],"aaaa"))</f>
        <v>2021</v>
      </c>
    </row>
    <row r="1302" spans="1:8" x14ac:dyDescent="0.25">
      <c r="A1302" s="2">
        <v>44277</v>
      </c>
      <c r="B1302" t="s">
        <v>37</v>
      </c>
      <c r="C1302">
        <v>-2762</v>
      </c>
      <c r="D1302" t="str">
        <f>VLOOKUP(B1302,Tabela_Auxiliar[],2,0)</f>
        <v>3. Custos do Produto/Mercadoria/Serviço</v>
      </c>
      <c r="E1302" t="str">
        <f>VLOOKUP(B1302,Tabela_Auxiliar[],4,0)</f>
        <v>Despesas c/ Produto</v>
      </c>
      <c r="F1302" t="str">
        <f>VLOOKUP(B1302,Tabela_Auxiliar[],3,0)</f>
        <v>Saída</v>
      </c>
      <c r="G1302" t="str">
        <f>UPPER(TEXT(Tabela_DB[[#This Row],[DATA]],"mmm"))</f>
        <v>MAR</v>
      </c>
      <c r="H1302" t="str">
        <f>UPPER(TEXT(Tabela_DB[[#This Row],[DATA]],"aaaa"))</f>
        <v>2021</v>
      </c>
    </row>
    <row r="1303" spans="1:8" x14ac:dyDescent="0.25">
      <c r="A1303" s="2">
        <v>44277</v>
      </c>
      <c r="B1303" t="s">
        <v>33</v>
      </c>
      <c r="C1303">
        <v>-2173</v>
      </c>
      <c r="D1303" t="str">
        <f>VLOOKUP(B1303,Tabela_Auxiliar[],2,0)</f>
        <v>4. Despesas Operacionais</v>
      </c>
      <c r="E1303" t="str">
        <f>VLOOKUP(B1303,Tabela_Auxiliar[],4,0)</f>
        <v>Despesa com Vendas</v>
      </c>
      <c r="F1303" t="str">
        <f>VLOOKUP(B1303,Tabela_Auxiliar[],3,0)</f>
        <v>Saída</v>
      </c>
      <c r="G1303" t="str">
        <f>UPPER(TEXT(Tabela_DB[[#This Row],[DATA]],"mmm"))</f>
        <v>MAR</v>
      </c>
      <c r="H1303" t="str">
        <f>UPPER(TEXT(Tabela_DB[[#This Row],[DATA]],"aaaa"))</f>
        <v>2021</v>
      </c>
    </row>
    <row r="1304" spans="1:8" x14ac:dyDescent="0.25">
      <c r="A1304" s="2">
        <v>44277</v>
      </c>
      <c r="B1304" t="s">
        <v>3</v>
      </c>
      <c r="C1304">
        <v>12740</v>
      </c>
      <c r="D1304" t="str">
        <f>VLOOKUP(B1304,Tabela_Auxiliar[],2,0)</f>
        <v>1. Receita Operacional Bruta</v>
      </c>
      <c r="E1304" t="str">
        <f>VLOOKUP(B1304,Tabela_Auxiliar[],4,0)</f>
        <v>Receita Bruta</v>
      </c>
      <c r="F1304" t="str">
        <f>VLOOKUP(B1304,Tabela_Auxiliar[],3,0)</f>
        <v>Entrada</v>
      </c>
      <c r="G1304" t="str">
        <f>UPPER(TEXT(Tabela_DB[[#This Row],[DATA]],"mmm"))</f>
        <v>MAR</v>
      </c>
      <c r="H1304" t="str">
        <f>UPPER(TEXT(Tabela_DB[[#This Row],[DATA]],"aaaa"))</f>
        <v>2021</v>
      </c>
    </row>
    <row r="1305" spans="1:8" x14ac:dyDescent="0.25">
      <c r="A1305" s="2">
        <v>44277</v>
      </c>
      <c r="B1305" t="s">
        <v>53</v>
      </c>
      <c r="C1305">
        <v>-2317</v>
      </c>
      <c r="D1305" t="str">
        <f>VLOOKUP(B1305,Tabela_Auxiliar[],2,0)</f>
        <v>4. Despesas Operacionais</v>
      </c>
      <c r="E1305" t="str">
        <f>VLOOKUP(B1305,Tabela_Auxiliar[],4,0)</f>
        <v>Despesa com Pessoal</v>
      </c>
      <c r="F1305" t="str">
        <f>VLOOKUP(B1305,Tabela_Auxiliar[],3,0)</f>
        <v>Saída</v>
      </c>
      <c r="G1305" t="str">
        <f>UPPER(TEXT(Tabela_DB[[#This Row],[DATA]],"mmm"))</f>
        <v>MAR</v>
      </c>
      <c r="H1305" t="str">
        <f>UPPER(TEXT(Tabela_DB[[#This Row],[DATA]],"aaaa"))</f>
        <v>2021</v>
      </c>
    </row>
    <row r="1306" spans="1:8" x14ac:dyDescent="0.25">
      <c r="A1306" s="2">
        <v>44277</v>
      </c>
      <c r="B1306" t="s">
        <v>111</v>
      </c>
      <c r="C1306">
        <v>-1141</v>
      </c>
      <c r="D1306" t="str">
        <f>VLOOKUP(B1306,Tabela_Auxiliar[],2,0)</f>
        <v>2. Deduções da Receita</v>
      </c>
      <c r="E1306" t="str">
        <f>VLOOKUP(B1306,Tabela_Auxiliar[],4,0)</f>
        <v>Imposto</v>
      </c>
      <c r="F1306" t="str">
        <f>VLOOKUP(B1306,Tabela_Auxiliar[],3,0)</f>
        <v>Saída</v>
      </c>
      <c r="G1306" t="str">
        <f>UPPER(TEXT(Tabela_DB[[#This Row],[DATA]],"mmm"))</f>
        <v>MAR</v>
      </c>
      <c r="H1306" t="str">
        <f>UPPER(TEXT(Tabela_DB[[#This Row],[DATA]],"aaaa"))</f>
        <v>2021</v>
      </c>
    </row>
    <row r="1307" spans="1:8" x14ac:dyDescent="0.25">
      <c r="A1307" s="2">
        <v>44277</v>
      </c>
      <c r="B1307" t="s">
        <v>34</v>
      </c>
      <c r="C1307">
        <v>-2351</v>
      </c>
      <c r="D1307" t="str">
        <f>VLOOKUP(B1307,Tabela_Auxiliar[],2,0)</f>
        <v>2. Deduções da Receita</v>
      </c>
      <c r="E1307" t="str">
        <f>VLOOKUP(B1307,Tabela_Auxiliar[],4,0)</f>
        <v>Imposto</v>
      </c>
      <c r="F1307" t="str">
        <f>VLOOKUP(B1307,Tabela_Auxiliar[],3,0)</f>
        <v>Saída</v>
      </c>
      <c r="G1307" t="str">
        <f>UPPER(TEXT(Tabela_DB[[#This Row],[DATA]],"mmm"))</f>
        <v>MAR</v>
      </c>
      <c r="H1307" t="str">
        <f>UPPER(TEXT(Tabela_DB[[#This Row],[DATA]],"aaaa"))</f>
        <v>2021</v>
      </c>
    </row>
    <row r="1308" spans="1:8" x14ac:dyDescent="0.25">
      <c r="A1308" s="2">
        <v>44278</v>
      </c>
      <c r="B1308" t="s">
        <v>42</v>
      </c>
      <c r="C1308">
        <v>-1898</v>
      </c>
      <c r="D1308" t="str">
        <f>VLOOKUP(B1308,Tabela_Auxiliar[],2,0)</f>
        <v>4. Despesas Operacionais</v>
      </c>
      <c r="E1308" t="str">
        <f>VLOOKUP(B1308,Tabela_Auxiliar[],4,0)</f>
        <v>Despesa com Pessoal</v>
      </c>
      <c r="F1308" t="str">
        <f>VLOOKUP(B1308,Tabela_Auxiliar[],3,0)</f>
        <v>Saída</v>
      </c>
      <c r="G1308" t="str">
        <f>UPPER(TEXT(Tabela_DB[[#This Row],[DATA]],"mmm"))</f>
        <v>MAR</v>
      </c>
      <c r="H1308" t="str">
        <f>UPPER(TEXT(Tabela_DB[[#This Row],[DATA]],"aaaa"))</f>
        <v>2021</v>
      </c>
    </row>
    <row r="1309" spans="1:8" x14ac:dyDescent="0.25">
      <c r="A1309" s="2">
        <v>44278</v>
      </c>
      <c r="B1309" t="s">
        <v>34</v>
      </c>
      <c r="C1309">
        <v>-1960</v>
      </c>
      <c r="D1309" t="str">
        <f>VLOOKUP(B1309,Tabela_Auxiliar[],2,0)</f>
        <v>2. Deduções da Receita</v>
      </c>
      <c r="E1309" t="str">
        <f>VLOOKUP(B1309,Tabela_Auxiliar[],4,0)</f>
        <v>Imposto</v>
      </c>
      <c r="F1309" t="str">
        <f>VLOOKUP(B1309,Tabela_Auxiliar[],3,0)</f>
        <v>Saída</v>
      </c>
      <c r="G1309" t="str">
        <f>UPPER(TEXT(Tabela_DB[[#This Row],[DATA]],"mmm"))</f>
        <v>MAR</v>
      </c>
      <c r="H1309" t="str">
        <f>UPPER(TEXT(Tabela_DB[[#This Row],[DATA]],"aaaa"))</f>
        <v>2021</v>
      </c>
    </row>
    <row r="1310" spans="1:8" x14ac:dyDescent="0.25">
      <c r="A1310" s="2">
        <v>44278</v>
      </c>
      <c r="B1310" t="s">
        <v>37</v>
      </c>
      <c r="C1310">
        <v>-4948</v>
      </c>
      <c r="D1310" t="str">
        <f>VLOOKUP(B1310,Tabela_Auxiliar[],2,0)</f>
        <v>3. Custos do Produto/Mercadoria/Serviço</v>
      </c>
      <c r="E1310" t="str">
        <f>VLOOKUP(B1310,Tabela_Auxiliar[],4,0)</f>
        <v>Despesas c/ Produto</v>
      </c>
      <c r="F1310" t="str">
        <f>VLOOKUP(B1310,Tabela_Auxiliar[],3,0)</f>
        <v>Saída</v>
      </c>
      <c r="G1310" t="str">
        <f>UPPER(TEXT(Tabela_DB[[#This Row],[DATA]],"mmm"))</f>
        <v>MAR</v>
      </c>
      <c r="H1310" t="str">
        <f>UPPER(TEXT(Tabela_DB[[#This Row],[DATA]],"aaaa"))</f>
        <v>2021</v>
      </c>
    </row>
    <row r="1311" spans="1:8" x14ac:dyDescent="0.25">
      <c r="A1311" s="2">
        <v>44278</v>
      </c>
      <c r="B1311" t="s">
        <v>38</v>
      </c>
      <c r="C1311">
        <v>-1112</v>
      </c>
      <c r="D1311" t="str">
        <f>VLOOKUP(B1311,Tabela_Auxiliar[],2,0)</f>
        <v>2. Deduções da Receita</v>
      </c>
      <c r="E1311" t="str">
        <f>VLOOKUP(B1311,Tabela_Auxiliar[],4,0)</f>
        <v>Deduções</v>
      </c>
      <c r="F1311" t="str">
        <f>VLOOKUP(B1311,Tabela_Auxiliar[],3,0)</f>
        <v>Saída</v>
      </c>
      <c r="G1311" t="str">
        <f>UPPER(TEXT(Tabela_DB[[#This Row],[DATA]],"mmm"))</f>
        <v>MAR</v>
      </c>
      <c r="H1311" t="str">
        <f>UPPER(TEXT(Tabela_DB[[#This Row],[DATA]],"aaaa"))</f>
        <v>2021</v>
      </c>
    </row>
    <row r="1312" spans="1:8" x14ac:dyDescent="0.25">
      <c r="A1312" s="2">
        <v>44278</v>
      </c>
      <c r="B1312" t="s">
        <v>4</v>
      </c>
      <c r="C1312">
        <v>10466</v>
      </c>
      <c r="D1312" t="str">
        <f>VLOOKUP(B1312,Tabela_Auxiliar[],2,0)</f>
        <v>1. Receita Operacional Bruta</v>
      </c>
      <c r="E1312" t="str">
        <f>VLOOKUP(B1312,Tabela_Auxiliar[],4,0)</f>
        <v>Receita Bruta</v>
      </c>
      <c r="F1312" t="str">
        <f>VLOOKUP(B1312,Tabela_Auxiliar[],3,0)</f>
        <v>Entrada</v>
      </c>
      <c r="G1312" t="str">
        <f>UPPER(TEXT(Tabela_DB[[#This Row],[DATA]],"mmm"))</f>
        <v>MAR</v>
      </c>
      <c r="H1312" t="str">
        <f>UPPER(TEXT(Tabela_DB[[#This Row],[DATA]],"aaaa"))</f>
        <v>2021</v>
      </c>
    </row>
    <row r="1313" spans="1:8" x14ac:dyDescent="0.25">
      <c r="A1313" s="2">
        <v>44278</v>
      </c>
      <c r="B1313" t="s">
        <v>49</v>
      </c>
      <c r="C1313">
        <v>-2127</v>
      </c>
      <c r="D1313" t="str">
        <f>VLOOKUP(B1313,Tabela_Auxiliar[],2,0)</f>
        <v>4. Despesas Operacionais</v>
      </c>
      <c r="E1313" t="str">
        <f>VLOOKUP(B1313,Tabela_Auxiliar[],4,0)</f>
        <v>Despesa com Pessoal</v>
      </c>
      <c r="F1313" t="str">
        <f>VLOOKUP(B1313,Tabela_Auxiliar[],3,0)</f>
        <v>Saída</v>
      </c>
      <c r="G1313" t="str">
        <f>UPPER(TEXT(Tabela_DB[[#This Row],[DATA]],"mmm"))</f>
        <v>MAR</v>
      </c>
      <c r="H1313" t="str">
        <f>UPPER(TEXT(Tabela_DB[[#This Row],[DATA]],"aaaa"))</f>
        <v>2021</v>
      </c>
    </row>
    <row r="1314" spans="1:8" x14ac:dyDescent="0.25">
      <c r="A1314" s="2">
        <v>44278</v>
      </c>
      <c r="B1314" t="s">
        <v>38</v>
      </c>
      <c r="C1314">
        <v>-1147</v>
      </c>
      <c r="D1314" t="str">
        <f>VLOOKUP(B1314,Tabela_Auxiliar[],2,0)</f>
        <v>2. Deduções da Receita</v>
      </c>
      <c r="E1314" t="str">
        <f>VLOOKUP(B1314,Tabela_Auxiliar[],4,0)</f>
        <v>Deduções</v>
      </c>
      <c r="F1314" t="str">
        <f>VLOOKUP(B1314,Tabela_Auxiliar[],3,0)</f>
        <v>Saída</v>
      </c>
      <c r="G1314" t="str">
        <f>UPPER(TEXT(Tabela_DB[[#This Row],[DATA]],"mmm"))</f>
        <v>MAR</v>
      </c>
      <c r="H1314" t="str">
        <f>UPPER(TEXT(Tabela_DB[[#This Row],[DATA]],"aaaa"))</f>
        <v>2021</v>
      </c>
    </row>
    <row r="1315" spans="1:8" x14ac:dyDescent="0.25">
      <c r="A1315" s="2">
        <v>44278</v>
      </c>
      <c r="B1315" t="s">
        <v>34</v>
      </c>
      <c r="C1315">
        <v>-1539</v>
      </c>
      <c r="D1315" t="str">
        <f>VLOOKUP(B1315,Tabela_Auxiliar[],2,0)</f>
        <v>2. Deduções da Receita</v>
      </c>
      <c r="E1315" t="str">
        <f>VLOOKUP(B1315,Tabela_Auxiliar[],4,0)</f>
        <v>Imposto</v>
      </c>
      <c r="F1315" t="str">
        <f>VLOOKUP(B1315,Tabela_Auxiliar[],3,0)</f>
        <v>Saída</v>
      </c>
      <c r="G1315" t="str">
        <f>UPPER(TEXT(Tabela_DB[[#This Row],[DATA]],"mmm"))</f>
        <v>MAR</v>
      </c>
      <c r="H1315" t="str">
        <f>UPPER(TEXT(Tabela_DB[[#This Row],[DATA]],"aaaa"))</f>
        <v>2021</v>
      </c>
    </row>
    <row r="1316" spans="1:8" x14ac:dyDescent="0.25">
      <c r="A1316" s="2">
        <v>44278</v>
      </c>
      <c r="B1316" t="s">
        <v>82</v>
      </c>
      <c r="C1316">
        <v>-2260</v>
      </c>
      <c r="D1316" t="str">
        <f>VLOOKUP(B1316,Tabela_Auxiliar[],2,0)</f>
        <v>4. Despesas Operacionais</v>
      </c>
      <c r="E1316" t="str">
        <f>VLOOKUP(B1316,Tabela_Auxiliar[],4,0)</f>
        <v>Despesa com Veículos</v>
      </c>
      <c r="F1316" t="str">
        <f>VLOOKUP(B1316,Tabela_Auxiliar[],3,0)</f>
        <v>Saída</v>
      </c>
      <c r="G1316" t="str">
        <f>UPPER(TEXT(Tabela_DB[[#This Row],[DATA]],"mmm"))</f>
        <v>MAR</v>
      </c>
      <c r="H1316" t="str">
        <f>UPPER(TEXT(Tabela_DB[[#This Row],[DATA]],"aaaa"))</f>
        <v>2021</v>
      </c>
    </row>
    <row r="1317" spans="1:8" x14ac:dyDescent="0.25">
      <c r="A1317" s="2">
        <v>44278</v>
      </c>
      <c r="B1317" t="s">
        <v>35</v>
      </c>
      <c r="C1317">
        <v>-1369</v>
      </c>
      <c r="D1317" t="str">
        <f>VLOOKUP(B1317,Tabela_Auxiliar[],2,0)</f>
        <v>2. Deduções da Receita</v>
      </c>
      <c r="E1317" t="str">
        <f>VLOOKUP(B1317,Tabela_Auxiliar[],4,0)</f>
        <v>Imposto</v>
      </c>
      <c r="F1317" t="str">
        <f>VLOOKUP(B1317,Tabela_Auxiliar[],3,0)</f>
        <v>Saída</v>
      </c>
      <c r="G1317" t="str">
        <f>UPPER(TEXT(Tabela_DB[[#This Row],[DATA]],"mmm"))</f>
        <v>MAR</v>
      </c>
      <c r="H1317" t="str">
        <f>UPPER(TEXT(Tabela_DB[[#This Row],[DATA]],"aaaa"))</f>
        <v>2021</v>
      </c>
    </row>
    <row r="1318" spans="1:8" x14ac:dyDescent="0.25">
      <c r="A1318" s="2">
        <v>44278</v>
      </c>
      <c r="B1318" t="s">
        <v>58</v>
      </c>
      <c r="C1318">
        <v>-1303</v>
      </c>
      <c r="D1318" t="str">
        <f>VLOOKUP(B1318,Tabela_Auxiliar[],2,0)</f>
        <v>4. Despesas Operacionais</v>
      </c>
      <c r="E1318" t="str">
        <f>VLOOKUP(B1318,Tabela_Auxiliar[],4,0)</f>
        <v>Despesa de Depreciação</v>
      </c>
      <c r="F1318" t="str">
        <f>VLOOKUP(B1318,Tabela_Auxiliar[],3,0)</f>
        <v>Saída</v>
      </c>
      <c r="G1318" t="str">
        <f>UPPER(TEXT(Tabela_DB[[#This Row],[DATA]],"mmm"))</f>
        <v>MAR</v>
      </c>
      <c r="H1318" t="str">
        <f>UPPER(TEXT(Tabela_DB[[#This Row],[DATA]],"aaaa"))</f>
        <v>2021</v>
      </c>
    </row>
    <row r="1319" spans="1:8" x14ac:dyDescent="0.25">
      <c r="A1319" s="2">
        <v>44278</v>
      </c>
      <c r="B1319" t="s">
        <v>35</v>
      </c>
      <c r="C1319">
        <v>-1436</v>
      </c>
      <c r="D1319" t="str">
        <f>VLOOKUP(B1319,Tabela_Auxiliar[],2,0)</f>
        <v>2. Deduções da Receita</v>
      </c>
      <c r="E1319" t="str">
        <f>VLOOKUP(B1319,Tabela_Auxiliar[],4,0)</f>
        <v>Imposto</v>
      </c>
      <c r="F1319" t="str">
        <f>VLOOKUP(B1319,Tabela_Auxiliar[],3,0)</f>
        <v>Saída</v>
      </c>
      <c r="G1319" t="str">
        <f>UPPER(TEXT(Tabela_DB[[#This Row],[DATA]],"mmm"))</f>
        <v>MAR</v>
      </c>
      <c r="H1319" t="str">
        <f>UPPER(TEXT(Tabela_DB[[#This Row],[DATA]],"aaaa"))</f>
        <v>2021</v>
      </c>
    </row>
    <row r="1320" spans="1:8" x14ac:dyDescent="0.25">
      <c r="A1320" s="2">
        <v>44278</v>
      </c>
      <c r="B1320" t="s">
        <v>81</v>
      </c>
      <c r="C1320">
        <v>-2091</v>
      </c>
      <c r="D1320" t="str">
        <f>VLOOKUP(B1320,Tabela_Auxiliar[],2,0)</f>
        <v>4. Despesas Operacionais</v>
      </c>
      <c r="E1320" t="str">
        <f>VLOOKUP(B1320,Tabela_Auxiliar[],4,0)</f>
        <v>Serviços Contratados</v>
      </c>
      <c r="F1320" t="str">
        <f>VLOOKUP(B1320,Tabela_Auxiliar[],3,0)</f>
        <v>Saída</v>
      </c>
      <c r="G1320" t="str">
        <f>UPPER(TEXT(Tabela_DB[[#This Row],[DATA]],"mmm"))</f>
        <v>MAR</v>
      </c>
      <c r="H1320" t="str">
        <f>UPPER(TEXT(Tabela_DB[[#This Row],[DATA]],"aaaa"))</f>
        <v>2021</v>
      </c>
    </row>
    <row r="1321" spans="1:8" x14ac:dyDescent="0.25">
      <c r="A1321" s="2">
        <v>44278</v>
      </c>
      <c r="B1321" t="s">
        <v>38</v>
      </c>
      <c r="C1321">
        <v>-1771</v>
      </c>
      <c r="D1321" t="str">
        <f>VLOOKUP(B1321,Tabela_Auxiliar[],2,0)</f>
        <v>2. Deduções da Receita</v>
      </c>
      <c r="E1321" t="str">
        <f>VLOOKUP(B1321,Tabela_Auxiliar[],4,0)</f>
        <v>Deduções</v>
      </c>
      <c r="F1321" t="str">
        <f>VLOOKUP(B1321,Tabela_Auxiliar[],3,0)</f>
        <v>Saída</v>
      </c>
      <c r="G1321" t="str">
        <f>UPPER(TEXT(Tabela_DB[[#This Row],[DATA]],"mmm"))</f>
        <v>MAR</v>
      </c>
      <c r="H1321" t="str">
        <f>UPPER(TEXT(Tabela_DB[[#This Row],[DATA]],"aaaa"))</f>
        <v>2021</v>
      </c>
    </row>
    <row r="1322" spans="1:8" x14ac:dyDescent="0.25">
      <c r="A1322" s="2">
        <v>44278</v>
      </c>
      <c r="B1322" t="s">
        <v>78</v>
      </c>
      <c r="C1322">
        <v>-2414</v>
      </c>
      <c r="D1322" t="str">
        <f>VLOOKUP(B1322,Tabela_Auxiliar[],2,0)</f>
        <v>4. Despesas Operacionais</v>
      </c>
      <c r="E1322" t="str">
        <f>VLOOKUP(B1322,Tabela_Auxiliar[],4,0)</f>
        <v>Serviços Contratados</v>
      </c>
      <c r="F1322" t="str">
        <f>VLOOKUP(B1322,Tabela_Auxiliar[],3,0)</f>
        <v>Saída</v>
      </c>
      <c r="G1322" t="str">
        <f>UPPER(TEXT(Tabela_DB[[#This Row],[DATA]],"mmm"))</f>
        <v>MAR</v>
      </c>
      <c r="H1322" t="str">
        <f>UPPER(TEXT(Tabela_DB[[#This Row],[DATA]],"aaaa"))</f>
        <v>2021</v>
      </c>
    </row>
    <row r="1323" spans="1:8" x14ac:dyDescent="0.25">
      <c r="A1323" s="2">
        <v>44278</v>
      </c>
      <c r="B1323" t="s">
        <v>31</v>
      </c>
      <c r="C1323">
        <v>-1642</v>
      </c>
      <c r="D1323" t="str">
        <f>VLOOKUP(B1323,Tabela_Auxiliar[],2,0)</f>
        <v>5. Resultado Financeiro</v>
      </c>
      <c r="E1323" t="str">
        <f>VLOOKUP(B1323,Tabela_Auxiliar[],4,0)</f>
        <v>Participação nos resultados</v>
      </c>
      <c r="F1323" t="str">
        <f>VLOOKUP(B1323,Tabela_Auxiliar[],3,0)</f>
        <v>Saída</v>
      </c>
      <c r="G1323" t="str">
        <f>UPPER(TEXT(Tabela_DB[[#This Row],[DATA]],"mmm"))</f>
        <v>MAR</v>
      </c>
      <c r="H1323" t="str">
        <f>UPPER(TEXT(Tabela_DB[[#This Row],[DATA]],"aaaa"))</f>
        <v>2021</v>
      </c>
    </row>
    <row r="1324" spans="1:8" x14ac:dyDescent="0.25">
      <c r="A1324" s="2">
        <v>44278</v>
      </c>
      <c r="B1324" t="s">
        <v>37</v>
      </c>
      <c r="C1324">
        <v>-4689</v>
      </c>
      <c r="D1324" t="str">
        <f>VLOOKUP(B1324,Tabela_Auxiliar[],2,0)</f>
        <v>3. Custos do Produto/Mercadoria/Serviço</v>
      </c>
      <c r="E1324" t="str">
        <f>VLOOKUP(B1324,Tabela_Auxiliar[],4,0)</f>
        <v>Despesas c/ Produto</v>
      </c>
      <c r="F1324" t="str">
        <f>VLOOKUP(B1324,Tabela_Auxiliar[],3,0)</f>
        <v>Saída</v>
      </c>
      <c r="G1324" t="str">
        <f>UPPER(TEXT(Tabela_DB[[#This Row],[DATA]],"mmm"))</f>
        <v>MAR</v>
      </c>
      <c r="H1324" t="str">
        <f>UPPER(TEXT(Tabela_DB[[#This Row],[DATA]],"aaaa"))</f>
        <v>2021</v>
      </c>
    </row>
    <row r="1325" spans="1:8" x14ac:dyDescent="0.25">
      <c r="A1325" s="2">
        <v>44278</v>
      </c>
      <c r="B1325" t="s">
        <v>61</v>
      </c>
      <c r="C1325">
        <v>-2312</v>
      </c>
      <c r="D1325" t="str">
        <f>VLOOKUP(B1325,Tabela_Auxiliar[],2,0)</f>
        <v>4. Despesas Operacionais</v>
      </c>
      <c r="E1325" t="str">
        <f>VLOOKUP(B1325,Tabela_Auxiliar[],4,0)</f>
        <v>Despesa de Depreciação</v>
      </c>
      <c r="F1325" t="str">
        <f>VLOOKUP(B1325,Tabela_Auxiliar[],3,0)</f>
        <v>Saída</v>
      </c>
      <c r="G1325" t="str">
        <f>UPPER(TEXT(Tabela_DB[[#This Row],[DATA]],"mmm"))</f>
        <v>MAR</v>
      </c>
      <c r="H1325" t="str">
        <f>UPPER(TEXT(Tabela_DB[[#This Row],[DATA]],"aaaa"))</f>
        <v>2021</v>
      </c>
    </row>
    <row r="1326" spans="1:8" x14ac:dyDescent="0.25">
      <c r="A1326" s="2">
        <v>44278</v>
      </c>
      <c r="B1326" t="s">
        <v>38</v>
      </c>
      <c r="C1326">
        <v>-1190</v>
      </c>
      <c r="D1326" t="str">
        <f>VLOOKUP(B1326,Tabela_Auxiliar[],2,0)</f>
        <v>2. Deduções da Receita</v>
      </c>
      <c r="E1326" t="str">
        <f>VLOOKUP(B1326,Tabela_Auxiliar[],4,0)</f>
        <v>Deduções</v>
      </c>
      <c r="F1326" t="str">
        <f>VLOOKUP(B1326,Tabela_Auxiliar[],3,0)</f>
        <v>Saída</v>
      </c>
      <c r="G1326" t="str">
        <f>UPPER(TEXT(Tabela_DB[[#This Row],[DATA]],"mmm"))</f>
        <v>MAR</v>
      </c>
      <c r="H1326" t="str">
        <f>UPPER(TEXT(Tabela_DB[[#This Row],[DATA]],"aaaa"))</f>
        <v>2021</v>
      </c>
    </row>
    <row r="1327" spans="1:8" x14ac:dyDescent="0.25">
      <c r="A1327" s="2">
        <v>44278</v>
      </c>
      <c r="B1327" t="s">
        <v>34</v>
      </c>
      <c r="C1327">
        <v>-1388</v>
      </c>
      <c r="D1327" t="str">
        <f>VLOOKUP(B1327,Tabela_Auxiliar[],2,0)</f>
        <v>2. Deduções da Receita</v>
      </c>
      <c r="E1327" t="str">
        <f>VLOOKUP(B1327,Tabela_Auxiliar[],4,0)</f>
        <v>Imposto</v>
      </c>
      <c r="F1327" t="str">
        <f>VLOOKUP(B1327,Tabela_Auxiliar[],3,0)</f>
        <v>Saída</v>
      </c>
      <c r="G1327" t="str">
        <f>UPPER(TEXT(Tabela_DB[[#This Row],[DATA]],"mmm"))</f>
        <v>MAR</v>
      </c>
      <c r="H1327" t="str">
        <f>UPPER(TEXT(Tabela_DB[[#This Row],[DATA]],"aaaa"))</f>
        <v>2021</v>
      </c>
    </row>
    <row r="1328" spans="1:8" x14ac:dyDescent="0.25">
      <c r="A1328" s="2">
        <v>44278</v>
      </c>
      <c r="B1328" t="s">
        <v>111</v>
      </c>
      <c r="C1328">
        <v>-1553</v>
      </c>
      <c r="D1328" t="str">
        <f>VLOOKUP(B1328,Tabela_Auxiliar[],2,0)</f>
        <v>2. Deduções da Receita</v>
      </c>
      <c r="E1328" t="str">
        <f>VLOOKUP(B1328,Tabela_Auxiliar[],4,0)</f>
        <v>Imposto</v>
      </c>
      <c r="F1328" t="str">
        <f>VLOOKUP(B1328,Tabela_Auxiliar[],3,0)</f>
        <v>Saída</v>
      </c>
      <c r="G1328" t="str">
        <f>UPPER(TEXT(Tabela_DB[[#This Row],[DATA]],"mmm"))</f>
        <v>MAR</v>
      </c>
      <c r="H1328" t="str">
        <f>UPPER(TEXT(Tabela_DB[[#This Row],[DATA]],"aaaa"))</f>
        <v>2021</v>
      </c>
    </row>
    <row r="1329" spans="1:8" x14ac:dyDescent="0.25">
      <c r="A1329" s="2">
        <v>44278</v>
      </c>
      <c r="B1329" t="s">
        <v>3</v>
      </c>
      <c r="C1329">
        <v>13187</v>
      </c>
      <c r="D1329" t="str">
        <f>VLOOKUP(B1329,Tabela_Auxiliar[],2,0)</f>
        <v>1. Receita Operacional Bruta</v>
      </c>
      <c r="E1329" t="str">
        <f>VLOOKUP(B1329,Tabela_Auxiliar[],4,0)</f>
        <v>Receita Bruta</v>
      </c>
      <c r="F1329" t="str">
        <f>VLOOKUP(B1329,Tabela_Auxiliar[],3,0)</f>
        <v>Entrada</v>
      </c>
      <c r="G1329" t="str">
        <f>UPPER(TEXT(Tabela_DB[[#This Row],[DATA]],"mmm"))</f>
        <v>MAR</v>
      </c>
      <c r="H1329" t="str">
        <f>UPPER(TEXT(Tabela_DB[[#This Row],[DATA]],"aaaa"))</f>
        <v>2021</v>
      </c>
    </row>
    <row r="1330" spans="1:8" x14ac:dyDescent="0.25">
      <c r="A1330" s="2">
        <v>44278</v>
      </c>
      <c r="B1330" t="s">
        <v>61</v>
      </c>
      <c r="C1330">
        <v>-1930</v>
      </c>
      <c r="D1330" t="str">
        <f>VLOOKUP(B1330,Tabela_Auxiliar[],2,0)</f>
        <v>4. Despesas Operacionais</v>
      </c>
      <c r="E1330" t="str">
        <f>VLOOKUP(B1330,Tabela_Auxiliar[],4,0)</f>
        <v>Despesa de Depreciação</v>
      </c>
      <c r="F1330" t="str">
        <f>VLOOKUP(B1330,Tabela_Auxiliar[],3,0)</f>
        <v>Saída</v>
      </c>
      <c r="G1330" t="str">
        <f>UPPER(TEXT(Tabela_DB[[#This Row],[DATA]],"mmm"))</f>
        <v>MAR</v>
      </c>
      <c r="H1330" t="str">
        <f>UPPER(TEXT(Tabela_DB[[#This Row],[DATA]],"aaaa"))</f>
        <v>2021</v>
      </c>
    </row>
    <row r="1331" spans="1:8" x14ac:dyDescent="0.25">
      <c r="A1331" s="2">
        <v>44278</v>
      </c>
      <c r="B1331" t="s">
        <v>4</v>
      </c>
      <c r="C1331">
        <v>10803</v>
      </c>
      <c r="D1331" t="str">
        <f>VLOOKUP(B1331,Tabela_Auxiliar[],2,0)</f>
        <v>1. Receita Operacional Bruta</v>
      </c>
      <c r="E1331" t="str">
        <f>VLOOKUP(B1331,Tabela_Auxiliar[],4,0)</f>
        <v>Receita Bruta</v>
      </c>
      <c r="F1331" t="str">
        <f>VLOOKUP(B1331,Tabela_Auxiliar[],3,0)</f>
        <v>Entrada</v>
      </c>
      <c r="G1331" t="str">
        <f>UPPER(TEXT(Tabela_DB[[#This Row],[DATA]],"mmm"))</f>
        <v>MAR</v>
      </c>
      <c r="H1331" t="str">
        <f>UPPER(TEXT(Tabela_DB[[#This Row],[DATA]],"aaaa"))</f>
        <v>2021</v>
      </c>
    </row>
    <row r="1332" spans="1:8" x14ac:dyDescent="0.25">
      <c r="A1332" s="2">
        <v>44278</v>
      </c>
      <c r="B1332" t="s">
        <v>34</v>
      </c>
      <c r="C1332">
        <v>-1653</v>
      </c>
      <c r="D1332" t="str">
        <f>VLOOKUP(B1332,Tabela_Auxiliar[],2,0)</f>
        <v>2. Deduções da Receita</v>
      </c>
      <c r="E1332" t="str">
        <f>VLOOKUP(B1332,Tabela_Auxiliar[],4,0)</f>
        <v>Imposto</v>
      </c>
      <c r="F1332" t="str">
        <f>VLOOKUP(B1332,Tabela_Auxiliar[],3,0)</f>
        <v>Saída</v>
      </c>
      <c r="G1332" t="str">
        <f>UPPER(TEXT(Tabela_DB[[#This Row],[DATA]],"mmm"))</f>
        <v>MAR</v>
      </c>
      <c r="H1332" t="str">
        <f>UPPER(TEXT(Tabela_DB[[#This Row],[DATA]],"aaaa"))</f>
        <v>2021</v>
      </c>
    </row>
    <row r="1333" spans="1:8" x14ac:dyDescent="0.25">
      <c r="A1333" s="2">
        <v>44278</v>
      </c>
      <c r="B1333" t="s">
        <v>57</v>
      </c>
      <c r="C1333">
        <v>-1207</v>
      </c>
      <c r="D1333" t="str">
        <f>VLOOKUP(B1333,Tabela_Auxiliar[],2,0)</f>
        <v>4. Despesas Operacionais</v>
      </c>
      <c r="E1333" t="str">
        <f>VLOOKUP(B1333,Tabela_Auxiliar[],4,0)</f>
        <v>Despesa com Pessoal</v>
      </c>
      <c r="F1333" t="str">
        <f>VLOOKUP(B1333,Tabela_Auxiliar[],3,0)</f>
        <v>Saída</v>
      </c>
      <c r="G1333" t="str">
        <f>UPPER(TEXT(Tabela_DB[[#This Row],[DATA]],"mmm"))</f>
        <v>MAR</v>
      </c>
      <c r="H1333" t="str">
        <f>UPPER(TEXT(Tabela_DB[[#This Row],[DATA]],"aaaa"))</f>
        <v>2021</v>
      </c>
    </row>
    <row r="1334" spans="1:8" x14ac:dyDescent="0.25">
      <c r="A1334" s="2">
        <v>44279</v>
      </c>
      <c r="B1334" t="s">
        <v>35</v>
      </c>
      <c r="C1334">
        <v>-1440</v>
      </c>
      <c r="D1334" t="str">
        <f>VLOOKUP(B1334,Tabela_Auxiliar[],2,0)</f>
        <v>2. Deduções da Receita</v>
      </c>
      <c r="E1334" t="str">
        <f>VLOOKUP(B1334,Tabela_Auxiliar[],4,0)</f>
        <v>Imposto</v>
      </c>
      <c r="F1334" t="str">
        <f>VLOOKUP(B1334,Tabela_Auxiliar[],3,0)</f>
        <v>Saída</v>
      </c>
      <c r="G1334" t="str">
        <f>UPPER(TEXT(Tabela_DB[[#This Row],[DATA]],"mmm"))</f>
        <v>MAR</v>
      </c>
      <c r="H1334" t="str">
        <f>UPPER(TEXT(Tabela_DB[[#This Row],[DATA]],"aaaa"))</f>
        <v>2021</v>
      </c>
    </row>
    <row r="1335" spans="1:8" x14ac:dyDescent="0.25">
      <c r="A1335" s="2">
        <v>44279</v>
      </c>
      <c r="B1335" t="s">
        <v>80</v>
      </c>
      <c r="C1335">
        <v>-2478</v>
      </c>
      <c r="D1335" t="str">
        <f>VLOOKUP(B1335,Tabela_Auxiliar[],2,0)</f>
        <v>4. Despesas Operacionais</v>
      </c>
      <c r="E1335" t="str">
        <f>VLOOKUP(B1335,Tabela_Auxiliar[],4,0)</f>
        <v>Serviços Contratados</v>
      </c>
      <c r="F1335" t="str">
        <f>VLOOKUP(B1335,Tabela_Auxiliar[],3,0)</f>
        <v>Saída</v>
      </c>
      <c r="G1335" t="str">
        <f>UPPER(TEXT(Tabela_DB[[#This Row],[DATA]],"mmm"))</f>
        <v>MAR</v>
      </c>
      <c r="H1335" t="str">
        <f>UPPER(TEXT(Tabela_DB[[#This Row],[DATA]],"aaaa"))</f>
        <v>2021</v>
      </c>
    </row>
    <row r="1336" spans="1:8" x14ac:dyDescent="0.25">
      <c r="A1336" s="2">
        <v>44279</v>
      </c>
      <c r="B1336" t="s">
        <v>4</v>
      </c>
      <c r="C1336">
        <v>13292</v>
      </c>
      <c r="D1336" t="str">
        <f>VLOOKUP(B1336,Tabela_Auxiliar[],2,0)</f>
        <v>1. Receita Operacional Bruta</v>
      </c>
      <c r="E1336" t="str">
        <f>VLOOKUP(B1336,Tabela_Auxiliar[],4,0)</f>
        <v>Receita Bruta</v>
      </c>
      <c r="F1336" t="str">
        <f>VLOOKUP(B1336,Tabela_Auxiliar[],3,0)</f>
        <v>Entrada</v>
      </c>
      <c r="G1336" t="str">
        <f>UPPER(TEXT(Tabela_DB[[#This Row],[DATA]],"mmm"))</f>
        <v>MAR</v>
      </c>
      <c r="H1336" t="str">
        <f>UPPER(TEXT(Tabela_DB[[#This Row],[DATA]],"aaaa"))</f>
        <v>2021</v>
      </c>
    </row>
    <row r="1337" spans="1:8" x14ac:dyDescent="0.25">
      <c r="A1337" s="2">
        <v>44279</v>
      </c>
      <c r="B1337" t="s">
        <v>111</v>
      </c>
      <c r="C1337">
        <v>-2494</v>
      </c>
      <c r="D1337" t="str">
        <f>VLOOKUP(B1337,Tabela_Auxiliar[],2,0)</f>
        <v>2. Deduções da Receita</v>
      </c>
      <c r="E1337" t="str">
        <f>VLOOKUP(B1337,Tabela_Auxiliar[],4,0)</f>
        <v>Imposto</v>
      </c>
      <c r="F1337" t="str">
        <f>VLOOKUP(B1337,Tabela_Auxiliar[],3,0)</f>
        <v>Saída</v>
      </c>
      <c r="G1337" t="str">
        <f>UPPER(TEXT(Tabela_DB[[#This Row],[DATA]],"mmm"))</f>
        <v>MAR</v>
      </c>
      <c r="H1337" t="str">
        <f>UPPER(TEXT(Tabela_DB[[#This Row],[DATA]],"aaaa"))</f>
        <v>2021</v>
      </c>
    </row>
    <row r="1338" spans="1:8" x14ac:dyDescent="0.25">
      <c r="A1338" s="2">
        <v>44279</v>
      </c>
      <c r="B1338" t="s">
        <v>4</v>
      </c>
      <c r="C1338">
        <v>14849</v>
      </c>
      <c r="D1338" t="str">
        <f>VLOOKUP(B1338,Tabela_Auxiliar[],2,0)</f>
        <v>1. Receita Operacional Bruta</v>
      </c>
      <c r="E1338" t="str">
        <f>VLOOKUP(B1338,Tabela_Auxiliar[],4,0)</f>
        <v>Receita Bruta</v>
      </c>
      <c r="F1338" t="str">
        <f>VLOOKUP(B1338,Tabela_Auxiliar[],3,0)</f>
        <v>Entrada</v>
      </c>
      <c r="G1338" t="str">
        <f>UPPER(TEXT(Tabela_DB[[#This Row],[DATA]],"mmm"))</f>
        <v>MAR</v>
      </c>
      <c r="H1338" t="str">
        <f>UPPER(TEXT(Tabela_DB[[#This Row],[DATA]],"aaaa"))</f>
        <v>2021</v>
      </c>
    </row>
    <row r="1339" spans="1:8" x14ac:dyDescent="0.25">
      <c r="A1339" s="2">
        <v>44279</v>
      </c>
      <c r="B1339" t="s">
        <v>52</v>
      </c>
      <c r="C1339">
        <v>-1830</v>
      </c>
      <c r="D1339" t="str">
        <f>VLOOKUP(B1339,Tabela_Auxiliar[],2,0)</f>
        <v>4. Despesas Operacionais</v>
      </c>
      <c r="E1339" t="str">
        <f>VLOOKUP(B1339,Tabela_Auxiliar[],4,0)</f>
        <v>Despesa com Pessoal</v>
      </c>
      <c r="F1339" t="str">
        <f>VLOOKUP(B1339,Tabela_Auxiliar[],3,0)</f>
        <v>Saída</v>
      </c>
      <c r="G1339" t="str">
        <f>UPPER(TEXT(Tabela_DB[[#This Row],[DATA]],"mmm"))</f>
        <v>MAR</v>
      </c>
      <c r="H1339" t="str">
        <f>UPPER(TEXT(Tabela_DB[[#This Row],[DATA]],"aaaa"))</f>
        <v>2021</v>
      </c>
    </row>
    <row r="1340" spans="1:8" x14ac:dyDescent="0.25">
      <c r="A1340" s="2">
        <v>44279</v>
      </c>
      <c r="B1340" t="s">
        <v>86</v>
      </c>
      <c r="C1340">
        <v>-2036</v>
      </c>
      <c r="D1340" t="str">
        <f>VLOOKUP(B1340,Tabela_Auxiliar[],2,0)</f>
        <v>4. Despesas Operacionais</v>
      </c>
      <c r="E1340" t="str">
        <f>VLOOKUP(B1340,Tabela_Auxiliar[],4,0)</f>
        <v>Despesa com Veículos</v>
      </c>
      <c r="F1340" t="str">
        <f>VLOOKUP(B1340,Tabela_Auxiliar[],3,0)</f>
        <v>Saída</v>
      </c>
      <c r="G1340" t="str">
        <f>UPPER(TEXT(Tabela_DB[[#This Row],[DATA]],"mmm"))</f>
        <v>MAR</v>
      </c>
      <c r="H1340" t="str">
        <f>UPPER(TEXT(Tabela_DB[[#This Row],[DATA]],"aaaa"))</f>
        <v>2021</v>
      </c>
    </row>
    <row r="1341" spans="1:8" x14ac:dyDescent="0.25">
      <c r="A1341" s="2">
        <v>44279</v>
      </c>
      <c r="B1341" t="s">
        <v>49</v>
      </c>
      <c r="C1341">
        <v>-2450</v>
      </c>
      <c r="D1341" t="str">
        <f>VLOOKUP(B1341,Tabela_Auxiliar[],2,0)</f>
        <v>4. Despesas Operacionais</v>
      </c>
      <c r="E1341" t="str">
        <f>VLOOKUP(B1341,Tabela_Auxiliar[],4,0)</f>
        <v>Despesa com Pessoal</v>
      </c>
      <c r="F1341" t="str">
        <f>VLOOKUP(B1341,Tabela_Auxiliar[],3,0)</f>
        <v>Saída</v>
      </c>
      <c r="G1341" t="str">
        <f>UPPER(TEXT(Tabela_DB[[#This Row],[DATA]],"mmm"))</f>
        <v>MAR</v>
      </c>
      <c r="H1341" t="str">
        <f>UPPER(TEXT(Tabela_DB[[#This Row],[DATA]],"aaaa"))</f>
        <v>2021</v>
      </c>
    </row>
    <row r="1342" spans="1:8" x14ac:dyDescent="0.25">
      <c r="A1342" s="2">
        <v>44279</v>
      </c>
      <c r="B1342" t="s">
        <v>38</v>
      </c>
      <c r="C1342">
        <v>-1289</v>
      </c>
      <c r="D1342" t="str">
        <f>VLOOKUP(B1342,Tabela_Auxiliar[],2,0)</f>
        <v>2. Deduções da Receita</v>
      </c>
      <c r="E1342" t="str">
        <f>VLOOKUP(B1342,Tabela_Auxiliar[],4,0)</f>
        <v>Deduções</v>
      </c>
      <c r="F1342" t="str">
        <f>VLOOKUP(B1342,Tabela_Auxiliar[],3,0)</f>
        <v>Saída</v>
      </c>
      <c r="G1342" t="str">
        <f>UPPER(TEXT(Tabela_DB[[#This Row],[DATA]],"mmm"))</f>
        <v>MAR</v>
      </c>
      <c r="H1342" t="str">
        <f>UPPER(TEXT(Tabela_DB[[#This Row],[DATA]],"aaaa"))</f>
        <v>2021</v>
      </c>
    </row>
    <row r="1343" spans="1:8" x14ac:dyDescent="0.25">
      <c r="A1343" s="2">
        <v>44279</v>
      </c>
      <c r="B1343" t="s">
        <v>3</v>
      </c>
      <c r="C1343">
        <v>13995</v>
      </c>
      <c r="D1343" t="str">
        <f>VLOOKUP(B1343,Tabela_Auxiliar[],2,0)</f>
        <v>1. Receita Operacional Bruta</v>
      </c>
      <c r="E1343" t="str">
        <f>VLOOKUP(B1343,Tabela_Auxiliar[],4,0)</f>
        <v>Receita Bruta</v>
      </c>
      <c r="F1343" t="str">
        <f>VLOOKUP(B1343,Tabela_Auxiliar[],3,0)</f>
        <v>Entrada</v>
      </c>
      <c r="G1343" t="str">
        <f>UPPER(TEXT(Tabela_DB[[#This Row],[DATA]],"mmm"))</f>
        <v>MAR</v>
      </c>
      <c r="H1343" t="str">
        <f>UPPER(TEXT(Tabela_DB[[#This Row],[DATA]],"aaaa"))</f>
        <v>2021</v>
      </c>
    </row>
    <row r="1344" spans="1:8" x14ac:dyDescent="0.25">
      <c r="A1344" s="2">
        <v>44279</v>
      </c>
      <c r="B1344" t="s">
        <v>4</v>
      </c>
      <c r="C1344">
        <v>14151</v>
      </c>
      <c r="D1344" t="str">
        <f>VLOOKUP(B1344,Tabela_Auxiliar[],2,0)</f>
        <v>1. Receita Operacional Bruta</v>
      </c>
      <c r="E1344" t="str">
        <f>VLOOKUP(B1344,Tabela_Auxiliar[],4,0)</f>
        <v>Receita Bruta</v>
      </c>
      <c r="F1344" t="str">
        <f>VLOOKUP(B1344,Tabela_Auxiliar[],3,0)</f>
        <v>Entrada</v>
      </c>
      <c r="G1344" t="str">
        <f>UPPER(TEXT(Tabela_DB[[#This Row],[DATA]],"mmm"))</f>
        <v>MAR</v>
      </c>
      <c r="H1344" t="str">
        <f>UPPER(TEXT(Tabela_DB[[#This Row],[DATA]],"aaaa"))</f>
        <v>2021</v>
      </c>
    </row>
    <row r="1345" spans="1:8" x14ac:dyDescent="0.25">
      <c r="A1345" s="2">
        <v>44279</v>
      </c>
      <c r="B1345" t="s">
        <v>3</v>
      </c>
      <c r="C1345">
        <v>10590</v>
      </c>
      <c r="D1345" t="str">
        <f>VLOOKUP(B1345,Tabela_Auxiliar[],2,0)</f>
        <v>1. Receita Operacional Bruta</v>
      </c>
      <c r="E1345" t="str">
        <f>VLOOKUP(B1345,Tabela_Auxiliar[],4,0)</f>
        <v>Receita Bruta</v>
      </c>
      <c r="F1345" t="str">
        <f>VLOOKUP(B1345,Tabela_Auxiliar[],3,0)</f>
        <v>Entrada</v>
      </c>
      <c r="G1345" t="str">
        <f>UPPER(TEXT(Tabela_DB[[#This Row],[DATA]],"mmm"))</f>
        <v>MAR</v>
      </c>
      <c r="H1345" t="str">
        <f>UPPER(TEXT(Tabela_DB[[#This Row],[DATA]],"aaaa"))</f>
        <v>2021</v>
      </c>
    </row>
    <row r="1346" spans="1:8" x14ac:dyDescent="0.25">
      <c r="A1346" s="2">
        <v>44280</v>
      </c>
      <c r="B1346" t="s">
        <v>4</v>
      </c>
      <c r="C1346">
        <v>13890</v>
      </c>
      <c r="D1346" t="str">
        <f>VLOOKUP(B1346,Tabela_Auxiliar[],2,0)</f>
        <v>1. Receita Operacional Bruta</v>
      </c>
      <c r="E1346" t="str">
        <f>VLOOKUP(B1346,Tabela_Auxiliar[],4,0)</f>
        <v>Receita Bruta</v>
      </c>
      <c r="F1346" t="str">
        <f>VLOOKUP(B1346,Tabela_Auxiliar[],3,0)</f>
        <v>Entrada</v>
      </c>
      <c r="G1346" t="str">
        <f>UPPER(TEXT(Tabela_DB[[#This Row],[DATA]],"mmm"))</f>
        <v>MAR</v>
      </c>
      <c r="H1346" t="str">
        <f>UPPER(TEXT(Tabela_DB[[#This Row],[DATA]],"aaaa"))</f>
        <v>2021</v>
      </c>
    </row>
    <row r="1347" spans="1:8" x14ac:dyDescent="0.25">
      <c r="A1347" s="2">
        <v>44280</v>
      </c>
      <c r="B1347" t="s">
        <v>4</v>
      </c>
      <c r="C1347">
        <v>12308</v>
      </c>
      <c r="D1347" t="str">
        <f>VLOOKUP(B1347,Tabela_Auxiliar[],2,0)</f>
        <v>1. Receita Operacional Bruta</v>
      </c>
      <c r="E1347" t="str">
        <f>VLOOKUP(B1347,Tabela_Auxiliar[],4,0)</f>
        <v>Receita Bruta</v>
      </c>
      <c r="F1347" t="str">
        <f>VLOOKUP(B1347,Tabela_Auxiliar[],3,0)</f>
        <v>Entrada</v>
      </c>
      <c r="G1347" t="str">
        <f>UPPER(TEXT(Tabela_DB[[#This Row],[DATA]],"mmm"))</f>
        <v>MAR</v>
      </c>
      <c r="H1347" t="str">
        <f>UPPER(TEXT(Tabela_DB[[#This Row],[DATA]],"aaaa"))</f>
        <v>2021</v>
      </c>
    </row>
    <row r="1348" spans="1:8" x14ac:dyDescent="0.25">
      <c r="A1348" s="2">
        <v>44280</v>
      </c>
      <c r="B1348" t="s">
        <v>37</v>
      </c>
      <c r="C1348">
        <v>-4911</v>
      </c>
      <c r="D1348" t="str">
        <f>VLOOKUP(B1348,Tabela_Auxiliar[],2,0)</f>
        <v>3. Custos do Produto/Mercadoria/Serviço</v>
      </c>
      <c r="E1348" t="str">
        <f>VLOOKUP(B1348,Tabela_Auxiliar[],4,0)</f>
        <v>Despesas c/ Produto</v>
      </c>
      <c r="F1348" t="str">
        <f>VLOOKUP(B1348,Tabela_Auxiliar[],3,0)</f>
        <v>Saída</v>
      </c>
      <c r="G1348" t="str">
        <f>UPPER(TEXT(Tabela_DB[[#This Row],[DATA]],"mmm"))</f>
        <v>MAR</v>
      </c>
      <c r="H1348" t="str">
        <f>UPPER(TEXT(Tabela_DB[[#This Row],[DATA]],"aaaa"))</f>
        <v>2021</v>
      </c>
    </row>
    <row r="1349" spans="1:8" x14ac:dyDescent="0.25">
      <c r="A1349" s="2">
        <v>44280</v>
      </c>
      <c r="B1349" t="s">
        <v>4</v>
      </c>
      <c r="C1349">
        <v>14590</v>
      </c>
      <c r="D1349" t="str">
        <f>VLOOKUP(B1349,Tabela_Auxiliar[],2,0)</f>
        <v>1. Receita Operacional Bruta</v>
      </c>
      <c r="E1349" t="str">
        <f>VLOOKUP(B1349,Tabela_Auxiliar[],4,0)</f>
        <v>Receita Bruta</v>
      </c>
      <c r="F1349" t="str">
        <f>VLOOKUP(B1349,Tabela_Auxiliar[],3,0)</f>
        <v>Entrada</v>
      </c>
      <c r="G1349" t="str">
        <f>UPPER(TEXT(Tabela_DB[[#This Row],[DATA]],"mmm"))</f>
        <v>MAR</v>
      </c>
      <c r="H1349" t="str">
        <f>UPPER(TEXT(Tabela_DB[[#This Row],[DATA]],"aaaa"))</f>
        <v>2021</v>
      </c>
    </row>
    <row r="1350" spans="1:8" x14ac:dyDescent="0.25">
      <c r="A1350" s="2">
        <v>44280</v>
      </c>
      <c r="B1350" t="s">
        <v>35</v>
      </c>
      <c r="C1350">
        <v>-2277</v>
      </c>
      <c r="D1350" t="str">
        <f>VLOOKUP(B1350,Tabela_Auxiliar[],2,0)</f>
        <v>2. Deduções da Receita</v>
      </c>
      <c r="E1350" t="str">
        <f>VLOOKUP(B1350,Tabela_Auxiliar[],4,0)</f>
        <v>Imposto</v>
      </c>
      <c r="F1350" t="str">
        <f>VLOOKUP(B1350,Tabela_Auxiliar[],3,0)</f>
        <v>Saída</v>
      </c>
      <c r="G1350" t="str">
        <f>UPPER(TEXT(Tabela_DB[[#This Row],[DATA]],"mmm"))</f>
        <v>MAR</v>
      </c>
      <c r="H1350" t="str">
        <f>UPPER(TEXT(Tabela_DB[[#This Row],[DATA]],"aaaa"))</f>
        <v>2021</v>
      </c>
    </row>
    <row r="1351" spans="1:8" x14ac:dyDescent="0.25">
      <c r="A1351" s="2">
        <v>44280</v>
      </c>
      <c r="B1351" t="s">
        <v>34</v>
      </c>
      <c r="C1351">
        <v>-1558</v>
      </c>
      <c r="D1351" t="str">
        <f>VLOOKUP(B1351,Tabela_Auxiliar[],2,0)</f>
        <v>2. Deduções da Receita</v>
      </c>
      <c r="E1351" t="str">
        <f>VLOOKUP(B1351,Tabela_Auxiliar[],4,0)</f>
        <v>Imposto</v>
      </c>
      <c r="F1351" t="str">
        <f>VLOOKUP(B1351,Tabela_Auxiliar[],3,0)</f>
        <v>Saída</v>
      </c>
      <c r="G1351" t="str">
        <f>UPPER(TEXT(Tabela_DB[[#This Row],[DATA]],"mmm"))</f>
        <v>MAR</v>
      </c>
      <c r="H1351" t="str">
        <f>UPPER(TEXT(Tabela_DB[[#This Row],[DATA]],"aaaa"))</f>
        <v>2021</v>
      </c>
    </row>
    <row r="1352" spans="1:8" x14ac:dyDescent="0.25">
      <c r="A1352" s="2">
        <v>44280</v>
      </c>
      <c r="B1352" t="s">
        <v>3</v>
      </c>
      <c r="C1352">
        <v>12317</v>
      </c>
      <c r="D1352" t="str">
        <f>VLOOKUP(B1352,Tabela_Auxiliar[],2,0)</f>
        <v>1. Receita Operacional Bruta</v>
      </c>
      <c r="E1352" t="str">
        <f>VLOOKUP(B1352,Tabela_Auxiliar[],4,0)</f>
        <v>Receita Bruta</v>
      </c>
      <c r="F1352" t="str">
        <f>VLOOKUP(B1352,Tabela_Auxiliar[],3,0)</f>
        <v>Entrada</v>
      </c>
      <c r="G1352" t="str">
        <f>UPPER(TEXT(Tabela_DB[[#This Row],[DATA]],"mmm"))</f>
        <v>MAR</v>
      </c>
      <c r="H1352" t="str">
        <f>UPPER(TEXT(Tabela_DB[[#This Row],[DATA]],"aaaa"))</f>
        <v>2021</v>
      </c>
    </row>
    <row r="1353" spans="1:8" x14ac:dyDescent="0.25">
      <c r="A1353" s="2">
        <v>44280</v>
      </c>
      <c r="B1353" t="s">
        <v>84</v>
      </c>
      <c r="C1353">
        <v>-1589</v>
      </c>
      <c r="D1353" t="str">
        <f>VLOOKUP(B1353,Tabela_Auxiliar[],2,0)</f>
        <v>4. Despesas Operacionais</v>
      </c>
      <c r="E1353" t="str">
        <f>VLOOKUP(B1353,Tabela_Auxiliar[],4,0)</f>
        <v>Despesa com Veículos</v>
      </c>
      <c r="F1353" t="str">
        <f>VLOOKUP(B1353,Tabela_Auxiliar[],3,0)</f>
        <v>Saída</v>
      </c>
      <c r="G1353" t="str">
        <f>UPPER(TEXT(Tabela_DB[[#This Row],[DATA]],"mmm"))</f>
        <v>MAR</v>
      </c>
      <c r="H1353" t="str">
        <f>UPPER(TEXT(Tabela_DB[[#This Row],[DATA]],"aaaa"))</f>
        <v>2021</v>
      </c>
    </row>
    <row r="1354" spans="1:8" x14ac:dyDescent="0.25">
      <c r="A1354" s="2">
        <v>44280</v>
      </c>
      <c r="B1354" t="s">
        <v>72</v>
      </c>
      <c r="C1354">
        <v>-1093</v>
      </c>
      <c r="D1354" t="str">
        <f>VLOOKUP(B1354,Tabela_Auxiliar[],2,0)</f>
        <v>4. Despesas Operacionais</v>
      </c>
      <c r="E1354" t="str">
        <f>VLOOKUP(B1354,Tabela_Auxiliar[],4,0)</f>
        <v>Despesa com Ocupação</v>
      </c>
      <c r="F1354" t="str">
        <f>VLOOKUP(B1354,Tabela_Auxiliar[],3,0)</f>
        <v>Saída</v>
      </c>
      <c r="G1354" t="str">
        <f>UPPER(TEXT(Tabela_DB[[#This Row],[DATA]],"mmm"))</f>
        <v>MAR</v>
      </c>
      <c r="H1354" t="str">
        <f>UPPER(TEXT(Tabela_DB[[#This Row],[DATA]],"aaaa"))</f>
        <v>2021</v>
      </c>
    </row>
    <row r="1355" spans="1:8" x14ac:dyDescent="0.25">
      <c r="A1355" s="2">
        <v>44280</v>
      </c>
      <c r="B1355" t="s">
        <v>3</v>
      </c>
      <c r="C1355">
        <v>11177</v>
      </c>
      <c r="D1355" t="str">
        <f>VLOOKUP(B1355,Tabela_Auxiliar[],2,0)</f>
        <v>1. Receita Operacional Bruta</v>
      </c>
      <c r="E1355" t="str">
        <f>VLOOKUP(B1355,Tabela_Auxiliar[],4,0)</f>
        <v>Receita Bruta</v>
      </c>
      <c r="F1355" t="str">
        <f>VLOOKUP(B1355,Tabela_Auxiliar[],3,0)</f>
        <v>Entrada</v>
      </c>
      <c r="G1355" t="str">
        <f>UPPER(TEXT(Tabela_DB[[#This Row],[DATA]],"mmm"))</f>
        <v>MAR</v>
      </c>
      <c r="H1355" t="str">
        <f>UPPER(TEXT(Tabela_DB[[#This Row],[DATA]],"aaaa"))</f>
        <v>2021</v>
      </c>
    </row>
    <row r="1356" spans="1:8" x14ac:dyDescent="0.25">
      <c r="A1356" s="2">
        <v>44280</v>
      </c>
      <c r="B1356" t="s">
        <v>38</v>
      </c>
      <c r="C1356">
        <v>-2093</v>
      </c>
      <c r="D1356" t="str">
        <f>VLOOKUP(B1356,Tabela_Auxiliar[],2,0)</f>
        <v>2. Deduções da Receita</v>
      </c>
      <c r="E1356" t="str">
        <f>VLOOKUP(B1356,Tabela_Auxiliar[],4,0)</f>
        <v>Deduções</v>
      </c>
      <c r="F1356" t="str">
        <f>VLOOKUP(B1356,Tabela_Auxiliar[],3,0)</f>
        <v>Saída</v>
      </c>
      <c r="G1356" t="str">
        <f>UPPER(TEXT(Tabela_DB[[#This Row],[DATA]],"mmm"))</f>
        <v>MAR</v>
      </c>
      <c r="H1356" t="str">
        <f>UPPER(TEXT(Tabela_DB[[#This Row],[DATA]],"aaaa"))</f>
        <v>2021</v>
      </c>
    </row>
    <row r="1357" spans="1:8" x14ac:dyDescent="0.25">
      <c r="A1357" s="2">
        <v>44280</v>
      </c>
      <c r="B1357" t="s">
        <v>34</v>
      </c>
      <c r="C1357">
        <v>-2192</v>
      </c>
      <c r="D1357" t="str">
        <f>VLOOKUP(B1357,Tabela_Auxiliar[],2,0)</f>
        <v>2. Deduções da Receita</v>
      </c>
      <c r="E1357" t="str">
        <f>VLOOKUP(B1357,Tabela_Auxiliar[],4,0)</f>
        <v>Imposto</v>
      </c>
      <c r="F1357" t="str">
        <f>VLOOKUP(B1357,Tabela_Auxiliar[],3,0)</f>
        <v>Saída</v>
      </c>
      <c r="G1357" t="str">
        <f>UPPER(TEXT(Tabela_DB[[#This Row],[DATA]],"mmm"))</f>
        <v>MAR</v>
      </c>
      <c r="H1357" t="str">
        <f>UPPER(TEXT(Tabela_DB[[#This Row],[DATA]],"aaaa"))</f>
        <v>2021</v>
      </c>
    </row>
    <row r="1358" spans="1:8" x14ac:dyDescent="0.25">
      <c r="A1358" s="2">
        <v>44280</v>
      </c>
      <c r="B1358" t="s">
        <v>69</v>
      </c>
      <c r="C1358">
        <v>-2362</v>
      </c>
      <c r="D1358" t="str">
        <f>VLOOKUP(B1358,Tabela_Auxiliar[],2,0)</f>
        <v>4. Despesas Operacionais</v>
      </c>
      <c r="E1358" t="str">
        <f>VLOOKUP(B1358,Tabela_Auxiliar[],4,0)</f>
        <v>Despesa com Ocupação</v>
      </c>
      <c r="F1358" t="str">
        <f>VLOOKUP(B1358,Tabela_Auxiliar[],3,0)</f>
        <v>Saída</v>
      </c>
      <c r="G1358" t="str">
        <f>UPPER(TEXT(Tabela_DB[[#This Row],[DATA]],"mmm"))</f>
        <v>MAR</v>
      </c>
      <c r="H1358" t="str">
        <f>UPPER(TEXT(Tabela_DB[[#This Row],[DATA]],"aaaa"))</f>
        <v>2021</v>
      </c>
    </row>
    <row r="1359" spans="1:8" x14ac:dyDescent="0.25">
      <c r="A1359" s="2">
        <v>44280</v>
      </c>
      <c r="B1359" t="s">
        <v>111</v>
      </c>
      <c r="C1359">
        <v>-2437</v>
      </c>
      <c r="D1359" t="str">
        <f>VLOOKUP(B1359,Tabela_Auxiliar[],2,0)</f>
        <v>2. Deduções da Receita</v>
      </c>
      <c r="E1359" t="str">
        <f>VLOOKUP(B1359,Tabela_Auxiliar[],4,0)</f>
        <v>Imposto</v>
      </c>
      <c r="F1359" t="str">
        <f>VLOOKUP(B1359,Tabela_Auxiliar[],3,0)</f>
        <v>Saída</v>
      </c>
      <c r="G1359" t="str">
        <f>UPPER(TEXT(Tabela_DB[[#This Row],[DATA]],"mmm"))</f>
        <v>MAR</v>
      </c>
      <c r="H1359" t="str">
        <f>UPPER(TEXT(Tabela_DB[[#This Row],[DATA]],"aaaa"))</f>
        <v>2021</v>
      </c>
    </row>
    <row r="1360" spans="1:8" x14ac:dyDescent="0.25">
      <c r="A1360" s="2">
        <v>44280</v>
      </c>
      <c r="B1360" t="s">
        <v>37</v>
      </c>
      <c r="C1360">
        <v>-4470</v>
      </c>
      <c r="D1360" t="str">
        <f>VLOOKUP(B1360,Tabela_Auxiliar[],2,0)</f>
        <v>3. Custos do Produto/Mercadoria/Serviço</v>
      </c>
      <c r="E1360" t="str">
        <f>VLOOKUP(B1360,Tabela_Auxiliar[],4,0)</f>
        <v>Despesas c/ Produto</v>
      </c>
      <c r="F1360" t="str">
        <f>VLOOKUP(B1360,Tabela_Auxiliar[],3,0)</f>
        <v>Saída</v>
      </c>
      <c r="G1360" t="str">
        <f>UPPER(TEXT(Tabela_DB[[#This Row],[DATA]],"mmm"))</f>
        <v>MAR</v>
      </c>
      <c r="H1360" t="str">
        <f>UPPER(TEXT(Tabela_DB[[#This Row],[DATA]],"aaaa"))</f>
        <v>2021</v>
      </c>
    </row>
    <row r="1361" spans="1:8" x14ac:dyDescent="0.25">
      <c r="A1361" s="2">
        <v>44280</v>
      </c>
      <c r="B1361" t="s">
        <v>37</v>
      </c>
      <c r="C1361">
        <v>-3144</v>
      </c>
      <c r="D1361" t="str">
        <f>VLOOKUP(B1361,Tabela_Auxiliar[],2,0)</f>
        <v>3. Custos do Produto/Mercadoria/Serviço</v>
      </c>
      <c r="E1361" t="str">
        <f>VLOOKUP(B1361,Tabela_Auxiliar[],4,0)</f>
        <v>Despesas c/ Produto</v>
      </c>
      <c r="F1361" t="str">
        <f>VLOOKUP(B1361,Tabela_Auxiliar[],3,0)</f>
        <v>Saída</v>
      </c>
      <c r="G1361" t="str">
        <f>UPPER(TEXT(Tabela_DB[[#This Row],[DATA]],"mmm"))</f>
        <v>MAR</v>
      </c>
      <c r="H1361" t="str">
        <f>UPPER(TEXT(Tabela_DB[[#This Row],[DATA]],"aaaa"))</f>
        <v>2021</v>
      </c>
    </row>
    <row r="1362" spans="1:8" x14ac:dyDescent="0.25">
      <c r="A1362" s="2">
        <v>44280</v>
      </c>
      <c r="B1362" t="s">
        <v>3</v>
      </c>
      <c r="C1362">
        <v>12543</v>
      </c>
      <c r="D1362" t="str">
        <f>VLOOKUP(B1362,Tabela_Auxiliar[],2,0)</f>
        <v>1. Receita Operacional Bruta</v>
      </c>
      <c r="E1362" t="str">
        <f>VLOOKUP(B1362,Tabela_Auxiliar[],4,0)</f>
        <v>Receita Bruta</v>
      </c>
      <c r="F1362" t="str">
        <f>VLOOKUP(B1362,Tabela_Auxiliar[],3,0)</f>
        <v>Entrada</v>
      </c>
      <c r="G1362" t="str">
        <f>UPPER(TEXT(Tabela_DB[[#This Row],[DATA]],"mmm"))</f>
        <v>MAR</v>
      </c>
      <c r="H1362" t="str">
        <f>UPPER(TEXT(Tabela_DB[[#This Row],[DATA]],"aaaa"))</f>
        <v>2021</v>
      </c>
    </row>
    <row r="1363" spans="1:8" x14ac:dyDescent="0.25">
      <c r="A1363" s="2">
        <v>44280</v>
      </c>
      <c r="B1363" t="s">
        <v>37</v>
      </c>
      <c r="C1363">
        <v>-3415</v>
      </c>
      <c r="D1363" t="str">
        <f>VLOOKUP(B1363,Tabela_Auxiliar[],2,0)</f>
        <v>3. Custos do Produto/Mercadoria/Serviço</v>
      </c>
      <c r="E1363" t="str">
        <f>VLOOKUP(B1363,Tabela_Auxiliar[],4,0)</f>
        <v>Despesas c/ Produto</v>
      </c>
      <c r="F1363" t="str">
        <f>VLOOKUP(B1363,Tabela_Auxiliar[],3,0)</f>
        <v>Saída</v>
      </c>
      <c r="G1363" t="str">
        <f>UPPER(TEXT(Tabela_DB[[#This Row],[DATA]],"mmm"))</f>
        <v>MAR</v>
      </c>
      <c r="H1363" t="str">
        <f>UPPER(TEXT(Tabela_DB[[#This Row],[DATA]],"aaaa"))</f>
        <v>2021</v>
      </c>
    </row>
    <row r="1364" spans="1:8" x14ac:dyDescent="0.25">
      <c r="A1364" s="2">
        <v>44280</v>
      </c>
      <c r="B1364" t="s">
        <v>67</v>
      </c>
      <c r="C1364">
        <v>-1708</v>
      </c>
      <c r="D1364" t="str">
        <f>VLOOKUP(B1364,Tabela_Auxiliar[],2,0)</f>
        <v>4. Despesas Operacionais</v>
      </c>
      <c r="E1364" t="str">
        <f>VLOOKUP(B1364,Tabela_Auxiliar[],4,0)</f>
        <v>Despesa com Vendas</v>
      </c>
      <c r="F1364" t="str">
        <f>VLOOKUP(B1364,Tabela_Auxiliar[],3,0)</f>
        <v>Saída</v>
      </c>
      <c r="G1364" t="str">
        <f>UPPER(TEXT(Tabela_DB[[#This Row],[DATA]],"mmm"))</f>
        <v>MAR</v>
      </c>
      <c r="H1364" t="str">
        <f>UPPER(TEXT(Tabela_DB[[#This Row],[DATA]],"aaaa"))</f>
        <v>2021</v>
      </c>
    </row>
    <row r="1365" spans="1:8" x14ac:dyDescent="0.25">
      <c r="A1365" s="2">
        <v>44280</v>
      </c>
      <c r="B1365" t="s">
        <v>4</v>
      </c>
      <c r="C1365">
        <v>13753</v>
      </c>
      <c r="D1365" t="str">
        <f>VLOOKUP(B1365,Tabela_Auxiliar[],2,0)</f>
        <v>1. Receita Operacional Bruta</v>
      </c>
      <c r="E1365" t="str">
        <f>VLOOKUP(B1365,Tabela_Auxiliar[],4,0)</f>
        <v>Receita Bruta</v>
      </c>
      <c r="F1365" t="str">
        <f>VLOOKUP(B1365,Tabela_Auxiliar[],3,0)</f>
        <v>Entrada</v>
      </c>
      <c r="G1365" t="str">
        <f>UPPER(TEXT(Tabela_DB[[#This Row],[DATA]],"mmm"))</f>
        <v>MAR</v>
      </c>
      <c r="H1365" t="str">
        <f>UPPER(TEXT(Tabela_DB[[#This Row],[DATA]],"aaaa"))</f>
        <v>2021</v>
      </c>
    </row>
    <row r="1366" spans="1:8" x14ac:dyDescent="0.25">
      <c r="A1366" s="2">
        <v>44280</v>
      </c>
      <c r="B1366" t="s">
        <v>4</v>
      </c>
      <c r="C1366">
        <v>14704</v>
      </c>
      <c r="D1366" t="str">
        <f>VLOOKUP(B1366,Tabela_Auxiliar[],2,0)</f>
        <v>1. Receita Operacional Bruta</v>
      </c>
      <c r="E1366" t="str">
        <f>VLOOKUP(B1366,Tabela_Auxiliar[],4,0)</f>
        <v>Receita Bruta</v>
      </c>
      <c r="F1366" t="str">
        <f>VLOOKUP(B1366,Tabela_Auxiliar[],3,0)</f>
        <v>Entrada</v>
      </c>
      <c r="G1366" t="str">
        <f>UPPER(TEXT(Tabela_DB[[#This Row],[DATA]],"mmm"))</f>
        <v>MAR</v>
      </c>
      <c r="H1366" t="str">
        <f>UPPER(TEXT(Tabela_DB[[#This Row],[DATA]],"aaaa"))</f>
        <v>2021</v>
      </c>
    </row>
    <row r="1367" spans="1:8" x14ac:dyDescent="0.25">
      <c r="A1367" s="2">
        <v>44280</v>
      </c>
      <c r="B1367" t="s">
        <v>4</v>
      </c>
      <c r="C1367">
        <v>13916</v>
      </c>
      <c r="D1367" t="str">
        <f>VLOOKUP(B1367,Tabela_Auxiliar[],2,0)</f>
        <v>1. Receita Operacional Bruta</v>
      </c>
      <c r="E1367" t="str">
        <f>VLOOKUP(B1367,Tabela_Auxiliar[],4,0)</f>
        <v>Receita Bruta</v>
      </c>
      <c r="F1367" t="str">
        <f>VLOOKUP(B1367,Tabela_Auxiliar[],3,0)</f>
        <v>Entrada</v>
      </c>
      <c r="G1367" t="str">
        <f>UPPER(TEXT(Tabela_DB[[#This Row],[DATA]],"mmm"))</f>
        <v>MAR</v>
      </c>
      <c r="H1367" t="str">
        <f>UPPER(TEXT(Tabela_DB[[#This Row],[DATA]],"aaaa"))</f>
        <v>2021</v>
      </c>
    </row>
    <row r="1368" spans="1:8" x14ac:dyDescent="0.25">
      <c r="A1368" s="2">
        <v>44281</v>
      </c>
      <c r="B1368" t="s">
        <v>4</v>
      </c>
      <c r="C1368">
        <v>11746</v>
      </c>
      <c r="D1368" t="str">
        <f>VLOOKUP(B1368,Tabela_Auxiliar[],2,0)</f>
        <v>1. Receita Operacional Bruta</v>
      </c>
      <c r="E1368" t="str">
        <f>VLOOKUP(B1368,Tabela_Auxiliar[],4,0)</f>
        <v>Receita Bruta</v>
      </c>
      <c r="F1368" t="str">
        <f>VLOOKUP(B1368,Tabela_Auxiliar[],3,0)</f>
        <v>Entrada</v>
      </c>
      <c r="G1368" t="str">
        <f>UPPER(TEXT(Tabela_DB[[#This Row],[DATA]],"mmm"))</f>
        <v>MAR</v>
      </c>
      <c r="H1368" t="str">
        <f>UPPER(TEXT(Tabela_DB[[#This Row],[DATA]],"aaaa"))</f>
        <v>2021</v>
      </c>
    </row>
    <row r="1369" spans="1:8" x14ac:dyDescent="0.25">
      <c r="A1369" s="2">
        <v>44281</v>
      </c>
      <c r="B1369" t="s">
        <v>3</v>
      </c>
      <c r="C1369">
        <v>13459</v>
      </c>
      <c r="D1369" t="str">
        <f>VLOOKUP(B1369,Tabela_Auxiliar[],2,0)</f>
        <v>1. Receita Operacional Bruta</v>
      </c>
      <c r="E1369" t="str">
        <f>VLOOKUP(B1369,Tabela_Auxiliar[],4,0)</f>
        <v>Receita Bruta</v>
      </c>
      <c r="F1369" t="str">
        <f>VLOOKUP(B1369,Tabela_Auxiliar[],3,0)</f>
        <v>Entrada</v>
      </c>
      <c r="G1369" t="str">
        <f>UPPER(TEXT(Tabela_DB[[#This Row],[DATA]],"mmm"))</f>
        <v>MAR</v>
      </c>
      <c r="H1369" t="str">
        <f>UPPER(TEXT(Tabela_DB[[#This Row],[DATA]],"aaaa"))</f>
        <v>2021</v>
      </c>
    </row>
    <row r="1370" spans="1:8" x14ac:dyDescent="0.25">
      <c r="A1370" s="2">
        <v>44281</v>
      </c>
      <c r="B1370" t="s">
        <v>101</v>
      </c>
      <c r="C1370">
        <v>-1946</v>
      </c>
      <c r="D1370" t="str">
        <f>VLOOKUP(B1370,Tabela_Auxiliar[],2,0)</f>
        <v>5. Resultado Financeiro</v>
      </c>
      <c r="E1370" t="str">
        <f>VLOOKUP(B1370,Tabela_Auxiliar[],4,0)</f>
        <v>Despesa Financeira</v>
      </c>
      <c r="F1370" t="str">
        <f>VLOOKUP(B1370,Tabela_Auxiliar[],3,0)</f>
        <v>Saída</v>
      </c>
      <c r="G1370" t="str">
        <f>UPPER(TEXT(Tabela_DB[[#This Row],[DATA]],"mmm"))</f>
        <v>MAR</v>
      </c>
      <c r="H1370" t="str">
        <f>UPPER(TEXT(Tabela_DB[[#This Row],[DATA]],"aaaa"))</f>
        <v>2021</v>
      </c>
    </row>
    <row r="1371" spans="1:8" x14ac:dyDescent="0.25">
      <c r="A1371" s="2">
        <v>44281</v>
      </c>
      <c r="B1371" t="s">
        <v>4</v>
      </c>
      <c r="C1371">
        <v>13346</v>
      </c>
      <c r="D1371" t="str">
        <f>VLOOKUP(B1371,Tabela_Auxiliar[],2,0)</f>
        <v>1. Receita Operacional Bruta</v>
      </c>
      <c r="E1371" t="str">
        <f>VLOOKUP(B1371,Tabela_Auxiliar[],4,0)</f>
        <v>Receita Bruta</v>
      </c>
      <c r="F1371" t="str">
        <f>VLOOKUP(B1371,Tabela_Auxiliar[],3,0)</f>
        <v>Entrada</v>
      </c>
      <c r="G1371" t="str">
        <f>UPPER(TEXT(Tabela_DB[[#This Row],[DATA]],"mmm"))</f>
        <v>MAR</v>
      </c>
      <c r="H1371" t="str">
        <f>UPPER(TEXT(Tabela_DB[[#This Row],[DATA]],"aaaa"))</f>
        <v>2021</v>
      </c>
    </row>
    <row r="1372" spans="1:8" x14ac:dyDescent="0.25">
      <c r="A1372" s="2">
        <v>44281</v>
      </c>
      <c r="B1372" t="s">
        <v>55</v>
      </c>
      <c r="C1372">
        <v>-1628</v>
      </c>
      <c r="D1372" t="str">
        <f>VLOOKUP(B1372,Tabela_Auxiliar[],2,0)</f>
        <v>4. Despesas Operacionais</v>
      </c>
      <c r="E1372" t="str">
        <f>VLOOKUP(B1372,Tabela_Auxiliar[],4,0)</f>
        <v>Despesa com Pessoal</v>
      </c>
      <c r="F1372" t="str">
        <f>VLOOKUP(B1372,Tabela_Auxiliar[],3,0)</f>
        <v>Saída</v>
      </c>
      <c r="G1372" t="str">
        <f>UPPER(TEXT(Tabela_DB[[#This Row],[DATA]],"mmm"))</f>
        <v>MAR</v>
      </c>
      <c r="H1372" t="str">
        <f>UPPER(TEXT(Tabela_DB[[#This Row],[DATA]],"aaaa"))</f>
        <v>2021</v>
      </c>
    </row>
    <row r="1373" spans="1:8" x14ac:dyDescent="0.25">
      <c r="A1373" s="2">
        <v>44281</v>
      </c>
      <c r="B1373" t="s">
        <v>90</v>
      </c>
      <c r="C1373">
        <v>-1528</v>
      </c>
      <c r="D1373" t="str">
        <f>VLOOKUP(B1373,Tabela_Auxiliar[],2,0)</f>
        <v>4. Despesas Operacionais</v>
      </c>
      <c r="E1373" t="str">
        <f>VLOOKUP(B1373,Tabela_Auxiliar[],4,0)</f>
        <v>Despesa Tributária</v>
      </c>
      <c r="F1373" t="str">
        <f>VLOOKUP(B1373,Tabela_Auxiliar[],3,0)</f>
        <v>Saída</v>
      </c>
      <c r="G1373" t="str">
        <f>UPPER(TEXT(Tabela_DB[[#This Row],[DATA]],"mmm"))</f>
        <v>MAR</v>
      </c>
      <c r="H1373" t="str">
        <f>UPPER(TEXT(Tabela_DB[[#This Row],[DATA]],"aaaa"))</f>
        <v>2021</v>
      </c>
    </row>
    <row r="1374" spans="1:8" x14ac:dyDescent="0.25">
      <c r="A1374" s="2">
        <v>44281</v>
      </c>
      <c r="B1374" t="s">
        <v>43</v>
      </c>
      <c r="C1374">
        <v>-2445</v>
      </c>
      <c r="D1374" t="str">
        <f>VLOOKUP(B1374,Tabela_Auxiliar[],2,0)</f>
        <v>4. Despesas Operacionais</v>
      </c>
      <c r="E1374" t="str">
        <f>VLOOKUP(B1374,Tabela_Auxiliar[],4,0)</f>
        <v>Despesa com Pessoal</v>
      </c>
      <c r="F1374" t="str">
        <f>VLOOKUP(B1374,Tabela_Auxiliar[],3,0)</f>
        <v>Saída</v>
      </c>
      <c r="G1374" t="str">
        <f>UPPER(TEXT(Tabela_DB[[#This Row],[DATA]],"mmm"))</f>
        <v>MAR</v>
      </c>
      <c r="H1374" t="str">
        <f>UPPER(TEXT(Tabela_DB[[#This Row],[DATA]],"aaaa"))</f>
        <v>2021</v>
      </c>
    </row>
    <row r="1375" spans="1:8" x14ac:dyDescent="0.25">
      <c r="A1375" s="2">
        <v>44281</v>
      </c>
      <c r="B1375" t="s">
        <v>37</v>
      </c>
      <c r="C1375">
        <v>-4668</v>
      </c>
      <c r="D1375" t="str">
        <f>VLOOKUP(B1375,Tabela_Auxiliar[],2,0)</f>
        <v>3. Custos do Produto/Mercadoria/Serviço</v>
      </c>
      <c r="E1375" t="str">
        <f>VLOOKUP(B1375,Tabela_Auxiliar[],4,0)</f>
        <v>Despesas c/ Produto</v>
      </c>
      <c r="F1375" t="str">
        <f>VLOOKUP(B1375,Tabela_Auxiliar[],3,0)</f>
        <v>Saída</v>
      </c>
      <c r="G1375" t="str">
        <f>UPPER(TEXT(Tabela_DB[[#This Row],[DATA]],"mmm"))</f>
        <v>MAR</v>
      </c>
      <c r="H1375" t="str">
        <f>UPPER(TEXT(Tabela_DB[[#This Row],[DATA]],"aaaa"))</f>
        <v>2021</v>
      </c>
    </row>
    <row r="1376" spans="1:8" x14ac:dyDescent="0.25">
      <c r="A1376" s="2">
        <v>44281</v>
      </c>
      <c r="B1376" t="s">
        <v>34</v>
      </c>
      <c r="C1376">
        <v>-1948</v>
      </c>
      <c r="D1376" t="str">
        <f>VLOOKUP(B1376,Tabela_Auxiliar[],2,0)</f>
        <v>2. Deduções da Receita</v>
      </c>
      <c r="E1376" t="str">
        <f>VLOOKUP(B1376,Tabela_Auxiliar[],4,0)</f>
        <v>Imposto</v>
      </c>
      <c r="F1376" t="str">
        <f>VLOOKUP(B1376,Tabela_Auxiliar[],3,0)</f>
        <v>Saída</v>
      </c>
      <c r="G1376" t="str">
        <f>UPPER(TEXT(Tabela_DB[[#This Row],[DATA]],"mmm"))</f>
        <v>MAR</v>
      </c>
      <c r="H1376" t="str">
        <f>UPPER(TEXT(Tabela_DB[[#This Row],[DATA]],"aaaa"))</f>
        <v>2021</v>
      </c>
    </row>
    <row r="1377" spans="1:8" x14ac:dyDescent="0.25">
      <c r="A1377" s="2">
        <v>44281</v>
      </c>
      <c r="B1377" t="s">
        <v>4</v>
      </c>
      <c r="C1377">
        <v>13950</v>
      </c>
      <c r="D1377" t="str">
        <f>VLOOKUP(B1377,Tabela_Auxiliar[],2,0)</f>
        <v>1. Receita Operacional Bruta</v>
      </c>
      <c r="E1377" t="str">
        <f>VLOOKUP(B1377,Tabela_Auxiliar[],4,0)</f>
        <v>Receita Bruta</v>
      </c>
      <c r="F1377" t="str">
        <f>VLOOKUP(B1377,Tabela_Auxiliar[],3,0)</f>
        <v>Entrada</v>
      </c>
      <c r="G1377" t="str">
        <f>UPPER(TEXT(Tabela_DB[[#This Row],[DATA]],"mmm"))</f>
        <v>MAR</v>
      </c>
      <c r="H1377" t="str">
        <f>UPPER(TEXT(Tabela_DB[[#This Row],[DATA]],"aaaa"))</f>
        <v>2021</v>
      </c>
    </row>
    <row r="1378" spans="1:8" x14ac:dyDescent="0.25">
      <c r="A1378" s="2">
        <v>44281</v>
      </c>
      <c r="B1378" t="s">
        <v>35</v>
      </c>
      <c r="C1378">
        <v>-1861</v>
      </c>
      <c r="D1378" t="str">
        <f>VLOOKUP(B1378,Tabela_Auxiliar[],2,0)</f>
        <v>2. Deduções da Receita</v>
      </c>
      <c r="E1378" t="str">
        <f>VLOOKUP(B1378,Tabela_Auxiliar[],4,0)</f>
        <v>Imposto</v>
      </c>
      <c r="F1378" t="str">
        <f>VLOOKUP(B1378,Tabela_Auxiliar[],3,0)</f>
        <v>Saída</v>
      </c>
      <c r="G1378" t="str">
        <f>UPPER(TEXT(Tabela_DB[[#This Row],[DATA]],"mmm"))</f>
        <v>MAR</v>
      </c>
      <c r="H1378" t="str">
        <f>UPPER(TEXT(Tabela_DB[[#This Row],[DATA]],"aaaa"))</f>
        <v>2021</v>
      </c>
    </row>
    <row r="1379" spans="1:8" x14ac:dyDescent="0.25">
      <c r="A1379" s="2">
        <v>44281</v>
      </c>
      <c r="B1379" t="s">
        <v>37</v>
      </c>
      <c r="C1379">
        <v>-2983</v>
      </c>
      <c r="D1379" t="str">
        <f>VLOOKUP(B1379,Tabela_Auxiliar[],2,0)</f>
        <v>3. Custos do Produto/Mercadoria/Serviço</v>
      </c>
      <c r="E1379" t="str">
        <f>VLOOKUP(B1379,Tabela_Auxiliar[],4,0)</f>
        <v>Despesas c/ Produto</v>
      </c>
      <c r="F1379" t="str">
        <f>VLOOKUP(B1379,Tabela_Auxiliar[],3,0)</f>
        <v>Saída</v>
      </c>
      <c r="G1379" t="str">
        <f>UPPER(TEXT(Tabela_DB[[#This Row],[DATA]],"mmm"))</f>
        <v>MAR</v>
      </c>
      <c r="H1379" t="str">
        <f>UPPER(TEXT(Tabela_DB[[#This Row],[DATA]],"aaaa"))</f>
        <v>2021</v>
      </c>
    </row>
    <row r="1380" spans="1:8" x14ac:dyDescent="0.25">
      <c r="A1380" s="2">
        <v>44281</v>
      </c>
      <c r="B1380" t="s">
        <v>38</v>
      </c>
      <c r="C1380">
        <v>-2082</v>
      </c>
      <c r="D1380" t="str">
        <f>VLOOKUP(B1380,Tabela_Auxiliar[],2,0)</f>
        <v>2. Deduções da Receita</v>
      </c>
      <c r="E1380" t="str">
        <f>VLOOKUP(B1380,Tabela_Auxiliar[],4,0)</f>
        <v>Deduções</v>
      </c>
      <c r="F1380" t="str">
        <f>VLOOKUP(B1380,Tabela_Auxiliar[],3,0)</f>
        <v>Saída</v>
      </c>
      <c r="G1380" t="str">
        <f>UPPER(TEXT(Tabela_DB[[#This Row],[DATA]],"mmm"))</f>
        <v>MAR</v>
      </c>
      <c r="H1380" t="str">
        <f>UPPER(TEXT(Tabela_DB[[#This Row],[DATA]],"aaaa"))</f>
        <v>2021</v>
      </c>
    </row>
    <row r="1381" spans="1:8" x14ac:dyDescent="0.25">
      <c r="A1381" s="2">
        <v>44281</v>
      </c>
      <c r="B1381" t="s">
        <v>111</v>
      </c>
      <c r="C1381">
        <v>-2264</v>
      </c>
      <c r="D1381" t="str">
        <f>VLOOKUP(B1381,Tabela_Auxiliar[],2,0)</f>
        <v>2. Deduções da Receita</v>
      </c>
      <c r="E1381" t="str">
        <f>VLOOKUP(B1381,Tabela_Auxiliar[],4,0)</f>
        <v>Imposto</v>
      </c>
      <c r="F1381" t="str">
        <f>VLOOKUP(B1381,Tabela_Auxiliar[],3,0)</f>
        <v>Saída</v>
      </c>
      <c r="G1381" t="str">
        <f>UPPER(TEXT(Tabela_DB[[#This Row],[DATA]],"mmm"))</f>
        <v>MAR</v>
      </c>
      <c r="H1381" t="str">
        <f>UPPER(TEXT(Tabela_DB[[#This Row],[DATA]],"aaaa"))</f>
        <v>2021</v>
      </c>
    </row>
    <row r="1382" spans="1:8" x14ac:dyDescent="0.25">
      <c r="A1382" s="2">
        <v>44281</v>
      </c>
      <c r="B1382" t="s">
        <v>34</v>
      </c>
      <c r="C1382">
        <v>-2182</v>
      </c>
      <c r="D1382" t="str">
        <f>VLOOKUP(B1382,Tabela_Auxiliar[],2,0)</f>
        <v>2. Deduções da Receita</v>
      </c>
      <c r="E1382" t="str">
        <f>VLOOKUP(B1382,Tabela_Auxiliar[],4,0)</f>
        <v>Imposto</v>
      </c>
      <c r="F1382" t="str">
        <f>VLOOKUP(B1382,Tabela_Auxiliar[],3,0)</f>
        <v>Saída</v>
      </c>
      <c r="G1382" t="str">
        <f>UPPER(TEXT(Tabela_DB[[#This Row],[DATA]],"mmm"))</f>
        <v>MAR</v>
      </c>
      <c r="H1382" t="str">
        <f>UPPER(TEXT(Tabela_DB[[#This Row],[DATA]],"aaaa"))</f>
        <v>2021</v>
      </c>
    </row>
    <row r="1383" spans="1:8" x14ac:dyDescent="0.25">
      <c r="A1383" s="2">
        <v>44281</v>
      </c>
      <c r="B1383" t="s">
        <v>111</v>
      </c>
      <c r="C1383">
        <v>-2106</v>
      </c>
      <c r="D1383" t="str">
        <f>VLOOKUP(B1383,Tabela_Auxiliar[],2,0)</f>
        <v>2. Deduções da Receita</v>
      </c>
      <c r="E1383" t="str">
        <f>VLOOKUP(B1383,Tabela_Auxiliar[],4,0)</f>
        <v>Imposto</v>
      </c>
      <c r="F1383" t="str">
        <f>VLOOKUP(B1383,Tabela_Auxiliar[],3,0)</f>
        <v>Saída</v>
      </c>
      <c r="G1383" t="str">
        <f>UPPER(TEXT(Tabela_DB[[#This Row],[DATA]],"mmm"))</f>
        <v>MAR</v>
      </c>
      <c r="H1383" t="str">
        <f>UPPER(TEXT(Tabela_DB[[#This Row],[DATA]],"aaaa"))</f>
        <v>2021</v>
      </c>
    </row>
    <row r="1384" spans="1:8" x14ac:dyDescent="0.25">
      <c r="A1384" s="2">
        <v>44281</v>
      </c>
      <c r="B1384" t="s">
        <v>66</v>
      </c>
      <c r="C1384">
        <v>-1811</v>
      </c>
      <c r="D1384" t="str">
        <f>VLOOKUP(B1384,Tabela_Auxiliar[],2,0)</f>
        <v>4. Despesas Operacionais</v>
      </c>
      <c r="E1384" t="str">
        <f>VLOOKUP(B1384,Tabela_Auxiliar[],4,0)</f>
        <v>Despesa com Vendas</v>
      </c>
      <c r="F1384" t="str">
        <f>VLOOKUP(B1384,Tabela_Auxiliar[],3,0)</f>
        <v>Saída</v>
      </c>
      <c r="G1384" t="str">
        <f>UPPER(TEXT(Tabela_DB[[#This Row],[DATA]],"mmm"))</f>
        <v>MAR</v>
      </c>
      <c r="H1384" t="str">
        <f>UPPER(TEXT(Tabela_DB[[#This Row],[DATA]],"aaaa"))</f>
        <v>2021</v>
      </c>
    </row>
    <row r="1385" spans="1:8" x14ac:dyDescent="0.25">
      <c r="A1385" s="2">
        <v>44281</v>
      </c>
      <c r="B1385" t="s">
        <v>45</v>
      </c>
      <c r="C1385">
        <v>-1234</v>
      </c>
      <c r="D1385" t="str">
        <f>VLOOKUP(B1385,Tabela_Auxiliar[],2,0)</f>
        <v>4. Despesas Operacionais</v>
      </c>
      <c r="E1385" t="str">
        <f>VLOOKUP(B1385,Tabela_Auxiliar[],4,0)</f>
        <v>Despesa com Pessoal</v>
      </c>
      <c r="F1385" t="str">
        <f>VLOOKUP(B1385,Tabela_Auxiliar[],3,0)</f>
        <v>Saída</v>
      </c>
      <c r="G1385" t="str">
        <f>UPPER(TEXT(Tabela_DB[[#This Row],[DATA]],"mmm"))</f>
        <v>MAR</v>
      </c>
      <c r="H1385" t="str">
        <f>UPPER(TEXT(Tabela_DB[[#This Row],[DATA]],"aaaa"))</f>
        <v>2021</v>
      </c>
    </row>
    <row r="1386" spans="1:8" x14ac:dyDescent="0.25">
      <c r="A1386" s="2">
        <v>44281</v>
      </c>
      <c r="B1386" t="s">
        <v>35</v>
      </c>
      <c r="C1386">
        <v>-1581</v>
      </c>
      <c r="D1386" t="str">
        <f>VLOOKUP(B1386,Tabela_Auxiliar[],2,0)</f>
        <v>2. Deduções da Receita</v>
      </c>
      <c r="E1386" t="str">
        <f>VLOOKUP(B1386,Tabela_Auxiliar[],4,0)</f>
        <v>Imposto</v>
      </c>
      <c r="F1386" t="str">
        <f>VLOOKUP(B1386,Tabela_Auxiliar[],3,0)</f>
        <v>Saída</v>
      </c>
      <c r="G1386" t="str">
        <f>UPPER(TEXT(Tabela_DB[[#This Row],[DATA]],"mmm"))</f>
        <v>MAR</v>
      </c>
      <c r="H1386" t="str">
        <f>UPPER(TEXT(Tabela_DB[[#This Row],[DATA]],"aaaa"))</f>
        <v>2021</v>
      </c>
    </row>
    <row r="1387" spans="1:8" x14ac:dyDescent="0.25">
      <c r="A1387" s="2">
        <v>44281</v>
      </c>
      <c r="B1387" t="s">
        <v>4</v>
      </c>
      <c r="C1387">
        <v>13468</v>
      </c>
      <c r="D1387" t="str">
        <f>VLOOKUP(B1387,Tabela_Auxiliar[],2,0)</f>
        <v>1. Receita Operacional Bruta</v>
      </c>
      <c r="E1387" t="str">
        <f>VLOOKUP(B1387,Tabela_Auxiliar[],4,0)</f>
        <v>Receita Bruta</v>
      </c>
      <c r="F1387" t="str">
        <f>VLOOKUP(B1387,Tabela_Auxiliar[],3,0)</f>
        <v>Entrada</v>
      </c>
      <c r="G1387" t="str">
        <f>UPPER(TEXT(Tabela_DB[[#This Row],[DATA]],"mmm"))</f>
        <v>MAR</v>
      </c>
      <c r="H1387" t="str">
        <f>UPPER(TEXT(Tabela_DB[[#This Row],[DATA]],"aaaa"))</f>
        <v>2021</v>
      </c>
    </row>
    <row r="1388" spans="1:8" x14ac:dyDescent="0.25">
      <c r="A1388" s="2">
        <v>44282</v>
      </c>
      <c r="B1388" t="s">
        <v>68</v>
      </c>
      <c r="C1388">
        <v>-1849</v>
      </c>
      <c r="D1388" t="str">
        <f>VLOOKUP(B1388,Tabela_Auxiliar[],2,0)</f>
        <v>4. Despesas Operacionais</v>
      </c>
      <c r="E1388" t="str">
        <f>VLOOKUP(B1388,Tabela_Auxiliar[],4,0)</f>
        <v>Despesa com Ocupação</v>
      </c>
      <c r="F1388" t="str">
        <f>VLOOKUP(B1388,Tabela_Auxiliar[],3,0)</f>
        <v>Saída</v>
      </c>
      <c r="G1388" t="str">
        <f>UPPER(TEXT(Tabela_DB[[#This Row],[DATA]],"mmm"))</f>
        <v>MAR</v>
      </c>
      <c r="H1388" t="str">
        <f>UPPER(TEXT(Tabela_DB[[#This Row],[DATA]],"aaaa"))</f>
        <v>2021</v>
      </c>
    </row>
    <row r="1389" spans="1:8" x14ac:dyDescent="0.25">
      <c r="A1389" s="2">
        <v>44282</v>
      </c>
      <c r="B1389" t="s">
        <v>90</v>
      </c>
      <c r="C1389">
        <v>-2063</v>
      </c>
      <c r="D1389" t="str">
        <f>VLOOKUP(B1389,Tabela_Auxiliar[],2,0)</f>
        <v>4. Despesas Operacionais</v>
      </c>
      <c r="E1389" t="str">
        <f>VLOOKUP(B1389,Tabela_Auxiliar[],4,0)</f>
        <v>Despesa Tributária</v>
      </c>
      <c r="F1389" t="str">
        <f>VLOOKUP(B1389,Tabela_Auxiliar[],3,0)</f>
        <v>Saída</v>
      </c>
      <c r="G1389" t="str">
        <f>UPPER(TEXT(Tabela_DB[[#This Row],[DATA]],"mmm"))</f>
        <v>MAR</v>
      </c>
      <c r="H1389" t="str">
        <f>UPPER(TEXT(Tabela_DB[[#This Row],[DATA]],"aaaa"))</f>
        <v>2021</v>
      </c>
    </row>
    <row r="1390" spans="1:8" x14ac:dyDescent="0.25">
      <c r="A1390" s="2">
        <v>44282</v>
      </c>
      <c r="B1390" t="s">
        <v>3</v>
      </c>
      <c r="C1390">
        <v>14441</v>
      </c>
      <c r="D1390" t="str">
        <f>VLOOKUP(B1390,Tabela_Auxiliar[],2,0)</f>
        <v>1. Receita Operacional Bruta</v>
      </c>
      <c r="E1390" t="str">
        <f>VLOOKUP(B1390,Tabela_Auxiliar[],4,0)</f>
        <v>Receita Bruta</v>
      </c>
      <c r="F1390" t="str">
        <f>VLOOKUP(B1390,Tabela_Auxiliar[],3,0)</f>
        <v>Entrada</v>
      </c>
      <c r="G1390" t="str">
        <f>UPPER(TEXT(Tabela_DB[[#This Row],[DATA]],"mmm"))</f>
        <v>MAR</v>
      </c>
      <c r="H1390" t="str">
        <f>UPPER(TEXT(Tabela_DB[[#This Row],[DATA]],"aaaa"))</f>
        <v>2021</v>
      </c>
    </row>
    <row r="1391" spans="1:8" x14ac:dyDescent="0.25">
      <c r="A1391" s="2">
        <v>44282</v>
      </c>
      <c r="B1391" t="s">
        <v>37</v>
      </c>
      <c r="C1391">
        <v>-3171</v>
      </c>
      <c r="D1391" t="str">
        <f>VLOOKUP(B1391,Tabela_Auxiliar[],2,0)</f>
        <v>3. Custos do Produto/Mercadoria/Serviço</v>
      </c>
      <c r="E1391" t="str">
        <f>VLOOKUP(B1391,Tabela_Auxiliar[],4,0)</f>
        <v>Despesas c/ Produto</v>
      </c>
      <c r="F1391" t="str">
        <f>VLOOKUP(B1391,Tabela_Auxiliar[],3,0)</f>
        <v>Saída</v>
      </c>
      <c r="G1391" t="str">
        <f>UPPER(TEXT(Tabela_DB[[#This Row],[DATA]],"mmm"))</f>
        <v>MAR</v>
      </c>
      <c r="H1391" t="str">
        <f>UPPER(TEXT(Tabela_DB[[#This Row],[DATA]],"aaaa"))</f>
        <v>2021</v>
      </c>
    </row>
    <row r="1392" spans="1:8" x14ac:dyDescent="0.25">
      <c r="A1392" s="2">
        <v>44282</v>
      </c>
      <c r="B1392" t="s">
        <v>68</v>
      </c>
      <c r="C1392">
        <v>-2241</v>
      </c>
      <c r="D1392" t="str">
        <f>VLOOKUP(B1392,Tabela_Auxiliar[],2,0)</f>
        <v>4. Despesas Operacionais</v>
      </c>
      <c r="E1392" t="str">
        <f>VLOOKUP(B1392,Tabela_Auxiliar[],4,0)</f>
        <v>Despesa com Ocupação</v>
      </c>
      <c r="F1392" t="str">
        <f>VLOOKUP(B1392,Tabela_Auxiliar[],3,0)</f>
        <v>Saída</v>
      </c>
      <c r="G1392" t="str">
        <f>UPPER(TEXT(Tabela_DB[[#This Row],[DATA]],"mmm"))</f>
        <v>MAR</v>
      </c>
      <c r="H1392" t="str">
        <f>UPPER(TEXT(Tabela_DB[[#This Row],[DATA]],"aaaa"))</f>
        <v>2021</v>
      </c>
    </row>
    <row r="1393" spans="1:8" x14ac:dyDescent="0.25">
      <c r="A1393" s="2">
        <v>44282</v>
      </c>
      <c r="B1393" t="s">
        <v>70</v>
      </c>
      <c r="C1393">
        <v>-2102</v>
      </c>
      <c r="D1393" t="str">
        <f>VLOOKUP(B1393,Tabela_Auxiliar[],2,0)</f>
        <v>4. Despesas Operacionais</v>
      </c>
      <c r="E1393" t="str">
        <f>VLOOKUP(B1393,Tabela_Auxiliar[],4,0)</f>
        <v>Despesa com Ocupação</v>
      </c>
      <c r="F1393" t="str">
        <f>VLOOKUP(B1393,Tabela_Auxiliar[],3,0)</f>
        <v>Saída</v>
      </c>
      <c r="G1393" t="str">
        <f>UPPER(TEXT(Tabela_DB[[#This Row],[DATA]],"mmm"))</f>
        <v>MAR</v>
      </c>
      <c r="H1393" t="str">
        <f>UPPER(TEXT(Tabela_DB[[#This Row],[DATA]],"aaaa"))</f>
        <v>2021</v>
      </c>
    </row>
    <row r="1394" spans="1:8" x14ac:dyDescent="0.25">
      <c r="A1394" s="2">
        <v>44282</v>
      </c>
      <c r="B1394" t="s">
        <v>3</v>
      </c>
      <c r="C1394">
        <v>11103</v>
      </c>
      <c r="D1394" t="str">
        <f>VLOOKUP(B1394,Tabela_Auxiliar[],2,0)</f>
        <v>1. Receita Operacional Bruta</v>
      </c>
      <c r="E1394" t="str">
        <f>VLOOKUP(B1394,Tabela_Auxiliar[],4,0)</f>
        <v>Receita Bruta</v>
      </c>
      <c r="F1394" t="str">
        <f>VLOOKUP(B1394,Tabela_Auxiliar[],3,0)</f>
        <v>Entrada</v>
      </c>
      <c r="G1394" t="str">
        <f>UPPER(TEXT(Tabela_DB[[#This Row],[DATA]],"mmm"))</f>
        <v>MAR</v>
      </c>
      <c r="H1394" t="str">
        <f>UPPER(TEXT(Tabela_DB[[#This Row],[DATA]],"aaaa"))</f>
        <v>2021</v>
      </c>
    </row>
    <row r="1395" spans="1:8" x14ac:dyDescent="0.25">
      <c r="A1395" s="2">
        <v>44282</v>
      </c>
      <c r="B1395" t="s">
        <v>66</v>
      </c>
      <c r="C1395">
        <v>-1592</v>
      </c>
      <c r="D1395" t="str">
        <f>VLOOKUP(B1395,Tabela_Auxiliar[],2,0)</f>
        <v>4. Despesas Operacionais</v>
      </c>
      <c r="E1395" t="str">
        <f>VLOOKUP(B1395,Tabela_Auxiliar[],4,0)</f>
        <v>Despesa com Vendas</v>
      </c>
      <c r="F1395" t="str">
        <f>VLOOKUP(B1395,Tabela_Auxiliar[],3,0)</f>
        <v>Saída</v>
      </c>
      <c r="G1395" t="str">
        <f>UPPER(TEXT(Tabela_DB[[#This Row],[DATA]],"mmm"))</f>
        <v>MAR</v>
      </c>
      <c r="H1395" t="str">
        <f>UPPER(TEXT(Tabela_DB[[#This Row],[DATA]],"aaaa"))</f>
        <v>2021</v>
      </c>
    </row>
    <row r="1396" spans="1:8" x14ac:dyDescent="0.25">
      <c r="A1396" s="2">
        <v>44282</v>
      </c>
      <c r="B1396" t="s">
        <v>49</v>
      </c>
      <c r="C1396">
        <v>-1596</v>
      </c>
      <c r="D1396" t="str">
        <f>VLOOKUP(B1396,Tabela_Auxiliar[],2,0)</f>
        <v>4. Despesas Operacionais</v>
      </c>
      <c r="E1396" t="str">
        <f>VLOOKUP(B1396,Tabela_Auxiliar[],4,0)</f>
        <v>Despesa com Pessoal</v>
      </c>
      <c r="F1396" t="str">
        <f>VLOOKUP(B1396,Tabela_Auxiliar[],3,0)</f>
        <v>Saída</v>
      </c>
      <c r="G1396" t="str">
        <f>UPPER(TEXT(Tabela_DB[[#This Row],[DATA]],"mmm"))</f>
        <v>MAR</v>
      </c>
      <c r="H1396" t="str">
        <f>UPPER(TEXT(Tabela_DB[[#This Row],[DATA]],"aaaa"))</f>
        <v>2021</v>
      </c>
    </row>
    <row r="1397" spans="1:8" x14ac:dyDescent="0.25">
      <c r="A1397" s="2">
        <v>44282</v>
      </c>
      <c r="B1397" t="s">
        <v>35</v>
      </c>
      <c r="C1397">
        <v>-1136</v>
      </c>
      <c r="D1397" t="str">
        <f>VLOOKUP(B1397,Tabela_Auxiliar[],2,0)</f>
        <v>2. Deduções da Receita</v>
      </c>
      <c r="E1397" t="str">
        <f>VLOOKUP(B1397,Tabela_Auxiliar[],4,0)</f>
        <v>Imposto</v>
      </c>
      <c r="F1397" t="str">
        <f>VLOOKUP(B1397,Tabela_Auxiliar[],3,0)</f>
        <v>Saída</v>
      </c>
      <c r="G1397" t="str">
        <f>UPPER(TEXT(Tabela_DB[[#This Row],[DATA]],"mmm"))</f>
        <v>MAR</v>
      </c>
      <c r="H1397" t="str">
        <f>UPPER(TEXT(Tabela_DB[[#This Row],[DATA]],"aaaa"))</f>
        <v>2021</v>
      </c>
    </row>
    <row r="1398" spans="1:8" x14ac:dyDescent="0.25">
      <c r="A1398" s="2">
        <v>44282</v>
      </c>
      <c r="B1398" t="s">
        <v>3</v>
      </c>
      <c r="C1398">
        <v>10125</v>
      </c>
      <c r="D1398" t="str">
        <f>VLOOKUP(B1398,Tabela_Auxiliar[],2,0)</f>
        <v>1. Receita Operacional Bruta</v>
      </c>
      <c r="E1398" t="str">
        <f>VLOOKUP(B1398,Tabela_Auxiliar[],4,0)</f>
        <v>Receita Bruta</v>
      </c>
      <c r="F1398" t="str">
        <f>VLOOKUP(B1398,Tabela_Auxiliar[],3,0)</f>
        <v>Entrada</v>
      </c>
      <c r="G1398" t="str">
        <f>UPPER(TEXT(Tabela_DB[[#This Row],[DATA]],"mmm"))</f>
        <v>MAR</v>
      </c>
      <c r="H1398" t="str">
        <f>UPPER(TEXT(Tabela_DB[[#This Row],[DATA]],"aaaa"))</f>
        <v>2021</v>
      </c>
    </row>
    <row r="1399" spans="1:8" x14ac:dyDescent="0.25">
      <c r="A1399" s="2">
        <v>44282</v>
      </c>
      <c r="B1399" t="s">
        <v>37</v>
      </c>
      <c r="C1399">
        <v>-4569</v>
      </c>
      <c r="D1399" t="str">
        <f>VLOOKUP(B1399,Tabela_Auxiliar[],2,0)</f>
        <v>3. Custos do Produto/Mercadoria/Serviço</v>
      </c>
      <c r="E1399" t="str">
        <f>VLOOKUP(B1399,Tabela_Auxiliar[],4,0)</f>
        <v>Despesas c/ Produto</v>
      </c>
      <c r="F1399" t="str">
        <f>VLOOKUP(B1399,Tabela_Auxiliar[],3,0)</f>
        <v>Saída</v>
      </c>
      <c r="G1399" t="str">
        <f>UPPER(TEXT(Tabela_DB[[#This Row],[DATA]],"mmm"))</f>
        <v>MAR</v>
      </c>
      <c r="H1399" t="str">
        <f>UPPER(TEXT(Tabela_DB[[#This Row],[DATA]],"aaaa"))</f>
        <v>2021</v>
      </c>
    </row>
    <row r="1400" spans="1:8" x14ac:dyDescent="0.25">
      <c r="A1400" s="2">
        <v>44282</v>
      </c>
      <c r="B1400" t="s">
        <v>4</v>
      </c>
      <c r="C1400">
        <v>12119</v>
      </c>
      <c r="D1400" t="str">
        <f>VLOOKUP(B1400,Tabela_Auxiliar[],2,0)</f>
        <v>1. Receita Operacional Bruta</v>
      </c>
      <c r="E1400" t="str">
        <f>VLOOKUP(B1400,Tabela_Auxiliar[],4,0)</f>
        <v>Receita Bruta</v>
      </c>
      <c r="F1400" t="str">
        <f>VLOOKUP(B1400,Tabela_Auxiliar[],3,0)</f>
        <v>Entrada</v>
      </c>
      <c r="G1400" t="str">
        <f>UPPER(TEXT(Tabela_DB[[#This Row],[DATA]],"mmm"))</f>
        <v>MAR</v>
      </c>
      <c r="H1400" t="str">
        <f>UPPER(TEXT(Tabela_DB[[#This Row],[DATA]],"aaaa"))</f>
        <v>2021</v>
      </c>
    </row>
    <row r="1401" spans="1:8" x14ac:dyDescent="0.25">
      <c r="A1401" s="2">
        <v>44282</v>
      </c>
      <c r="B1401" t="s">
        <v>38</v>
      </c>
      <c r="C1401">
        <v>-2043</v>
      </c>
      <c r="D1401" t="str">
        <f>VLOOKUP(B1401,Tabela_Auxiliar[],2,0)</f>
        <v>2. Deduções da Receita</v>
      </c>
      <c r="E1401" t="str">
        <f>VLOOKUP(B1401,Tabela_Auxiliar[],4,0)</f>
        <v>Deduções</v>
      </c>
      <c r="F1401" t="str">
        <f>VLOOKUP(B1401,Tabela_Auxiliar[],3,0)</f>
        <v>Saída</v>
      </c>
      <c r="G1401" t="str">
        <f>UPPER(TEXT(Tabela_DB[[#This Row],[DATA]],"mmm"))</f>
        <v>MAR</v>
      </c>
      <c r="H1401" t="str">
        <f>UPPER(TEXT(Tabela_DB[[#This Row],[DATA]],"aaaa"))</f>
        <v>2021</v>
      </c>
    </row>
    <row r="1402" spans="1:8" x14ac:dyDescent="0.25">
      <c r="A1402" s="2">
        <v>44282</v>
      </c>
      <c r="B1402" t="s">
        <v>34</v>
      </c>
      <c r="C1402">
        <v>-2026</v>
      </c>
      <c r="D1402" t="str">
        <f>VLOOKUP(B1402,Tabela_Auxiliar[],2,0)</f>
        <v>2. Deduções da Receita</v>
      </c>
      <c r="E1402" t="str">
        <f>VLOOKUP(B1402,Tabela_Auxiliar[],4,0)</f>
        <v>Imposto</v>
      </c>
      <c r="F1402" t="str">
        <f>VLOOKUP(B1402,Tabela_Auxiliar[],3,0)</f>
        <v>Saída</v>
      </c>
      <c r="G1402" t="str">
        <f>UPPER(TEXT(Tabela_DB[[#This Row],[DATA]],"mmm"))</f>
        <v>MAR</v>
      </c>
      <c r="H1402" t="str">
        <f>UPPER(TEXT(Tabela_DB[[#This Row],[DATA]],"aaaa"))</f>
        <v>2021</v>
      </c>
    </row>
    <row r="1403" spans="1:8" x14ac:dyDescent="0.25">
      <c r="A1403" s="2">
        <v>44282</v>
      </c>
      <c r="B1403" t="s">
        <v>87</v>
      </c>
      <c r="C1403">
        <v>-1596</v>
      </c>
      <c r="D1403" t="str">
        <f>VLOOKUP(B1403,Tabela_Auxiliar[],2,0)</f>
        <v>4. Despesas Operacionais</v>
      </c>
      <c r="E1403" t="str">
        <f>VLOOKUP(B1403,Tabela_Auxiliar[],4,0)</f>
        <v>Despesa Tributária</v>
      </c>
      <c r="F1403" t="str">
        <f>VLOOKUP(B1403,Tabela_Auxiliar[],3,0)</f>
        <v>Saída</v>
      </c>
      <c r="G1403" t="str">
        <f>UPPER(TEXT(Tabela_DB[[#This Row],[DATA]],"mmm"))</f>
        <v>MAR</v>
      </c>
      <c r="H1403" t="str">
        <f>UPPER(TEXT(Tabela_DB[[#This Row],[DATA]],"aaaa"))</f>
        <v>2021</v>
      </c>
    </row>
    <row r="1404" spans="1:8" x14ac:dyDescent="0.25">
      <c r="A1404" s="2">
        <v>44282</v>
      </c>
      <c r="B1404" t="s">
        <v>4</v>
      </c>
      <c r="C1404">
        <v>10412</v>
      </c>
      <c r="D1404" t="str">
        <f>VLOOKUP(B1404,Tabela_Auxiliar[],2,0)</f>
        <v>1. Receita Operacional Bruta</v>
      </c>
      <c r="E1404" t="str">
        <f>VLOOKUP(B1404,Tabela_Auxiliar[],4,0)</f>
        <v>Receita Bruta</v>
      </c>
      <c r="F1404" t="str">
        <f>VLOOKUP(B1404,Tabela_Auxiliar[],3,0)</f>
        <v>Entrada</v>
      </c>
      <c r="G1404" t="str">
        <f>UPPER(TEXT(Tabela_DB[[#This Row],[DATA]],"mmm"))</f>
        <v>MAR</v>
      </c>
      <c r="H1404" t="str">
        <f>UPPER(TEXT(Tabela_DB[[#This Row],[DATA]],"aaaa"))</f>
        <v>2021</v>
      </c>
    </row>
    <row r="1405" spans="1:8" x14ac:dyDescent="0.25">
      <c r="A1405" s="2">
        <v>44282</v>
      </c>
      <c r="B1405" t="s">
        <v>76</v>
      </c>
      <c r="C1405">
        <v>-2087</v>
      </c>
      <c r="D1405" t="str">
        <f>VLOOKUP(B1405,Tabela_Auxiliar[],2,0)</f>
        <v>4. Despesas Operacionais</v>
      </c>
      <c r="E1405" t="str">
        <f>VLOOKUP(B1405,Tabela_Auxiliar[],4,0)</f>
        <v>Serviços Contratados</v>
      </c>
      <c r="F1405" t="str">
        <f>VLOOKUP(B1405,Tabela_Auxiliar[],3,0)</f>
        <v>Saída</v>
      </c>
      <c r="G1405" t="str">
        <f>UPPER(TEXT(Tabela_DB[[#This Row],[DATA]],"mmm"))</f>
        <v>MAR</v>
      </c>
      <c r="H1405" t="str">
        <f>UPPER(TEXT(Tabela_DB[[#This Row],[DATA]],"aaaa"))</f>
        <v>2021</v>
      </c>
    </row>
    <row r="1406" spans="1:8" x14ac:dyDescent="0.25">
      <c r="A1406" s="2">
        <v>44282</v>
      </c>
      <c r="B1406" t="s">
        <v>37</v>
      </c>
      <c r="C1406">
        <v>-3325</v>
      </c>
      <c r="D1406" t="str">
        <f>VLOOKUP(B1406,Tabela_Auxiliar[],2,0)</f>
        <v>3. Custos do Produto/Mercadoria/Serviço</v>
      </c>
      <c r="E1406" t="str">
        <f>VLOOKUP(B1406,Tabela_Auxiliar[],4,0)</f>
        <v>Despesas c/ Produto</v>
      </c>
      <c r="F1406" t="str">
        <f>VLOOKUP(B1406,Tabela_Auxiliar[],3,0)</f>
        <v>Saída</v>
      </c>
      <c r="G1406" t="str">
        <f>UPPER(TEXT(Tabela_DB[[#This Row],[DATA]],"mmm"))</f>
        <v>MAR</v>
      </c>
      <c r="H1406" t="str">
        <f>UPPER(TEXT(Tabela_DB[[#This Row],[DATA]],"aaaa"))</f>
        <v>2021</v>
      </c>
    </row>
    <row r="1407" spans="1:8" x14ac:dyDescent="0.25">
      <c r="A1407" s="2">
        <v>44282</v>
      </c>
      <c r="B1407" t="s">
        <v>38</v>
      </c>
      <c r="C1407">
        <v>-2373</v>
      </c>
      <c r="D1407" t="str">
        <f>VLOOKUP(B1407,Tabela_Auxiliar[],2,0)</f>
        <v>2. Deduções da Receita</v>
      </c>
      <c r="E1407" t="str">
        <f>VLOOKUP(B1407,Tabela_Auxiliar[],4,0)</f>
        <v>Deduções</v>
      </c>
      <c r="F1407" t="str">
        <f>VLOOKUP(B1407,Tabela_Auxiliar[],3,0)</f>
        <v>Saída</v>
      </c>
      <c r="G1407" t="str">
        <f>UPPER(TEXT(Tabela_DB[[#This Row],[DATA]],"mmm"))</f>
        <v>MAR</v>
      </c>
      <c r="H1407" t="str">
        <f>UPPER(TEXT(Tabela_DB[[#This Row],[DATA]],"aaaa"))</f>
        <v>2021</v>
      </c>
    </row>
    <row r="1408" spans="1:8" x14ac:dyDescent="0.25">
      <c r="A1408" s="2">
        <v>44283</v>
      </c>
      <c r="B1408" t="s">
        <v>111</v>
      </c>
      <c r="C1408">
        <v>-1602</v>
      </c>
      <c r="D1408" t="str">
        <f>VLOOKUP(B1408,Tabela_Auxiliar[],2,0)</f>
        <v>2. Deduções da Receita</v>
      </c>
      <c r="E1408" t="str">
        <f>VLOOKUP(B1408,Tabela_Auxiliar[],4,0)</f>
        <v>Imposto</v>
      </c>
      <c r="F1408" t="str">
        <f>VLOOKUP(B1408,Tabela_Auxiliar[],3,0)</f>
        <v>Saída</v>
      </c>
      <c r="G1408" t="str">
        <f>UPPER(TEXT(Tabela_DB[[#This Row],[DATA]],"mmm"))</f>
        <v>MAR</v>
      </c>
      <c r="H1408" t="str">
        <f>UPPER(TEXT(Tabela_DB[[#This Row],[DATA]],"aaaa"))</f>
        <v>2021</v>
      </c>
    </row>
    <row r="1409" spans="1:8" x14ac:dyDescent="0.25">
      <c r="A1409" s="2">
        <v>44283</v>
      </c>
      <c r="B1409" t="s">
        <v>40</v>
      </c>
      <c r="C1409">
        <v>-2461</v>
      </c>
      <c r="D1409" t="str">
        <f>VLOOKUP(B1409,Tabela_Auxiliar[],2,0)</f>
        <v>4. Despesas Operacionais</v>
      </c>
      <c r="E1409" t="str">
        <f>VLOOKUP(B1409,Tabela_Auxiliar[],4,0)</f>
        <v>Despesa com Pessoal</v>
      </c>
      <c r="F1409" t="str">
        <f>VLOOKUP(B1409,Tabela_Auxiliar[],3,0)</f>
        <v>Saída</v>
      </c>
      <c r="G1409" t="str">
        <f>UPPER(TEXT(Tabela_DB[[#This Row],[DATA]],"mmm"))</f>
        <v>MAR</v>
      </c>
      <c r="H1409" t="str">
        <f>UPPER(TEXT(Tabela_DB[[#This Row],[DATA]],"aaaa"))</f>
        <v>2021</v>
      </c>
    </row>
    <row r="1410" spans="1:8" x14ac:dyDescent="0.25">
      <c r="A1410" s="2">
        <v>44283</v>
      </c>
      <c r="B1410" t="s">
        <v>79</v>
      </c>
      <c r="C1410">
        <v>-1747</v>
      </c>
      <c r="D1410" t="str">
        <f>VLOOKUP(B1410,Tabela_Auxiliar[],2,0)</f>
        <v>4. Despesas Operacionais</v>
      </c>
      <c r="E1410" t="str">
        <f>VLOOKUP(B1410,Tabela_Auxiliar[],4,0)</f>
        <v>Serviços Contratados</v>
      </c>
      <c r="F1410" t="str">
        <f>VLOOKUP(B1410,Tabela_Auxiliar[],3,0)</f>
        <v>Saída</v>
      </c>
      <c r="G1410" t="str">
        <f>UPPER(TEXT(Tabela_DB[[#This Row],[DATA]],"mmm"))</f>
        <v>MAR</v>
      </c>
      <c r="H1410" t="str">
        <f>UPPER(TEXT(Tabela_DB[[#This Row],[DATA]],"aaaa"))</f>
        <v>2021</v>
      </c>
    </row>
    <row r="1411" spans="1:8" x14ac:dyDescent="0.25">
      <c r="A1411" s="2">
        <v>44283</v>
      </c>
      <c r="B1411" t="s">
        <v>33</v>
      </c>
      <c r="C1411">
        <v>-2482</v>
      </c>
      <c r="D1411" t="str">
        <f>VLOOKUP(B1411,Tabela_Auxiliar[],2,0)</f>
        <v>4. Despesas Operacionais</v>
      </c>
      <c r="E1411" t="str">
        <f>VLOOKUP(B1411,Tabela_Auxiliar[],4,0)</f>
        <v>Despesa com Vendas</v>
      </c>
      <c r="F1411" t="str">
        <f>VLOOKUP(B1411,Tabela_Auxiliar[],3,0)</f>
        <v>Saída</v>
      </c>
      <c r="G1411" t="str">
        <f>UPPER(TEXT(Tabela_DB[[#This Row],[DATA]],"mmm"))</f>
        <v>MAR</v>
      </c>
      <c r="H1411" t="str">
        <f>UPPER(TEXT(Tabela_DB[[#This Row],[DATA]],"aaaa"))</f>
        <v>2021</v>
      </c>
    </row>
    <row r="1412" spans="1:8" x14ac:dyDescent="0.25">
      <c r="A1412" s="2">
        <v>44283</v>
      </c>
      <c r="B1412" t="s">
        <v>52</v>
      </c>
      <c r="C1412">
        <v>-2120</v>
      </c>
      <c r="D1412" t="str">
        <f>VLOOKUP(B1412,Tabela_Auxiliar[],2,0)</f>
        <v>4. Despesas Operacionais</v>
      </c>
      <c r="E1412" t="str">
        <f>VLOOKUP(B1412,Tabela_Auxiliar[],4,0)</f>
        <v>Despesa com Pessoal</v>
      </c>
      <c r="F1412" t="str">
        <f>VLOOKUP(B1412,Tabela_Auxiliar[],3,0)</f>
        <v>Saída</v>
      </c>
      <c r="G1412" t="str">
        <f>UPPER(TEXT(Tabela_DB[[#This Row],[DATA]],"mmm"))</f>
        <v>MAR</v>
      </c>
      <c r="H1412" t="str">
        <f>UPPER(TEXT(Tabela_DB[[#This Row],[DATA]],"aaaa"))</f>
        <v>2021</v>
      </c>
    </row>
    <row r="1413" spans="1:8" x14ac:dyDescent="0.25">
      <c r="A1413" s="2">
        <v>44283</v>
      </c>
      <c r="B1413" t="s">
        <v>111</v>
      </c>
      <c r="C1413">
        <v>-1598</v>
      </c>
      <c r="D1413" t="str">
        <f>VLOOKUP(B1413,Tabela_Auxiliar[],2,0)</f>
        <v>2. Deduções da Receita</v>
      </c>
      <c r="E1413" t="str">
        <f>VLOOKUP(B1413,Tabela_Auxiliar[],4,0)</f>
        <v>Imposto</v>
      </c>
      <c r="F1413" t="str">
        <f>VLOOKUP(B1413,Tabela_Auxiliar[],3,0)</f>
        <v>Saída</v>
      </c>
      <c r="G1413" t="str">
        <f>UPPER(TEXT(Tabela_DB[[#This Row],[DATA]],"mmm"))</f>
        <v>MAR</v>
      </c>
      <c r="H1413" t="str">
        <f>UPPER(TEXT(Tabela_DB[[#This Row],[DATA]],"aaaa"))</f>
        <v>2021</v>
      </c>
    </row>
    <row r="1414" spans="1:8" x14ac:dyDescent="0.25">
      <c r="A1414" s="2">
        <v>44283</v>
      </c>
      <c r="B1414" t="s">
        <v>37</v>
      </c>
      <c r="C1414">
        <v>-4966</v>
      </c>
      <c r="D1414" t="str">
        <f>VLOOKUP(B1414,Tabela_Auxiliar[],2,0)</f>
        <v>3. Custos do Produto/Mercadoria/Serviço</v>
      </c>
      <c r="E1414" t="str">
        <f>VLOOKUP(B1414,Tabela_Auxiliar[],4,0)</f>
        <v>Despesas c/ Produto</v>
      </c>
      <c r="F1414" t="str">
        <f>VLOOKUP(B1414,Tabela_Auxiliar[],3,0)</f>
        <v>Saída</v>
      </c>
      <c r="G1414" t="str">
        <f>UPPER(TEXT(Tabela_DB[[#This Row],[DATA]],"mmm"))</f>
        <v>MAR</v>
      </c>
      <c r="H1414" t="str">
        <f>UPPER(TEXT(Tabela_DB[[#This Row],[DATA]],"aaaa"))</f>
        <v>2021</v>
      </c>
    </row>
    <row r="1415" spans="1:8" x14ac:dyDescent="0.25">
      <c r="A1415" s="2">
        <v>44283</v>
      </c>
      <c r="B1415" t="s">
        <v>34</v>
      </c>
      <c r="C1415">
        <v>-1276</v>
      </c>
      <c r="D1415" t="str">
        <f>VLOOKUP(B1415,Tabela_Auxiliar[],2,0)</f>
        <v>2. Deduções da Receita</v>
      </c>
      <c r="E1415" t="str">
        <f>VLOOKUP(B1415,Tabela_Auxiliar[],4,0)</f>
        <v>Imposto</v>
      </c>
      <c r="F1415" t="str">
        <f>VLOOKUP(B1415,Tabela_Auxiliar[],3,0)</f>
        <v>Saída</v>
      </c>
      <c r="G1415" t="str">
        <f>UPPER(TEXT(Tabela_DB[[#This Row],[DATA]],"mmm"))</f>
        <v>MAR</v>
      </c>
      <c r="H1415" t="str">
        <f>UPPER(TEXT(Tabela_DB[[#This Row],[DATA]],"aaaa"))</f>
        <v>2021</v>
      </c>
    </row>
    <row r="1416" spans="1:8" x14ac:dyDescent="0.25">
      <c r="A1416" s="2">
        <v>44283</v>
      </c>
      <c r="B1416" t="s">
        <v>111</v>
      </c>
      <c r="C1416">
        <v>-1481</v>
      </c>
      <c r="D1416" t="str">
        <f>VLOOKUP(B1416,Tabela_Auxiliar[],2,0)</f>
        <v>2. Deduções da Receita</v>
      </c>
      <c r="E1416" t="str">
        <f>VLOOKUP(B1416,Tabela_Auxiliar[],4,0)</f>
        <v>Imposto</v>
      </c>
      <c r="F1416" t="str">
        <f>VLOOKUP(B1416,Tabela_Auxiliar[],3,0)</f>
        <v>Saída</v>
      </c>
      <c r="G1416" t="str">
        <f>UPPER(TEXT(Tabela_DB[[#This Row],[DATA]],"mmm"))</f>
        <v>MAR</v>
      </c>
      <c r="H1416" t="str">
        <f>UPPER(TEXT(Tabela_DB[[#This Row],[DATA]],"aaaa"))</f>
        <v>2021</v>
      </c>
    </row>
    <row r="1417" spans="1:8" x14ac:dyDescent="0.25">
      <c r="A1417" s="2">
        <v>44283</v>
      </c>
      <c r="B1417" t="s">
        <v>35</v>
      </c>
      <c r="C1417">
        <v>-1512</v>
      </c>
      <c r="D1417" t="str">
        <f>VLOOKUP(B1417,Tabela_Auxiliar[],2,0)</f>
        <v>2. Deduções da Receita</v>
      </c>
      <c r="E1417" t="str">
        <f>VLOOKUP(B1417,Tabela_Auxiliar[],4,0)</f>
        <v>Imposto</v>
      </c>
      <c r="F1417" t="str">
        <f>VLOOKUP(B1417,Tabela_Auxiliar[],3,0)</f>
        <v>Saída</v>
      </c>
      <c r="G1417" t="str">
        <f>UPPER(TEXT(Tabela_DB[[#This Row],[DATA]],"mmm"))</f>
        <v>MAR</v>
      </c>
      <c r="H1417" t="str">
        <f>UPPER(TEXT(Tabela_DB[[#This Row],[DATA]],"aaaa"))</f>
        <v>2021</v>
      </c>
    </row>
    <row r="1418" spans="1:8" x14ac:dyDescent="0.25">
      <c r="A1418" s="2">
        <v>44283</v>
      </c>
      <c r="B1418" t="s">
        <v>34</v>
      </c>
      <c r="C1418">
        <v>-1402</v>
      </c>
      <c r="D1418" t="str">
        <f>VLOOKUP(B1418,Tabela_Auxiliar[],2,0)</f>
        <v>2. Deduções da Receita</v>
      </c>
      <c r="E1418" t="str">
        <f>VLOOKUP(B1418,Tabela_Auxiliar[],4,0)</f>
        <v>Imposto</v>
      </c>
      <c r="F1418" t="str">
        <f>VLOOKUP(B1418,Tabela_Auxiliar[],3,0)</f>
        <v>Saída</v>
      </c>
      <c r="G1418" t="str">
        <f>UPPER(TEXT(Tabela_DB[[#This Row],[DATA]],"mmm"))</f>
        <v>MAR</v>
      </c>
      <c r="H1418" t="str">
        <f>UPPER(TEXT(Tabela_DB[[#This Row],[DATA]],"aaaa"))</f>
        <v>2021</v>
      </c>
    </row>
    <row r="1419" spans="1:8" x14ac:dyDescent="0.25">
      <c r="A1419" s="2">
        <v>44283</v>
      </c>
      <c r="B1419" t="s">
        <v>34</v>
      </c>
      <c r="C1419">
        <v>-1274</v>
      </c>
      <c r="D1419" t="str">
        <f>VLOOKUP(B1419,Tabela_Auxiliar[],2,0)</f>
        <v>2. Deduções da Receita</v>
      </c>
      <c r="E1419" t="str">
        <f>VLOOKUP(B1419,Tabela_Auxiliar[],4,0)</f>
        <v>Imposto</v>
      </c>
      <c r="F1419" t="str">
        <f>VLOOKUP(B1419,Tabela_Auxiliar[],3,0)</f>
        <v>Saída</v>
      </c>
      <c r="G1419" t="str">
        <f>UPPER(TEXT(Tabela_DB[[#This Row],[DATA]],"mmm"))</f>
        <v>MAR</v>
      </c>
      <c r="H1419" t="str">
        <f>UPPER(TEXT(Tabela_DB[[#This Row],[DATA]],"aaaa"))</f>
        <v>2021</v>
      </c>
    </row>
    <row r="1420" spans="1:8" x14ac:dyDescent="0.25">
      <c r="A1420" s="2">
        <v>44283</v>
      </c>
      <c r="B1420" t="s">
        <v>34</v>
      </c>
      <c r="C1420">
        <v>-1009</v>
      </c>
      <c r="D1420" t="str">
        <f>VLOOKUP(B1420,Tabela_Auxiliar[],2,0)</f>
        <v>2. Deduções da Receita</v>
      </c>
      <c r="E1420" t="str">
        <f>VLOOKUP(B1420,Tabela_Auxiliar[],4,0)</f>
        <v>Imposto</v>
      </c>
      <c r="F1420" t="str">
        <f>VLOOKUP(B1420,Tabela_Auxiliar[],3,0)</f>
        <v>Saída</v>
      </c>
      <c r="G1420" t="str">
        <f>UPPER(TEXT(Tabela_DB[[#This Row],[DATA]],"mmm"))</f>
        <v>MAR</v>
      </c>
      <c r="H1420" t="str">
        <f>UPPER(TEXT(Tabela_DB[[#This Row],[DATA]],"aaaa"))</f>
        <v>2021</v>
      </c>
    </row>
    <row r="1421" spans="1:8" x14ac:dyDescent="0.25">
      <c r="A1421" s="2">
        <v>44283</v>
      </c>
      <c r="B1421" t="s">
        <v>59</v>
      </c>
      <c r="C1421">
        <v>-1951</v>
      </c>
      <c r="D1421" t="str">
        <f>VLOOKUP(B1421,Tabela_Auxiliar[],2,0)</f>
        <v>4. Despesas Operacionais</v>
      </c>
      <c r="E1421" t="str">
        <f>VLOOKUP(B1421,Tabela_Auxiliar[],4,0)</f>
        <v>Despesa de Depreciação</v>
      </c>
      <c r="F1421" t="str">
        <f>VLOOKUP(B1421,Tabela_Auxiliar[],3,0)</f>
        <v>Saída</v>
      </c>
      <c r="G1421" t="str">
        <f>UPPER(TEXT(Tabela_DB[[#This Row],[DATA]],"mmm"))</f>
        <v>MAR</v>
      </c>
      <c r="H1421" t="str">
        <f>UPPER(TEXT(Tabela_DB[[#This Row],[DATA]],"aaaa"))</f>
        <v>2021</v>
      </c>
    </row>
    <row r="1422" spans="1:8" x14ac:dyDescent="0.25">
      <c r="A1422" s="2">
        <v>44283</v>
      </c>
      <c r="B1422" t="s">
        <v>37</v>
      </c>
      <c r="C1422">
        <v>-4914</v>
      </c>
      <c r="D1422" t="str">
        <f>VLOOKUP(B1422,Tabela_Auxiliar[],2,0)</f>
        <v>3. Custos do Produto/Mercadoria/Serviço</v>
      </c>
      <c r="E1422" t="str">
        <f>VLOOKUP(B1422,Tabela_Auxiliar[],4,0)</f>
        <v>Despesas c/ Produto</v>
      </c>
      <c r="F1422" t="str">
        <f>VLOOKUP(B1422,Tabela_Auxiliar[],3,0)</f>
        <v>Saída</v>
      </c>
      <c r="G1422" t="str">
        <f>UPPER(TEXT(Tabela_DB[[#This Row],[DATA]],"mmm"))</f>
        <v>MAR</v>
      </c>
      <c r="H1422" t="str">
        <f>UPPER(TEXT(Tabela_DB[[#This Row],[DATA]],"aaaa"))</f>
        <v>2021</v>
      </c>
    </row>
    <row r="1423" spans="1:8" x14ac:dyDescent="0.25">
      <c r="A1423" s="2">
        <v>44283</v>
      </c>
      <c r="B1423" t="s">
        <v>111</v>
      </c>
      <c r="C1423">
        <v>-1953</v>
      </c>
      <c r="D1423" t="str">
        <f>VLOOKUP(B1423,Tabela_Auxiliar[],2,0)</f>
        <v>2. Deduções da Receita</v>
      </c>
      <c r="E1423" t="str">
        <f>VLOOKUP(B1423,Tabela_Auxiliar[],4,0)</f>
        <v>Imposto</v>
      </c>
      <c r="F1423" t="str">
        <f>VLOOKUP(B1423,Tabela_Auxiliar[],3,0)</f>
        <v>Saída</v>
      </c>
      <c r="G1423" t="str">
        <f>UPPER(TEXT(Tabela_DB[[#This Row],[DATA]],"mmm"))</f>
        <v>MAR</v>
      </c>
      <c r="H1423" t="str">
        <f>UPPER(TEXT(Tabela_DB[[#This Row],[DATA]],"aaaa"))</f>
        <v>2021</v>
      </c>
    </row>
    <row r="1424" spans="1:8" x14ac:dyDescent="0.25">
      <c r="A1424" s="2">
        <v>44283</v>
      </c>
      <c r="B1424" t="s">
        <v>83</v>
      </c>
      <c r="C1424">
        <v>-1335</v>
      </c>
      <c r="D1424" t="str">
        <f>VLOOKUP(B1424,Tabela_Auxiliar[],2,0)</f>
        <v>4. Despesas Operacionais</v>
      </c>
      <c r="E1424" t="str">
        <f>VLOOKUP(B1424,Tabela_Auxiliar[],4,0)</f>
        <v>Despesa com Veículos</v>
      </c>
      <c r="F1424" t="str">
        <f>VLOOKUP(B1424,Tabela_Auxiliar[],3,0)</f>
        <v>Saída</v>
      </c>
      <c r="G1424" t="str">
        <f>UPPER(TEXT(Tabela_DB[[#This Row],[DATA]],"mmm"))</f>
        <v>MAR</v>
      </c>
      <c r="H1424" t="str">
        <f>UPPER(TEXT(Tabela_DB[[#This Row],[DATA]],"aaaa"))</f>
        <v>2021</v>
      </c>
    </row>
    <row r="1425" spans="1:8" x14ac:dyDescent="0.25">
      <c r="A1425" s="2">
        <v>44283</v>
      </c>
      <c r="B1425" t="s">
        <v>38</v>
      </c>
      <c r="C1425">
        <v>-1046</v>
      </c>
      <c r="D1425" t="str">
        <f>VLOOKUP(B1425,Tabela_Auxiliar[],2,0)</f>
        <v>2. Deduções da Receita</v>
      </c>
      <c r="E1425" t="str">
        <f>VLOOKUP(B1425,Tabela_Auxiliar[],4,0)</f>
        <v>Deduções</v>
      </c>
      <c r="F1425" t="str">
        <f>VLOOKUP(B1425,Tabela_Auxiliar[],3,0)</f>
        <v>Saída</v>
      </c>
      <c r="G1425" t="str">
        <f>UPPER(TEXT(Tabela_DB[[#This Row],[DATA]],"mmm"))</f>
        <v>MAR</v>
      </c>
      <c r="H1425" t="str">
        <f>UPPER(TEXT(Tabela_DB[[#This Row],[DATA]],"aaaa"))</f>
        <v>2021</v>
      </c>
    </row>
    <row r="1426" spans="1:8" x14ac:dyDescent="0.25">
      <c r="A1426" s="2">
        <v>44284</v>
      </c>
      <c r="B1426" t="s">
        <v>38</v>
      </c>
      <c r="C1426">
        <v>-1176</v>
      </c>
      <c r="D1426" t="str">
        <f>VLOOKUP(B1426,Tabela_Auxiliar[],2,0)</f>
        <v>2. Deduções da Receita</v>
      </c>
      <c r="E1426" t="str">
        <f>VLOOKUP(B1426,Tabela_Auxiliar[],4,0)</f>
        <v>Deduções</v>
      </c>
      <c r="F1426" t="str">
        <f>VLOOKUP(B1426,Tabela_Auxiliar[],3,0)</f>
        <v>Saída</v>
      </c>
      <c r="G1426" t="str">
        <f>UPPER(TEXT(Tabela_DB[[#This Row],[DATA]],"mmm"))</f>
        <v>MAR</v>
      </c>
      <c r="H1426" t="str">
        <f>UPPER(TEXT(Tabela_DB[[#This Row],[DATA]],"aaaa"))</f>
        <v>2021</v>
      </c>
    </row>
    <row r="1427" spans="1:8" x14ac:dyDescent="0.25">
      <c r="A1427" s="2">
        <v>44284</v>
      </c>
      <c r="B1427" t="s">
        <v>37</v>
      </c>
      <c r="C1427">
        <v>-2960</v>
      </c>
      <c r="D1427" t="str">
        <f>VLOOKUP(B1427,Tabela_Auxiliar[],2,0)</f>
        <v>3. Custos do Produto/Mercadoria/Serviço</v>
      </c>
      <c r="E1427" t="str">
        <f>VLOOKUP(B1427,Tabela_Auxiliar[],4,0)</f>
        <v>Despesas c/ Produto</v>
      </c>
      <c r="F1427" t="str">
        <f>VLOOKUP(B1427,Tabela_Auxiliar[],3,0)</f>
        <v>Saída</v>
      </c>
      <c r="G1427" t="str">
        <f>UPPER(TEXT(Tabela_DB[[#This Row],[DATA]],"mmm"))</f>
        <v>MAR</v>
      </c>
      <c r="H1427" t="str">
        <f>UPPER(TEXT(Tabela_DB[[#This Row],[DATA]],"aaaa"))</f>
        <v>2021</v>
      </c>
    </row>
    <row r="1428" spans="1:8" x14ac:dyDescent="0.25">
      <c r="A1428" s="2">
        <v>44284</v>
      </c>
      <c r="B1428" t="s">
        <v>50</v>
      </c>
      <c r="C1428">
        <v>-2228</v>
      </c>
      <c r="D1428" t="str">
        <f>VLOOKUP(B1428,Tabela_Auxiliar[],2,0)</f>
        <v>4. Despesas Operacionais</v>
      </c>
      <c r="E1428" t="str">
        <f>VLOOKUP(B1428,Tabela_Auxiliar[],4,0)</f>
        <v>Despesa com Pessoal</v>
      </c>
      <c r="F1428" t="str">
        <f>VLOOKUP(B1428,Tabela_Auxiliar[],3,0)</f>
        <v>Saída</v>
      </c>
      <c r="G1428" t="str">
        <f>UPPER(TEXT(Tabela_DB[[#This Row],[DATA]],"mmm"))</f>
        <v>MAR</v>
      </c>
      <c r="H1428" t="str">
        <f>UPPER(TEXT(Tabela_DB[[#This Row],[DATA]],"aaaa"))</f>
        <v>2021</v>
      </c>
    </row>
    <row r="1429" spans="1:8" x14ac:dyDescent="0.25">
      <c r="A1429" s="2">
        <v>44284</v>
      </c>
      <c r="B1429" t="s">
        <v>3</v>
      </c>
      <c r="C1429">
        <v>10883</v>
      </c>
      <c r="D1429" t="str">
        <f>VLOOKUP(B1429,Tabela_Auxiliar[],2,0)</f>
        <v>1. Receita Operacional Bruta</v>
      </c>
      <c r="E1429" t="str">
        <f>VLOOKUP(B1429,Tabela_Auxiliar[],4,0)</f>
        <v>Receita Bruta</v>
      </c>
      <c r="F1429" t="str">
        <f>VLOOKUP(B1429,Tabela_Auxiliar[],3,0)</f>
        <v>Entrada</v>
      </c>
      <c r="G1429" t="str">
        <f>UPPER(TEXT(Tabela_DB[[#This Row],[DATA]],"mmm"))</f>
        <v>MAR</v>
      </c>
      <c r="H1429" t="str">
        <f>UPPER(TEXT(Tabela_DB[[#This Row],[DATA]],"aaaa"))</f>
        <v>2021</v>
      </c>
    </row>
    <row r="1430" spans="1:8" x14ac:dyDescent="0.25">
      <c r="A1430" s="2">
        <v>44284</v>
      </c>
      <c r="B1430" t="s">
        <v>37</v>
      </c>
      <c r="C1430">
        <v>-4764</v>
      </c>
      <c r="D1430" t="str">
        <f>VLOOKUP(B1430,Tabela_Auxiliar[],2,0)</f>
        <v>3. Custos do Produto/Mercadoria/Serviço</v>
      </c>
      <c r="E1430" t="str">
        <f>VLOOKUP(B1430,Tabela_Auxiliar[],4,0)</f>
        <v>Despesas c/ Produto</v>
      </c>
      <c r="F1430" t="str">
        <f>VLOOKUP(B1430,Tabela_Auxiliar[],3,0)</f>
        <v>Saída</v>
      </c>
      <c r="G1430" t="str">
        <f>UPPER(TEXT(Tabela_DB[[#This Row],[DATA]],"mmm"))</f>
        <v>MAR</v>
      </c>
      <c r="H1430" t="str">
        <f>UPPER(TEXT(Tabela_DB[[#This Row],[DATA]],"aaaa"))</f>
        <v>2021</v>
      </c>
    </row>
    <row r="1431" spans="1:8" x14ac:dyDescent="0.25">
      <c r="A1431" s="2">
        <v>44284</v>
      </c>
      <c r="B1431" t="s">
        <v>111</v>
      </c>
      <c r="C1431">
        <v>-2427</v>
      </c>
      <c r="D1431" t="str">
        <f>VLOOKUP(B1431,Tabela_Auxiliar[],2,0)</f>
        <v>2. Deduções da Receita</v>
      </c>
      <c r="E1431" t="str">
        <f>VLOOKUP(B1431,Tabela_Auxiliar[],4,0)</f>
        <v>Imposto</v>
      </c>
      <c r="F1431" t="str">
        <f>VLOOKUP(B1431,Tabela_Auxiliar[],3,0)</f>
        <v>Saída</v>
      </c>
      <c r="G1431" t="str">
        <f>UPPER(TEXT(Tabela_DB[[#This Row],[DATA]],"mmm"))</f>
        <v>MAR</v>
      </c>
      <c r="H1431" t="str">
        <f>UPPER(TEXT(Tabela_DB[[#This Row],[DATA]],"aaaa"))</f>
        <v>2021</v>
      </c>
    </row>
    <row r="1432" spans="1:8" x14ac:dyDescent="0.25">
      <c r="A1432" s="2">
        <v>44284</v>
      </c>
      <c r="B1432" t="s">
        <v>3</v>
      </c>
      <c r="C1432">
        <v>10850</v>
      </c>
      <c r="D1432" t="str">
        <f>VLOOKUP(B1432,Tabela_Auxiliar[],2,0)</f>
        <v>1. Receita Operacional Bruta</v>
      </c>
      <c r="E1432" t="str">
        <f>VLOOKUP(B1432,Tabela_Auxiliar[],4,0)</f>
        <v>Receita Bruta</v>
      </c>
      <c r="F1432" t="str">
        <f>VLOOKUP(B1432,Tabela_Auxiliar[],3,0)</f>
        <v>Entrada</v>
      </c>
      <c r="G1432" t="str">
        <f>UPPER(TEXT(Tabela_DB[[#This Row],[DATA]],"mmm"))</f>
        <v>MAR</v>
      </c>
      <c r="H1432" t="str">
        <f>UPPER(TEXT(Tabela_DB[[#This Row],[DATA]],"aaaa"))</f>
        <v>2021</v>
      </c>
    </row>
    <row r="1433" spans="1:8" x14ac:dyDescent="0.25">
      <c r="A1433" s="2">
        <v>44284</v>
      </c>
      <c r="B1433" t="s">
        <v>37</v>
      </c>
      <c r="C1433">
        <v>-3653</v>
      </c>
      <c r="D1433" t="str">
        <f>VLOOKUP(B1433,Tabela_Auxiliar[],2,0)</f>
        <v>3. Custos do Produto/Mercadoria/Serviço</v>
      </c>
      <c r="E1433" t="str">
        <f>VLOOKUP(B1433,Tabela_Auxiliar[],4,0)</f>
        <v>Despesas c/ Produto</v>
      </c>
      <c r="F1433" t="str">
        <f>VLOOKUP(B1433,Tabela_Auxiliar[],3,0)</f>
        <v>Saída</v>
      </c>
      <c r="G1433" t="str">
        <f>UPPER(TEXT(Tabela_DB[[#This Row],[DATA]],"mmm"))</f>
        <v>MAR</v>
      </c>
      <c r="H1433" t="str">
        <f>UPPER(TEXT(Tabela_DB[[#This Row],[DATA]],"aaaa"))</f>
        <v>2021</v>
      </c>
    </row>
    <row r="1434" spans="1:8" x14ac:dyDescent="0.25">
      <c r="A1434" s="2">
        <v>44284</v>
      </c>
      <c r="B1434" t="s">
        <v>64</v>
      </c>
      <c r="C1434">
        <v>-2451</v>
      </c>
      <c r="D1434" t="str">
        <f>VLOOKUP(B1434,Tabela_Auxiliar[],2,0)</f>
        <v>4. Despesas Operacionais</v>
      </c>
      <c r="E1434" t="str">
        <f>VLOOKUP(B1434,Tabela_Auxiliar[],4,0)</f>
        <v>Despesa Gerais</v>
      </c>
      <c r="F1434" t="str">
        <f>VLOOKUP(B1434,Tabela_Auxiliar[],3,0)</f>
        <v>Saída</v>
      </c>
      <c r="G1434" t="str">
        <f>UPPER(TEXT(Tabela_DB[[#This Row],[DATA]],"mmm"))</f>
        <v>MAR</v>
      </c>
      <c r="H1434" t="str">
        <f>UPPER(TEXT(Tabela_DB[[#This Row],[DATA]],"aaaa"))</f>
        <v>2021</v>
      </c>
    </row>
    <row r="1435" spans="1:8" x14ac:dyDescent="0.25">
      <c r="A1435" s="2">
        <v>44284</v>
      </c>
      <c r="B1435" t="s">
        <v>3</v>
      </c>
      <c r="C1435">
        <v>13298</v>
      </c>
      <c r="D1435" t="str">
        <f>VLOOKUP(B1435,Tabela_Auxiliar[],2,0)</f>
        <v>1. Receita Operacional Bruta</v>
      </c>
      <c r="E1435" t="str">
        <f>VLOOKUP(B1435,Tabela_Auxiliar[],4,0)</f>
        <v>Receita Bruta</v>
      </c>
      <c r="F1435" t="str">
        <f>VLOOKUP(B1435,Tabela_Auxiliar[],3,0)</f>
        <v>Entrada</v>
      </c>
      <c r="G1435" t="str">
        <f>UPPER(TEXT(Tabela_DB[[#This Row],[DATA]],"mmm"))</f>
        <v>MAR</v>
      </c>
      <c r="H1435" t="str">
        <f>UPPER(TEXT(Tabela_DB[[#This Row],[DATA]],"aaaa"))</f>
        <v>2021</v>
      </c>
    </row>
    <row r="1436" spans="1:8" x14ac:dyDescent="0.25">
      <c r="A1436" s="2">
        <v>44284</v>
      </c>
      <c r="B1436" t="s">
        <v>58</v>
      </c>
      <c r="C1436">
        <v>-1793</v>
      </c>
      <c r="D1436" t="str">
        <f>VLOOKUP(B1436,Tabela_Auxiliar[],2,0)</f>
        <v>4. Despesas Operacionais</v>
      </c>
      <c r="E1436" t="str">
        <f>VLOOKUP(B1436,Tabela_Auxiliar[],4,0)</f>
        <v>Despesa de Depreciação</v>
      </c>
      <c r="F1436" t="str">
        <f>VLOOKUP(B1436,Tabela_Auxiliar[],3,0)</f>
        <v>Saída</v>
      </c>
      <c r="G1436" t="str">
        <f>UPPER(TEXT(Tabela_DB[[#This Row],[DATA]],"mmm"))</f>
        <v>MAR</v>
      </c>
      <c r="H1436" t="str">
        <f>UPPER(TEXT(Tabela_DB[[#This Row],[DATA]],"aaaa"))</f>
        <v>2021</v>
      </c>
    </row>
    <row r="1437" spans="1:8" x14ac:dyDescent="0.25">
      <c r="A1437" s="2">
        <v>44284</v>
      </c>
      <c r="B1437" t="s">
        <v>75</v>
      </c>
      <c r="C1437">
        <v>-1272</v>
      </c>
      <c r="D1437" t="str">
        <f>VLOOKUP(B1437,Tabela_Auxiliar[],2,0)</f>
        <v>4. Despesas Operacionais</v>
      </c>
      <c r="E1437" t="str">
        <f>VLOOKUP(B1437,Tabela_Auxiliar[],4,0)</f>
        <v>Serviços Contratados</v>
      </c>
      <c r="F1437" t="str">
        <f>VLOOKUP(B1437,Tabela_Auxiliar[],3,0)</f>
        <v>Saída</v>
      </c>
      <c r="G1437" t="str">
        <f>UPPER(TEXT(Tabela_DB[[#This Row],[DATA]],"mmm"))</f>
        <v>MAR</v>
      </c>
      <c r="H1437" t="str">
        <f>UPPER(TEXT(Tabela_DB[[#This Row],[DATA]],"aaaa"))</f>
        <v>2021</v>
      </c>
    </row>
    <row r="1438" spans="1:8" x14ac:dyDescent="0.25">
      <c r="A1438" s="2">
        <v>44284</v>
      </c>
      <c r="B1438" t="s">
        <v>34</v>
      </c>
      <c r="C1438">
        <v>-2208</v>
      </c>
      <c r="D1438" t="str">
        <f>VLOOKUP(B1438,Tabela_Auxiliar[],2,0)</f>
        <v>2. Deduções da Receita</v>
      </c>
      <c r="E1438" t="str">
        <f>VLOOKUP(B1438,Tabela_Auxiliar[],4,0)</f>
        <v>Imposto</v>
      </c>
      <c r="F1438" t="str">
        <f>VLOOKUP(B1438,Tabela_Auxiliar[],3,0)</f>
        <v>Saída</v>
      </c>
      <c r="G1438" t="str">
        <f>UPPER(TEXT(Tabela_DB[[#This Row],[DATA]],"mmm"))</f>
        <v>MAR</v>
      </c>
      <c r="H1438" t="str">
        <f>UPPER(TEXT(Tabela_DB[[#This Row],[DATA]],"aaaa"))</f>
        <v>2021</v>
      </c>
    </row>
    <row r="1439" spans="1:8" x14ac:dyDescent="0.25">
      <c r="A1439" s="2">
        <v>44284</v>
      </c>
      <c r="B1439" t="s">
        <v>37</v>
      </c>
      <c r="C1439">
        <v>-4398</v>
      </c>
      <c r="D1439" t="str">
        <f>VLOOKUP(B1439,Tabela_Auxiliar[],2,0)</f>
        <v>3. Custos do Produto/Mercadoria/Serviço</v>
      </c>
      <c r="E1439" t="str">
        <f>VLOOKUP(B1439,Tabela_Auxiliar[],4,0)</f>
        <v>Despesas c/ Produto</v>
      </c>
      <c r="F1439" t="str">
        <f>VLOOKUP(B1439,Tabela_Auxiliar[],3,0)</f>
        <v>Saída</v>
      </c>
      <c r="G1439" t="str">
        <f>UPPER(TEXT(Tabela_DB[[#This Row],[DATA]],"mmm"))</f>
        <v>MAR</v>
      </c>
      <c r="H1439" t="str">
        <f>UPPER(TEXT(Tabela_DB[[#This Row],[DATA]],"aaaa"))</f>
        <v>2021</v>
      </c>
    </row>
    <row r="1440" spans="1:8" x14ac:dyDescent="0.25">
      <c r="A1440" s="2">
        <v>44284</v>
      </c>
      <c r="B1440" t="s">
        <v>38</v>
      </c>
      <c r="C1440">
        <v>-1732</v>
      </c>
      <c r="D1440" t="str">
        <f>VLOOKUP(B1440,Tabela_Auxiliar[],2,0)</f>
        <v>2. Deduções da Receita</v>
      </c>
      <c r="E1440" t="str">
        <f>VLOOKUP(B1440,Tabela_Auxiliar[],4,0)</f>
        <v>Deduções</v>
      </c>
      <c r="F1440" t="str">
        <f>VLOOKUP(B1440,Tabela_Auxiliar[],3,0)</f>
        <v>Saída</v>
      </c>
      <c r="G1440" t="str">
        <f>UPPER(TEXT(Tabela_DB[[#This Row],[DATA]],"mmm"))</f>
        <v>MAR</v>
      </c>
      <c r="H1440" t="str">
        <f>UPPER(TEXT(Tabela_DB[[#This Row],[DATA]],"aaaa"))</f>
        <v>2021</v>
      </c>
    </row>
    <row r="1441" spans="1:8" x14ac:dyDescent="0.25">
      <c r="A1441" s="2">
        <v>44284</v>
      </c>
      <c r="B1441" t="s">
        <v>3</v>
      </c>
      <c r="C1441">
        <v>11404</v>
      </c>
      <c r="D1441" t="str">
        <f>VLOOKUP(B1441,Tabela_Auxiliar[],2,0)</f>
        <v>1. Receita Operacional Bruta</v>
      </c>
      <c r="E1441" t="str">
        <f>VLOOKUP(B1441,Tabela_Auxiliar[],4,0)</f>
        <v>Receita Bruta</v>
      </c>
      <c r="F1441" t="str">
        <f>VLOOKUP(B1441,Tabela_Auxiliar[],3,0)</f>
        <v>Entrada</v>
      </c>
      <c r="G1441" t="str">
        <f>UPPER(TEXT(Tabela_DB[[#This Row],[DATA]],"mmm"))</f>
        <v>MAR</v>
      </c>
      <c r="H1441" t="str">
        <f>UPPER(TEXT(Tabela_DB[[#This Row],[DATA]],"aaaa"))</f>
        <v>2021</v>
      </c>
    </row>
    <row r="1442" spans="1:8" x14ac:dyDescent="0.25">
      <c r="A1442" s="2">
        <v>44284</v>
      </c>
      <c r="B1442" t="s">
        <v>89</v>
      </c>
      <c r="C1442">
        <v>-1543</v>
      </c>
      <c r="D1442" t="str">
        <f>VLOOKUP(B1442,Tabela_Auxiliar[],2,0)</f>
        <v>4. Despesas Operacionais</v>
      </c>
      <c r="E1442" t="str">
        <f>VLOOKUP(B1442,Tabela_Auxiliar[],4,0)</f>
        <v>Despesa Tributária</v>
      </c>
      <c r="F1442" t="str">
        <f>VLOOKUP(B1442,Tabela_Auxiliar[],3,0)</f>
        <v>Saída</v>
      </c>
      <c r="G1442" t="str">
        <f>UPPER(TEXT(Tabela_DB[[#This Row],[DATA]],"mmm"))</f>
        <v>MAR</v>
      </c>
      <c r="H1442" t="str">
        <f>UPPER(TEXT(Tabela_DB[[#This Row],[DATA]],"aaaa"))</f>
        <v>2021</v>
      </c>
    </row>
    <row r="1443" spans="1:8" x14ac:dyDescent="0.25">
      <c r="A1443" s="2">
        <v>44284</v>
      </c>
      <c r="B1443" t="s">
        <v>35</v>
      </c>
      <c r="C1443">
        <v>-2437</v>
      </c>
      <c r="D1443" t="str">
        <f>VLOOKUP(B1443,Tabela_Auxiliar[],2,0)</f>
        <v>2. Deduções da Receita</v>
      </c>
      <c r="E1443" t="str">
        <f>VLOOKUP(B1443,Tabela_Auxiliar[],4,0)</f>
        <v>Imposto</v>
      </c>
      <c r="F1443" t="str">
        <f>VLOOKUP(B1443,Tabela_Auxiliar[],3,0)</f>
        <v>Saída</v>
      </c>
      <c r="G1443" t="str">
        <f>UPPER(TEXT(Tabela_DB[[#This Row],[DATA]],"mmm"))</f>
        <v>MAR</v>
      </c>
      <c r="H1443" t="str">
        <f>UPPER(TEXT(Tabela_DB[[#This Row],[DATA]],"aaaa"))</f>
        <v>2021</v>
      </c>
    </row>
    <row r="1444" spans="1:8" x14ac:dyDescent="0.25">
      <c r="A1444" s="2">
        <v>44284</v>
      </c>
      <c r="B1444" t="s">
        <v>34</v>
      </c>
      <c r="C1444">
        <v>-2336</v>
      </c>
      <c r="D1444" t="str">
        <f>VLOOKUP(B1444,Tabela_Auxiliar[],2,0)</f>
        <v>2. Deduções da Receita</v>
      </c>
      <c r="E1444" t="str">
        <f>VLOOKUP(B1444,Tabela_Auxiliar[],4,0)</f>
        <v>Imposto</v>
      </c>
      <c r="F1444" t="str">
        <f>VLOOKUP(B1444,Tabela_Auxiliar[],3,0)</f>
        <v>Saída</v>
      </c>
      <c r="G1444" t="str">
        <f>UPPER(TEXT(Tabela_DB[[#This Row],[DATA]],"mmm"))</f>
        <v>MAR</v>
      </c>
      <c r="H1444" t="str">
        <f>UPPER(TEXT(Tabela_DB[[#This Row],[DATA]],"aaaa"))</f>
        <v>2021</v>
      </c>
    </row>
    <row r="1445" spans="1:8" x14ac:dyDescent="0.25">
      <c r="A1445" s="2">
        <v>44284</v>
      </c>
      <c r="B1445" t="s">
        <v>71</v>
      </c>
      <c r="C1445">
        <v>-1699</v>
      </c>
      <c r="D1445" t="str">
        <f>VLOOKUP(B1445,Tabela_Auxiliar[],2,0)</f>
        <v>4. Despesas Operacionais</v>
      </c>
      <c r="E1445" t="str">
        <f>VLOOKUP(B1445,Tabela_Auxiliar[],4,0)</f>
        <v>Despesa com Ocupação</v>
      </c>
      <c r="F1445" t="str">
        <f>VLOOKUP(B1445,Tabela_Auxiliar[],3,0)</f>
        <v>Saída</v>
      </c>
      <c r="G1445" t="str">
        <f>UPPER(TEXT(Tabela_DB[[#This Row],[DATA]],"mmm"))</f>
        <v>MAR</v>
      </c>
      <c r="H1445" t="str">
        <f>UPPER(TEXT(Tabela_DB[[#This Row],[DATA]],"aaaa"))</f>
        <v>2021</v>
      </c>
    </row>
    <row r="1446" spans="1:8" x14ac:dyDescent="0.25">
      <c r="A1446" s="2">
        <v>44285</v>
      </c>
      <c r="B1446" t="s">
        <v>38</v>
      </c>
      <c r="C1446">
        <v>-1495</v>
      </c>
      <c r="D1446" t="str">
        <f>VLOOKUP(B1446,Tabela_Auxiliar[],2,0)</f>
        <v>2. Deduções da Receita</v>
      </c>
      <c r="E1446" t="str">
        <f>VLOOKUP(B1446,Tabela_Auxiliar[],4,0)</f>
        <v>Deduções</v>
      </c>
      <c r="F1446" t="str">
        <f>VLOOKUP(B1446,Tabela_Auxiliar[],3,0)</f>
        <v>Saída</v>
      </c>
      <c r="G1446" t="str">
        <f>UPPER(TEXT(Tabela_DB[[#This Row],[DATA]],"mmm"))</f>
        <v>MAR</v>
      </c>
      <c r="H1446" t="str">
        <f>UPPER(TEXT(Tabela_DB[[#This Row],[DATA]],"aaaa"))</f>
        <v>2021</v>
      </c>
    </row>
    <row r="1447" spans="1:8" x14ac:dyDescent="0.25">
      <c r="A1447" s="2">
        <v>44285</v>
      </c>
      <c r="B1447" t="s">
        <v>4</v>
      </c>
      <c r="C1447">
        <v>13760</v>
      </c>
      <c r="D1447" t="str">
        <f>VLOOKUP(B1447,Tabela_Auxiliar[],2,0)</f>
        <v>1. Receita Operacional Bruta</v>
      </c>
      <c r="E1447" t="str">
        <f>VLOOKUP(B1447,Tabela_Auxiliar[],4,0)</f>
        <v>Receita Bruta</v>
      </c>
      <c r="F1447" t="str">
        <f>VLOOKUP(B1447,Tabela_Auxiliar[],3,0)</f>
        <v>Entrada</v>
      </c>
      <c r="G1447" t="str">
        <f>UPPER(TEXT(Tabela_DB[[#This Row],[DATA]],"mmm"))</f>
        <v>MAR</v>
      </c>
      <c r="H1447" t="str">
        <f>UPPER(TEXT(Tabela_DB[[#This Row],[DATA]],"aaaa"))</f>
        <v>2021</v>
      </c>
    </row>
    <row r="1448" spans="1:8" x14ac:dyDescent="0.25">
      <c r="A1448" s="2">
        <v>44285</v>
      </c>
      <c r="B1448" t="s">
        <v>102</v>
      </c>
      <c r="C1448">
        <v>-2113</v>
      </c>
      <c r="D1448" t="str">
        <f>VLOOKUP(B1448,Tabela_Auxiliar[],2,0)</f>
        <v>6. Resultado após o Resultado Financeiro</v>
      </c>
      <c r="E1448" t="str">
        <f>VLOOKUP(B1448,Tabela_Auxiliar[],4,0)</f>
        <v>EBTIDA</v>
      </c>
      <c r="F1448" t="str">
        <f>VLOOKUP(B1448,Tabela_Auxiliar[],3,0)</f>
        <v>Saída</v>
      </c>
      <c r="G1448" t="str">
        <f>UPPER(TEXT(Tabela_DB[[#This Row],[DATA]],"mmm"))</f>
        <v>MAR</v>
      </c>
      <c r="H1448" t="str">
        <f>UPPER(TEXT(Tabela_DB[[#This Row],[DATA]],"aaaa"))</f>
        <v>2021</v>
      </c>
    </row>
    <row r="1449" spans="1:8" x14ac:dyDescent="0.25">
      <c r="A1449" s="2">
        <v>44285</v>
      </c>
      <c r="B1449" t="s">
        <v>45</v>
      </c>
      <c r="C1449">
        <v>-1138</v>
      </c>
      <c r="D1449" t="str">
        <f>VLOOKUP(B1449,Tabela_Auxiliar[],2,0)</f>
        <v>4. Despesas Operacionais</v>
      </c>
      <c r="E1449" t="str">
        <f>VLOOKUP(B1449,Tabela_Auxiliar[],4,0)</f>
        <v>Despesa com Pessoal</v>
      </c>
      <c r="F1449" t="str">
        <f>VLOOKUP(B1449,Tabela_Auxiliar[],3,0)</f>
        <v>Saída</v>
      </c>
      <c r="G1449" t="str">
        <f>UPPER(TEXT(Tabela_DB[[#This Row],[DATA]],"mmm"))</f>
        <v>MAR</v>
      </c>
      <c r="H1449" t="str">
        <f>UPPER(TEXT(Tabela_DB[[#This Row],[DATA]],"aaaa"))</f>
        <v>2021</v>
      </c>
    </row>
    <row r="1450" spans="1:8" x14ac:dyDescent="0.25">
      <c r="A1450" s="2">
        <v>44285</v>
      </c>
      <c r="B1450" t="s">
        <v>4</v>
      </c>
      <c r="C1450">
        <v>14939</v>
      </c>
      <c r="D1450" t="str">
        <f>VLOOKUP(B1450,Tabela_Auxiliar[],2,0)</f>
        <v>1. Receita Operacional Bruta</v>
      </c>
      <c r="E1450" t="str">
        <f>VLOOKUP(B1450,Tabela_Auxiliar[],4,0)</f>
        <v>Receita Bruta</v>
      </c>
      <c r="F1450" t="str">
        <f>VLOOKUP(B1450,Tabela_Auxiliar[],3,0)</f>
        <v>Entrada</v>
      </c>
      <c r="G1450" t="str">
        <f>UPPER(TEXT(Tabela_DB[[#This Row],[DATA]],"mmm"))</f>
        <v>MAR</v>
      </c>
      <c r="H1450" t="str">
        <f>UPPER(TEXT(Tabela_DB[[#This Row],[DATA]],"aaaa"))</f>
        <v>2021</v>
      </c>
    </row>
    <row r="1451" spans="1:8" x14ac:dyDescent="0.25">
      <c r="A1451" s="2">
        <v>44285</v>
      </c>
      <c r="B1451" t="s">
        <v>3</v>
      </c>
      <c r="C1451">
        <v>12627</v>
      </c>
      <c r="D1451" t="str">
        <f>VLOOKUP(B1451,Tabela_Auxiliar[],2,0)</f>
        <v>1. Receita Operacional Bruta</v>
      </c>
      <c r="E1451" t="str">
        <f>VLOOKUP(B1451,Tabela_Auxiliar[],4,0)</f>
        <v>Receita Bruta</v>
      </c>
      <c r="F1451" t="str">
        <f>VLOOKUP(B1451,Tabela_Auxiliar[],3,0)</f>
        <v>Entrada</v>
      </c>
      <c r="G1451" t="str">
        <f>UPPER(TEXT(Tabela_DB[[#This Row],[DATA]],"mmm"))</f>
        <v>MAR</v>
      </c>
      <c r="H1451" t="str">
        <f>UPPER(TEXT(Tabela_DB[[#This Row],[DATA]],"aaaa"))</f>
        <v>2021</v>
      </c>
    </row>
    <row r="1452" spans="1:8" x14ac:dyDescent="0.25">
      <c r="A1452" s="2">
        <v>44285</v>
      </c>
      <c r="B1452" t="s">
        <v>70</v>
      </c>
      <c r="C1452">
        <v>-1696</v>
      </c>
      <c r="D1452" t="str">
        <f>VLOOKUP(B1452,Tabela_Auxiliar[],2,0)</f>
        <v>4. Despesas Operacionais</v>
      </c>
      <c r="E1452" t="str">
        <f>VLOOKUP(B1452,Tabela_Auxiliar[],4,0)</f>
        <v>Despesa com Ocupação</v>
      </c>
      <c r="F1452" t="str">
        <f>VLOOKUP(B1452,Tabela_Auxiliar[],3,0)</f>
        <v>Saída</v>
      </c>
      <c r="G1452" t="str">
        <f>UPPER(TEXT(Tabela_DB[[#This Row],[DATA]],"mmm"))</f>
        <v>MAR</v>
      </c>
      <c r="H1452" t="str">
        <f>UPPER(TEXT(Tabela_DB[[#This Row],[DATA]],"aaaa"))</f>
        <v>2021</v>
      </c>
    </row>
    <row r="1453" spans="1:8" x14ac:dyDescent="0.25">
      <c r="A1453" s="2">
        <v>44285</v>
      </c>
      <c r="B1453" t="s">
        <v>4</v>
      </c>
      <c r="C1453">
        <v>13752</v>
      </c>
      <c r="D1453" t="str">
        <f>VLOOKUP(B1453,Tabela_Auxiliar[],2,0)</f>
        <v>1. Receita Operacional Bruta</v>
      </c>
      <c r="E1453" t="str">
        <f>VLOOKUP(B1453,Tabela_Auxiliar[],4,0)</f>
        <v>Receita Bruta</v>
      </c>
      <c r="F1453" t="str">
        <f>VLOOKUP(B1453,Tabela_Auxiliar[],3,0)</f>
        <v>Entrada</v>
      </c>
      <c r="G1453" t="str">
        <f>UPPER(TEXT(Tabela_DB[[#This Row],[DATA]],"mmm"))</f>
        <v>MAR</v>
      </c>
      <c r="H1453" t="str">
        <f>UPPER(TEXT(Tabela_DB[[#This Row],[DATA]],"aaaa"))</f>
        <v>2021</v>
      </c>
    </row>
    <row r="1454" spans="1:8" x14ac:dyDescent="0.25">
      <c r="A1454" s="2">
        <v>44285</v>
      </c>
      <c r="B1454" t="s">
        <v>34</v>
      </c>
      <c r="C1454">
        <v>-1522</v>
      </c>
      <c r="D1454" t="str">
        <f>VLOOKUP(B1454,Tabela_Auxiliar[],2,0)</f>
        <v>2. Deduções da Receita</v>
      </c>
      <c r="E1454" t="str">
        <f>VLOOKUP(B1454,Tabela_Auxiliar[],4,0)</f>
        <v>Imposto</v>
      </c>
      <c r="F1454" t="str">
        <f>VLOOKUP(B1454,Tabela_Auxiliar[],3,0)</f>
        <v>Saída</v>
      </c>
      <c r="G1454" t="str">
        <f>UPPER(TEXT(Tabela_DB[[#This Row],[DATA]],"mmm"))</f>
        <v>MAR</v>
      </c>
      <c r="H1454" t="str">
        <f>UPPER(TEXT(Tabela_DB[[#This Row],[DATA]],"aaaa"))</f>
        <v>2021</v>
      </c>
    </row>
    <row r="1455" spans="1:8" x14ac:dyDescent="0.25">
      <c r="A1455" s="2">
        <v>44285</v>
      </c>
      <c r="B1455" t="s">
        <v>38</v>
      </c>
      <c r="C1455">
        <v>-2443</v>
      </c>
      <c r="D1455" t="str">
        <f>VLOOKUP(B1455,Tabela_Auxiliar[],2,0)</f>
        <v>2. Deduções da Receita</v>
      </c>
      <c r="E1455" t="str">
        <f>VLOOKUP(B1455,Tabela_Auxiliar[],4,0)</f>
        <v>Deduções</v>
      </c>
      <c r="F1455" t="str">
        <f>VLOOKUP(B1455,Tabela_Auxiliar[],3,0)</f>
        <v>Saída</v>
      </c>
      <c r="G1455" t="str">
        <f>UPPER(TEXT(Tabela_DB[[#This Row],[DATA]],"mmm"))</f>
        <v>MAR</v>
      </c>
      <c r="H1455" t="str">
        <f>UPPER(TEXT(Tabela_DB[[#This Row],[DATA]],"aaaa"))</f>
        <v>2021</v>
      </c>
    </row>
    <row r="1456" spans="1:8" x14ac:dyDescent="0.25">
      <c r="A1456" s="2">
        <v>44286</v>
      </c>
      <c r="B1456" t="s">
        <v>42</v>
      </c>
      <c r="C1456">
        <v>-1451</v>
      </c>
      <c r="D1456" t="str">
        <f>VLOOKUP(B1456,Tabela_Auxiliar[],2,0)</f>
        <v>4. Despesas Operacionais</v>
      </c>
      <c r="E1456" t="str">
        <f>VLOOKUP(B1456,Tabela_Auxiliar[],4,0)</f>
        <v>Despesa com Pessoal</v>
      </c>
      <c r="F1456" t="str">
        <f>VLOOKUP(B1456,Tabela_Auxiliar[],3,0)</f>
        <v>Saída</v>
      </c>
      <c r="G1456" t="str">
        <f>UPPER(TEXT(Tabela_DB[[#This Row],[DATA]],"mmm"))</f>
        <v>MAR</v>
      </c>
      <c r="H1456" t="str">
        <f>UPPER(TEXT(Tabela_DB[[#This Row],[DATA]],"aaaa"))</f>
        <v>2021</v>
      </c>
    </row>
    <row r="1457" spans="1:8" x14ac:dyDescent="0.25">
      <c r="A1457" s="2">
        <v>44286</v>
      </c>
      <c r="B1457" t="s">
        <v>4</v>
      </c>
      <c r="C1457">
        <v>12092</v>
      </c>
      <c r="D1457" t="str">
        <f>VLOOKUP(B1457,Tabela_Auxiliar[],2,0)</f>
        <v>1. Receita Operacional Bruta</v>
      </c>
      <c r="E1457" t="str">
        <f>VLOOKUP(B1457,Tabela_Auxiliar[],4,0)</f>
        <v>Receita Bruta</v>
      </c>
      <c r="F1457" t="str">
        <f>VLOOKUP(B1457,Tabela_Auxiliar[],3,0)</f>
        <v>Entrada</v>
      </c>
      <c r="G1457" t="str">
        <f>UPPER(TEXT(Tabela_DB[[#This Row],[DATA]],"mmm"))</f>
        <v>MAR</v>
      </c>
      <c r="H1457" t="str">
        <f>UPPER(TEXT(Tabela_DB[[#This Row],[DATA]],"aaaa"))</f>
        <v>2021</v>
      </c>
    </row>
    <row r="1458" spans="1:8" x14ac:dyDescent="0.25">
      <c r="A1458" s="2">
        <v>44286</v>
      </c>
      <c r="B1458" t="s">
        <v>37</v>
      </c>
      <c r="C1458">
        <v>-2869</v>
      </c>
      <c r="D1458" t="str">
        <f>VLOOKUP(B1458,Tabela_Auxiliar[],2,0)</f>
        <v>3. Custos do Produto/Mercadoria/Serviço</v>
      </c>
      <c r="E1458" t="str">
        <f>VLOOKUP(B1458,Tabela_Auxiliar[],4,0)</f>
        <v>Despesas c/ Produto</v>
      </c>
      <c r="F1458" t="str">
        <f>VLOOKUP(B1458,Tabela_Auxiliar[],3,0)</f>
        <v>Saída</v>
      </c>
      <c r="G1458" t="str">
        <f>UPPER(TEXT(Tabela_DB[[#This Row],[DATA]],"mmm"))</f>
        <v>MAR</v>
      </c>
      <c r="H1458" t="str">
        <f>UPPER(TEXT(Tabela_DB[[#This Row],[DATA]],"aaaa"))</f>
        <v>2021</v>
      </c>
    </row>
    <row r="1459" spans="1:8" x14ac:dyDescent="0.25">
      <c r="A1459" s="2">
        <v>44286</v>
      </c>
      <c r="B1459" t="s">
        <v>84</v>
      </c>
      <c r="C1459">
        <v>-1456</v>
      </c>
      <c r="D1459" t="str">
        <f>VLOOKUP(B1459,Tabela_Auxiliar[],2,0)</f>
        <v>4. Despesas Operacionais</v>
      </c>
      <c r="E1459" t="str">
        <f>VLOOKUP(B1459,Tabela_Auxiliar[],4,0)</f>
        <v>Despesa com Veículos</v>
      </c>
      <c r="F1459" t="str">
        <f>VLOOKUP(B1459,Tabela_Auxiliar[],3,0)</f>
        <v>Saída</v>
      </c>
      <c r="G1459" t="str">
        <f>UPPER(TEXT(Tabela_DB[[#This Row],[DATA]],"mmm"))</f>
        <v>MAR</v>
      </c>
      <c r="H1459" t="str">
        <f>UPPER(TEXT(Tabela_DB[[#This Row],[DATA]],"aaaa"))</f>
        <v>2021</v>
      </c>
    </row>
    <row r="1460" spans="1:8" x14ac:dyDescent="0.25">
      <c r="A1460" s="2">
        <v>44286</v>
      </c>
      <c r="B1460" t="s">
        <v>3</v>
      </c>
      <c r="C1460">
        <v>12367</v>
      </c>
      <c r="D1460" t="str">
        <f>VLOOKUP(B1460,Tabela_Auxiliar[],2,0)</f>
        <v>1. Receita Operacional Bruta</v>
      </c>
      <c r="E1460" t="str">
        <f>VLOOKUP(B1460,Tabela_Auxiliar[],4,0)</f>
        <v>Receita Bruta</v>
      </c>
      <c r="F1460" t="str">
        <f>VLOOKUP(B1460,Tabela_Auxiliar[],3,0)</f>
        <v>Entrada</v>
      </c>
      <c r="G1460" t="str">
        <f>UPPER(TEXT(Tabela_DB[[#This Row],[DATA]],"mmm"))</f>
        <v>MAR</v>
      </c>
      <c r="H1460" t="str">
        <f>UPPER(TEXT(Tabela_DB[[#This Row],[DATA]],"aaaa"))</f>
        <v>2021</v>
      </c>
    </row>
    <row r="1461" spans="1:8" x14ac:dyDescent="0.25">
      <c r="A1461" s="2">
        <v>44286</v>
      </c>
      <c r="B1461" t="s">
        <v>3</v>
      </c>
      <c r="C1461">
        <v>11396</v>
      </c>
      <c r="D1461" t="str">
        <f>VLOOKUP(B1461,Tabela_Auxiliar[],2,0)</f>
        <v>1. Receita Operacional Bruta</v>
      </c>
      <c r="E1461" t="str">
        <f>VLOOKUP(B1461,Tabela_Auxiliar[],4,0)</f>
        <v>Receita Bruta</v>
      </c>
      <c r="F1461" t="str">
        <f>VLOOKUP(B1461,Tabela_Auxiliar[],3,0)</f>
        <v>Entrada</v>
      </c>
      <c r="G1461" t="str">
        <f>UPPER(TEXT(Tabela_DB[[#This Row],[DATA]],"mmm"))</f>
        <v>MAR</v>
      </c>
      <c r="H1461" t="str">
        <f>UPPER(TEXT(Tabela_DB[[#This Row],[DATA]],"aaaa"))</f>
        <v>2021</v>
      </c>
    </row>
    <row r="1462" spans="1:8" x14ac:dyDescent="0.25">
      <c r="A1462" s="2">
        <v>44286</v>
      </c>
      <c r="B1462" t="s">
        <v>58</v>
      </c>
      <c r="C1462">
        <v>-1045</v>
      </c>
      <c r="D1462" t="str">
        <f>VLOOKUP(B1462,Tabela_Auxiliar[],2,0)</f>
        <v>4. Despesas Operacionais</v>
      </c>
      <c r="E1462" t="str">
        <f>VLOOKUP(B1462,Tabela_Auxiliar[],4,0)</f>
        <v>Despesa de Depreciação</v>
      </c>
      <c r="F1462" t="str">
        <f>VLOOKUP(B1462,Tabela_Auxiliar[],3,0)</f>
        <v>Saída</v>
      </c>
      <c r="G1462" t="str">
        <f>UPPER(TEXT(Tabela_DB[[#This Row],[DATA]],"mmm"))</f>
        <v>MAR</v>
      </c>
      <c r="H1462" t="str">
        <f>UPPER(TEXT(Tabela_DB[[#This Row],[DATA]],"aaaa"))</f>
        <v>2021</v>
      </c>
    </row>
    <row r="1463" spans="1:8" x14ac:dyDescent="0.25">
      <c r="A1463" s="2">
        <v>44286</v>
      </c>
      <c r="B1463" t="s">
        <v>84</v>
      </c>
      <c r="C1463">
        <v>-1173</v>
      </c>
      <c r="D1463" t="str">
        <f>VLOOKUP(B1463,Tabela_Auxiliar[],2,0)</f>
        <v>4. Despesas Operacionais</v>
      </c>
      <c r="E1463" t="str">
        <f>VLOOKUP(B1463,Tabela_Auxiliar[],4,0)</f>
        <v>Despesa com Veículos</v>
      </c>
      <c r="F1463" t="str">
        <f>VLOOKUP(B1463,Tabela_Auxiliar[],3,0)</f>
        <v>Saída</v>
      </c>
      <c r="G1463" t="str">
        <f>UPPER(TEXT(Tabela_DB[[#This Row],[DATA]],"mmm"))</f>
        <v>MAR</v>
      </c>
      <c r="H1463" t="str">
        <f>UPPER(TEXT(Tabela_DB[[#This Row],[DATA]],"aaaa"))</f>
        <v>2021</v>
      </c>
    </row>
    <row r="1464" spans="1:8" x14ac:dyDescent="0.25">
      <c r="A1464" s="2">
        <v>44286</v>
      </c>
      <c r="B1464" t="s">
        <v>3</v>
      </c>
      <c r="C1464">
        <v>10144</v>
      </c>
      <c r="D1464" t="str">
        <f>VLOOKUP(B1464,Tabela_Auxiliar[],2,0)</f>
        <v>1. Receita Operacional Bruta</v>
      </c>
      <c r="E1464" t="str">
        <f>VLOOKUP(B1464,Tabela_Auxiliar[],4,0)</f>
        <v>Receita Bruta</v>
      </c>
      <c r="F1464" t="str">
        <f>VLOOKUP(B1464,Tabela_Auxiliar[],3,0)</f>
        <v>Entrada</v>
      </c>
      <c r="G1464" t="str">
        <f>UPPER(TEXT(Tabela_DB[[#This Row],[DATA]],"mmm"))</f>
        <v>MAR</v>
      </c>
      <c r="H1464" t="str">
        <f>UPPER(TEXT(Tabela_DB[[#This Row],[DATA]],"aaaa"))</f>
        <v>2021</v>
      </c>
    </row>
    <row r="1465" spans="1:8" x14ac:dyDescent="0.25">
      <c r="A1465" s="2">
        <v>44286</v>
      </c>
      <c r="B1465" t="s">
        <v>4</v>
      </c>
      <c r="C1465">
        <v>11280</v>
      </c>
      <c r="D1465" t="str">
        <f>VLOOKUP(B1465,Tabela_Auxiliar[],2,0)</f>
        <v>1. Receita Operacional Bruta</v>
      </c>
      <c r="E1465" t="str">
        <f>VLOOKUP(B1465,Tabela_Auxiliar[],4,0)</f>
        <v>Receita Bruta</v>
      </c>
      <c r="F1465" t="str">
        <f>VLOOKUP(B1465,Tabela_Auxiliar[],3,0)</f>
        <v>Entrada</v>
      </c>
      <c r="G1465" t="str">
        <f>UPPER(TEXT(Tabela_DB[[#This Row],[DATA]],"mmm"))</f>
        <v>MAR</v>
      </c>
      <c r="H1465" t="str">
        <f>UPPER(TEXT(Tabela_DB[[#This Row],[DATA]],"aaaa"))</f>
        <v>2021</v>
      </c>
    </row>
    <row r="1466" spans="1:8" x14ac:dyDescent="0.25">
      <c r="A1466" s="2">
        <v>44286</v>
      </c>
      <c r="B1466" t="s">
        <v>3</v>
      </c>
      <c r="C1466">
        <v>12545</v>
      </c>
      <c r="D1466" t="str">
        <f>VLOOKUP(B1466,Tabela_Auxiliar[],2,0)</f>
        <v>1. Receita Operacional Bruta</v>
      </c>
      <c r="E1466" t="str">
        <f>VLOOKUP(B1466,Tabela_Auxiliar[],4,0)</f>
        <v>Receita Bruta</v>
      </c>
      <c r="F1466" t="str">
        <f>VLOOKUP(B1466,Tabela_Auxiliar[],3,0)</f>
        <v>Entrada</v>
      </c>
      <c r="G1466" t="str">
        <f>UPPER(TEXT(Tabela_DB[[#This Row],[DATA]],"mmm"))</f>
        <v>MAR</v>
      </c>
      <c r="H1466" t="str">
        <f>UPPER(TEXT(Tabela_DB[[#This Row],[DATA]],"aaaa"))</f>
        <v>2021</v>
      </c>
    </row>
    <row r="1467" spans="1:8" x14ac:dyDescent="0.25">
      <c r="A1467" s="2">
        <v>44286</v>
      </c>
      <c r="B1467" t="s">
        <v>37</v>
      </c>
      <c r="C1467">
        <v>-3134</v>
      </c>
      <c r="D1467" t="str">
        <f>VLOOKUP(B1467,Tabela_Auxiliar[],2,0)</f>
        <v>3. Custos do Produto/Mercadoria/Serviço</v>
      </c>
      <c r="E1467" t="str">
        <f>VLOOKUP(B1467,Tabela_Auxiliar[],4,0)</f>
        <v>Despesas c/ Produto</v>
      </c>
      <c r="F1467" t="str">
        <f>VLOOKUP(B1467,Tabela_Auxiliar[],3,0)</f>
        <v>Saída</v>
      </c>
      <c r="G1467" t="str">
        <f>UPPER(TEXT(Tabela_DB[[#This Row],[DATA]],"mmm"))</f>
        <v>MAR</v>
      </c>
      <c r="H1467" t="str">
        <f>UPPER(TEXT(Tabela_DB[[#This Row],[DATA]],"aaaa"))</f>
        <v>2021</v>
      </c>
    </row>
    <row r="1468" spans="1:8" x14ac:dyDescent="0.25">
      <c r="A1468" s="2">
        <v>44286</v>
      </c>
      <c r="B1468" t="s">
        <v>59</v>
      </c>
      <c r="C1468">
        <v>-1692</v>
      </c>
      <c r="D1468" t="str">
        <f>VLOOKUP(B1468,Tabela_Auxiliar[],2,0)</f>
        <v>4. Despesas Operacionais</v>
      </c>
      <c r="E1468" t="str">
        <f>VLOOKUP(B1468,Tabela_Auxiliar[],4,0)</f>
        <v>Despesa de Depreciação</v>
      </c>
      <c r="F1468" t="str">
        <f>VLOOKUP(B1468,Tabela_Auxiliar[],3,0)</f>
        <v>Saída</v>
      </c>
      <c r="G1468" t="str">
        <f>UPPER(TEXT(Tabela_DB[[#This Row],[DATA]],"mmm"))</f>
        <v>MAR</v>
      </c>
      <c r="H1468" t="str">
        <f>UPPER(TEXT(Tabela_DB[[#This Row],[DATA]],"aaaa"))</f>
        <v>2021</v>
      </c>
    </row>
    <row r="1469" spans="1:8" x14ac:dyDescent="0.25">
      <c r="A1469" s="2">
        <v>44286</v>
      </c>
      <c r="B1469" t="s">
        <v>70</v>
      </c>
      <c r="C1469">
        <v>-1951</v>
      </c>
      <c r="D1469" t="str">
        <f>VLOOKUP(B1469,Tabela_Auxiliar[],2,0)</f>
        <v>4. Despesas Operacionais</v>
      </c>
      <c r="E1469" t="str">
        <f>VLOOKUP(B1469,Tabela_Auxiliar[],4,0)</f>
        <v>Despesa com Ocupação</v>
      </c>
      <c r="F1469" t="str">
        <f>VLOOKUP(B1469,Tabela_Auxiliar[],3,0)</f>
        <v>Saída</v>
      </c>
      <c r="G1469" t="str">
        <f>UPPER(TEXT(Tabela_DB[[#This Row],[DATA]],"mmm"))</f>
        <v>MAR</v>
      </c>
      <c r="H1469" t="str">
        <f>UPPER(TEXT(Tabela_DB[[#This Row],[DATA]],"aaaa"))</f>
        <v>2021</v>
      </c>
    </row>
    <row r="1470" spans="1:8" x14ac:dyDescent="0.25">
      <c r="A1470" s="2">
        <v>44286</v>
      </c>
      <c r="B1470" t="s">
        <v>31</v>
      </c>
      <c r="C1470">
        <v>-1387</v>
      </c>
      <c r="D1470" t="str">
        <f>VLOOKUP(B1470,Tabela_Auxiliar[],2,0)</f>
        <v>5. Resultado Financeiro</v>
      </c>
      <c r="E1470" t="str">
        <f>VLOOKUP(B1470,Tabela_Auxiliar[],4,0)</f>
        <v>Participação nos resultados</v>
      </c>
      <c r="F1470" t="str">
        <f>VLOOKUP(B1470,Tabela_Auxiliar[],3,0)</f>
        <v>Saída</v>
      </c>
      <c r="G1470" t="str">
        <f>UPPER(TEXT(Tabela_DB[[#This Row],[DATA]],"mmm"))</f>
        <v>MAR</v>
      </c>
      <c r="H1470" t="str">
        <f>UPPER(TEXT(Tabela_DB[[#This Row],[DATA]],"aaaa"))</f>
        <v>2021</v>
      </c>
    </row>
    <row r="1471" spans="1:8" x14ac:dyDescent="0.25">
      <c r="A1471" s="2">
        <v>44286</v>
      </c>
      <c r="B1471" t="s">
        <v>38</v>
      </c>
      <c r="C1471">
        <v>-2090</v>
      </c>
      <c r="D1471" t="str">
        <f>VLOOKUP(B1471,Tabela_Auxiliar[],2,0)</f>
        <v>2. Deduções da Receita</v>
      </c>
      <c r="E1471" t="str">
        <f>VLOOKUP(B1471,Tabela_Auxiliar[],4,0)</f>
        <v>Deduções</v>
      </c>
      <c r="F1471" t="str">
        <f>VLOOKUP(B1471,Tabela_Auxiliar[],3,0)</f>
        <v>Saída</v>
      </c>
      <c r="G1471" t="str">
        <f>UPPER(TEXT(Tabela_DB[[#This Row],[DATA]],"mmm"))</f>
        <v>MAR</v>
      </c>
      <c r="H1471" t="str">
        <f>UPPER(TEXT(Tabela_DB[[#This Row],[DATA]],"aaaa"))</f>
        <v>2021</v>
      </c>
    </row>
    <row r="1472" spans="1:8" x14ac:dyDescent="0.25">
      <c r="A1472" s="2">
        <v>44286</v>
      </c>
      <c r="B1472" t="s">
        <v>42</v>
      </c>
      <c r="C1472">
        <v>-2072</v>
      </c>
      <c r="D1472" t="str">
        <f>VLOOKUP(B1472,Tabela_Auxiliar[],2,0)</f>
        <v>4. Despesas Operacionais</v>
      </c>
      <c r="E1472" t="str">
        <f>VLOOKUP(B1472,Tabela_Auxiliar[],4,0)</f>
        <v>Despesa com Pessoal</v>
      </c>
      <c r="F1472" t="str">
        <f>VLOOKUP(B1472,Tabela_Auxiliar[],3,0)</f>
        <v>Saída</v>
      </c>
      <c r="G1472" t="str">
        <f>UPPER(TEXT(Tabela_DB[[#This Row],[DATA]],"mmm"))</f>
        <v>MAR</v>
      </c>
      <c r="H1472" t="str">
        <f>UPPER(TEXT(Tabela_DB[[#This Row],[DATA]],"aaaa"))</f>
        <v>2021</v>
      </c>
    </row>
    <row r="1473" spans="1:8" x14ac:dyDescent="0.25">
      <c r="A1473" s="2">
        <v>44286</v>
      </c>
      <c r="B1473" t="s">
        <v>48</v>
      </c>
      <c r="C1473">
        <v>-2369</v>
      </c>
      <c r="D1473" t="str">
        <f>VLOOKUP(B1473,Tabela_Auxiliar[],2,0)</f>
        <v>4. Despesas Operacionais</v>
      </c>
      <c r="E1473" t="str">
        <f>VLOOKUP(B1473,Tabela_Auxiliar[],4,0)</f>
        <v>Despesa com Pessoal</v>
      </c>
      <c r="F1473" t="str">
        <f>VLOOKUP(B1473,Tabela_Auxiliar[],3,0)</f>
        <v>Saída</v>
      </c>
      <c r="G1473" t="str">
        <f>UPPER(TEXT(Tabela_DB[[#This Row],[DATA]],"mmm"))</f>
        <v>MAR</v>
      </c>
      <c r="H1473" t="str">
        <f>UPPER(TEXT(Tabela_DB[[#This Row],[DATA]],"aaaa"))</f>
        <v>2021</v>
      </c>
    </row>
    <row r="1474" spans="1:8" x14ac:dyDescent="0.25">
      <c r="A1474" s="2">
        <v>44286</v>
      </c>
      <c r="B1474" t="s">
        <v>34</v>
      </c>
      <c r="C1474">
        <v>-1139</v>
      </c>
      <c r="D1474" t="str">
        <f>VLOOKUP(B1474,Tabela_Auxiliar[],2,0)</f>
        <v>2. Deduções da Receita</v>
      </c>
      <c r="E1474" t="str">
        <f>VLOOKUP(B1474,Tabela_Auxiliar[],4,0)</f>
        <v>Imposto</v>
      </c>
      <c r="F1474" t="str">
        <f>VLOOKUP(B1474,Tabela_Auxiliar[],3,0)</f>
        <v>Saída</v>
      </c>
      <c r="G1474" t="str">
        <f>UPPER(TEXT(Tabela_DB[[#This Row],[DATA]],"mmm"))</f>
        <v>MAR</v>
      </c>
      <c r="H1474" t="str">
        <f>UPPER(TEXT(Tabela_DB[[#This Row],[DATA]],"aaaa"))</f>
        <v>2021</v>
      </c>
    </row>
    <row r="1475" spans="1:8" x14ac:dyDescent="0.25">
      <c r="A1475" s="2">
        <v>44286</v>
      </c>
      <c r="B1475" t="s">
        <v>46</v>
      </c>
      <c r="C1475">
        <v>-2121</v>
      </c>
      <c r="D1475" t="str">
        <f>VLOOKUP(B1475,Tabela_Auxiliar[],2,0)</f>
        <v>4. Despesas Operacionais</v>
      </c>
      <c r="E1475" t="str">
        <f>VLOOKUP(B1475,Tabela_Auxiliar[],4,0)</f>
        <v>Despesa com Pessoal</v>
      </c>
      <c r="F1475" t="str">
        <f>VLOOKUP(B1475,Tabela_Auxiliar[],3,0)</f>
        <v>Saída</v>
      </c>
      <c r="G1475" t="str">
        <f>UPPER(TEXT(Tabela_DB[[#This Row],[DATA]],"mmm"))</f>
        <v>MAR</v>
      </c>
      <c r="H1475" t="str">
        <f>UPPER(TEXT(Tabela_DB[[#This Row],[DATA]],"aaaa"))</f>
        <v>2021</v>
      </c>
    </row>
    <row r="1476" spans="1:8" x14ac:dyDescent="0.25">
      <c r="A1476" s="2">
        <v>44286</v>
      </c>
      <c r="B1476" t="s">
        <v>111</v>
      </c>
      <c r="C1476">
        <v>-1335</v>
      </c>
      <c r="D1476" t="str">
        <f>VLOOKUP(B1476,Tabela_Auxiliar[],2,0)</f>
        <v>2. Deduções da Receita</v>
      </c>
      <c r="E1476" t="str">
        <f>VLOOKUP(B1476,Tabela_Auxiliar[],4,0)</f>
        <v>Imposto</v>
      </c>
      <c r="F1476" t="str">
        <f>VLOOKUP(B1476,Tabela_Auxiliar[],3,0)</f>
        <v>Saída</v>
      </c>
      <c r="G1476" t="str">
        <f>UPPER(TEXT(Tabela_DB[[#This Row],[DATA]],"mmm"))</f>
        <v>MAR</v>
      </c>
      <c r="H1476" t="str">
        <f>UPPER(TEXT(Tabela_DB[[#This Row],[DATA]],"aaaa"))</f>
        <v>2021</v>
      </c>
    </row>
    <row r="1477" spans="1:8" x14ac:dyDescent="0.25">
      <c r="A1477" s="2">
        <v>44286</v>
      </c>
      <c r="B1477" t="s">
        <v>40</v>
      </c>
      <c r="C1477">
        <v>-1403</v>
      </c>
      <c r="D1477" t="str">
        <f>VLOOKUP(B1477,Tabela_Auxiliar[],2,0)</f>
        <v>4. Despesas Operacionais</v>
      </c>
      <c r="E1477" t="str">
        <f>VLOOKUP(B1477,Tabela_Auxiliar[],4,0)</f>
        <v>Despesa com Pessoal</v>
      </c>
      <c r="F1477" t="str">
        <f>VLOOKUP(B1477,Tabela_Auxiliar[],3,0)</f>
        <v>Saída</v>
      </c>
      <c r="G1477" t="str">
        <f>UPPER(TEXT(Tabela_DB[[#This Row],[DATA]],"mmm"))</f>
        <v>MAR</v>
      </c>
      <c r="H1477" t="str">
        <f>UPPER(TEXT(Tabela_DB[[#This Row],[DATA]],"aaaa"))</f>
        <v>2021</v>
      </c>
    </row>
    <row r="1478" spans="1:8" x14ac:dyDescent="0.25">
      <c r="A1478" s="2">
        <v>44286</v>
      </c>
      <c r="B1478" t="s">
        <v>78</v>
      </c>
      <c r="C1478">
        <v>-1824</v>
      </c>
      <c r="D1478" t="str">
        <f>VLOOKUP(B1478,Tabela_Auxiliar[],2,0)</f>
        <v>4. Despesas Operacionais</v>
      </c>
      <c r="E1478" t="str">
        <f>VLOOKUP(B1478,Tabela_Auxiliar[],4,0)</f>
        <v>Serviços Contratados</v>
      </c>
      <c r="F1478" t="str">
        <f>VLOOKUP(B1478,Tabela_Auxiliar[],3,0)</f>
        <v>Saída</v>
      </c>
      <c r="G1478" t="str">
        <f>UPPER(TEXT(Tabela_DB[[#This Row],[DATA]],"mmm"))</f>
        <v>MAR</v>
      </c>
      <c r="H1478" t="str">
        <f>UPPER(TEXT(Tabela_DB[[#This Row],[DATA]],"aaaa"))</f>
        <v>2021</v>
      </c>
    </row>
    <row r="1479" spans="1:8" x14ac:dyDescent="0.25">
      <c r="A1479" s="2">
        <v>44286</v>
      </c>
      <c r="B1479" t="s">
        <v>34</v>
      </c>
      <c r="C1479">
        <v>-1109</v>
      </c>
      <c r="D1479" t="str">
        <f>VLOOKUP(B1479,Tabela_Auxiliar[],2,0)</f>
        <v>2. Deduções da Receita</v>
      </c>
      <c r="E1479" t="str">
        <f>VLOOKUP(B1479,Tabela_Auxiliar[],4,0)</f>
        <v>Imposto</v>
      </c>
      <c r="F1479" t="str">
        <f>VLOOKUP(B1479,Tabela_Auxiliar[],3,0)</f>
        <v>Saída</v>
      </c>
      <c r="G1479" t="str">
        <f>UPPER(TEXT(Tabela_DB[[#This Row],[DATA]],"mmm"))</f>
        <v>MAR</v>
      </c>
      <c r="H1479" t="str">
        <f>UPPER(TEXT(Tabela_DB[[#This Row],[DATA]],"aaaa"))</f>
        <v>2021</v>
      </c>
    </row>
    <row r="1480" spans="1:8" x14ac:dyDescent="0.25">
      <c r="A1480" s="2">
        <v>44287</v>
      </c>
      <c r="B1480" t="s">
        <v>111</v>
      </c>
      <c r="C1480">
        <v>-2009</v>
      </c>
      <c r="D1480" t="str">
        <f>VLOOKUP(B1480,Tabela_Auxiliar[],2,0)</f>
        <v>2. Deduções da Receita</v>
      </c>
      <c r="E1480" t="str">
        <f>VLOOKUP(B1480,Tabela_Auxiliar[],4,0)</f>
        <v>Imposto</v>
      </c>
      <c r="F1480" t="str">
        <f>VLOOKUP(B1480,Tabela_Auxiliar[],3,0)</f>
        <v>Saída</v>
      </c>
      <c r="G1480" t="str">
        <f>UPPER(TEXT(Tabela_DB[[#This Row],[DATA]],"mmm"))</f>
        <v>ABR</v>
      </c>
      <c r="H1480" t="str">
        <f>UPPER(TEXT(Tabela_DB[[#This Row],[DATA]],"aaaa"))</f>
        <v>2021</v>
      </c>
    </row>
    <row r="1481" spans="1:8" x14ac:dyDescent="0.25">
      <c r="A1481" s="2">
        <v>44287</v>
      </c>
      <c r="B1481" t="s">
        <v>46</v>
      </c>
      <c r="C1481">
        <v>-1752</v>
      </c>
      <c r="D1481" t="str">
        <f>VLOOKUP(B1481,Tabela_Auxiliar[],2,0)</f>
        <v>4. Despesas Operacionais</v>
      </c>
      <c r="E1481" t="str">
        <f>VLOOKUP(B1481,Tabela_Auxiliar[],4,0)</f>
        <v>Despesa com Pessoal</v>
      </c>
      <c r="F1481" t="str">
        <f>VLOOKUP(B1481,Tabela_Auxiliar[],3,0)</f>
        <v>Saída</v>
      </c>
      <c r="G1481" t="str">
        <f>UPPER(TEXT(Tabela_DB[[#This Row],[DATA]],"mmm"))</f>
        <v>ABR</v>
      </c>
      <c r="H1481" t="str">
        <f>UPPER(TEXT(Tabela_DB[[#This Row],[DATA]],"aaaa"))</f>
        <v>2021</v>
      </c>
    </row>
    <row r="1482" spans="1:8" x14ac:dyDescent="0.25">
      <c r="A1482" s="2">
        <v>44287</v>
      </c>
      <c r="B1482" t="s">
        <v>4</v>
      </c>
      <c r="C1482">
        <v>11340</v>
      </c>
      <c r="D1482" t="str">
        <f>VLOOKUP(B1482,Tabela_Auxiliar[],2,0)</f>
        <v>1. Receita Operacional Bruta</v>
      </c>
      <c r="E1482" t="str">
        <f>VLOOKUP(B1482,Tabela_Auxiliar[],4,0)</f>
        <v>Receita Bruta</v>
      </c>
      <c r="F1482" t="str">
        <f>VLOOKUP(B1482,Tabela_Auxiliar[],3,0)</f>
        <v>Entrada</v>
      </c>
      <c r="G1482" t="str">
        <f>UPPER(TEXT(Tabela_DB[[#This Row],[DATA]],"mmm"))</f>
        <v>ABR</v>
      </c>
      <c r="H1482" t="str">
        <f>UPPER(TEXT(Tabela_DB[[#This Row],[DATA]],"aaaa"))</f>
        <v>2021</v>
      </c>
    </row>
    <row r="1483" spans="1:8" x14ac:dyDescent="0.25">
      <c r="A1483" s="2">
        <v>44287</v>
      </c>
      <c r="B1483" t="s">
        <v>5</v>
      </c>
      <c r="C1483">
        <v>-1789</v>
      </c>
      <c r="D1483" t="str">
        <f>VLOOKUP(B1483,Tabela_Auxiliar[],2,0)</f>
        <v>4. Despesas Operacionais</v>
      </c>
      <c r="E1483" t="str">
        <f>VLOOKUP(B1483,Tabela_Auxiliar[],4,0)</f>
        <v>Despesa com Pessoal</v>
      </c>
      <c r="F1483" t="str">
        <f>VLOOKUP(B1483,Tabela_Auxiliar[],3,0)</f>
        <v>Saída</v>
      </c>
      <c r="G1483" t="str">
        <f>UPPER(TEXT(Tabela_DB[[#This Row],[DATA]],"mmm"))</f>
        <v>ABR</v>
      </c>
      <c r="H1483" t="str">
        <f>UPPER(TEXT(Tabela_DB[[#This Row],[DATA]],"aaaa"))</f>
        <v>2021</v>
      </c>
    </row>
    <row r="1484" spans="1:8" x14ac:dyDescent="0.25">
      <c r="A1484" s="2">
        <v>44287</v>
      </c>
      <c r="B1484" t="s">
        <v>35</v>
      </c>
      <c r="C1484">
        <v>-2347</v>
      </c>
      <c r="D1484" t="str">
        <f>VLOOKUP(B1484,Tabela_Auxiliar[],2,0)</f>
        <v>2. Deduções da Receita</v>
      </c>
      <c r="E1484" t="str">
        <f>VLOOKUP(B1484,Tabela_Auxiliar[],4,0)</f>
        <v>Imposto</v>
      </c>
      <c r="F1484" t="str">
        <f>VLOOKUP(B1484,Tabela_Auxiliar[],3,0)</f>
        <v>Saída</v>
      </c>
      <c r="G1484" t="str">
        <f>UPPER(TEXT(Tabela_DB[[#This Row],[DATA]],"mmm"))</f>
        <v>ABR</v>
      </c>
      <c r="H1484" t="str">
        <f>UPPER(TEXT(Tabela_DB[[#This Row],[DATA]],"aaaa"))</f>
        <v>2021</v>
      </c>
    </row>
    <row r="1485" spans="1:8" x14ac:dyDescent="0.25">
      <c r="A1485" s="2">
        <v>44287</v>
      </c>
      <c r="B1485" t="s">
        <v>35</v>
      </c>
      <c r="C1485">
        <v>-1488</v>
      </c>
      <c r="D1485" t="str">
        <f>VLOOKUP(B1485,Tabela_Auxiliar[],2,0)</f>
        <v>2. Deduções da Receita</v>
      </c>
      <c r="E1485" t="str">
        <f>VLOOKUP(B1485,Tabela_Auxiliar[],4,0)</f>
        <v>Imposto</v>
      </c>
      <c r="F1485" t="str">
        <f>VLOOKUP(B1485,Tabela_Auxiliar[],3,0)</f>
        <v>Saída</v>
      </c>
      <c r="G1485" t="str">
        <f>UPPER(TEXT(Tabela_DB[[#This Row],[DATA]],"mmm"))</f>
        <v>ABR</v>
      </c>
      <c r="H1485" t="str">
        <f>UPPER(TEXT(Tabela_DB[[#This Row],[DATA]],"aaaa"))</f>
        <v>2021</v>
      </c>
    </row>
    <row r="1486" spans="1:8" x14ac:dyDescent="0.25">
      <c r="A1486" s="2">
        <v>44287</v>
      </c>
      <c r="B1486" t="s">
        <v>102</v>
      </c>
      <c r="C1486">
        <v>-2106</v>
      </c>
      <c r="D1486" t="str">
        <f>VLOOKUP(B1486,Tabela_Auxiliar[],2,0)</f>
        <v>6. Resultado após o Resultado Financeiro</v>
      </c>
      <c r="E1486" t="str">
        <f>VLOOKUP(B1486,Tabela_Auxiliar[],4,0)</f>
        <v>EBTIDA</v>
      </c>
      <c r="F1486" t="str">
        <f>VLOOKUP(B1486,Tabela_Auxiliar[],3,0)</f>
        <v>Saída</v>
      </c>
      <c r="G1486" t="str">
        <f>UPPER(TEXT(Tabela_DB[[#This Row],[DATA]],"mmm"))</f>
        <v>ABR</v>
      </c>
      <c r="H1486" t="str">
        <f>UPPER(TEXT(Tabela_DB[[#This Row],[DATA]],"aaaa"))</f>
        <v>2021</v>
      </c>
    </row>
    <row r="1487" spans="1:8" x14ac:dyDescent="0.25">
      <c r="A1487" s="2">
        <v>44287</v>
      </c>
      <c r="B1487" t="s">
        <v>111</v>
      </c>
      <c r="C1487">
        <v>-1716</v>
      </c>
      <c r="D1487" t="str">
        <f>VLOOKUP(B1487,Tabela_Auxiliar[],2,0)</f>
        <v>2. Deduções da Receita</v>
      </c>
      <c r="E1487" t="str">
        <f>VLOOKUP(B1487,Tabela_Auxiliar[],4,0)</f>
        <v>Imposto</v>
      </c>
      <c r="F1487" t="str">
        <f>VLOOKUP(B1487,Tabela_Auxiliar[],3,0)</f>
        <v>Saída</v>
      </c>
      <c r="G1487" t="str">
        <f>UPPER(TEXT(Tabela_DB[[#This Row],[DATA]],"mmm"))</f>
        <v>ABR</v>
      </c>
      <c r="H1487" t="str">
        <f>UPPER(TEXT(Tabela_DB[[#This Row],[DATA]],"aaaa"))</f>
        <v>2021</v>
      </c>
    </row>
    <row r="1488" spans="1:8" x14ac:dyDescent="0.25">
      <c r="A1488" s="2">
        <v>44287</v>
      </c>
      <c r="B1488" t="s">
        <v>37</v>
      </c>
      <c r="C1488">
        <v>-4204</v>
      </c>
      <c r="D1488" t="str">
        <f>VLOOKUP(B1488,Tabela_Auxiliar[],2,0)</f>
        <v>3. Custos do Produto/Mercadoria/Serviço</v>
      </c>
      <c r="E1488" t="str">
        <f>VLOOKUP(B1488,Tabela_Auxiliar[],4,0)</f>
        <v>Despesas c/ Produto</v>
      </c>
      <c r="F1488" t="str">
        <f>VLOOKUP(B1488,Tabela_Auxiliar[],3,0)</f>
        <v>Saída</v>
      </c>
      <c r="G1488" t="str">
        <f>UPPER(TEXT(Tabela_DB[[#This Row],[DATA]],"mmm"))</f>
        <v>ABR</v>
      </c>
      <c r="H1488" t="str">
        <f>UPPER(TEXT(Tabela_DB[[#This Row],[DATA]],"aaaa"))</f>
        <v>2021</v>
      </c>
    </row>
    <row r="1489" spans="1:8" x14ac:dyDescent="0.25">
      <c r="A1489" s="2">
        <v>44287</v>
      </c>
      <c r="B1489" t="s">
        <v>111</v>
      </c>
      <c r="C1489">
        <v>-1043</v>
      </c>
      <c r="D1489" t="str">
        <f>VLOOKUP(B1489,Tabela_Auxiliar[],2,0)</f>
        <v>2. Deduções da Receita</v>
      </c>
      <c r="E1489" t="str">
        <f>VLOOKUP(B1489,Tabela_Auxiliar[],4,0)</f>
        <v>Imposto</v>
      </c>
      <c r="F1489" t="str">
        <f>VLOOKUP(B1489,Tabela_Auxiliar[],3,0)</f>
        <v>Saída</v>
      </c>
      <c r="G1489" t="str">
        <f>UPPER(TEXT(Tabela_DB[[#This Row],[DATA]],"mmm"))</f>
        <v>ABR</v>
      </c>
      <c r="H1489" t="str">
        <f>UPPER(TEXT(Tabela_DB[[#This Row],[DATA]],"aaaa"))</f>
        <v>2021</v>
      </c>
    </row>
    <row r="1490" spans="1:8" x14ac:dyDescent="0.25">
      <c r="A1490" s="2">
        <v>44287</v>
      </c>
      <c r="B1490" t="s">
        <v>38</v>
      </c>
      <c r="C1490">
        <v>-1705</v>
      </c>
      <c r="D1490" t="str">
        <f>VLOOKUP(B1490,Tabela_Auxiliar[],2,0)</f>
        <v>2. Deduções da Receita</v>
      </c>
      <c r="E1490" t="str">
        <f>VLOOKUP(B1490,Tabela_Auxiliar[],4,0)</f>
        <v>Deduções</v>
      </c>
      <c r="F1490" t="str">
        <f>VLOOKUP(B1490,Tabela_Auxiliar[],3,0)</f>
        <v>Saída</v>
      </c>
      <c r="G1490" t="str">
        <f>UPPER(TEXT(Tabela_DB[[#This Row],[DATA]],"mmm"))</f>
        <v>ABR</v>
      </c>
      <c r="H1490" t="str">
        <f>UPPER(TEXT(Tabela_DB[[#This Row],[DATA]],"aaaa"))</f>
        <v>2021</v>
      </c>
    </row>
    <row r="1491" spans="1:8" x14ac:dyDescent="0.25">
      <c r="A1491" s="2">
        <v>44287</v>
      </c>
      <c r="B1491" t="s">
        <v>38</v>
      </c>
      <c r="C1491">
        <v>-2403</v>
      </c>
      <c r="D1491" t="str">
        <f>VLOOKUP(B1491,Tabela_Auxiliar[],2,0)</f>
        <v>2. Deduções da Receita</v>
      </c>
      <c r="E1491" t="str">
        <f>VLOOKUP(B1491,Tabela_Auxiliar[],4,0)</f>
        <v>Deduções</v>
      </c>
      <c r="F1491" t="str">
        <f>VLOOKUP(B1491,Tabela_Auxiliar[],3,0)</f>
        <v>Saída</v>
      </c>
      <c r="G1491" t="str">
        <f>UPPER(TEXT(Tabela_DB[[#This Row],[DATA]],"mmm"))</f>
        <v>ABR</v>
      </c>
      <c r="H1491" t="str">
        <f>UPPER(TEXT(Tabela_DB[[#This Row],[DATA]],"aaaa"))</f>
        <v>2021</v>
      </c>
    </row>
    <row r="1492" spans="1:8" x14ac:dyDescent="0.25">
      <c r="A1492" s="2">
        <v>44287</v>
      </c>
      <c r="B1492" t="s">
        <v>35</v>
      </c>
      <c r="C1492">
        <v>-1324</v>
      </c>
      <c r="D1492" t="str">
        <f>VLOOKUP(B1492,Tabela_Auxiliar[],2,0)</f>
        <v>2. Deduções da Receita</v>
      </c>
      <c r="E1492" t="str">
        <f>VLOOKUP(B1492,Tabela_Auxiliar[],4,0)</f>
        <v>Imposto</v>
      </c>
      <c r="F1492" t="str">
        <f>VLOOKUP(B1492,Tabela_Auxiliar[],3,0)</f>
        <v>Saída</v>
      </c>
      <c r="G1492" t="str">
        <f>UPPER(TEXT(Tabela_DB[[#This Row],[DATA]],"mmm"))</f>
        <v>ABR</v>
      </c>
      <c r="H1492" t="str">
        <f>UPPER(TEXT(Tabela_DB[[#This Row],[DATA]],"aaaa"))</f>
        <v>2021</v>
      </c>
    </row>
    <row r="1493" spans="1:8" x14ac:dyDescent="0.25">
      <c r="A1493" s="2">
        <v>44287</v>
      </c>
      <c r="B1493" t="s">
        <v>35</v>
      </c>
      <c r="C1493">
        <v>-1446</v>
      </c>
      <c r="D1493" t="str">
        <f>VLOOKUP(B1493,Tabela_Auxiliar[],2,0)</f>
        <v>2. Deduções da Receita</v>
      </c>
      <c r="E1493" t="str">
        <f>VLOOKUP(B1493,Tabela_Auxiliar[],4,0)</f>
        <v>Imposto</v>
      </c>
      <c r="F1493" t="str">
        <f>VLOOKUP(B1493,Tabela_Auxiliar[],3,0)</f>
        <v>Saída</v>
      </c>
      <c r="G1493" t="str">
        <f>UPPER(TEXT(Tabela_DB[[#This Row],[DATA]],"mmm"))</f>
        <v>ABR</v>
      </c>
      <c r="H1493" t="str">
        <f>UPPER(TEXT(Tabela_DB[[#This Row],[DATA]],"aaaa"))</f>
        <v>2021</v>
      </c>
    </row>
    <row r="1494" spans="1:8" x14ac:dyDescent="0.25">
      <c r="A1494" s="2">
        <v>44287</v>
      </c>
      <c r="B1494" t="s">
        <v>67</v>
      </c>
      <c r="C1494">
        <v>-1284</v>
      </c>
      <c r="D1494" t="str">
        <f>VLOOKUP(B1494,Tabela_Auxiliar[],2,0)</f>
        <v>4. Despesas Operacionais</v>
      </c>
      <c r="E1494" t="str">
        <f>VLOOKUP(B1494,Tabela_Auxiliar[],4,0)</f>
        <v>Despesa com Vendas</v>
      </c>
      <c r="F1494" t="str">
        <f>VLOOKUP(B1494,Tabela_Auxiliar[],3,0)</f>
        <v>Saída</v>
      </c>
      <c r="G1494" t="str">
        <f>UPPER(TEXT(Tabela_DB[[#This Row],[DATA]],"mmm"))</f>
        <v>ABR</v>
      </c>
      <c r="H1494" t="str">
        <f>UPPER(TEXT(Tabela_DB[[#This Row],[DATA]],"aaaa"))</f>
        <v>2021</v>
      </c>
    </row>
    <row r="1495" spans="1:8" x14ac:dyDescent="0.25">
      <c r="A1495" s="2">
        <v>44287</v>
      </c>
      <c r="B1495" t="s">
        <v>56</v>
      </c>
      <c r="C1495">
        <v>-1328</v>
      </c>
      <c r="D1495" t="str">
        <f>VLOOKUP(B1495,Tabela_Auxiliar[],2,0)</f>
        <v>4. Despesas Operacionais</v>
      </c>
      <c r="E1495" t="str">
        <f>VLOOKUP(B1495,Tabela_Auxiliar[],4,0)</f>
        <v>Despesa com Pessoal</v>
      </c>
      <c r="F1495" t="str">
        <f>VLOOKUP(B1495,Tabela_Auxiliar[],3,0)</f>
        <v>Saída</v>
      </c>
      <c r="G1495" t="str">
        <f>UPPER(TEXT(Tabela_DB[[#This Row],[DATA]],"mmm"))</f>
        <v>ABR</v>
      </c>
      <c r="H1495" t="str">
        <f>UPPER(TEXT(Tabela_DB[[#This Row],[DATA]],"aaaa"))</f>
        <v>2021</v>
      </c>
    </row>
    <row r="1496" spans="1:8" x14ac:dyDescent="0.25">
      <c r="A1496" s="2">
        <v>44287</v>
      </c>
      <c r="B1496" t="s">
        <v>38</v>
      </c>
      <c r="C1496">
        <v>-1074</v>
      </c>
      <c r="D1496" t="str">
        <f>VLOOKUP(B1496,Tabela_Auxiliar[],2,0)</f>
        <v>2. Deduções da Receita</v>
      </c>
      <c r="E1496" t="str">
        <f>VLOOKUP(B1496,Tabela_Auxiliar[],4,0)</f>
        <v>Deduções</v>
      </c>
      <c r="F1496" t="str">
        <f>VLOOKUP(B1496,Tabela_Auxiliar[],3,0)</f>
        <v>Saída</v>
      </c>
      <c r="G1496" t="str">
        <f>UPPER(TEXT(Tabela_DB[[#This Row],[DATA]],"mmm"))</f>
        <v>ABR</v>
      </c>
      <c r="H1496" t="str">
        <f>UPPER(TEXT(Tabela_DB[[#This Row],[DATA]],"aaaa"))</f>
        <v>2021</v>
      </c>
    </row>
    <row r="1497" spans="1:8" x14ac:dyDescent="0.25">
      <c r="A1497" s="2">
        <v>44287</v>
      </c>
      <c r="B1497" t="s">
        <v>90</v>
      </c>
      <c r="C1497">
        <v>-1267</v>
      </c>
      <c r="D1497" t="str">
        <f>VLOOKUP(B1497,Tabela_Auxiliar[],2,0)</f>
        <v>4. Despesas Operacionais</v>
      </c>
      <c r="E1497" t="str">
        <f>VLOOKUP(B1497,Tabela_Auxiliar[],4,0)</f>
        <v>Despesa Tributária</v>
      </c>
      <c r="F1497" t="str">
        <f>VLOOKUP(B1497,Tabela_Auxiliar[],3,0)</f>
        <v>Saída</v>
      </c>
      <c r="G1497" t="str">
        <f>UPPER(TEXT(Tabela_DB[[#This Row],[DATA]],"mmm"))</f>
        <v>ABR</v>
      </c>
      <c r="H1497" t="str">
        <f>UPPER(TEXT(Tabela_DB[[#This Row],[DATA]],"aaaa"))</f>
        <v>2021</v>
      </c>
    </row>
    <row r="1498" spans="1:8" x14ac:dyDescent="0.25">
      <c r="A1498" s="2">
        <v>44287</v>
      </c>
      <c r="B1498" t="s">
        <v>86</v>
      </c>
      <c r="C1498">
        <v>-1776</v>
      </c>
      <c r="D1498" t="str">
        <f>VLOOKUP(B1498,Tabela_Auxiliar[],2,0)</f>
        <v>4. Despesas Operacionais</v>
      </c>
      <c r="E1498" t="str">
        <f>VLOOKUP(B1498,Tabela_Auxiliar[],4,0)</f>
        <v>Despesa com Veículos</v>
      </c>
      <c r="F1498" t="str">
        <f>VLOOKUP(B1498,Tabela_Auxiliar[],3,0)</f>
        <v>Saída</v>
      </c>
      <c r="G1498" t="str">
        <f>UPPER(TEXT(Tabela_DB[[#This Row],[DATA]],"mmm"))</f>
        <v>ABR</v>
      </c>
      <c r="H1498" t="str">
        <f>UPPER(TEXT(Tabela_DB[[#This Row],[DATA]],"aaaa"))</f>
        <v>2021</v>
      </c>
    </row>
    <row r="1499" spans="1:8" x14ac:dyDescent="0.25">
      <c r="A1499" s="2">
        <v>44287</v>
      </c>
      <c r="B1499" t="s">
        <v>35</v>
      </c>
      <c r="C1499">
        <v>-1924</v>
      </c>
      <c r="D1499" t="str">
        <f>VLOOKUP(B1499,Tabela_Auxiliar[],2,0)</f>
        <v>2. Deduções da Receita</v>
      </c>
      <c r="E1499" t="str">
        <f>VLOOKUP(B1499,Tabela_Auxiliar[],4,0)</f>
        <v>Imposto</v>
      </c>
      <c r="F1499" t="str">
        <f>VLOOKUP(B1499,Tabela_Auxiliar[],3,0)</f>
        <v>Saída</v>
      </c>
      <c r="G1499" t="str">
        <f>UPPER(TEXT(Tabela_DB[[#This Row],[DATA]],"mmm"))</f>
        <v>ABR</v>
      </c>
      <c r="H1499" t="str">
        <f>UPPER(TEXT(Tabela_DB[[#This Row],[DATA]],"aaaa"))</f>
        <v>2021</v>
      </c>
    </row>
    <row r="1500" spans="1:8" x14ac:dyDescent="0.25">
      <c r="A1500" s="2">
        <v>44287</v>
      </c>
      <c r="B1500" t="s">
        <v>47</v>
      </c>
      <c r="C1500">
        <v>-1027</v>
      </c>
      <c r="D1500" t="str">
        <f>VLOOKUP(B1500,Tabela_Auxiliar[],2,0)</f>
        <v>4. Despesas Operacionais</v>
      </c>
      <c r="E1500" t="str">
        <f>VLOOKUP(B1500,Tabela_Auxiliar[],4,0)</f>
        <v>Despesa com Pessoal</v>
      </c>
      <c r="F1500" t="str">
        <f>VLOOKUP(B1500,Tabela_Auxiliar[],3,0)</f>
        <v>Saída</v>
      </c>
      <c r="G1500" t="str">
        <f>UPPER(TEXT(Tabela_DB[[#This Row],[DATA]],"mmm"))</f>
        <v>ABR</v>
      </c>
      <c r="H1500" t="str">
        <f>UPPER(TEXT(Tabela_DB[[#This Row],[DATA]],"aaaa"))</f>
        <v>2021</v>
      </c>
    </row>
    <row r="1501" spans="1:8" x14ac:dyDescent="0.25">
      <c r="A1501" s="2">
        <v>44287</v>
      </c>
      <c r="B1501" t="s">
        <v>4</v>
      </c>
      <c r="C1501">
        <v>10165</v>
      </c>
      <c r="D1501" t="str">
        <f>VLOOKUP(B1501,Tabela_Auxiliar[],2,0)</f>
        <v>1. Receita Operacional Bruta</v>
      </c>
      <c r="E1501" t="str">
        <f>VLOOKUP(B1501,Tabela_Auxiliar[],4,0)</f>
        <v>Receita Bruta</v>
      </c>
      <c r="F1501" t="str">
        <f>VLOOKUP(B1501,Tabela_Auxiliar[],3,0)</f>
        <v>Entrada</v>
      </c>
      <c r="G1501" t="str">
        <f>UPPER(TEXT(Tabela_DB[[#This Row],[DATA]],"mmm"))</f>
        <v>ABR</v>
      </c>
      <c r="H1501" t="str">
        <f>UPPER(TEXT(Tabela_DB[[#This Row],[DATA]],"aaaa"))</f>
        <v>2021</v>
      </c>
    </row>
    <row r="1502" spans="1:8" x14ac:dyDescent="0.25">
      <c r="A1502" s="2">
        <v>44287</v>
      </c>
      <c r="B1502" t="s">
        <v>70</v>
      </c>
      <c r="C1502">
        <v>-2458</v>
      </c>
      <c r="D1502" t="str">
        <f>VLOOKUP(B1502,Tabela_Auxiliar[],2,0)</f>
        <v>4. Despesas Operacionais</v>
      </c>
      <c r="E1502" t="str">
        <f>VLOOKUP(B1502,Tabela_Auxiliar[],4,0)</f>
        <v>Despesa com Ocupação</v>
      </c>
      <c r="F1502" t="str">
        <f>VLOOKUP(B1502,Tabela_Auxiliar[],3,0)</f>
        <v>Saída</v>
      </c>
      <c r="G1502" t="str">
        <f>UPPER(TEXT(Tabela_DB[[#This Row],[DATA]],"mmm"))</f>
        <v>ABR</v>
      </c>
      <c r="H1502" t="str">
        <f>UPPER(TEXT(Tabela_DB[[#This Row],[DATA]],"aaaa"))</f>
        <v>2021</v>
      </c>
    </row>
    <row r="1503" spans="1:8" x14ac:dyDescent="0.25">
      <c r="A1503" s="2">
        <v>44287</v>
      </c>
      <c r="B1503" t="s">
        <v>4</v>
      </c>
      <c r="C1503">
        <v>10219</v>
      </c>
      <c r="D1503" t="str">
        <f>VLOOKUP(B1503,Tabela_Auxiliar[],2,0)</f>
        <v>1. Receita Operacional Bruta</v>
      </c>
      <c r="E1503" t="str">
        <f>VLOOKUP(B1503,Tabela_Auxiliar[],4,0)</f>
        <v>Receita Bruta</v>
      </c>
      <c r="F1503" t="str">
        <f>VLOOKUP(B1503,Tabela_Auxiliar[],3,0)</f>
        <v>Entrada</v>
      </c>
      <c r="G1503" t="str">
        <f>UPPER(TEXT(Tabela_DB[[#This Row],[DATA]],"mmm"))</f>
        <v>ABR</v>
      </c>
      <c r="H1503" t="str">
        <f>UPPER(TEXT(Tabela_DB[[#This Row],[DATA]],"aaaa"))</f>
        <v>2021</v>
      </c>
    </row>
    <row r="1504" spans="1:8" x14ac:dyDescent="0.25">
      <c r="A1504" s="2">
        <v>44287</v>
      </c>
      <c r="B1504" t="s">
        <v>65</v>
      </c>
      <c r="C1504">
        <v>-2270</v>
      </c>
      <c r="D1504" t="str">
        <f>VLOOKUP(B1504,Tabela_Auxiliar[],2,0)</f>
        <v>4. Despesas Operacionais</v>
      </c>
      <c r="E1504" t="str">
        <f>VLOOKUP(B1504,Tabela_Auxiliar[],4,0)</f>
        <v>Despesa Gerais</v>
      </c>
      <c r="F1504" t="str">
        <f>VLOOKUP(B1504,Tabela_Auxiliar[],3,0)</f>
        <v>Saída</v>
      </c>
      <c r="G1504" t="str">
        <f>UPPER(TEXT(Tabela_DB[[#This Row],[DATA]],"mmm"))</f>
        <v>ABR</v>
      </c>
      <c r="H1504" t="str">
        <f>UPPER(TEXT(Tabela_DB[[#This Row],[DATA]],"aaaa"))</f>
        <v>2021</v>
      </c>
    </row>
    <row r="1505" spans="1:8" x14ac:dyDescent="0.25">
      <c r="A1505" s="2">
        <v>44287</v>
      </c>
      <c r="B1505" t="s">
        <v>3</v>
      </c>
      <c r="C1505">
        <v>14783</v>
      </c>
      <c r="D1505" t="str">
        <f>VLOOKUP(B1505,Tabela_Auxiliar[],2,0)</f>
        <v>1. Receita Operacional Bruta</v>
      </c>
      <c r="E1505" t="str">
        <f>VLOOKUP(B1505,Tabela_Auxiliar[],4,0)</f>
        <v>Receita Bruta</v>
      </c>
      <c r="F1505" t="str">
        <f>VLOOKUP(B1505,Tabela_Auxiliar[],3,0)</f>
        <v>Entrada</v>
      </c>
      <c r="G1505" t="str">
        <f>UPPER(TEXT(Tabela_DB[[#This Row],[DATA]],"mmm"))</f>
        <v>ABR</v>
      </c>
      <c r="H1505" t="str">
        <f>UPPER(TEXT(Tabela_DB[[#This Row],[DATA]],"aaaa"))</f>
        <v>2021</v>
      </c>
    </row>
    <row r="1506" spans="1:8" x14ac:dyDescent="0.25">
      <c r="A1506" s="2">
        <v>44288</v>
      </c>
      <c r="B1506" t="s">
        <v>4</v>
      </c>
      <c r="C1506">
        <v>12413</v>
      </c>
      <c r="D1506" t="str">
        <f>VLOOKUP(B1506,Tabela_Auxiliar[],2,0)</f>
        <v>1. Receita Operacional Bruta</v>
      </c>
      <c r="E1506" t="str">
        <f>VLOOKUP(B1506,Tabela_Auxiliar[],4,0)</f>
        <v>Receita Bruta</v>
      </c>
      <c r="F1506" t="str">
        <f>VLOOKUP(B1506,Tabela_Auxiliar[],3,0)</f>
        <v>Entrada</v>
      </c>
      <c r="G1506" t="str">
        <f>UPPER(TEXT(Tabela_DB[[#This Row],[DATA]],"mmm"))</f>
        <v>ABR</v>
      </c>
      <c r="H1506" t="str">
        <f>UPPER(TEXT(Tabela_DB[[#This Row],[DATA]],"aaaa"))</f>
        <v>2021</v>
      </c>
    </row>
    <row r="1507" spans="1:8" x14ac:dyDescent="0.25">
      <c r="A1507" s="2">
        <v>44288</v>
      </c>
      <c r="B1507" t="s">
        <v>3</v>
      </c>
      <c r="C1507">
        <v>10130</v>
      </c>
      <c r="D1507" t="str">
        <f>VLOOKUP(B1507,Tabela_Auxiliar[],2,0)</f>
        <v>1. Receita Operacional Bruta</v>
      </c>
      <c r="E1507" t="str">
        <f>VLOOKUP(B1507,Tabela_Auxiliar[],4,0)</f>
        <v>Receita Bruta</v>
      </c>
      <c r="F1507" t="str">
        <f>VLOOKUP(B1507,Tabela_Auxiliar[],3,0)</f>
        <v>Entrada</v>
      </c>
      <c r="G1507" t="str">
        <f>UPPER(TEXT(Tabela_DB[[#This Row],[DATA]],"mmm"))</f>
        <v>ABR</v>
      </c>
      <c r="H1507" t="str">
        <f>UPPER(TEXT(Tabela_DB[[#This Row],[DATA]],"aaaa"))</f>
        <v>2021</v>
      </c>
    </row>
    <row r="1508" spans="1:8" x14ac:dyDescent="0.25">
      <c r="A1508" s="2">
        <v>44288</v>
      </c>
      <c r="B1508" t="s">
        <v>111</v>
      </c>
      <c r="C1508">
        <v>-1901</v>
      </c>
      <c r="D1508" t="str">
        <f>VLOOKUP(B1508,Tabela_Auxiliar[],2,0)</f>
        <v>2. Deduções da Receita</v>
      </c>
      <c r="E1508" t="str">
        <f>VLOOKUP(B1508,Tabela_Auxiliar[],4,0)</f>
        <v>Imposto</v>
      </c>
      <c r="F1508" t="str">
        <f>VLOOKUP(B1508,Tabela_Auxiliar[],3,0)</f>
        <v>Saída</v>
      </c>
      <c r="G1508" t="str">
        <f>UPPER(TEXT(Tabela_DB[[#This Row],[DATA]],"mmm"))</f>
        <v>ABR</v>
      </c>
      <c r="H1508" t="str">
        <f>UPPER(TEXT(Tabela_DB[[#This Row],[DATA]],"aaaa"))</f>
        <v>2021</v>
      </c>
    </row>
    <row r="1509" spans="1:8" x14ac:dyDescent="0.25">
      <c r="A1509" s="2">
        <v>44288</v>
      </c>
      <c r="B1509" t="s">
        <v>82</v>
      </c>
      <c r="C1509">
        <v>-1753</v>
      </c>
      <c r="D1509" t="str">
        <f>VLOOKUP(B1509,Tabela_Auxiliar[],2,0)</f>
        <v>4. Despesas Operacionais</v>
      </c>
      <c r="E1509" t="str">
        <f>VLOOKUP(B1509,Tabela_Auxiliar[],4,0)</f>
        <v>Despesa com Veículos</v>
      </c>
      <c r="F1509" t="str">
        <f>VLOOKUP(B1509,Tabela_Auxiliar[],3,0)</f>
        <v>Saída</v>
      </c>
      <c r="G1509" t="str">
        <f>UPPER(TEXT(Tabela_DB[[#This Row],[DATA]],"mmm"))</f>
        <v>ABR</v>
      </c>
      <c r="H1509" t="str">
        <f>UPPER(TEXT(Tabela_DB[[#This Row],[DATA]],"aaaa"))</f>
        <v>2021</v>
      </c>
    </row>
    <row r="1510" spans="1:8" x14ac:dyDescent="0.25">
      <c r="A1510" s="2">
        <v>44288</v>
      </c>
      <c r="B1510" t="s">
        <v>37</v>
      </c>
      <c r="C1510">
        <v>-4600</v>
      </c>
      <c r="D1510" t="str">
        <f>VLOOKUP(B1510,Tabela_Auxiliar[],2,0)</f>
        <v>3. Custos do Produto/Mercadoria/Serviço</v>
      </c>
      <c r="E1510" t="str">
        <f>VLOOKUP(B1510,Tabela_Auxiliar[],4,0)</f>
        <v>Despesas c/ Produto</v>
      </c>
      <c r="F1510" t="str">
        <f>VLOOKUP(B1510,Tabela_Auxiliar[],3,0)</f>
        <v>Saída</v>
      </c>
      <c r="G1510" t="str">
        <f>UPPER(TEXT(Tabela_DB[[#This Row],[DATA]],"mmm"))</f>
        <v>ABR</v>
      </c>
      <c r="H1510" t="str">
        <f>UPPER(TEXT(Tabela_DB[[#This Row],[DATA]],"aaaa"))</f>
        <v>2021</v>
      </c>
    </row>
    <row r="1511" spans="1:8" x14ac:dyDescent="0.25">
      <c r="A1511" s="2">
        <v>44288</v>
      </c>
      <c r="B1511" t="s">
        <v>5</v>
      </c>
      <c r="C1511">
        <v>-1508</v>
      </c>
      <c r="D1511" t="str">
        <f>VLOOKUP(B1511,Tabela_Auxiliar[],2,0)</f>
        <v>4. Despesas Operacionais</v>
      </c>
      <c r="E1511" t="str">
        <f>VLOOKUP(B1511,Tabela_Auxiliar[],4,0)</f>
        <v>Despesa com Pessoal</v>
      </c>
      <c r="F1511" t="str">
        <f>VLOOKUP(B1511,Tabela_Auxiliar[],3,0)</f>
        <v>Saída</v>
      </c>
      <c r="G1511" t="str">
        <f>UPPER(TEXT(Tabela_DB[[#This Row],[DATA]],"mmm"))</f>
        <v>ABR</v>
      </c>
      <c r="H1511" t="str">
        <f>UPPER(TEXT(Tabela_DB[[#This Row],[DATA]],"aaaa"))</f>
        <v>2021</v>
      </c>
    </row>
    <row r="1512" spans="1:8" x14ac:dyDescent="0.25">
      <c r="A1512" s="2">
        <v>44288</v>
      </c>
      <c r="B1512" t="s">
        <v>37</v>
      </c>
      <c r="C1512">
        <v>-4247</v>
      </c>
      <c r="D1512" t="str">
        <f>VLOOKUP(B1512,Tabela_Auxiliar[],2,0)</f>
        <v>3. Custos do Produto/Mercadoria/Serviço</v>
      </c>
      <c r="E1512" t="str">
        <f>VLOOKUP(B1512,Tabela_Auxiliar[],4,0)</f>
        <v>Despesas c/ Produto</v>
      </c>
      <c r="F1512" t="str">
        <f>VLOOKUP(B1512,Tabela_Auxiliar[],3,0)</f>
        <v>Saída</v>
      </c>
      <c r="G1512" t="str">
        <f>UPPER(TEXT(Tabela_DB[[#This Row],[DATA]],"mmm"))</f>
        <v>ABR</v>
      </c>
      <c r="H1512" t="str">
        <f>UPPER(TEXT(Tabela_DB[[#This Row],[DATA]],"aaaa"))</f>
        <v>2021</v>
      </c>
    </row>
    <row r="1513" spans="1:8" x14ac:dyDescent="0.25">
      <c r="A1513" s="2">
        <v>44288</v>
      </c>
      <c r="B1513" t="s">
        <v>34</v>
      </c>
      <c r="C1513">
        <v>-1209</v>
      </c>
      <c r="D1513" t="str">
        <f>VLOOKUP(B1513,Tabela_Auxiliar[],2,0)</f>
        <v>2. Deduções da Receita</v>
      </c>
      <c r="E1513" t="str">
        <f>VLOOKUP(B1513,Tabela_Auxiliar[],4,0)</f>
        <v>Imposto</v>
      </c>
      <c r="F1513" t="str">
        <f>VLOOKUP(B1513,Tabela_Auxiliar[],3,0)</f>
        <v>Saída</v>
      </c>
      <c r="G1513" t="str">
        <f>UPPER(TEXT(Tabela_DB[[#This Row],[DATA]],"mmm"))</f>
        <v>ABR</v>
      </c>
      <c r="H1513" t="str">
        <f>UPPER(TEXT(Tabela_DB[[#This Row],[DATA]],"aaaa"))</f>
        <v>2021</v>
      </c>
    </row>
    <row r="1514" spans="1:8" x14ac:dyDescent="0.25">
      <c r="A1514" s="2">
        <v>44288</v>
      </c>
      <c r="B1514" t="s">
        <v>35</v>
      </c>
      <c r="C1514">
        <v>-1723</v>
      </c>
      <c r="D1514" t="str">
        <f>VLOOKUP(B1514,Tabela_Auxiliar[],2,0)</f>
        <v>2. Deduções da Receita</v>
      </c>
      <c r="E1514" t="str">
        <f>VLOOKUP(B1514,Tabela_Auxiliar[],4,0)</f>
        <v>Imposto</v>
      </c>
      <c r="F1514" t="str">
        <f>VLOOKUP(B1514,Tabela_Auxiliar[],3,0)</f>
        <v>Saída</v>
      </c>
      <c r="G1514" t="str">
        <f>UPPER(TEXT(Tabela_DB[[#This Row],[DATA]],"mmm"))</f>
        <v>ABR</v>
      </c>
      <c r="H1514" t="str">
        <f>UPPER(TEXT(Tabela_DB[[#This Row],[DATA]],"aaaa"))</f>
        <v>2021</v>
      </c>
    </row>
    <row r="1515" spans="1:8" x14ac:dyDescent="0.25">
      <c r="A1515" s="2">
        <v>44288</v>
      </c>
      <c r="B1515" t="s">
        <v>3</v>
      </c>
      <c r="C1515">
        <v>10882</v>
      </c>
      <c r="D1515" t="str">
        <f>VLOOKUP(B1515,Tabela_Auxiliar[],2,0)</f>
        <v>1. Receita Operacional Bruta</v>
      </c>
      <c r="E1515" t="str">
        <f>VLOOKUP(B1515,Tabela_Auxiliar[],4,0)</f>
        <v>Receita Bruta</v>
      </c>
      <c r="F1515" t="str">
        <f>VLOOKUP(B1515,Tabela_Auxiliar[],3,0)</f>
        <v>Entrada</v>
      </c>
      <c r="G1515" t="str">
        <f>UPPER(TEXT(Tabela_DB[[#This Row],[DATA]],"mmm"))</f>
        <v>ABR</v>
      </c>
      <c r="H1515" t="str">
        <f>UPPER(TEXT(Tabela_DB[[#This Row],[DATA]],"aaaa"))</f>
        <v>2021</v>
      </c>
    </row>
    <row r="1516" spans="1:8" x14ac:dyDescent="0.25">
      <c r="A1516" s="2">
        <v>44288</v>
      </c>
      <c r="B1516" t="s">
        <v>35</v>
      </c>
      <c r="C1516">
        <v>-1866</v>
      </c>
      <c r="D1516" t="str">
        <f>VLOOKUP(B1516,Tabela_Auxiliar[],2,0)</f>
        <v>2. Deduções da Receita</v>
      </c>
      <c r="E1516" t="str">
        <f>VLOOKUP(B1516,Tabela_Auxiliar[],4,0)</f>
        <v>Imposto</v>
      </c>
      <c r="F1516" t="str">
        <f>VLOOKUP(B1516,Tabela_Auxiliar[],3,0)</f>
        <v>Saída</v>
      </c>
      <c r="G1516" t="str">
        <f>UPPER(TEXT(Tabela_DB[[#This Row],[DATA]],"mmm"))</f>
        <v>ABR</v>
      </c>
      <c r="H1516" t="str">
        <f>UPPER(TEXT(Tabela_DB[[#This Row],[DATA]],"aaaa"))</f>
        <v>2021</v>
      </c>
    </row>
    <row r="1517" spans="1:8" x14ac:dyDescent="0.25">
      <c r="A1517" s="2">
        <v>44288</v>
      </c>
      <c r="B1517" t="s">
        <v>34</v>
      </c>
      <c r="C1517">
        <v>-2357</v>
      </c>
      <c r="D1517" t="str">
        <f>VLOOKUP(B1517,Tabela_Auxiliar[],2,0)</f>
        <v>2. Deduções da Receita</v>
      </c>
      <c r="E1517" t="str">
        <f>VLOOKUP(B1517,Tabela_Auxiliar[],4,0)</f>
        <v>Imposto</v>
      </c>
      <c r="F1517" t="str">
        <f>VLOOKUP(B1517,Tabela_Auxiliar[],3,0)</f>
        <v>Saída</v>
      </c>
      <c r="G1517" t="str">
        <f>UPPER(TEXT(Tabela_DB[[#This Row],[DATA]],"mmm"))</f>
        <v>ABR</v>
      </c>
      <c r="H1517" t="str">
        <f>UPPER(TEXT(Tabela_DB[[#This Row],[DATA]],"aaaa"))</f>
        <v>2021</v>
      </c>
    </row>
    <row r="1518" spans="1:8" x14ac:dyDescent="0.25">
      <c r="A1518" s="2">
        <v>44288</v>
      </c>
      <c r="B1518" t="s">
        <v>38</v>
      </c>
      <c r="C1518">
        <v>-1323</v>
      </c>
      <c r="D1518" t="str">
        <f>VLOOKUP(B1518,Tabela_Auxiliar[],2,0)</f>
        <v>2. Deduções da Receita</v>
      </c>
      <c r="E1518" t="str">
        <f>VLOOKUP(B1518,Tabela_Auxiliar[],4,0)</f>
        <v>Deduções</v>
      </c>
      <c r="F1518" t="str">
        <f>VLOOKUP(B1518,Tabela_Auxiliar[],3,0)</f>
        <v>Saída</v>
      </c>
      <c r="G1518" t="str">
        <f>UPPER(TEXT(Tabela_DB[[#This Row],[DATA]],"mmm"))</f>
        <v>ABR</v>
      </c>
      <c r="H1518" t="str">
        <f>UPPER(TEXT(Tabela_DB[[#This Row],[DATA]],"aaaa"))</f>
        <v>2021</v>
      </c>
    </row>
    <row r="1519" spans="1:8" x14ac:dyDescent="0.25">
      <c r="A1519" s="2">
        <v>44288</v>
      </c>
      <c r="B1519" t="s">
        <v>52</v>
      </c>
      <c r="C1519">
        <v>-1287</v>
      </c>
      <c r="D1519" t="str">
        <f>VLOOKUP(B1519,Tabela_Auxiliar[],2,0)</f>
        <v>4. Despesas Operacionais</v>
      </c>
      <c r="E1519" t="str">
        <f>VLOOKUP(B1519,Tabela_Auxiliar[],4,0)</f>
        <v>Despesa com Pessoal</v>
      </c>
      <c r="F1519" t="str">
        <f>VLOOKUP(B1519,Tabela_Auxiliar[],3,0)</f>
        <v>Saída</v>
      </c>
      <c r="G1519" t="str">
        <f>UPPER(TEXT(Tabela_DB[[#This Row],[DATA]],"mmm"))</f>
        <v>ABR</v>
      </c>
      <c r="H1519" t="str">
        <f>UPPER(TEXT(Tabela_DB[[#This Row],[DATA]],"aaaa"))</f>
        <v>2021</v>
      </c>
    </row>
    <row r="1520" spans="1:8" x14ac:dyDescent="0.25">
      <c r="A1520" s="2">
        <v>44288</v>
      </c>
      <c r="B1520" t="s">
        <v>4</v>
      </c>
      <c r="C1520">
        <v>14719</v>
      </c>
      <c r="D1520" t="str">
        <f>VLOOKUP(B1520,Tabela_Auxiliar[],2,0)</f>
        <v>1. Receita Operacional Bruta</v>
      </c>
      <c r="E1520" t="str">
        <f>VLOOKUP(B1520,Tabela_Auxiliar[],4,0)</f>
        <v>Receita Bruta</v>
      </c>
      <c r="F1520" t="str">
        <f>VLOOKUP(B1520,Tabela_Auxiliar[],3,0)</f>
        <v>Entrada</v>
      </c>
      <c r="G1520" t="str">
        <f>UPPER(TEXT(Tabela_DB[[#This Row],[DATA]],"mmm"))</f>
        <v>ABR</v>
      </c>
      <c r="H1520" t="str">
        <f>UPPER(TEXT(Tabela_DB[[#This Row],[DATA]],"aaaa"))</f>
        <v>2021</v>
      </c>
    </row>
    <row r="1521" spans="1:8" x14ac:dyDescent="0.25">
      <c r="A1521" s="2">
        <v>44288</v>
      </c>
      <c r="B1521" t="s">
        <v>4</v>
      </c>
      <c r="C1521">
        <v>11944</v>
      </c>
      <c r="D1521" t="str">
        <f>VLOOKUP(B1521,Tabela_Auxiliar[],2,0)</f>
        <v>1. Receita Operacional Bruta</v>
      </c>
      <c r="E1521" t="str">
        <f>VLOOKUP(B1521,Tabela_Auxiliar[],4,0)</f>
        <v>Receita Bruta</v>
      </c>
      <c r="F1521" t="str">
        <f>VLOOKUP(B1521,Tabela_Auxiliar[],3,0)</f>
        <v>Entrada</v>
      </c>
      <c r="G1521" t="str">
        <f>UPPER(TEXT(Tabela_DB[[#This Row],[DATA]],"mmm"))</f>
        <v>ABR</v>
      </c>
      <c r="H1521" t="str">
        <f>UPPER(TEXT(Tabela_DB[[#This Row],[DATA]],"aaaa"))</f>
        <v>2021</v>
      </c>
    </row>
    <row r="1522" spans="1:8" x14ac:dyDescent="0.25">
      <c r="A1522" s="2">
        <v>44288</v>
      </c>
      <c r="B1522" t="s">
        <v>3</v>
      </c>
      <c r="C1522">
        <v>10923</v>
      </c>
      <c r="D1522" t="str">
        <f>VLOOKUP(B1522,Tabela_Auxiliar[],2,0)</f>
        <v>1. Receita Operacional Bruta</v>
      </c>
      <c r="E1522" t="str">
        <f>VLOOKUP(B1522,Tabela_Auxiliar[],4,0)</f>
        <v>Receita Bruta</v>
      </c>
      <c r="F1522" t="str">
        <f>VLOOKUP(B1522,Tabela_Auxiliar[],3,0)</f>
        <v>Entrada</v>
      </c>
      <c r="G1522" t="str">
        <f>UPPER(TEXT(Tabela_DB[[#This Row],[DATA]],"mmm"))</f>
        <v>ABR</v>
      </c>
      <c r="H1522" t="str">
        <f>UPPER(TEXT(Tabela_DB[[#This Row],[DATA]],"aaaa"))</f>
        <v>2021</v>
      </c>
    </row>
    <row r="1523" spans="1:8" x14ac:dyDescent="0.25">
      <c r="A1523" s="2">
        <v>44288</v>
      </c>
      <c r="B1523" t="s">
        <v>57</v>
      </c>
      <c r="C1523">
        <v>-1668</v>
      </c>
      <c r="D1523" t="str">
        <f>VLOOKUP(B1523,Tabela_Auxiliar[],2,0)</f>
        <v>4. Despesas Operacionais</v>
      </c>
      <c r="E1523" t="str">
        <f>VLOOKUP(B1523,Tabela_Auxiliar[],4,0)</f>
        <v>Despesa com Pessoal</v>
      </c>
      <c r="F1523" t="str">
        <f>VLOOKUP(B1523,Tabela_Auxiliar[],3,0)</f>
        <v>Saída</v>
      </c>
      <c r="G1523" t="str">
        <f>UPPER(TEXT(Tabela_DB[[#This Row],[DATA]],"mmm"))</f>
        <v>ABR</v>
      </c>
      <c r="H1523" t="str">
        <f>UPPER(TEXT(Tabela_DB[[#This Row],[DATA]],"aaaa"))</f>
        <v>2021</v>
      </c>
    </row>
    <row r="1524" spans="1:8" x14ac:dyDescent="0.25">
      <c r="A1524" s="2">
        <v>44288</v>
      </c>
      <c r="B1524" t="s">
        <v>48</v>
      </c>
      <c r="C1524">
        <v>-2035</v>
      </c>
      <c r="D1524" t="str">
        <f>VLOOKUP(B1524,Tabela_Auxiliar[],2,0)</f>
        <v>4. Despesas Operacionais</v>
      </c>
      <c r="E1524" t="str">
        <f>VLOOKUP(B1524,Tabela_Auxiliar[],4,0)</f>
        <v>Despesa com Pessoal</v>
      </c>
      <c r="F1524" t="str">
        <f>VLOOKUP(B1524,Tabela_Auxiliar[],3,0)</f>
        <v>Saída</v>
      </c>
      <c r="G1524" t="str">
        <f>UPPER(TEXT(Tabela_DB[[#This Row],[DATA]],"mmm"))</f>
        <v>ABR</v>
      </c>
      <c r="H1524" t="str">
        <f>UPPER(TEXT(Tabela_DB[[#This Row],[DATA]],"aaaa"))</f>
        <v>2021</v>
      </c>
    </row>
    <row r="1525" spans="1:8" x14ac:dyDescent="0.25">
      <c r="A1525" s="2">
        <v>44288</v>
      </c>
      <c r="B1525" t="s">
        <v>37</v>
      </c>
      <c r="C1525">
        <v>-4015</v>
      </c>
      <c r="D1525" t="str">
        <f>VLOOKUP(B1525,Tabela_Auxiliar[],2,0)</f>
        <v>3. Custos do Produto/Mercadoria/Serviço</v>
      </c>
      <c r="E1525" t="str">
        <f>VLOOKUP(B1525,Tabela_Auxiliar[],4,0)</f>
        <v>Despesas c/ Produto</v>
      </c>
      <c r="F1525" t="str">
        <f>VLOOKUP(B1525,Tabela_Auxiliar[],3,0)</f>
        <v>Saída</v>
      </c>
      <c r="G1525" t="str">
        <f>UPPER(TEXT(Tabela_DB[[#This Row],[DATA]],"mmm"))</f>
        <v>ABR</v>
      </c>
      <c r="H1525" t="str">
        <f>UPPER(TEXT(Tabela_DB[[#This Row],[DATA]],"aaaa"))</f>
        <v>2021</v>
      </c>
    </row>
    <row r="1526" spans="1:8" x14ac:dyDescent="0.25">
      <c r="A1526" s="2">
        <v>44288</v>
      </c>
      <c r="B1526" t="s">
        <v>111</v>
      </c>
      <c r="C1526">
        <v>-1506</v>
      </c>
      <c r="D1526" t="str">
        <f>VLOOKUP(B1526,Tabela_Auxiliar[],2,0)</f>
        <v>2. Deduções da Receita</v>
      </c>
      <c r="E1526" t="str">
        <f>VLOOKUP(B1526,Tabela_Auxiliar[],4,0)</f>
        <v>Imposto</v>
      </c>
      <c r="F1526" t="str">
        <f>VLOOKUP(B1526,Tabela_Auxiliar[],3,0)</f>
        <v>Saída</v>
      </c>
      <c r="G1526" t="str">
        <f>UPPER(TEXT(Tabela_DB[[#This Row],[DATA]],"mmm"))</f>
        <v>ABR</v>
      </c>
      <c r="H1526" t="str">
        <f>UPPER(TEXT(Tabela_DB[[#This Row],[DATA]],"aaaa"))</f>
        <v>2021</v>
      </c>
    </row>
    <row r="1527" spans="1:8" x14ac:dyDescent="0.25">
      <c r="A1527" s="2">
        <v>44288</v>
      </c>
      <c r="B1527" t="s">
        <v>49</v>
      </c>
      <c r="C1527">
        <v>-1876</v>
      </c>
      <c r="D1527" t="str">
        <f>VLOOKUP(B1527,Tabela_Auxiliar[],2,0)</f>
        <v>4. Despesas Operacionais</v>
      </c>
      <c r="E1527" t="str">
        <f>VLOOKUP(B1527,Tabela_Auxiliar[],4,0)</f>
        <v>Despesa com Pessoal</v>
      </c>
      <c r="F1527" t="str">
        <f>VLOOKUP(B1527,Tabela_Auxiliar[],3,0)</f>
        <v>Saída</v>
      </c>
      <c r="G1527" t="str">
        <f>UPPER(TEXT(Tabela_DB[[#This Row],[DATA]],"mmm"))</f>
        <v>ABR</v>
      </c>
      <c r="H1527" t="str">
        <f>UPPER(TEXT(Tabela_DB[[#This Row],[DATA]],"aaaa"))</f>
        <v>2021</v>
      </c>
    </row>
    <row r="1528" spans="1:8" x14ac:dyDescent="0.25">
      <c r="A1528" s="2">
        <v>44288</v>
      </c>
      <c r="B1528" t="s">
        <v>37</v>
      </c>
      <c r="C1528">
        <v>-3118</v>
      </c>
      <c r="D1528" t="str">
        <f>VLOOKUP(B1528,Tabela_Auxiliar[],2,0)</f>
        <v>3. Custos do Produto/Mercadoria/Serviço</v>
      </c>
      <c r="E1528" t="str">
        <f>VLOOKUP(B1528,Tabela_Auxiliar[],4,0)</f>
        <v>Despesas c/ Produto</v>
      </c>
      <c r="F1528" t="str">
        <f>VLOOKUP(B1528,Tabela_Auxiliar[],3,0)</f>
        <v>Saída</v>
      </c>
      <c r="G1528" t="str">
        <f>UPPER(TEXT(Tabela_DB[[#This Row],[DATA]],"mmm"))</f>
        <v>ABR</v>
      </c>
      <c r="H1528" t="str">
        <f>UPPER(TEXT(Tabela_DB[[#This Row],[DATA]],"aaaa"))</f>
        <v>2021</v>
      </c>
    </row>
    <row r="1529" spans="1:8" x14ac:dyDescent="0.25">
      <c r="A1529" s="2">
        <v>44288</v>
      </c>
      <c r="B1529" t="s">
        <v>3</v>
      </c>
      <c r="C1529">
        <v>12513</v>
      </c>
      <c r="D1529" t="str">
        <f>VLOOKUP(B1529,Tabela_Auxiliar[],2,0)</f>
        <v>1. Receita Operacional Bruta</v>
      </c>
      <c r="E1529" t="str">
        <f>VLOOKUP(B1529,Tabela_Auxiliar[],4,0)</f>
        <v>Receita Bruta</v>
      </c>
      <c r="F1529" t="str">
        <f>VLOOKUP(B1529,Tabela_Auxiliar[],3,0)</f>
        <v>Entrada</v>
      </c>
      <c r="G1529" t="str">
        <f>UPPER(TEXT(Tabela_DB[[#This Row],[DATA]],"mmm"))</f>
        <v>ABR</v>
      </c>
      <c r="H1529" t="str">
        <f>UPPER(TEXT(Tabela_DB[[#This Row],[DATA]],"aaaa"))</f>
        <v>2021</v>
      </c>
    </row>
    <row r="1530" spans="1:8" x14ac:dyDescent="0.25">
      <c r="A1530" s="2">
        <v>44288</v>
      </c>
      <c r="B1530" t="s">
        <v>64</v>
      </c>
      <c r="C1530">
        <v>-1295</v>
      </c>
      <c r="D1530" t="str">
        <f>VLOOKUP(B1530,Tabela_Auxiliar[],2,0)</f>
        <v>4. Despesas Operacionais</v>
      </c>
      <c r="E1530" t="str">
        <f>VLOOKUP(B1530,Tabela_Auxiliar[],4,0)</f>
        <v>Despesa Gerais</v>
      </c>
      <c r="F1530" t="str">
        <f>VLOOKUP(B1530,Tabela_Auxiliar[],3,0)</f>
        <v>Saída</v>
      </c>
      <c r="G1530" t="str">
        <f>UPPER(TEXT(Tabela_DB[[#This Row],[DATA]],"mmm"))</f>
        <v>ABR</v>
      </c>
      <c r="H1530" t="str">
        <f>UPPER(TEXT(Tabela_DB[[#This Row],[DATA]],"aaaa"))</f>
        <v>2021</v>
      </c>
    </row>
    <row r="1531" spans="1:8" x14ac:dyDescent="0.25">
      <c r="A1531" s="2">
        <v>44288</v>
      </c>
      <c r="B1531" t="s">
        <v>77</v>
      </c>
      <c r="C1531">
        <v>-2058</v>
      </c>
      <c r="D1531" t="str">
        <f>VLOOKUP(B1531,Tabela_Auxiliar[],2,0)</f>
        <v>4. Despesas Operacionais</v>
      </c>
      <c r="E1531" t="str">
        <f>VLOOKUP(B1531,Tabela_Auxiliar[],4,0)</f>
        <v>Serviços Contratados</v>
      </c>
      <c r="F1531" t="str">
        <f>VLOOKUP(B1531,Tabela_Auxiliar[],3,0)</f>
        <v>Saída</v>
      </c>
      <c r="G1531" t="str">
        <f>UPPER(TEXT(Tabela_DB[[#This Row],[DATA]],"mmm"))</f>
        <v>ABR</v>
      </c>
      <c r="H1531" t="str">
        <f>UPPER(TEXT(Tabela_DB[[#This Row],[DATA]],"aaaa"))</f>
        <v>2021</v>
      </c>
    </row>
    <row r="1532" spans="1:8" x14ac:dyDescent="0.25">
      <c r="A1532" s="2">
        <v>44288</v>
      </c>
      <c r="B1532" t="s">
        <v>72</v>
      </c>
      <c r="C1532">
        <v>-2382</v>
      </c>
      <c r="D1532" t="str">
        <f>VLOOKUP(B1532,Tabela_Auxiliar[],2,0)</f>
        <v>4. Despesas Operacionais</v>
      </c>
      <c r="E1532" t="str">
        <f>VLOOKUP(B1532,Tabela_Auxiliar[],4,0)</f>
        <v>Despesa com Ocupação</v>
      </c>
      <c r="F1532" t="str">
        <f>VLOOKUP(B1532,Tabela_Auxiliar[],3,0)</f>
        <v>Saída</v>
      </c>
      <c r="G1532" t="str">
        <f>UPPER(TEXT(Tabela_DB[[#This Row],[DATA]],"mmm"))</f>
        <v>ABR</v>
      </c>
      <c r="H1532" t="str">
        <f>UPPER(TEXT(Tabela_DB[[#This Row],[DATA]],"aaaa"))</f>
        <v>2021</v>
      </c>
    </row>
    <row r="1533" spans="1:8" x14ac:dyDescent="0.25">
      <c r="A1533" s="2">
        <v>44288</v>
      </c>
      <c r="B1533" t="s">
        <v>69</v>
      </c>
      <c r="C1533">
        <v>-1759</v>
      </c>
      <c r="D1533" t="str">
        <f>VLOOKUP(B1533,Tabela_Auxiliar[],2,0)</f>
        <v>4. Despesas Operacionais</v>
      </c>
      <c r="E1533" t="str">
        <f>VLOOKUP(B1533,Tabela_Auxiliar[],4,0)</f>
        <v>Despesa com Ocupação</v>
      </c>
      <c r="F1533" t="str">
        <f>VLOOKUP(B1533,Tabela_Auxiliar[],3,0)</f>
        <v>Saída</v>
      </c>
      <c r="G1533" t="str">
        <f>UPPER(TEXT(Tabela_DB[[#This Row],[DATA]],"mmm"))</f>
        <v>ABR</v>
      </c>
      <c r="H1533" t="str">
        <f>UPPER(TEXT(Tabela_DB[[#This Row],[DATA]],"aaaa"))</f>
        <v>2021</v>
      </c>
    </row>
    <row r="1534" spans="1:8" x14ac:dyDescent="0.25">
      <c r="A1534" s="2">
        <v>44288</v>
      </c>
      <c r="B1534" t="s">
        <v>64</v>
      </c>
      <c r="C1534">
        <v>-2405</v>
      </c>
      <c r="D1534" t="str">
        <f>VLOOKUP(B1534,Tabela_Auxiliar[],2,0)</f>
        <v>4. Despesas Operacionais</v>
      </c>
      <c r="E1534" t="str">
        <f>VLOOKUP(B1534,Tabela_Auxiliar[],4,0)</f>
        <v>Despesa Gerais</v>
      </c>
      <c r="F1534" t="str">
        <f>VLOOKUP(B1534,Tabela_Auxiliar[],3,0)</f>
        <v>Saída</v>
      </c>
      <c r="G1534" t="str">
        <f>UPPER(TEXT(Tabela_DB[[#This Row],[DATA]],"mmm"))</f>
        <v>ABR</v>
      </c>
      <c r="H1534" t="str">
        <f>UPPER(TEXT(Tabela_DB[[#This Row],[DATA]],"aaaa"))</f>
        <v>2021</v>
      </c>
    </row>
    <row r="1535" spans="1:8" x14ac:dyDescent="0.25">
      <c r="A1535" s="2">
        <v>44288</v>
      </c>
      <c r="B1535" t="s">
        <v>3</v>
      </c>
      <c r="C1535">
        <v>11300</v>
      </c>
      <c r="D1535" t="str">
        <f>VLOOKUP(B1535,Tabela_Auxiliar[],2,0)</f>
        <v>1. Receita Operacional Bruta</v>
      </c>
      <c r="E1535" t="str">
        <f>VLOOKUP(B1535,Tabela_Auxiliar[],4,0)</f>
        <v>Receita Bruta</v>
      </c>
      <c r="F1535" t="str">
        <f>VLOOKUP(B1535,Tabela_Auxiliar[],3,0)</f>
        <v>Entrada</v>
      </c>
      <c r="G1535" t="str">
        <f>UPPER(TEXT(Tabela_DB[[#This Row],[DATA]],"mmm"))</f>
        <v>ABR</v>
      </c>
      <c r="H1535" t="str">
        <f>UPPER(TEXT(Tabela_DB[[#This Row],[DATA]],"aaaa"))</f>
        <v>2021</v>
      </c>
    </row>
    <row r="1536" spans="1:8" x14ac:dyDescent="0.25">
      <c r="A1536" s="2">
        <v>44288</v>
      </c>
      <c r="B1536" t="s">
        <v>4</v>
      </c>
      <c r="C1536">
        <v>11134</v>
      </c>
      <c r="D1536" t="str">
        <f>VLOOKUP(B1536,Tabela_Auxiliar[],2,0)</f>
        <v>1. Receita Operacional Bruta</v>
      </c>
      <c r="E1536" t="str">
        <f>VLOOKUP(B1536,Tabela_Auxiliar[],4,0)</f>
        <v>Receita Bruta</v>
      </c>
      <c r="F1536" t="str">
        <f>VLOOKUP(B1536,Tabela_Auxiliar[],3,0)</f>
        <v>Entrada</v>
      </c>
      <c r="G1536" t="str">
        <f>UPPER(TEXT(Tabela_DB[[#This Row],[DATA]],"mmm"))</f>
        <v>ABR</v>
      </c>
      <c r="H1536" t="str">
        <f>UPPER(TEXT(Tabela_DB[[#This Row],[DATA]],"aaaa"))</f>
        <v>2021</v>
      </c>
    </row>
    <row r="1537" spans="1:8" x14ac:dyDescent="0.25">
      <c r="A1537" s="2">
        <v>44288</v>
      </c>
      <c r="B1537" t="s">
        <v>38</v>
      </c>
      <c r="C1537">
        <v>-1834</v>
      </c>
      <c r="D1537" t="str">
        <f>VLOOKUP(B1537,Tabela_Auxiliar[],2,0)</f>
        <v>2. Deduções da Receita</v>
      </c>
      <c r="E1537" t="str">
        <f>VLOOKUP(B1537,Tabela_Auxiliar[],4,0)</f>
        <v>Deduções</v>
      </c>
      <c r="F1537" t="str">
        <f>VLOOKUP(B1537,Tabela_Auxiliar[],3,0)</f>
        <v>Saída</v>
      </c>
      <c r="G1537" t="str">
        <f>UPPER(TEXT(Tabela_DB[[#This Row],[DATA]],"mmm"))</f>
        <v>ABR</v>
      </c>
      <c r="H1537" t="str">
        <f>UPPER(TEXT(Tabela_DB[[#This Row],[DATA]],"aaaa"))</f>
        <v>2021</v>
      </c>
    </row>
    <row r="1538" spans="1:8" x14ac:dyDescent="0.25">
      <c r="A1538" s="2">
        <v>44288</v>
      </c>
      <c r="B1538" t="s">
        <v>111</v>
      </c>
      <c r="C1538">
        <v>-2200</v>
      </c>
      <c r="D1538" t="str">
        <f>VLOOKUP(B1538,Tabela_Auxiliar[],2,0)</f>
        <v>2. Deduções da Receita</v>
      </c>
      <c r="E1538" t="str">
        <f>VLOOKUP(B1538,Tabela_Auxiliar[],4,0)</f>
        <v>Imposto</v>
      </c>
      <c r="F1538" t="str">
        <f>VLOOKUP(B1538,Tabela_Auxiliar[],3,0)</f>
        <v>Saída</v>
      </c>
      <c r="G1538" t="str">
        <f>UPPER(TEXT(Tabela_DB[[#This Row],[DATA]],"mmm"))</f>
        <v>ABR</v>
      </c>
      <c r="H1538" t="str">
        <f>UPPER(TEXT(Tabela_DB[[#This Row],[DATA]],"aaaa"))</f>
        <v>2021</v>
      </c>
    </row>
    <row r="1539" spans="1:8" x14ac:dyDescent="0.25">
      <c r="A1539" s="2">
        <v>44288</v>
      </c>
      <c r="B1539" t="s">
        <v>37</v>
      </c>
      <c r="C1539">
        <v>-4778</v>
      </c>
      <c r="D1539" t="str">
        <f>VLOOKUP(B1539,Tabela_Auxiliar[],2,0)</f>
        <v>3. Custos do Produto/Mercadoria/Serviço</v>
      </c>
      <c r="E1539" t="str">
        <f>VLOOKUP(B1539,Tabela_Auxiliar[],4,0)</f>
        <v>Despesas c/ Produto</v>
      </c>
      <c r="F1539" t="str">
        <f>VLOOKUP(B1539,Tabela_Auxiliar[],3,0)</f>
        <v>Saída</v>
      </c>
      <c r="G1539" t="str">
        <f>UPPER(TEXT(Tabela_DB[[#This Row],[DATA]],"mmm"))</f>
        <v>ABR</v>
      </c>
      <c r="H1539" t="str">
        <f>UPPER(TEXT(Tabela_DB[[#This Row],[DATA]],"aaaa"))</f>
        <v>2021</v>
      </c>
    </row>
    <row r="1540" spans="1:8" x14ac:dyDescent="0.25">
      <c r="A1540" s="2">
        <v>44289</v>
      </c>
      <c r="B1540" t="s">
        <v>34</v>
      </c>
      <c r="C1540">
        <v>-2412</v>
      </c>
      <c r="D1540" t="str">
        <f>VLOOKUP(B1540,Tabela_Auxiliar[],2,0)</f>
        <v>2. Deduções da Receita</v>
      </c>
      <c r="E1540" t="str">
        <f>VLOOKUP(B1540,Tabela_Auxiliar[],4,0)</f>
        <v>Imposto</v>
      </c>
      <c r="F1540" t="str">
        <f>VLOOKUP(B1540,Tabela_Auxiliar[],3,0)</f>
        <v>Saída</v>
      </c>
      <c r="G1540" t="str">
        <f>UPPER(TEXT(Tabela_DB[[#This Row],[DATA]],"mmm"))</f>
        <v>ABR</v>
      </c>
      <c r="H1540" t="str">
        <f>UPPER(TEXT(Tabela_DB[[#This Row],[DATA]],"aaaa"))</f>
        <v>2021</v>
      </c>
    </row>
    <row r="1541" spans="1:8" x14ac:dyDescent="0.25">
      <c r="A1541" s="2">
        <v>44289</v>
      </c>
      <c r="B1541" t="s">
        <v>46</v>
      </c>
      <c r="C1541">
        <v>-1709</v>
      </c>
      <c r="D1541" t="str">
        <f>VLOOKUP(B1541,Tabela_Auxiliar[],2,0)</f>
        <v>4. Despesas Operacionais</v>
      </c>
      <c r="E1541" t="str">
        <f>VLOOKUP(B1541,Tabela_Auxiliar[],4,0)</f>
        <v>Despesa com Pessoal</v>
      </c>
      <c r="F1541" t="str">
        <f>VLOOKUP(B1541,Tabela_Auxiliar[],3,0)</f>
        <v>Saída</v>
      </c>
      <c r="G1541" t="str">
        <f>UPPER(TEXT(Tabela_DB[[#This Row],[DATA]],"mmm"))</f>
        <v>ABR</v>
      </c>
      <c r="H1541" t="str">
        <f>UPPER(TEXT(Tabela_DB[[#This Row],[DATA]],"aaaa"))</f>
        <v>2021</v>
      </c>
    </row>
    <row r="1542" spans="1:8" x14ac:dyDescent="0.25">
      <c r="A1542" s="2">
        <v>44289</v>
      </c>
      <c r="B1542" t="s">
        <v>55</v>
      </c>
      <c r="C1542">
        <v>-1252</v>
      </c>
      <c r="D1542" t="str">
        <f>VLOOKUP(B1542,Tabela_Auxiliar[],2,0)</f>
        <v>4. Despesas Operacionais</v>
      </c>
      <c r="E1542" t="str">
        <f>VLOOKUP(B1542,Tabela_Auxiliar[],4,0)</f>
        <v>Despesa com Pessoal</v>
      </c>
      <c r="F1542" t="str">
        <f>VLOOKUP(B1542,Tabela_Auxiliar[],3,0)</f>
        <v>Saída</v>
      </c>
      <c r="G1542" t="str">
        <f>UPPER(TEXT(Tabela_DB[[#This Row],[DATA]],"mmm"))</f>
        <v>ABR</v>
      </c>
      <c r="H1542" t="str">
        <f>UPPER(TEXT(Tabela_DB[[#This Row],[DATA]],"aaaa"))</f>
        <v>2021</v>
      </c>
    </row>
    <row r="1543" spans="1:8" x14ac:dyDescent="0.25">
      <c r="A1543" s="2">
        <v>44289</v>
      </c>
      <c r="B1543" t="s">
        <v>38</v>
      </c>
      <c r="C1543">
        <v>-1911</v>
      </c>
      <c r="D1543" t="str">
        <f>VLOOKUP(B1543,Tabela_Auxiliar[],2,0)</f>
        <v>2. Deduções da Receita</v>
      </c>
      <c r="E1543" t="str">
        <f>VLOOKUP(B1543,Tabela_Auxiliar[],4,0)</f>
        <v>Deduções</v>
      </c>
      <c r="F1543" t="str">
        <f>VLOOKUP(B1543,Tabela_Auxiliar[],3,0)</f>
        <v>Saída</v>
      </c>
      <c r="G1543" t="str">
        <f>UPPER(TEXT(Tabela_DB[[#This Row],[DATA]],"mmm"))</f>
        <v>ABR</v>
      </c>
      <c r="H1543" t="str">
        <f>UPPER(TEXT(Tabela_DB[[#This Row],[DATA]],"aaaa"))</f>
        <v>2021</v>
      </c>
    </row>
    <row r="1544" spans="1:8" x14ac:dyDescent="0.25">
      <c r="A1544" s="2">
        <v>44289</v>
      </c>
      <c r="B1544" t="s">
        <v>111</v>
      </c>
      <c r="C1544">
        <v>-1910</v>
      </c>
      <c r="D1544" t="str">
        <f>VLOOKUP(B1544,Tabela_Auxiliar[],2,0)</f>
        <v>2. Deduções da Receita</v>
      </c>
      <c r="E1544" t="str">
        <f>VLOOKUP(B1544,Tabela_Auxiliar[],4,0)</f>
        <v>Imposto</v>
      </c>
      <c r="F1544" t="str">
        <f>VLOOKUP(B1544,Tabela_Auxiliar[],3,0)</f>
        <v>Saída</v>
      </c>
      <c r="G1544" t="str">
        <f>UPPER(TEXT(Tabela_DB[[#This Row],[DATA]],"mmm"))</f>
        <v>ABR</v>
      </c>
      <c r="H1544" t="str">
        <f>UPPER(TEXT(Tabela_DB[[#This Row],[DATA]],"aaaa"))</f>
        <v>2021</v>
      </c>
    </row>
    <row r="1545" spans="1:8" x14ac:dyDescent="0.25">
      <c r="A1545" s="2">
        <v>44289</v>
      </c>
      <c r="B1545" t="s">
        <v>40</v>
      </c>
      <c r="C1545">
        <v>-2481</v>
      </c>
      <c r="D1545" t="str">
        <f>VLOOKUP(B1545,Tabela_Auxiliar[],2,0)</f>
        <v>4. Despesas Operacionais</v>
      </c>
      <c r="E1545" t="str">
        <f>VLOOKUP(B1545,Tabela_Auxiliar[],4,0)</f>
        <v>Despesa com Pessoal</v>
      </c>
      <c r="F1545" t="str">
        <f>VLOOKUP(B1545,Tabela_Auxiliar[],3,0)</f>
        <v>Saída</v>
      </c>
      <c r="G1545" t="str">
        <f>UPPER(TEXT(Tabela_DB[[#This Row],[DATA]],"mmm"))</f>
        <v>ABR</v>
      </c>
      <c r="H1545" t="str">
        <f>UPPER(TEXT(Tabela_DB[[#This Row],[DATA]],"aaaa"))</f>
        <v>2021</v>
      </c>
    </row>
    <row r="1546" spans="1:8" x14ac:dyDescent="0.25">
      <c r="A1546" s="2">
        <v>44289</v>
      </c>
      <c r="B1546" t="s">
        <v>111</v>
      </c>
      <c r="C1546">
        <v>-1655</v>
      </c>
      <c r="D1546" t="str">
        <f>VLOOKUP(B1546,Tabela_Auxiliar[],2,0)</f>
        <v>2. Deduções da Receita</v>
      </c>
      <c r="E1546" t="str">
        <f>VLOOKUP(B1546,Tabela_Auxiliar[],4,0)</f>
        <v>Imposto</v>
      </c>
      <c r="F1546" t="str">
        <f>VLOOKUP(B1546,Tabela_Auxiliar[],3,0)</f>
        <v>Saída</v>
      </c>
      <c r="G1546" t="str">
        <f>UPPER(TEXT(Tabela_DB[[#This Row],[DATA]],"mmm"))</f>
        <v>ABR</v>
      </c>
      <c r="H1546" t="str">
        <f>UPPER(TEXT(Tabela_DB[[#This Row],[DATA]],"aaaa"))</f>
        <v>2021</v>
      </c>
    </row>
    <row r="1547" spans="1:8" x14ac:dyDescent="0.25">
      <c r="A1547" s="2">
        <v>44289</v>
      </c>
      <c r="B1547" t="s">
        <v>75</v>
      </c>
      <c r="C1547">
        <v>-1624</v>
      </c>
      <c r="D1547" t="str">
        <f>VLOOKUP(B1547,Tabela_Auxiliar[],2,0)</f>
        <v>4. Despesas Operacionais</v>
      </c>
      <c r="E1547" t="str">
        <f>VLOOKUP(B1547,Tabela_Auxiliar[],4,0)</f>
        <v>Serviços Contratados</v>
      </c>
      <c r="F1547" t="str">
        <f>VLOOKUP(B1547,Tabela_Auxiliar[],3,0)</f>
        <v>Saída</v>
      </c>
      <c r="G1547" t="str">
        <f>UPPER(TEXT(Tabela_DB[[#This Row],[DATA]],"mmm"))</f>
        <v>ABR</v>
      </c>
      <c r="H1547" t="str">
        <f>UPPER(TEXT(Tabela_DB[[#This Row],[DATA]],"aaaa"))</f>
        <v>2021</v>
      </c>
    </row>
    <row r="1548" spans="1:8" x14ac:dyDescent="0.25">
      <c r="A1548" s="2">
        <v>44289</v>
      </c>
      <c r="B1548" t="s">
        <v>79</v>
      </c>
      <c r="C1548">
        <v>-2291</v>
      </c>
      <c r="D1548" t="str">
        <f>VLOOKUP(B1548,Tabela_Auxiliar[],2,0)</f>
        <v>4. Despesas Operacionais</v>
      </c>
      <c r="E1548" t="str">
        <f>VLOOKUP(B1548,Tabela_Auxiliar[],4,0)</f>
        <v>Serviços Contratados</v>
      </c>
      <c r="F1548" t="str">
        <f>VLOOKUP(B1548,Tabela_Auxiliar[],3,0)</f>
        <v>Saída</v>
      </c>
      <c r="G1548" t="str">
        <f>UPPER(TEXT(Tabela_DB[[#This Row],[DATA]],"mmm"))</f>
        <v>ABR</v>
      </c>
      <c r="H1548" t="str">
        <f>UPPER(TEXT(Tabela_DB[[#This Row],[DATA]],"aaaa"))</f>
        <v>2021</v>
      </c>
    </row>
    <row r="1549" spans="1:8" x14ac:dyDescent="0.25">
      <c r="A1549" s="2">
        <v>44289</v>
      </c>
      <c r="B1549" t="s">
        <v>89</v>
      </c>
      <c r="C1549">
        <v>-2371</v>
      </c>
      <c r="D1549" t="str">
        <f>VLOOKUP(B1549,Tabela_Auxiliar[],2,0)</f>
        <v>4. Despesas Operacionais</v>
      </c>
      <c r="E1549" t="str">
        <f>VLOOKUP(B1549,Tabela_Auxiliar[],4,0)</f>
        <v>Despesa Tributária</v>
      </c>
      <c r="F1549" t="str">
        <f>VLOOKUP(B1549,Tabela_Auxiliar[],3,0)</f>
        <v>Saída</v>
      </c>
      <c r="G1549" t="str">
        <f>UPPER(TEXT(Tabela_DB[[#This Row],[DATA]],"mmm"))</f>
        <v>ABR</v>
      </c>
      <c r="H1549" t="str">
        <f>UPPER(TEXT(Tabela_DB[[#This Row],[DATA]],"aaaa"))</f>
        <v>2021</v>
      </c>
    </row>
    <row r="1550" spans="1:8" x14ac:dyDescent="0.25">
      <c r="A1550" s="2">
        <v>44289</v>
      </c>
      <c r="B1550" t="s">
        <v>37</v>
      </c>
      <c r="C1550">
        <v>-4959</v>
      </c>
      <c r="D1550" t="str">
        <f>VLOOKUP(B1550,Tabela_Auxiliar[],2,0)</f>
        <v>3. Custos do Produto/Mercadoria/Serviço</v>
      </c>
      <c r="E1550" t="str">
        <f>VLOOKUP(B1550,Tabela_Auxiliar[],4,0)</f>
        <v>Despesas c/ Produto</v>
      </c>
      <c r="F1550" t="str">
        <f>VLOOKUP(B1550,Tabela_Auxiliar[],3,0)</f>
        <v>Saída</v>
      </c>
      <c r="G1550" t="str">
        <f>UPPER(TEXT(Tabela_DB[[#This Row],[DATA]],"mmm"))</f>
        <v>ABR</v>
      </c>
      <c r="H1550" t="str">
        <f>UPPER(TEXT(Tabela_DB[[#This Row],[DATA]],"aaaa"))</f>
        <v>2021</v>
      </c>
    </row>
    <row r="1551" spans="1:8" x14ac:dyDescent="0.25">
      <c r="A1551" s="2">
        <v>44289</v>
      </c>
      <c r="B1551" t="s">
        <v>37</v>
      </c>
      <c r="C1551">
        <v>-4451</v>
      </c>
      <c r="D1551" t="str">
        <f>VLOOKUP(B1551,Tabela_Auxiliar[],2,0)</f>
        <v>3. Custos do Produto/Mercadoria/Serviço</v>
      </c>
      <c r="E1551" t="str">
        <f>VLOOKUP(B1551,Tabela_Auxiliar[],4,0)</f>
        <v>Despesas c/ Produto</v>
      </c>
      <c r="F1551" t="str">
        <f>VLOOKUP(B1551,Tabela_Auxiliar[],3,0)</f>
        <v>Saída</v>
      </c>
      <c r="G1551" t="str">
        <f>UPPER(TEXT(Tabela_DB[[#This Row],[DATA]],"mmm"))</f>
        <v>ABR</v>
      </c>
      <c r="H1551" t="str">
        <f>UPPER(TEXT(Tabela_DB[[#This Row],[DATA]],"aaaa"))</f>
        <v>2021</v>
      </c>
    </row>
    <row r="1552" spans="1:8" x14ac:dyDescent="0.25">
      <c r="A1552" s="2">
        <v>44289</v>
      </c>
      <c r="B1552" t="s">
        <v>102</v>
      </c>
      <c r="C1552">
        <v>-1712</v>
      </c>
      <c r="D1552" t="str">
        <f>VLOOKUP(B1552,Tabela_Auxiliar[],2,0)</f>
        <v>6. Resultado após o Resultado Financeiro</v>
      </c>
      <c r="E1552" t="str">
        <f>VLOOKUP(B1552,Tabela_Auxiliar[],4,0)</f>
        <v>EBTIDA</v>
      </c>
      <c r="F1552" t="str">
        <f>VLOOKUP(B1552,Tabela_Auxiliar[],3,0)</f>
        <v>Saída</v>
      </c>
      <c r="G1552" t="str">
        <f>UPPER(TEXT(Tabela_DB[[#This Row],[DATA]],"mmm"))</f>
        <v>ABR</v>
      </c>
      <c r="H1552" t="str">
        <f>UPPER(TEXT(Tabela_DB[[#This Row],[DATA]],"aaaa"))</f>
        <v>2021</v>
      </c>
    </row>
    <row r="1553" spans="1:8" x14ac:dyDescent="0.25">
      <c r="A1553" s="2">
        <v>44289</v>
      </c>
      <c r="B1553" t="s">
        <v>73</v>
      </c>
      <c r="C1553">
        <v>-2046</v>
      </c>
      <c r="D1553" t="str">
        <f>VLOOKUP(B1553,Tabela_Auxiliar[],2,0)</f>
        <v>4. Despesas Operacionais</v>
      </c>
      <c r="E1553" t="str">
        <f>VLOOKUP(B1553,Tabela_Auxiliar[],4,0)</f>
        <v>Despesa com Ocupação</v>
      </c>
      <c r="F1553" t="str">
        <f>VLOOKUP(B1553,Tabela_Auxiliar[],3,0)</f>
        <v>Saída</v>
      </c>
      <c r="G1553" t="str">
        <f>UPPER(TEXT(Tabela_DB[[#This Row],[DATA]],"mmm"))</f>
        <v>ABR</v>
      </c>
      <c r="H1553" t="str">
        <f>UPPER(TEXT(Tabela_DB[[#This Row],[DATA]],"aaaa"))</f>
        <v>2021</v>
      </c>
    </row>
    <row r="1554" spans="1:8" x14ac:dyDescent="0.25">
      <c r="A1554" s="2">
        <v>44290</v>
      </c>
      <c r="B1554" t="s">
        <v>4</v>
      </c>
      <c r="C1554">
        <v>12625</v>
      </c>
      <c r="D1554" t="str">
        <f>VLOOKUP(B1554,Tabela_Auxiliar[],2,0)</f>
        <v>1. Receita Operacional Bruta</v>
      </c>
      <c r="E1554" t="str">
        <f>VLOOKUP(B1554,Tabela_Auxiliar[],4,0)</f>
        <v>Receita Bruta</v>
      </c>
      <c r="F1554" t="str">
        <f>VLOOKUP(B1554,Tabela_Auxiliar[],3,0)</f>
        <v>Entrada</v>
      </c>
      <c r="G1554" t="str">
        <f>UPPER(TEXT(Tabela_DB[[#This Row],[DATA]],"mmm"))</f>
        <v>ABR</v>
      </c>
      <c r="H1554" t="str">
        <f>UPPER(TEXT(Tabela_DB[[#This Row],[DATA]],"aaaa"))</f>
        <v>2021</v>
      </c>
    </row>
    <row r="1555" spans="1:8" x14ac:dyDescent="0.25">
      <c r="A1555" s="2">
        <v>44290</v>
      </c>
      <c r="B1555" t="s">
        <v>34</v>
      </c>
      <c r="C1555">
        <v>-2424</v>
      </c>
      <c r="D1555" t="str">
        <f>VLOOKUP(B1555,Tabela_Auxiliar[],2,0)</f>
        <v>2. Deduções da Receita</v>
      </c>
      <c r="E1555" t="str">
        <f>VLOOKUP(B1555,Tabela_Auxiliar[],4,0)</f>
        <v>Imposto</v>
      </c>
      <c r="F1555" t="str">
        <f>VLOOKUP(B1555,Tabela_Auxiliar[],3,0)</f>
        <v>Saída</v>
      </c>
      <c r="G1555" t="str">
        <f>UPPER(TEXT(Tabela_DB[[#This Row],[DATA]],"mmm"))</f>
        <v>ABR</v>
      </c>
      <c r="H1555" t="str">
        <f>UPPER(TEXT(Tabela_DB[[#This Row],[DATA]],"aaaa"))</f>
        <v>2021</v>
      </c>
    </row>
    <row r="1556" spans="1:8" x14ac:dyDescent="0.25">
      <c r="A1556" s="2">
        <v>44290</v>
      </c>
      <c r="B1556" t="s">
        <v>35</v>
      </c>
      <c r="C1556">
        <v>-2034</v>
      </c>
      <c r="D1556" t="str">
        <f>VLOOKUP(B1556,Tabela_Auxiliar[],2,0)</f>
        <v>2. Deduções da Receita</v>
      </c>
      <c r="E1556" t="str">
        <f>VLOOKUP(B1556,Tabela_Auxiliar[],4,0)</f>
        <v>Imposto</v>
      </c>
      <c r="F1556" t="str">
        <f>VLOOKUP(B1556,Tabela_Auxiliar[],3,0)</f>
        <v>Saída</v>
      </c>
      <c r="G1556" t="str">
        <f>UPPER(TEXT(Tabela_DB[[#This Row],[DATA]],"mmm"))</f>
        <v>ABR</v>
      </c>
      <c r="H1556" t="str">
        <f>UPPER(TEXT(Tabela_DB[[#This Row],[DATA]],"aaaa"))</f>
        <v>2021</v>
      </c>
    </row>
    <row r="1557" spans="1:8" x14ac:dyDescent="0.25">
      <c r="A1557" s="2">
        <v>44290</v>
      </c>
      <c r="B1557" t="s">
        <v>34</v>
      </c>
      <c r="C1557">
        <v>-1221</v>
      </c>
      <c r="D1557" t="str">
        <f>VLOOKUP(B1557,Tabela_Auxiliar[],2,0)</f>
        <v>2. Deduções da Receita</v>
      </c>
      <c r="E1557" t="str">
        <f>VLOOKUP(B1557,Tabela_Auxiliar[],4,0)</f>
        <v>Imposto</v>
      </c>
      <c r="F1557" t="str">
        <f>VLOOKUP(B1557,Tabela_Auxiliar[],3,0)</f>
        <v>Saída</v>
      </c>
      <c r="G1557" t="str">
        <f>UPPER(TEXT(Tabela_DB[[#This Row],[DATA]],"mmm"))</f>
        <v>ABR</v>
      </c>
      <c r="H1557" t="str">
        <f>UPPER(TEXT(Tabela_DB[[#This Row],[DATA]],"aaaa"))</f>
        <v>2021</v>
      </c>
    </row>
    <row r="1558" spans="1:8" x14ac:dyDescent="0.25">
      <c r="A1558" s="2">
        <v>44290</v>
      </c>
      <c r="B1558" t="s">
        <v>111</v>
      </c>
      <c r="C1558">
        <v>-2338</v>
      </c>
      <c r="D1558" t="str">
        <f>VLOOKUP(B1558,Tabela_Auxiliar[],2,0)</f>
        <v>2. Deduções da Receita</v>
      </c>
      <c r="E1558" t="str">
        <f>VLOOKUP(B1558,Tabela_Auxiliar[],4,0)</f>
        <v>Imposto</v>
      </c>
      <c r="F1558" t="str">
        <f>VLOOKUP(B1558,Tabela_Auxiliar[],3,0)</f>
        <v>Saída</v>
      </c>
      <c r="G1558" t="str">
        <f>UPPER(TEXT(Tabela_DB[[#This Row],[DATA]],"mmm"))</f>
        <v>ABR</v>
      </c>
      <c r="H1558" t="str">
        <f>UPPER(TEXT(Tabela_DB[[#This Row],[DATA]],"aaaa"))</f>
        <v>2021</v>
      </c>
    </row>
    <row r="1559" spans="1:8" x14ac:dyDescent="0.25">
      <c r="A1559" s="2">
        <v>44290</v>
      </c>
      <c r="B1559" t="s">
        <v>37</v>
      </c>
      <c r="C1559">
        <v>-4651</v>
      </c>
      <c r="D1559" t="str">
        <f>VLOOKUP(B1559,Tabela_Auxiliar[],2,0)</f>
        <v>3. Custos do Produto/Mercadoria/Serviço</v>
      </c>
      <c r="E1559" t="str">
        <f>VLOOKUP(B1559,Tabela_Auxiliar[],4,0)</f>
        <v>Despesas c/ Produto</v>
      </c>
      <c r="F1559" t="str">
        <f>VLOOKUP(B1559,Tabela_Auxiliar[],3,0)</f>
        <v>Saída</v>
      </c>
      <c r="G1559" t="str">
        <f>UPPER(TEXT(Tabela_DB[[#This Row],[DATA]],"mmm"))</f>
        <v>ABR</v>
      </c>
      <c r="H1559" t="str">
        <f>UPPER(TEXT(Tabela_DB[[#This Row],[DATA]],"aaaa"))</f>
        <v>2021</v>
      </c>
    </row>
    <row r="1560" spans="1:8" x14ac:dyDescent="0.25">
      <c r="A1560" s="2">
        <v>44290</v>
      </c>
      <c r="B1560" t="s">
        <v>34</v>
      </c>
      <c r="C1560">
        <v>-1565</v>
      </c>
      <c r="D1560" t="str">
        <f>VLOOKUP(B1560,Tabela_Auxiliar[],2,0)</f>
        <v>2. Deduções da Receita</v>
      </c>
      <c r="E1560" t="str">
        <f>VLOOKUP(B1560,Tabela_Auxiliar[],4,0)</f>
        <v>Imposto</v>
      </c>
      <c r="F1560" t="str">
        <f>VLOOKUP(B1560,Tabela_Auxiliar[],3,0)</f>
        <v>Saída</v>
      </c>
      <c r="G1560" t="str">
        <f>UPPER(TEXT(Tabela_DB[[#This Row],[DATA]],"mmm"))</f>
        <v>ABR</v>
      </c>
      <c r="H1560" t="str">
        <f>UPPER(TEXT(Tabela_DB[[#This Row],[DATA]],"aaaa"))</f>
        <v>2021</v>
      </c>
    </row>
    <row r="1561" spans="1:8" x14ac:dyDescent="0.25">
      <c r="A1561" s="2">
        <v>44290</v>
      </c>
      <c r="B1561" t="s">
        <v>60</v>
      </c>
      <c r="C1561">
        <v>-1310</v>
      </c>
      <c r="D1561" t="str">
        <f>VLOOKUP(B1561,Tabela_Auxiliar[],2,0)</f>
        <v>4. Despesas Operacionais</v>
      </c>
      <c r="E1561" t="str">
        <f>VLOOKUP(B1561,Tabela_Auxiliar[],4,0)</f>
        <v>Despesa de Depreciação</v>
      </c>
      <c r="F1561" t="str">
        <f>VLOOKUP(B1561,Tabela_Auxiliar[],3,0)</f>
        <v>Saída</v>
      </c>
      <c r="G1561" t="str">
        <f>UPPER(TEXT(Tabela_DB[[#This Row],[DATA]],"mmm"))</f>
        <v>ABR</v>
      </c>
      <c r="H1561" t="str">
        <f>UPPER(TEXT(Tabela_DB[[#This Row],[DATA]],"aaaa"))</f>
        <v>2021</v>
      </c>
    </row>
    <row r="1562" spans="1:8" x14ac:dyDescent="0.25">
      <c r="A1562" s="2">
        <v>44290</v>
      </c>
      <c r="B1562" t="s">
        <v>4</v>
      </c>
      <c r="C1562">
        <v>12482</v>
      </c>
      <c r="D1562" t="str">
        <f>VLOOKUP(B1562,Tabela_Auxiliar[],2,0)</f>
        <v>1. Receita Operacional Bruta</v>
      </c>
      <c r="E1562" t="str">
        <f>VLOOKUP(B1562,Tabela_Auxiliar[],4,0)</f>
        <v>Receita Bruta</v>
      </c>
      <c r="F1562" t="str">
        <f>VLOOKUP(B1562,Tabela_Auxiliar[],3,0)</f>
        <v>Entrada</v>
      </c>
      <c r="G1562" t="str">
        <f>UPPER(TEXT(Tabela_DB[[#This Row],[DATA]],"mmm"))</f>
        <v>ABR</v>
      </c>
      <c r="H1562" t="str">
        <f>UPPER(TEXT(Tabela_DB[[#This Row],[DATA]],"aaaa"))</f>
        <v>2021</v>
      </c>
    </row>
    <row r="1563" spans="1:8" x14ac:dyDescent="0.25">
      <c r="A1563" s="2">
        <v>44290</v>
      </c>
      <c r="B1563" t="s">
        <v>64</v>
      </c>
      <c r="C1563">
        <v>-2185</v>
      </c>
      <c r="D1563" t="str">
        <f>VLOOKUP(B1563,Tabela_Auxiliar[],2,0)</f>
        <v>4. Despesas Operacionais</v>
      </c>
      <c r="E1563" t="str">
        <f>VLOOKUP(B1563,Tabela_Auxiliar[],4,0)</f>
        <v>Despesa Gerais</v>
      </c>
      <c r="F1563" t="str">
        <f>VLOOKUP(B1563,Tabela_Auxiliar[],3,0)</f>
        <v>Saída</v>
      </c>
      <c r="G1563" t="str">
        <f>UPPER(TEXT(Tabela_DB[[#This Row],[DATA]],"mmm"))</f>
        <v>ABR</v>
      </c>
      <c r="H1563" t="str">
        <f>UPPER(TEXT(Tabela_DB[[#This Row],[DATA]],"aaaa"))</f>
        <v>2021</v>
      </c>
    </row>
    <row r="1564" spans="1:8" x14ac:dyDescent="0.25">
      <c r="A1564" s="2">
        <v>44290</v>
      </c>
      <c r="B1564" t="s">
        <v>35</v>
      </c>
      <c r="C1564">
        <v>-1199</v>
      </c>
      <c r="D1564" t="str">
        <f>VLOOKUP(B1564,Tabela_Auxiliar[],2,0)</f>
        <v>2. Deduções da Receita</v>
      </c>
      <c r="E1564" t="str">
        <f>VLOOKUP(B1564,Tabela_Auxiliar[],4,0)</f>
        <v>Imposto</v>
      </c>
      <c r="F1564" t="str">
        <f>VLOOKUP(B1564,Tabela_Auxiliar[],3,0)</f>
        <v>Saída</v>
      </c>
      <c r="G1564" t="str">
        <f>UPPER(TEXT(Tabela_DB[[#This Row],[DATA]],"mmm"))</f>
        <v>ABR</v>
      </c>
      <c r="H1564" t="str">
        <f>UPPER(TEXT(Tabela_DB[[#This Row],[DATA]],"aaaa"))</f>
        <v>2021</v>
      </c>
    </row>
    <row r="1565" spans="1:8" x14ac:dyDescent="0.25">
      <c r="A1565" s="2">
        <v>44290</v>
      </c>
      <c r="B1565" t="s">
        <v>75</v>
      </c>
      <c r="C1565">
        <v>-1421</v>
      </c>
      <c r="D1565" t="str">
        <f>VLOOKUP(B1565,Tabela_Auxiliar[],2,0)</f>
        <v>4. Despesas Operacionais</v>
      </c>
      <c r="E1565" t="str">
        <f>VLOOKUP(B1565,Tabela_Auxiliar[],4,0)</f>
        <v>Serviços Contratados</v>
      </c>
      <c r="F1565" t="str">
        <f>VLOOKUP(B1565,Tabela_Auxiliar[],3,0)</f>
        <v>Saída</v>
      </c>
      <c r="G1565" t="str">
        <f>UPPER(TEXT(Tabela_DB[[#This Row],[DATA]],"mmm"))</f>
        <v>ABR</v>
      </c>
      <c r="H1565" t="str">
        <f>UPPER(TEXT(Tabela_DB[[#This Row],[DATA]],"aaaa"))</f>
        <v>2021</v>
      </c>
    </row>
    <row r="1566" spans="1:8" x14ac:dyDescent="0.25">
      <c r="A1566" s="2">
        <v>44290</v>
      </c>
      <c r="B1566" t="s">
        <v>37</v>
      </c>
      <c r="C1566">
        <v>-3552</v>
      </c>
      <c r="D1566" t="str">
        <f>VLOOKUP(B1566,Tabela_Auxiliar[],2,0)</f>
        <v>3. Custos do Produto/Mercadoria/Serviço</v>
      </c>
      <c r="E1566" t="str">
        <f>VLOOKUP(B1566,Tabela_Auxiliar[],4,0)</f>
        <v>Despesas c/ Produto</v>
      </c>
      <c r="F1566" t="str">
        <f>VLOOKUP(B1566,Tabela_Auxiliar[],3,0)</f>
        <v>Saída</v>
      </c>
      <c r="G1566" t="str">
        <f>UPPER(TEXT(Tabela_DB[[#This Row],[DATA]],"mmm"))</f>
        <v>ABR</v>
      </c>
      <c r="H1566" t="str">
        <f>UPPER(TEXT(Tabela_DB[[#This Row],[DATA]],"aaaa"))</f>
        <v>2021</v>
      </c>
    </row>
    <row r="1567" spans="1:8" x14ac:dyDescent="0.25">
      <c r="A1567" s="2">
        <v>44290</v>
      </c>
      <c r="B1567" t="s">
        <v>37</v>
      </c>
      <c r="C1567">
        <v>-4944</v>
      </c>
      <c r="D1567" t="str">
        <f>VLOOKUP(B1567,Tabela_Auxiliar[],2,0)</f>
        <v>3. Custos do Produto/Mercadoria/Serviço</v>
      </c>
      <c r="E1567" t="str">
        <f>VLOOKUP(B1567,Tabela_Auxiliar[],4,0)</f>
        <v>Despesas c/ Produto</v>
      </c>
      <c r="F1567" t="str">
        <f>VLOOKUP(B1567,Tabela_Auxiliar[],3,0)</f>
        <v>Saída</v>
      </c>
      <c r="G1567" t="str">
        <f>UPPER(TEXT(Tabela_DB[[#This Row],[DATA]],"mmm"))</f>
        <v>ABR</v>
      </c>
      <c r="H1567" t="str">
        <f>UPPER(TEXT(Tabela_DB[[#This Row],[DATA]],"aaaa"))</f>
        <v>2021</v>
      </c>
    </row>
    <row r="1568" spans="1:8" x14ac:dyDescent="0.25">
      <c r="A1568" s="2">
        <v>44290</v>
      </c>
      <c r="B1568" t="s">
        <v>3</v>
      </c>
      <c r="C1568">
        <v>10766</v>
      </c>
      <c r="D1568" t="str">
        <f>VLOOKUP(B1568,Tabela_Auxiliar[],2,0)</f>
        <v>1. Receita Operacional Bruta</v>
      </c>
      <c r="E1568" t="str">
        <f>VLOOKUP(B1568,Tabela_Auxiliar[],4,0)</f>
        <v>Receita Bruta</v>
      </c>
      <c r="F1568" t="str">
        <f>VLOOKUP(B1568,Tabela_Auxiliar[],3,0)</f>
        <v>Entrada</v>
      </c>
      <c r="G1568" t="str">
        <f>UPPER(TEXT(Tabela_DB[[#This Row],[DATA]],"mmm"))</f>
        <v>ABR</v>
      </c>
      <c r="H1568" t="str">
        <f>UPPER(TEXT(Tabela_DB[[#This Row],[DATA]],"aaaa"))</f>
        <v>2021</v>
      </c>
    </row>
    <row r="1569" spans="1:8" x14ac:dyDescent="0.25">
      <c r="A1569" s="2">
        <v>44290</v>
      </c>
      <c r="B1569" t="s">
        <v>3</v>
      </c>
      <c r="C1569">
        <v>12478</v>
      </c>
      <c r="D1569" t="str">
        <f>VLOOKUP(B1569,Tabela_Auxiliar[],2,0)</f>
        <v>1. Receita Operacional Bruta</v>
      </c>
      <c r="E1569" t="str">
        <f>VLOOKUP(B1569,Tabela_Auxiliar[],4,0)</f>
        <v>Receita Bruta</v>
      </c>
      <c r="F1569" t="str">
        <f>VLOOKUP(B1569,Tabela_Auxiliar[],3,0)</f>
        <v>Entrada</v>
      </c>
      <c r="G1569" t="str">
        <f>UPPER(TEXT(Tabela_DB[[#This Row],[DATA]],"mmm"))</f>
        <v>ABR</v>
      </c>
      <c r="H1569" t="str">
        <f>UPPER(TEXT(Tabela_DB[[#This Row],[DATA]],"aaaa"))</f>
        <v>2021</v>
      </c>
    </row>
    <row r="1570" spans="1:8" x14ac:dyDescent="0.25">
      <c r="A1570" s="2">
        <v>44290</v>
      </c>
      <c r="B1570" t="s">
        <v>47</v>
      </c>
      <c r="C1570">
        <v>-2154</v>
      </c>
      <c r="D1570" t="str">
        <f>VLOOKUP(B1570,Tabela_Auxiliar[],2,0)</f>
        <v>4. Despesas Operacionais</v>
      </c>
      <c r="E1570" t="str">
        <f>VLOOKUP(B1570,Tabela_Auxiliar[],4,0)</f>
        <v>Despesa com Pessoal</v>
      </c>
      <c r="F1570" t="str">
        <f>VLOOKUP(B1570,Tabela_Auxiliar[],3,0)</f>
        <v>Saída</v>
      </c>
      <c r="G1570" t="str">
        <f>UPPER(TEXT(Tabela_DB[[#This Row],[DATA]],"mmm"))</f>
        <v>ABR</v>
      </c>
      <c r="H1570" t="str">
        <f>UPPER(TEXT(Tabela_DB[[#This Row],[DATA]],"aaaa"))</f>
        <v>2021</v>
      </c>
    </row>
    <row r="1571" spans="1:8" x14ac:dyDescent="0.25">
      <c r="A1571" s="2">
        <v>44290</v>
      </c>
      <c r="B1571" t="s">
        <v>54</v>
      </c>
      <c r="C1571">
        <v>-1941</v>
      </c>
      <c r="D1571" t="str">
        <f>VLOOKUP(B1571,Tabela_Auxiliar[],2,0)</f>
        <v>4. Despesas Operacionais</v>
      </c>
      <c r="E1571" t="str">
        <f>VLOOKUP(B1571,Tabela_Auxiliar[],4,0)</f>
        <v>Despesa com Pessoal</v>
      </c>
      <c r="F1571" t="str">
        <f>VLOOKUP(B1571,Tabela_Auxiliar[],3,0)</f>
        <v>Saída</v>
      </c>
      <c r="G1571" t="str">
        <f>UPPER(TEXT(Tabela_DB[[#This Row],[DATA]],"mmm"))</f>
        <v>ABR</v>
      </c>
      <c r="H1571" t="str">
        <f>UPPER(TEXT(Tabela_DB[[#This Row],[DATA]],"aaaa"))</f>
        <v>2021</v>
      </c>
    </row>
    <row r="1572" spans="1:8" x14ac:dyDescent="0.25">
      <c r="A1572" s="2">
        <v>44291</v>
      </c>
      <c r="B1572" t="s">
        <v>67</v>
      </c>
      <c r="C1572">
        <v>-1784</v>
      </c>
      <c r="D1572" t="str">
        <f>VLOOKUP(B1572,Tabela_Auxiliar[],2,0)</f>
        <v>4. Despesas Operacionais</v>
      </c>
      <c r="E1572" t="str">
        <f>VLOOKUP(B1572,Tabela_Auxiliar[],4,0)</f>
        <v>Despesa com Vendas</v>
      </c>
      <c r="F1572" t="str">
        <f>VLOOKUP(B1572,Tabela_Auxiliar[],3,0)</f>
        <v>Saída</v>
      </c>
      <c r="G1572" t="str">
        <f>UPPER(TEXT(Tabela_DB[[#This Row],[DATA]],"mmm"))</f>
        <v>ABR</v>
      </c>
      <c r="H1572" t="str">
        <f>UPPER(TEXT(Tabela_DB[[#This Row],[DATA]],"aaaa"))</f>
        <v>2021</v>
      </c>
    </row>
    <row r="1573" spans="1:8" x14ac:dyDescent="0.25">
      <c r="A1573" s="2">
        <v>44291</v>
      </c>
      <c r="B1573" t="s">
        <v>47</v>
      </c>
      <c r="C1573">
        <v>-2259</v>
      </c>
      <c r="D1573" t="str">
        <f>VLOOKUP(B1573,Tabela_Auxiliar[],2,0)</f>
        <v>4. Despesas Operacionais</v>
      </c>
      <c r="E1573" t="str">
        <f>VLOOKUP(B1573,Tabela_Auxiliar[],4,0)</f>
        <v>Despesa com Pessoal</v>
      </c>
      <c r="F1573" t="str">
        <f>VLOOKUP(B1573,Tabela_Auxiliar[],3,0)</f>
        <v>Saída</v>
      </c>
      <c r="G1573" t="str">
        <f>UPPER(TEXT(Tabela_DB[[#This Row],[DATA]],"mmm"))</f>
        <v>ABR</v>
      </c>
      <c r="H1573" t="str">
        <f>UPPER(TEXT(Tabela_DB[[#This Row],[DATA]],"aaaa"))</f>
        <v>2021</v>
      </c>
    </row>
    <row r="1574" spans="1:8" x14ac:dyDescent="0.25">
      <c r="A1574" s="2">
        <v>44291</v>
      </c>
      <c r="B1574" t="s">
        <v>37</v>
      </c>
      <c r="C1574">
        <v>-2859</v>
      </c>
      <c r="D1574" t="str">
        <f>VLOOKUP(B1574,Tabela_Auxiliar[],2,0)</f>
        <v>3. Custos do Produto/Mercadoria/Serviço</v>
      </c>
      <c r="E1574" t="str">
        <f>VLOOKUP(B1574,Tabela_Auxiliar[],4,0)</f>
        <v>Despesas c/ Produto</v>
      </c>
      <c r="F1574" t="str">
        <f>VLOOKUP(B1574,Tabela_Auxiliar[],3,0)</f>
        <v>Saída</v>
      </c>
      <c r="G1574" t="str">
        <f>UPPER(TEXT(Tabela_DB[[#This Row],[DATA]],"mmm"))</f>
        <v>ABR</v>
      </c>
      <c r="H1574" t="str">
        <f>UPPER(TEXT(Tabela_DB[[#This Row],[DATA]],"aaaa"))</f>
        <v>2021</v>
      </c>
    </row>
    <row r="1575" spans="1:8" x14ac:dyDescent="0.25">
      <c r="A1575" s="2">
        <v>44291</v>
      </c>
      <c r="B1575" t="s">
        <v>4</v>
      </c>
      <c r="C1575">
        <v>14186</v>
      </c>
      <c r="D1575" t="str">
        <f>VLOOKUP(B1575,Tabela_Auxiliar[],2,0)</f>
        <v>1. Receita Operacional Bruta</v>
      </c>
      <c r="E1575" t="str">
        <f>VLOOKUP(B1575,Tabela_Auxiliar[],4,0)</f>
        <v>Receita Bruta</v>
      </c>
      <c r="F1575" t="str">
        <f>VLOOKUP(B1575,Tabela_Auxiliar[],3,0)</f>
        <v>Entrada</v>
      </c>
      <c r="G1575" t="str">
        <f>UPPER(TEXT(Tabela_DB[[#This Row],[DATA]],"mmm"))</f>
        <v>ABR</v>
      </c>
      <c r="H1575" t="str">
        <f>UPPER(TEXT(Tabela_DB[[#This Row],[DATA]],"aaaa"))</f>
        <v>2021</v>
      </c>
    </row>
    <row r="1576" spans="1:8" x14ac:dyDescent="0.25">
      <c r="A1576" s="2">
        <v>44291</v>
      </c>
      <c r="B1576" t="s">
        <v>4</v>
      </c>
      <c r="C1576">
        <v>14287</v>
      </c>
      <c r="D1576" t="str">
        <f>VLOOKUP(B1576,Tabela_Auxiliar[],2,0)</f>
        <v>1. Receita Operacional Bruta</v>
      </c>
      <c r="E1576" t="str">
        <f>VLOOKUP(B1576,Tabela_Auxiliar[],4,0)</f>
        <v>Receita Bruta</v>
      </c>
      <c r="F1576" t="str">
        <f>VLOOKUP(B1576,Tabela_Auxiliar[],3,0)</f>
        <v>Entrada</v>
      </c>
      <c r="G1576" t="str">
        <f>UPPER(TEXT(Tabela_DB[[#This Row],[DATA]],"mmm"))</f>
        <v>ABR</v>
      </c>
      <c r="H1576" t="str">
        <f>UPPER(TEXT(Tabela_DB[[#This Row],[DATA]],"aaaa"))</f>
        <v>2021</v>
      </c>
    </row>
    <row r="1577" spans="1:8" x14ac:dyDescent="0.25">
      <c r="A1577" s="2">
        <v>44291</v>
      </c>
      <c r="B1577" t="s">
        <v>111</v>
      </c>
      <c r="C1577">
        <v>-1604</v>
      </c>
      <c r="D1577" t="str">
        <f>VLOOKUP(B1577,Tabela_Auxiliar[],2,0)</f>
        <v>2. Deduções da Receita</v>
      </c>
      <c r="E1577" t="str">
        <f>VLOOKUP(B1577,Tabela_Auxiliar[],4,0)</f>
        <v>Imposto</v>
      </c>
      <c r="F1577" t="str">
        <f>VLOOKUP(B1577,Tabela_Auxiliar[],3,0)</f>
        <v>Saída</v>
      </c>
      <c r="G1577" t="str">
        <f>UPPER(TEXT(Tabela_DB[[#This Row],[DATA]],"mmm"))</f>
        <v>ABR</v>
      </c>
      <c r="H1577" t="str">
        <f>UPPER(TEXT(Tabela_DB[[#This Row],[DATA]],"aaaa"))</f>
        <v>2021</v>
      </c>
    </row>
    <row r="1578" spans="1:8" x14ac:dyDescent="0.25">
      <c r="A1578" s="2">
        <v>44291</v>
      </c>
      <c r="B1578" t="s">
        <v>46</v>
      </c>
      <c r="C1578">
        <v>-2316</v>
      </c>
      <c r="D1578" t="str">
        <f>VLOOKUP(B1578,Tabela_Auxiliar[],2,0)</f>
        <v>4. Despesas Operacionais</v>
      </c>
      <c r="E1578" t="str">
        <f>VLOOKUP(B1578,Tabela_Auxiliar[],4,0)</f>
        <v>Despesa com Pessoal</v>
      </c>
      <c r="F1578" t="str">
        <f>VLOOKUP(B1578,Tabela_Auxiliar[],3,0)</f>
        <v>Saída</v>
      </c>
      <c r="G1578" t="str">
        <f>UPPER(TEXT(Tabela_DB[[#This Row],[DATA]],"mmm"))</f>
        <v>ABR</v>
      </c>
      <c r="H1578" t="str">
        <f>UPPER(TEXT(Tabela_DB[[#This Row],[DATA]],"aaaa"))</f>
        <v>2021</v>
      </c>
    </row>
    <row r="1579" spans="1:8" x14ac:dyDescent="0.25">
      <c r="A1579" s="2">
        <v>44291</v>
      </c>
      <c r="B1579" t="s">
        <v>72</v>
      </c>
      <c r="C1579">
        <v>-2457</v>
      </c>
      <c r="D1579" t="str">
        <f>VLOOKUP(B1579,Tabela_Auxiliar[],2,0)</f>
        <v>4. Despesas Operacionais</v>
      </c>
      <c r="E1579" t="str">
        <f>VLOOKUP(B1579,Tabela_Auxiliar[],4,0)</f>
        <v>Despesa com Ocupação</v>
      </c>
      <c r="F1579" t="str">
        <f>VLOOKUP(B1579,Tabela_Auxiliar[],3,0)</f>
        <v>Saída</v>
      </c>
      <c r="G1579" t="str">
        <f>UPPER(TEXT(Tabela_DB[[#This Row],[DATA]],"mmm"))</f>
        <v>ABR</v>
      </c>
      <c r="H1579" t="str">
        <f>UPPER(TEXT(Tabela_DB[[#This Row],[DATA]],"aaaa"))</f>
        <v>2021</v>
      </c>
    </row>
    <row r="1580" spans="1:8" x14ac:dyDescent="0.25">
      <c r="A1580" s="2">
        <v>44291</v>
      </c>
      <c r="B1580" t="s">
        <v>38</v>
      </c>
      <c r="C1580">
        <v>-1961</v>
      </c>
      <c r="D1580" t="str">
        <f>VLOOKUP(B1580,Tabela_Auxiliar[],2,0)</f>
        <v>2. Deduções da Receita</v>
      </c>
      <c r="E1580" t="str">
        <f>VLOOKUP(B1580,Tabela_Auxiliar[],4,0)</f>
        <v>Deduções</v>
      </c>
      <c r="F1580" t="str">
        <f>VLOOKUP(B1580,Tabela_Auxiliar[],3,0)</f>
        <v>Saída</v>
      </c>
      <c r="G1580" t="str">
        <f>UPPER(TEXT(Tabela_DB[[#This Row],[DATA]],"mmm"))</f>
        <v>ABR</v>
      </c>
      <c r="H1580" t="str">
        <f>UPPER(TEXT(Tabela_DB[[#This Row],[DATA]],"aaaa"))</f>
        <v>2021</v>
      </c>
    </row>
    <row r="1581" spans="1:8" x14ac:dyDescent="0.25">
      <c r="A1581" s="2">
        <v>44291</v>
      </c>
      <c r="B1581" t="s">
        <v>37</v>
      </c>
      <c r="C1581">
        <v>-3433</v>
      </c>
      <c r="D1581" t="str">
        <f>VLOOKUP(B1581,Tabela_Auxiliar[],2,0)</f>
        <v>3. Custos do Produto/Mercadoria/Serviço</v>
      </c>
      <c r="E1581" t="str">
        <f>VLOOKUP(B1581,Tabela_Auxiliar[],4,0)</f>
        <v>Despesas c/ Produto</v>
      </c>
      <c r="F1581" t="str">
        <f>VLOOKUP(B1581,Tabela_Auxiliar[],3,0)</f>
        <v>Saída</v>
      </c>
      <c r="G1581" t="str">
        <f>UPPER(TEXT(Tabela_DB[[#This Row],[DATA]],"mmm"))</f>
        <v>ABR</v>
      </c>
      <c r="H1581" t="str">
        <f>UPPER(TEXT(Tabela_DB[[#This Row],[DATA]],"aaaa"))</f>
        <v>2021</v>
      </c>
    </row>
    <row r="1582" spans="1:8" x14ac:dyDescent="0.25">
      <c r="A1582" s="2">
        <v>44291</v>
      </c>
      <c r="B1582" t="s">
        <v>3</v>
      </c>
      <c r="C1582">
        <v>12685</v>
      </c>
      <c r="D1582" t="str">
        <f>VLOOKUP(B1582,Tabela_Auxiliar[],2,0)</f>
        <v>1. Receita Operacional Bruta</v>
      </c>
      <c r="E1582" t="str">
        <f>VLOOKUP(B1582,Tabela_Auxiliar[],4,0)</f>
        <v>Receita Bruta</v>
      </c>
      <c r="F1582" t="str">
        <f>VLOOKUP(B1582,Tabela_Auxiliar[],3,0)</f>
        <v>Entrada</v>
      </c>
      <c r="G1582" t="str">
        <f>UPPER(TEXT(Tabela_DB[[#This Row],[DATA]],"mmm"))</f>
        <v>ABR</v>
      </c>
      <c r="H1582" t="str">
        <f>UPPER(TEXT(Tabela_DB[[#This Row],[DATA]],"aaaa"))</f>
        <v>2021</v>
      </c>
    </row>
    <row r="1583" spans="1:8" x14ac:dyDescent="0.25">
      <c r="A1583" s="2">
        <v>44291</v>
      </c>
      <c r="B1583" t="s">
        <v>35</v>
      </c>
      <c r="C1583">
        <v>-1354</v>
      </c>
      <c r="D1583" t="str">
        <f>VLOOKUP(B1583,Tabela_Auxiliar[],2,0)</f>
        <v>2. Deduções da Receita</v>
      </c>
      <c r="E1583" t="str">
        <f>VLOOKUP(B1583,Tabela_Auxiliar[],4,0)</f>
        <v>Imposto</v>
      </c>
      <c r="F1583" t="str">
        <f>VLOOKUP(B1583,Tabela_Auxiliar[],3,0)</f>
        <v>Saída</v>
      </c>
      <c r="G1583" t="str">
        <f>UPPER(TEXT(Tabela_DB[[#This Row],[DATA]],"mmm"))</f>
        <v>ABR</v>
      </c>
      <c r="H1583" t="str">
        <f>UPPER(TEXT(Tabela_DB[[#This Row],[DATA]],"aaaa"))</f>
        <v>2021</v>
      </c>
    </row>
    <row r="1584" spans="1:8" x14ac:dyDescent="0.25">
      <c r="A1584" s="2">
        <v>44291</v>
      </c>
      <c r="B1584" t="s">
        <v>42</v>
      </c>
      <c r="C1584">
        <v>-1086</v>
      </c>
      <c r="D1584" t="str">
        <f>VLOOKUP(B1584,Tabela_Auxiliar[],2,0)</f>
        <v>4. Despesas Operacionais</v>
      </c>
      <c r="E1584" t="str">
        <f>VLOOKUP(B1584,Tabela_Auxiliar[],4,0)</f>
        <v>Despesa com Pessoal</v>
      </c>
      <c r="F1584" t="str">
        <f>VLOOKUP(B1584,Tabela_Auxiliar[],3,0)</f>
        <v>Saída</v>
      </c>
      <c r="G1584" t="str">
        <f>UPPER(TEXT(Tabela_DB[[#This Row],[DATA]],"mmm"))</f>
        <v>ABR</v>
      </c>
      <c r="H1584" t="str">
        <f>UPPER(TEXT(Tabela_DB[[#This Row],[DATA]],"aaaa"))</f>
        <v>2021</v>
      </c>
    </row>
    <row r="1585" spans="1:8" x14ac:dyDescent="0.25">
      <c r="A1585" s="2">
        <v>44291</v>
      </c>
      <c r="B1585" t="s">
        <v>34</v>
      </c>
      <c r="C1585">
        <v>-1610</v>
      </c>
      <c r="D1585" t="str">
        <f>VLOOKUP(B1585,Tabela_Auxiliar[],2,0)</f>
        <v>2. Deduções da Receita</v>
      </c>
      <c r="E1585" t="str">
        <f>VLOOKUP(B1585,Tabela_Auxiliar[],4,0)</f>
        <v>Imposto</v>
      </c>
      <c r="F1585" t="str">
        <f>VLOOKUP(B1585,Tabela_Auxiliar[],3,0)</f>
        <v>Saída</v>
      </c>
      <c r="G1585" t="str">
        <f>UPPER(TEXT(Tabela_DB[[#This Row],[DATA]],"mmm"))</f>
        <v>ABR</v>
      </c>
      <c r="H1585" t="str">
        <f>UPPER(TEXT(Tabela_DB[[#This Row],[DATA]],"aaaa"))</f>
        <v>2021</v>
      </c>
    </row>
    <row r="1586" spans="1:8" x14ac:dyDescent="0.25">
      <c r="A1586" s="2">
        <v>44291</v>
      </c>
      <c r="B1586" t="s">
        <v>37</v>
      </c>
      <c r="C1586">
        <v>-3374</v>
      </c>
      <c r="D1586" t="str">
        <f>VLOOKUP(B1586,Tabela_Auxiliar[],2,0)</f>
        <v>3. Custos do Produto/Mercadoria/Serviço</v>
      </c>
      <c r="E1586" t="str">
        <f>VLOOKUP(B1586,Tabela_Auxiliar[],4,0)</f>
        <v>Despesas c/ Produto</v>
      </c>
      <c r="F1586" t="str">
        <f>VLOOKUP(B1586,Tabela_Auxiliar[],3,0)</f>
        <v>Saída</v>
      </c>
      <c r="G1586" t="str">
        <f>UPPER(TEXT(Tabela_DB[[#This Row],[DATA]],"mmm"))</f>
        <v>ABR</v>
      </c>
      <c r="H1586" t="str">
        <f>UPPER(TEXT(Tabela_DB[[#This Row],[DATA]],"aaaa"))</f>
        <v>2021</v>
      </c>
    </row>
    <row r="1587" spans="1:8" x14ac:dyDescent="0.25">
      <c r="A1587" s="2">
        <v>44291</v>
      </c>
      <c r="B1587" t="s">
        <v>38</v>
      </c>
      <c r="C1587">
        <v>-2203</v>
      </c>
      <c r="D1587" t="str">
        <f>VLOOKUP(B1587,Tabela_Auxiliar[],2,0)</f>
        <v>2. Deduções da Receita</v>
      </c>
      <c r="E1587" t="str">
        <f>VLOOKUP(B1587,Tabela_Auxiliar[],4,0)</f>
        <v>Deduções</v>
      </c>
      <c r="F1587" t="str">
        <f>VLOOKUP(B1587,Tabela_Auxiliar[],3,0)</f>
        <v>Saída</v>
      </c>
      <c r="G1587" t="str">
        <f>UPPER(TEXT(Tabela_DB[[#This Row],[DATA]],"mmm"))</f>
        <v>ABR</v>
      </c>
      <c r="H1587" t="str">
        <f>UPPER(TEXT(Tabela_DB[[#This Row],[DATA]],"aaaa"))</f>
        <v>2021</v>
      </c>
    </row>
    <row r="1588" spans="1:8" x14ac:dyDescent="0.25">
      <c r="A1588" s="2">
        <v>44291</v>
      </c>
      <c r="B1588" t="s">
        <v>111</v>
      </c>
      <c r="C1588">
        <v>-2018</v>
      </c>
      <c r="D1588" t="str">
        <f>VLOOKUP(B1588,Tabela_Auxiliar[],2,0)</f>
        <v>2. Deduções da Receita</v>
      </c>
      <c r="E1588" t="str">
        <f>VLOOKUP(B1588,Tabela_Auxiliar[],4,0)</f>
        <v>Imposto</v>
      </c>
      <c r="F1588" t="str">
        <f>VLOOKUP(B1588,Tabela_Auxiliar[],3,0)</f>
        <v>Saída</v>
      </c>
      <c r="G1588" t="str">
        <f>UPPER(TEXT(Tabela_DB[[#This Row],[DATA]],"mmm"))</f>
        <v>ABR</v>
      </c>
      <c r="H1588" t="str">
        <f>UPPER(TEXT(Tabela_DB[[#This Row],[DATA]],"aaaa"))</f>
        <v>2021</v>
      </c>
    </row>
    <row r="1589" spans="1:8" x14ac:dyDescent="0.25">
      <c r="A1589" s="2">
        <v>44291</v>
      </c>
      <c r="B1589" t="s">
        <v>38</v>
      </c>
      <c r="C1589">
        <v>-1437</v>
      </c>
      <c r="D1589" t="str">
        <f>VLOOKUP(B1589,Tabela_Auxiliar[],2,0)</f>
        <v>2. Deduções da Receita</v>
      </c>
      <c r="E1589" t="str">
        <f>VLOOKUP(B1589,Tabela_Auxiliar[],4,0)</f>
        <v>Deduções</v>
      </c>
      <c r="F1589" t="str">
        <f>VLOOKUP(B1589,Tabela_Auxiliar[],3,0)</f>
        <v>Saída</v>
      </c>
      <c r="G1589" t="str">
        <f>UPPER(TEXT(Tabela_DB[[#This Row],[DATA]],"mmm"))</f>
        <v>ABR</v>
      </c>
      <c r="H1589" t="str">
        <f>UPPER(TEXT(Tabela_DB[[#This Row],[DATA]],"aaaa"))</f>
        <v>2021</v>
      </c>
    </row>
    <row r="1590" spans="1:8" x14ac:dyDescent="0.25">
      <c r="A1590" s="2">
        <v>44292</v>
      </c>
      <c r="B1590" t="s">
        <v>111</v>
      </c>
      <c r="C1590">
        <v>-1867</v>
      </c>
      <c r="D1590" t="str">
        <f>VLOOKUP(B1590,Tabela_Auxiliar[],2,0)</f>
        <v>2. Deduções da Receita</v>
      </c>
      <c r="E1590" t="str">
        <f>VLOOKUP(B1590,Tabela_Auxiliar[],4,0)</f>
        <v>Imposto</v>
      </c>
      <c r="F1590" t="str">
        <f>VLOOKUP(B1590,Tabela_Auxiliar[],3,0)</f>
        <v>Saída</v>
      </c>
      <c r="G1590" t="str">
        <f>UPPER(TEXT(Tabela_DB[[#This Row],[DATA]],"mmm"))</f>
        <v>ABR</v>
      </c>
      <c r="H1590" t="str">
        <f>UPPER(TEXT(Tabela_DB[[#This Row],[DATA]],"aaaa"))</f>
        <v>2021</v>
      </c>
    </row>
    <row r="1591" spans="1:8" x14ac:dyDescent="0.25">
      <c r="A1591" s="2">
        <v>44292</v>
      </c>
      <c r="B1591" t="s">
        <v>57</v>
      </c>
      <c r="C1591">
        <v>-1901</v>
      </c>
      <c r="D1591" t="str">
        <f>VLOOKUP(B1591,Tabela_Auxiliar[],2,0)</f>
        <v>4. Despesas Operacionais</v>
      </c>
      <c r="E1591" t="str">
        <f>VLOOKUP(B1591,Tabela_Auxiliar[],4,0)</f>
        <v>Despesa com Pessoal</v>
      </c>
      <c r="F1591" t="str">
        <f>VLOOKUP(B1591,Tabela_Auxiliar[],3,0)</f>
        <v>Saída</v>
      </c>
      <c r="G1591" t="str">
        <f>UPPER(TEXT(Tabela_DB[[#This Row],[DATA]],"mmm"))</f>
        <v>ABR</v>
      </c>
      <c r="H1591" t="str">
        <f>UPPER(TEXT(Tabela_DB[[#This Row],[DATA]],"aaaa"))</f>
        <v>2021</v>
      </c>
    </row>
    <row r="1592" spans="1:8" x14ac:dyDescent="0.25">
      <c r="A1592" s="2">
        <v>44292</v>
      </c>
      <c r="B1592" t="s">
        <v>3</v>
      </c>
      <c r="C1592">
        <v>14583</v>
      </c>
      <c r="D1592" t="str">
        <f>VLOOKUP(B1592,Tabela_Auxiliar[],2,0)</f>
        <v>1. Receita Operacional Bruta</v>
      </c>
      <c r="E1592" t="str">
        <f>VLOOKUP(B1592,Tabela_Auxiliar[],4,0)</f>
        <v>Receita Bruta</v>
      </c>
      <c r="F1592" t="str">
        <f>VLOOKUP(B1592,Tabela_Auxiliar[],3,0)</f>
        <v>Entrada</v>
      </c>
      <c r="G1592" t="str">
        <f>UPPER(TEXT(Tabela_DB[[#This Row],[DATA]],"mmm"))</f>
        <v>ABR</v>
      </c>
      <c r="H1592" t="str">
        <f>UPPER(TEXT(Tabela_DB[[#This Row],[DATA]],"aaaa"))</f>
        <v>2021</v>
      </c>
    </row>
    <row r="1593" spans="1:8" x14ac:dyDescent="0.25">
      <c r="A1593" s="2">
        <v>44292</v>
      </c>
      <c r="B1593" t="s">
        <v>37</v>
      </c>
      <c r="C1593">
        <v>-3480</v>
      </c>
      <c r="D1593" t="str">
        <f>VLOOKUP(B1593,Tabela_Auxiliar[],2,0)</f>
        <v>3. Custos do Produto/Mercadoria/Serviço</v>
      </c>
      <c r="E1593" t="str">
        <f>VLOOKUP(B1593,Tabela_Auxiliar[],4,0)</f>
        <v>Despesas c/ Produto</v>
      </c>
      <c r="F1593" t="str">
        <f>VLOOKUP(B1593,Tabela_Auxiliar[],3,0)</f>
        <v>Saída</v>
      </c>
      <c r="G1593" t="str">
        <f>UPPER(TEXT(Tabela_DB[[#This Row],[DATA]],"mmm"))</f>
        <v>ABR</v>
      </c>
      <c r="H1593" t="str">
        <f>UPPER(TEXT(Tabela_DB[[#This Row],[DATA]],"aaaa"))</f>
        <v>2021</v>
      </c>
    </row>
    <row r="1594" spans="1:8" x14ac:dyDescent="0.25">
      <c r="A1594" s="2">
        <v>44292</v>
      </c>
      <c r="B1594" t="s">
        <v>52</v>
      </c>
      <c r="C1594">
        <v>-1769</v>
      </c>
      <c r="D1594" t="str">
        <f>VLOOKUP(B1594,Tabela_Auxiliar[],2,0)</f>
        <v>4. Despesas Operacionais</v>
      </c>
      <c r="E1594" t="str">
        <f>VLOOKUP(B1594,Tabela_Auxiliar[],4,0)</f>
        <v>Despesa com Pessoal</v>
      </c>
      <c r="F1594" t="str">
        <f>VLOOKUP(B1594,Tabela_Auxiliar[],3,0)</f>
        <v>Saída</v>
      </c>
      <c r="G1594" t="str">
        <f>UPPER(TEXT(Tabela_DB[[#This Row],[DATA]],"mmm"))</f>
        <v>ABR</v>
      </c>
      <c r="H1594" t="str">
        <f>UPPER(TEXT(Tabela_DB[[#This Row],[DATA]],"aaaa"))</f>
        <v>2021</v>
      </c>
    </row>
    <row r="1595" spans="1:8" x14ac:dyDescent="0.25">
      <c r="A1595" s="2">
        <v>44292</v>
      </c>
      <c r="B1595" t="s">
        <v>111</v>
      </c>
      <c r="C1595">
        <v>-2097</v>
      </c>
      <c r="D1595" t="str">
        <f>VLOOKUP(B1595,Tabela_Auxiliar[],2,0)</f>
        <v>2. Deduções da Receita</v>
      </c>
      <c r="E1595" t="str">
        <f>VLOOKUP(B1595,Tabela_Auxiliar[],4,0)</f>
        <v>Imposto</v>
      </c>
      <c r="F1595" t="str">
        <f>VLOOKUP(B1595,Tabela_Auxiliar[],3,0)</f>
        <v>Saída</v>
      </c>
      <c r="G1595" t="str">
        <f>UPPER(TEXT(Tabela_DB[[#This Row],[DATA]],"mmm"))</f>
        <v>ABR</v>
      </c>
      <c r="H1595" t="str">
        <f>UPPER(TEXT(Tabela_DB[[#This Row],[DATA]],"aaaa"))</f>
        <v>2021</v>
      </c>
    </row>
    <row r="1596" spans="1:8" x14ac:dyDescent="0.25">
      <c r="A1596" s="2">
        <v>44292</v>
      </c>
      <c r="B1596" t="s">
        <v>51</v>
      </c>
      <c r="C1596">
        <v>-1318</v>
      </c>
      <c r="D1596" t="str">
        <f>VLOOKUP(B1596,Tabela_Auxiliar[],2,0)</f>
        <v>4. Despesas Operacionais</v>
      </c>
      <c r="E1596" t="str">
        <f>VLOOKUP(B1596,Tabela_Auxiliar[],4,0)</f>
        <v>Despesa com Pessoal</v>
      </c>
      <c r="F1596" t="str">
        <f>VLOOKUP(B1596,Tabela_Auxiliar[],3,0)</f>
        <v>Saída</v>
      </c>
      <c r="G1596" t="str">
        <f>UPPER(TEXT(Tabela_DB[[#This Row],[DATA]],"mmm"))</f>
        <v>ABR</v>
      </c>
      <c r="H1596" t="str">
        <f>UPPER(TEXT(Tabela_DB[[#This Row],[DATA]],"aaaa"))</f>
        <v>2021</v>
      </c>
    </row>
    <row r="1597" spans="1:8" x14ac:dyDescent="0.25">
      <c r="A1597" s="2">
        <v>44292</v>
      </c>
      <c r="B1597" t="s">
        <v>35</v>
      </c>
      <c r="C1597">
        <v>-2047</v>
      </c>
      <c r="D1597" t="str">
        <f>VLOOKUP(B1597,Tabela_Auxiliar[],2,0)</f>
        <v>2. Deduções da Receita</v>
      </c>
      <c r="E1597" t="str">
        <f>VLOOKUP(B1597,Tabela_Auxiliar[],4,0)</f>
        <v>Imposto</v>
      </c>
      <c r="F1597" t="str">
        <f>VLOOKUP(B1597,Tabela_Auxiliar[],3,0)</f>
        <v>Saída</v>
      </c>
      <c r="G1597" t="str">
        <f>UPPER(TEXT(Tabela_DB[[#This Row],[DATA]],"mmm"))</f>
        <v>ABR</v>
      </c>
      <c r="H1597" t="str">
        <f>UPPER(TEXT(Tabela_DB[[#This Row],[DATA]],"aaaa"))</f>
        <v>2021</v>
      </c>
    </row>
    <row r="1598" spans="1:8" x14ac:dyDescent="0.25">
      <c r="A1598" s="2">
        <v>44292</v>
      </c>
      <c r="B1598" t="s">
        <v>3</v>
      </c>
      <c r="C1598">
        <v>13874</v>
      </c>
      <c r="D1598" t="str">
        <f>VLOOKUP(B1598,Tabela_Auxiliar[],2,0)</f>
        <v>1. Receita Operacional Bruta</v>
      </c>
      <c r="E1598" t="str">
        <f>VLOOKUP(B1598,Tabela_Auxiliar[],4,0)</f>
        <v>Receita Bruta</v>
      </c>
      <c r="F1598" t="str">
        <f>VLOOKUP(B1598,Tabela_Auxiliar[],3,0)</f>
        <v>Entrada</v>
      </c>
      <c r="G1598" t="str">
        <f>UPPER(TEXT(Tabela_DB[[#This Row],[DATA]],"mmm"))</f>
        <v>ABR</v>
      </c>
      <c r="H1598" t="str">
        <f>UPPER(TEXT(Tabela_DB[[#This Row],[DATA]],"aaaa"))</f>
        <v>2021</v>
      </c>
    </row>
    <row r="1599" spans="1:8" x14ac:dyDescent="0.25">
      <c r="A1599" s="2">
        <v>44292</v>
      </c>
      <c r="B1599" t="s">
        <v>64</v>
      </c>
      <c r="C1599">
        <v>-2021</v>
      </c>
      <c r="D1599" t="str">
        <f>VLOOKUP(B1599,Tabela_Auxiliar[],2,0)</f>
        <v>4. Despesas Operacionais</v>
      </c>
      <c r="E1599" t="str">
        <f>VLOOKUP(B1599,Tabela_Auxiliar[],4,0)</f>
        <v>Despesa Gerais</v>
      </c>
      <c r="F1599" t="str">
        <f>VLOOKUP(B1599,Tabela_Auxiliar[],3,0)</f>
        <v>Saída</v>
      </c>
      <c r="G1599" t="str">
        <f>UPPER(TEXT(Tabela_DB[[#This Row],[DATA]],"mmm"))</f>
        <v>ABR</v>
      </c>
      <c r="H1599" t="str">
        <f>UPPER(TEXT(Tabela_DB[[#This Row],[DATA]],"aaaa"))</f>
        <v>2021</v>
      </c>
    </row>
    <row r="1600" spans="1:8" x14ac:dyDescent="0.25">
      <c r="A1600" s="2">
        <v>44292</v>
      </c>
      <c r="B1600" t="s">
        <v>34</v>
      </c>
      <c r="C1600">
        <v>-1668</v>
      </c>
      <c r="D1600" t="str">
        <f>VLOOKUP(B1600,Tabela_Auxiliar[],2,0)</f>
        <v>2. Deduções da Receita</v>
      </c>
      <c r="E1600" t="str">
        <f>VLOOKUP(B1600,Tabela_Auxiliar[],4,0)</f>
        <v>Imposto</v>
      </c>
      <c r="F1600" t="str">
        <f>VLOOKUP(B1600,Tabela_Auxiliar[],3,0)</f>
        <v>Saída</v>
      </c>
      <c r="G1600" t="str">
        <f>UPPER(TEXT(Tabela_DB[[#This Row],[DATA]],"mmm"))</f>
        <v>ABR</v>
      </c>
      <c r="H1600" t="str">
        <f>UPPER(TEXT(Tabela_DB[[#This Row],[DATA]],"aaaa"))</f>
        <v>2021</v>
      </c>
    </row>
    <row r="1601" spans="1:8" x14ac:dyDescent="0.25">
      <c r="A1601" s="2">
        <v>44292</v>
      </c>
      <c r="B1601" t="s">
        <v>35</v>
      </c>
      <c r="C1601">
        <v>-1942</v>
      </c>
      <c r="D1601" t="str">
        <f>VLOOKUP(B1601,Tabela_Auxiliar[],2,0)</f>
        <v>2. Deduções da Receita</v>
      </c>
      <c r="E1601" t="str">
        <f>VLOOKUP(B1601,Tabela_Auxiliar[],4,0)</f>
        <v>Imposto</v>
      </c>
      <c r="F1601" t="str">
        <f>VLOOKUP(B1601,Tabela_Auxiliar[],3,0)</f>
        <v>Saída</v>
      </c>
      <c r="G1601" t="str">
        <f>UPPER(TEXT(Tabela_DB[[#This Row],[DATA]],"mmm"))</f>
        <v>ABR</v>
      </c>
      <c r="H1601" t="str">
        <f>UPPER(TEXT(Tabela_DB[[#This Row],[DATA]],"aaaa"))</f>
        <v>2021</v>
      </c>
    </row>
    <row r="1602" spans="1:8" x14ac:dyDescent="0.25">
      <c r="A1602" s="2">
        <v>44292</v>
      </c>
      <c r="B1602" t="s">
        <v>3</v>
      </c>
      <c r="C1602">
        <v>12876</v>
      </c>
      <c r="D1602" t="str">
        <f>VLOOKUP(B1602,Tabela_Auxiliar[],2,0)</f>
        <v>1. Receita Operacional Bruta</v>
      </c>
      <c r="E1602" t="str">
        <f>VLOOKUP(B1602,Tabela_Auxiliar[],4,0)</f>
        <v>Receita Bruta</v>
      </c>
      <c r="F1602" t="str">
        <f>VLOOKUP(B1602,Tabela_Auxiliar[],3,0)</f>
        <v>Entrada</v>
      </c>
      <c r="G1602" t="str">
        <f>UPPER(TEXT(Tabela_DB[[#This Row],[DATA]],"mmm"))</f>
        <v>ABR</v>
      </c>
      <c r="H1602" t="str">
        <f>UPPER(TEXT(Tabela_DB[[#This Row],[DATA]],"aaaa"))</f>
        <v>2021</v>
      </c>
    </row>
    <row r="1603" spans="1:8" x14ac:dyDescent="0.25">
      <c r="A1603" s="2">
        <v>44292</v>
      </c>
      <c r="B1603" t="s">
        <v>38</v>
      </c>
      <c r="C1603">
        <v>-1215</v>
      </c>
      <c r="D1603" t="str">
        <f>VLOOKUP(B1603,Tabela_Auxiliar[],2,0)</f>
        <v>2. Deduções da Receita</v>
      </c>
      <c r="E1603" t="str">
        <f>VLOOKUP(B1603,Tabela_Auxiliar[],4,0)</f>
        <v>Deduções</v>
      </c>
      <c r="F1603" t="str">
        <f>VLOOKUP(B1603,Tabela_Auxiliar[],3,0)</f>
        <v>Saída</v>
      </c>
      <c r="G1603" t="str">
        <f>UPPER(TEXT(Tabela_DB[[#This Row],[DATA]],"mmm"))</f>
        <v>ABR</v>
      </c>
      <c r="H1603" t="str">
        <f>UPPER(TEXT(Tabela_DB[[#This Row],[DATA]],"aaaa"))</f>
        <v>2021</v>
      </c>
    </row>
    <row r="1604" spans="1:8" x14ac:dyDescent="0.25">
      <c r="A1604" s="2">
        <v>44292</v>
      </c>
      <c r="B1604" t="s">
        <v>73</v>
      </c>
      <c r="C1604">
        <v>-1413</v>
      </c>
      <c r="D1604" t="str">
        <f>VLOOKUP(B1604,Tabela_Auxiliar[],2,0)</f>
        <v>4. Despesas Operacionais</v>
      </c>
      <c r="E1604" t="str">
        <f>VLOOKUP(B1604,Tabela_Auxiliar[],4,0)</f>
        <v>Despesa com Ocupação</v>
      </c>
      <c r="F1604" t="str">
        <f>VLOOKUP(B1604,Tabela_Auxiliar[],3,0)</f>
        <v>Saída</v>
      </c>
      <c r="G1604" t="str">
        <f>UPPER(TEXT(Tabela_DB[[#This Row],[DATA]],"mmm"))</f>
        <v>ABR</v>
      </c>
      <c r="H1604" t="str">
        <f>UPPER(TEXT(Tabela_DB[[#This Row],[DATA]],"aaaa"))</f>
        <v>2021</v>
      </c>
    </row>
    <row r="1605" spans="1:8" x14ac:dyDescent="0.25">
      <c r="A1605" s="2">
        <v>44292</v>
      </c>
      <c r="B1605" t="s">
        <v>31</v>
      </c>
      <c r="C1605">
        <v>-1131</v>
      </c>
      <c r="D1605" t="str">
        <f>VLOOKUP(B1605,Tabela_Auxiliar[],2,0)</f>
        <v>5. Resultado Financeiro</v>
      </c>
      <c r="E1605" t="str">
        <f>VLOOKUP(B1605,Tabela_Auxiliar[],4,0)</f>
        <v>Participação nos resultados</v>
      </c>
      <c r="F1605" t="str">
        <f>VLOOKUP(B1605,Tabela_Auxiliar[],3,0)</f>
        <v>Saída</v>
      </c>
      <c r="G1605" t="str">
        <f>UPPER(TEXT(Tabela_DB[[#This Row],[DATA]],"mmm"))</f>
        <v>ABR</v>
      </c>
      <c r="H1605" t="str">
        <f>UPPER(TEXT(Tabela_DB[[#This Row],[DATA]],"aaaa"))</f>
        <v>2021</v>
      </c>
    </row>
    <row r="1606" spans="1:8" x14ac:dyDescent="0.25">
      <c r="A1606" s="2">
        <v>44293</v>
      </c>
      <c r="B1606" t="s">
        <v>38</v>
      </c>
      <c r="C1606">
        <v>-2033</v>
      </c>
      <c r="D1606" t="str">
        <f>VLOOKUP(B1606,Tabela_Auxiliar[],2,0)</f>
        <v>2. Deduções da Receita</v>
      </c>
      <c r="E1606" t="str">
        <f>VLOOKUP(B1606,Tabela_Auxiliar[],4,0)</f>
        <v>Deduções</v>
      </c>
      <c r="F1606" t="str">
        <f>VLOOKUP(B1606,Tabela_Auxiliar[],3,0)</f>
        <v>Saída</v>
      </c>
      <c r="G1606" t="str">
        <f>UPPER(TEXT(Tabela_DB[[#This Row],[DATA]],"mmm"))</f>
        <v>ABR</v>
      </c>
      <c r="H1606" t="str">
        <f>UPPER(TEXT(Tabela_DB[[#This Row],[DATA]],"aaaa"))</f>
        <v>2021</v>
      </c>
    </row>
    <row r="1607" spans="1:8" x14ac:dyDescent="0.25">
      <c r="A1607" s="2">
        <v>44293</v>
      </c>
      <c r="B1607" t="s">
        <v>49</v>
      </c>
      <c r="C1607">
        <v>-1144</v>
      </c>
      <c r="D1607" t="str">
        <f>VLOOKUP(B1607,Tabela_Auxiliar[],2,0)</f>
        <v>4. Despesas Operacionais</v>
      </c>
      <c r="E1607" t="str">
        <f>VLOOKUP(B1607,Tabela_Auxiliar[],4,0)</f>
        <v>Despesa com Pessoal</v>
      </c>
      <c r="F1607" t="str">
        <f>VLOOKUP(B1607,Tabela_Auxiliar[],3,0)</f>
        <v>Saída</v>
      </c>
      <c r="G1607" t="str">
        <f>UPPER(TEXT(Tabela_DB[[#This Row],[DATA]],"mmm"))</f>
        <v>ABR</v>
      </c>
      <c r="H1607" t="str">
        <f>UPPER(TEXT(Tabela_DB[[#This Row],[DATA]],"aaaa"))</f>
        <v>2021</v>
      </c>
    </row>
    <row r="1608" spans="1:8" x14ac:dyDescent="0.25">
      <c r="A1608" s="2">
        <v>44293</v>
      </c>
      <c r="B1608" t="s">
        <v>111</v>
      </c>
      <c r="C1608">
        <v>-1391</v>
      </c>
      <c r="D1608" t="str">
        <f>VLOOKUP(B1608,Tabela_Auxiliar[],2,0)</f>
        <v>2. Deduções da Receita</v>
      </c>
      <c r="E1608" t="str">
        <f>VLOOKUP(B1608,Tabela_Auxiliar[],4,0)</f>
        <v>Imposto</v>
      </c>
      <c r="F1608" t="str">
        <f>VLOOKUP(B1608,Tabela_Auxiliar[],3,0)</f>
        <v>Saída</v>
      </c>
      <c r="G1608" t="str">
        <f>UPPER(TEXT(Tabela_DB[[#This Row],[DATA]],"mmm"))</f>
        <v>ABR</v>
      </c>
      <c r="H1608" t="str">
        <f>UPPER(TEXT(Tabela_DB[[#This Row],[DATA]],"aaaa"))</f>
        <v>2021</v>
      </c>
    </row>
    <row r="1609" spans="1:8" x14ac:dyDescent="0.25">
      <c r="A1609" s="2">
        <v>44293</v>
      </c>
      <c r="B1609" t="s">
        <v>4</v>
      </c>
      <c r="C1609">
        <v>10389</v>
      </c>
      <c r="D1609" t="str">
        <f>VLOOKUP(B1609,Tabela_Auxiliar[],2,0)</f>
        <v>1. Receita Operacional Bruta</v>
      </c>
      <c r="E1609" t="str">
        <f>VLOOKUP(B1609,Tabela_Auxiliar[],4,0)</f>
        <v>Receita Bruta</v>
      </c>
      <c r="F1609" t="str">
        <f>VLOOKUP(B1609,Tabela_Auxiliar[],3,0)</f>
        <v>Entrada</v>
      </c>
      <c r="G1609" t="str">
        <f>UPPER(TEXT(Tabela_DB[[#This Row],[DATA]],"mmm"))</f>
        <v>ABR</v>
      </c>
      <c r="H1609" t="str">
        <f>UPPER(TEXT(Tabela_DB[[#This Row],[DATA]],"aaaa"))</f>
        <v>2021</v>
      </c>
    </row>
    <row r="1610" spans="1:8" x14ac:dyDescent="0.25">
      <c r="A1610" s="2">
        <v>44293</v>
      </c>
      <c r="B1610" t="s">
        <v>3</v>
      </c>
      <c r="C1610">
        <v>11694</v>
      </c>
      <c r="D1610" t="str">
        <f>VLOOKUP(B1610,Tabela_Auxiliar[],2,0)</f>
        <v>1. Receita Operacional Bruta</v>
      </c>
      <c r="E1610" t="str">
        <f>VLOOKUP(B1610,Tabela_Auxiliar[],4,0)</f>
        <v>Receita Bruta</v>
      </c>
      <c r="F1610" t="str">
        <f>VLOOKUP(B1610,Tabela_Auxiliar[],3,0)</f>
        <v>Entrada</v>
      </c>
      <c r="G1610" t="str">
        <f>UPPER(TEXT(Tabela_DB[[#This Row],[DATA]],"mmm"))</f>
        <v>ABR</v>
      </c>
      <c r="H1610" t="str">
        <f>UPPER(TEXT(Tabela_DB[[#This Row],[DATA]],"aaaa"))</f>
        <v>2021</v>
      </c>
    </row>
    <row r="1611" spans="1:8" x14ac:dyDescent="0.25">
      <c r="A1611" s="2">
        <v>44293</v>
      </c>
      <c r="B1611" t="s">
        <v>44</v>
      </c>
      <c r="C1611">
        <v>-1713</v>
      </c>
      <c r="D1611" t="str">
        <f>VLOOKUP(B1611,Tabela_Auxiliar[],2,0)</f>
        <v>4. Despesas Operacionais</v>
      </c>
      <c r="E1611" t="str">
        <f>VLOOKUP(B1611,Tabela_Auxiliar[],4,0)</f>
        <v>Despesa com Pessoal</v>
      </c>
      <c r="F1611" t="str">
        <f>VLOOKUP(B1611,Tabela_Auxiliar[],3,0)</f>
        <v>Saída</v>
      </c>
      <c r="G1611" t="str">
        <f>UPPER(TEXT(Tabela_DB[[#This Row],[DATA]],"mmm"))</f>
        <v>ABR</v>
      </c>
      <c r="H1611" t="str">
        <f>UPPER(TEXT(Tabela_DB[[#This Row],[DATA]],"aaaa"))</f>
        <v>2021</v>
      </c>
    </row>
    <row r="1612" spans="1:8" x14ac:dyDescent="0.25">
      <c r="A1612" s="2">
        <v>44293</v>
      </c>
      <c r="B1612" t="s">
        <v>46</v>
      </c>
      <c r="C1612">
        <v>-2142</v>
      </c>
      <c r="D1612" t="str">
        <f>VLOOKUP(B1612,Tabela_Auxiliar[],2,0)</f>
        <v>4. Despesas Operacionais</v>
      </c>
      <c r="E1612" t="str">
        <f>VLOOKUP(B1612,Tabela_Auxiliar[],4,0)</f>
        <v>Despesa com Pessoal</v>
      </c>
      <c r="F1612" t="str">
        <f>VLOOKUP(B1612,Tabela_Auxiliar[],3,0)</f>
        <v>Saída</v>
      </c>
      <c r="G1612" t="str">
        <f>UPPER(TEXT(Tabela_DB[[#This Row],[DATA]],"mmm"))</f>
        <v>ABR</v>
      </c>
      <c r="H1612" t="str">
        <f>UPPER(TEXT(Tabela_DB[[#This Row],[DATA]],"aaaa"))</f>
        <v>2021</v>
      </c>
    </row>
    <row r="1613" spans="1:8" x14ac:dyDescent="0.25">
      <c r="A1613" s="2">
        <v>44293</v>
      </c>
      <c r="B1613" t="s">
        <v>38</v>
      </c>
      <c r="C1613">
        <v>-2120</v>
      </c>
      <c r="D1613" t="str">
        <f>VLOOKUP(B1613,Tabela_Auxiliar[],2,0)</f>
        <v>2. Deduções da Receita</v>
      </c>
      <c r="E1613" t="str">
        <f>VLOOKUP(B1613,Tabela_Auxiliar[],4,0)</f>
        <v>Deduções</v>
      </c>
      <c r="F1613" t="str">
        <f>VLOOKUP(B1613,Tabela_Auxiliar[],3,0)</f>
        <v>Saída</v>
      </c>
      <c r="G1613" t="str">
        <f>UPPER(TEXT(Tabela_DB[[#This Row],[DATA]],"mmm"))</f>
        <v>ABR</v>
      </c>
      <c r="H1613" t="str">
        <f>UPPER(TEXT(Tabela_DB[[#This Row],[DATA]],"aaaa"))</f>
        <v>2021</v>
      </c>
    </row>
    <row r="1614" spans="1:8" x14ac:dyDescent="0.25">
      <c r="A1614" s="2">
        <v>44293</v>
      </c>
      <c r="B1614" t="s">
        <v>111</v>
      </c>
      <c r="C1614">
        <v>-1229</v>
      </c>
      <c r="D1614" t="str">
        <f>VLOOKUP(B1614,Tabela_Auxiliar[],2,0)</f>
        <v>2. Deduções da Receita</v>
      </c>
      <c r="E1614" t="str">
        <f>VLOOKUP(B1614,Tabela_Auxiliar[],4,0)</f>
        <v>Imposto</v>
      </c>
      <c r="F1614" t="str">
        <f>VLOOKUP(B1614,Tabela_Auxiliar[],3,0)</f>
        <v>Saída</v>
      </c>
      <c r="G1614" t="str">
        <f>UPPER(TEXT(Tabela_DB[[#This Row],[DATA]],"mmm"))</f>
        <v>ABR</v>
      </c>
      <c r="H1614" t="str">
        <f>UPPER(TEXT(Tabela_DB[[#This Row],[DATA]],"aaaa"))</f>
        <v>2021</v>
      </c>
    </row>
    <row r="1615" spans="1:8" x14ac:dyDescent="0.25">
      <c r="A1615" s="2">
        <v>44293</v>
      </c>
      <c r="B1615" t="s">
        <v>111</v>
      </c>
      <c r="C1615">
        <v>-1308</v>
      </c>
      <c r="D1615" t="str">
        <f>VLOOKUP(B1615,Tabela_Auxiliar[],2,0)</f>
        <v>2. Deduções da Receita</v>
      </c>
      <c r="E1615" t="str">
        <f>VLOOKUP(B1615,Tabela_Auxiliar[],4,0)</f>
        <v>Imposto</v>
      </c>
      <c r="F1615" t="str">
        <f>VLOOKUP(B1615,Tabela_Auxiliar[],3,0)</f>
        <v>Saída</v>
      </c>
      <c r="G1615" t="str">
        <f>UPPER(TEXT(Tabela_DB[[#This Row],[DATA]],"mmm"))</f>
        <v>ABR</v>
      </c>
      <c r="H1615" t="str">
        <f>UPPER(TEXT(Tabela_DB[[#This Row],[DATA]],"aaaa"))</f>
        <v>2021</v>
      </c>
    </row>
    <row r="1616" spans="1:8" x14ac:dyDescent="0.25">
      <c r="A1616" s="2">
        <v>44293</v>
      </c>
      <c r="B1616" t="s">
        <v>79</v>
      </c>
      <c r="C1616">
        <v>-1040</v>
      </c>
      <c r="D1616" t="str">
        <f>VLOOKUP(B1616,Tabela_Auxiliar[],2,0)</f>
        <v>4. Despesas Operacionais</v>
      </c>
      <c r="E1616" t="str">
        <f>VLOOKUP(B1616,Tabela_Auxiliar[],4,0)</f>
        <v>Serviços Contratados</v>
      </c>
      <c r="F1616" t="str">
        <f>VLOOKUP(B1616,Tabela_Auxiliar[],3,0)</f>
        <v>Saída</v>
      </c>
      <c r="G1616" t="str">
        <f>UPPER(TEXT(Tabela_DB[[#This Row],[DATA]],"mmm"))</f>
        <v>ABR</v>
      </c>
      <c r="H1616" t="str">
        <f>UPPER(TEXT(Tabela_DB[[#This Row],[DATA]],"aaaa"))</f>
        <v>2021</v>
      </c>
    </row>
    <row r="1617" spans="1:8" x14ac:dyDescent="0.25">
      <c r="A1617" s="2">
        <v>44293</v>
      </c>
      <c r="B1617" t="s">
        <v>34</v>
      </c>
      <c r="C1617">
        <v>-2184</v>
      </c>
      <c r="D1617" t="str">
        <f>VLOOKUP(B1617,Tabela_Auxiliar[],2,0)</f>
        <v>2. Deduções da Receita</v>
      </c>
      <c r="E1617" t="str">
        <f>VLOOKUP(B1617,Tabela_Auxiliar[],4,0)</f>
        <v>Imposto</v>
      </c>
      <c r="F1617" t="str">
        <f>VLOOKUP(B1617,Tabela_Auxiliar[],3,0)</f>
        <v>Saída</v>
      </c>
      <c r="G1617" t="str">
        <f>UPPER(TEXT(Tabela_DB[[#This Row],[DATA]],"mmm"))</f>
        <v>ABR</v>
      </c>
      <c r="H1617" t="str">
        <f>UPPER(TEXT(Tabela_DB[[#This Row],[DATA]],"aaaa"))</f>
        <v>2021</v>
      </c>
    </row>
    <row r="1618" spans="1:8" x14ac:dyDescent="0.25">
      <c r="A1618" s="2">
        <v>44293</v>
      </c>
      <c r="B1618" t="s">
        <v>4</v>
      </c>
      <c r="C1618">
        <v>11863</v>
      </c>
      <c r="D1618" t="str">
        <f>VLOOKUP(B1618,Tabela_Auxiliar[],2,0)</f>
        <v>1. Receita Operacional Bruta</v>
      </c>
      <c r="E1618" t="str">
        <f>VLOOKUP(B1618,Tabela_Auxiliar[],4,0)</f>
        <v>Receita Bruta</v>
      </c>
      <c r="F1618" t="str">
        <f>VLOOKUP(B1618,Tabela_Auxiliar[],3,0)</f>
        <v>Entrada</v>
      </c>
      <c r="G1618" t="str">
        <f>UPPER(TEXT(Tabela_DB[[#This Row],[DATA]],"mmm"))</f>
        <v>ABR</v>
      </c>
      <c r="H1618" t="str">
        <f>UPPER(TEXT(Tabela_DB[[#This Row],[DATA]],"aaaa"))</f>
        <v>2021</v>
      </c>
    </row>
    <row r="1619" spans="1:8" x14ac:dyDescent="0.25">
      <c r="A1619" s="2">
        <v>44293</v>
      </c>
      <c r="B1619" t="s">
        <v>35</v>
      </c>
      <c r="C1619">
        <v>-1266</v>
      </c>
      <c r="D1619" t="str">
        <f>VLOOKUP(B1619,Tabela_Auxiliar[],2,0)</f>
        <v>2. Deduções da Receita</v>
      </c>
      <c r="E1619" t="str">
        <f>VLOOKUP(B1619,Tabela_Auxiliar[],4,0)</f>
        <v>Imposto</v>
      </c>
      <c r="F1619" t="str">
        <f>VLOOKUP(B1619,Tabela_Auxiliar[],3,0)</f>
        <v>Saída</v>
      </c>
      <c r="G1619" t="str">
        <f>UPPER(TEXT(Tabela_DB[[#This Row],[DATA]],"mmm"))</f>
        <v>ABR</v>
      </c>
      <c r="H1619" t="str">
        <f>UPPER(TEXT(Tabela_DB[[#This Row],[DATA]],"aaaa"))</f>
        <v>2021</v>
      </c>
    </row>
    <row r="1620" spans="1:8" x14ac:dyDescent="0.25">
      <c r="A1620" s="2">
        <v>44293</v>
      </c>
      <c r="B1620" t="s">
        <v>38</v>
      </c>
      <c r="C1620">
        <v>-1545</v>
      </c>
      <c r="D1620" t="str">
        <f>VLOOKUP(B1620,Tabela_Auxiliar[],2,0)</f>
        <v>2. Deduções da Receita</v>
      </c>
      <c r="E1620" t="str">
        <f>VLOOKUP(B1620,Tabela_Auxiliar[],4,0)</f>
        <v>Deduções</v>
      </c>
      <c r="F1620" t="str">
        <f>VLOOKUP(B1620,Tabela_Auxiliar[],3,0)</f>
        <v>Saída</v>
      </c>
      <c r="G1620" t="str">
        <f>UPPER(TEXT(Tabela_DB[[#This Row],[DATA]],"mmm"))</f>
        <v>ABR</v>
      </c>
      <c r="H1620" t="str">
        <f>UPPER(TEXT(Tabela_DB[[#This Row],[DATA]],"aaaa"))</f>
        <v>2021</v>
      </c>
    </row>
    <row r="1621" spans="1:8" x14ac:dyDescent="0.25">
      <c r="A1621" s="2">
        <v>44293</v>
      </c>
      <c r="B1621" t="s">
        <v>54</v>
      </c>
      <c r="C1621">
        <v>-1366</v>
      </c>
      <c r="D1621" t="str">
        <f>VLOOKUP(B1621,Tabela_Auxiliar[],2,0)</f>
        <v>4. Despesas Operacionais</v>
      </c>
      <c r="E1621" t="str">
        <f>VLOOKUP(B1621,Tabela_Auxiliar[],4,0)</f>
        <v>Despesa com Pessoal</v>
      </c>
      <c r="F1621" t="str">
        <f>VLOOKUP(B1621,Tabela_Auxiliar[],3,0)</f>
        <v>Saída</v>
      </c>
      <c r="G1621" t="str">
        <f>UPPER(TEXT(Tabela_DB[[#This Row],[DATA]],"mmm"))</f>
        <v>ABR</v>
      </c>
      <c r="H1621" t="str">
        <f>UPPER(TEXT(Tabela_DB[[#This Row],[DATA]],"aaaa"))</f>
        <v>2021</v>
      </c>
    </row>
    <row r="1622" spans="1:8" x14ac:dyDescent="0.25">
      <c r="A1622" s="2">
        <v>44293</v>
      </c>
      <c r="B1622" t="s">
        <v>4</v>
      </c>
      <c r="C1622">
        <v>14181</v>
      </c>
      <c r="D1622" t="str">
        <f>VLOOKUP(B1622,Tabela_Auxiliar[],2,0)</f>
        <v>1. Receita Operacional Bruta</v>
      </c>
      <c r="E1622" t="str">
        <f>VLOOKUP(B1622,Tabela_Auxiliar[],4,0)</f>
        <v>Receita Bruta</v>
      </c>
      <c r="F1622" t="str">
        <f>VLOOKUP(B1622,Tabela_Auxiliar[],3,0)</f>
        <v>Entrada</v>
      </c>
      <c r="G1622" t="str">
        <f>UPPER(TEXT(Tabela_DB[[#This Row],[DATA]],"mmm"))</f>
        <v>ABR</v>
      </c>
      <c r="H1622" t="str">
        <f>UPPER(TEXT(Tabela_DB[[#This Row],[DATA]],"aaaa"))</f>
        <v>2021</v>
      </c>
    </row>
    <row r="1623" spans="1:8" x14ac:dyDescent="0.25">
      <c r="A1623" s="2">
        <v>44293</v>
      </c>
      <c r="B1623" t="s">
        <v>3</v>
      </c>
      <c r="C1623">
        <v>12950</v>
      </c>
      <c r="D1623" t="str">
        <f>VLOOKUP(B1623,Tabela_Auxiliar[],2,0)</f>
        <v>1. Receita Operacional Bruta</v>
      </c>
      <c r="E1623" t="str">
        <f>VLOOKUP(B1623,Tabela_Auxiliar[],4,0)</f>
        <v>Receita Bruta</v>
      </c>
      <c r="F1623" t="str">
        <f>VLOOKUP(B1623,Tabela_Auxiliar[],3,0)</f>
        <v>Entrada</v>
      </c>
      <c r="G1623" t="str">
        <f>UPPER(TEXT(Tabela_DB[[#This Row],[DATA]],"mmm"))</f>
        <v>ABR</v>
      </c>
      <c r="H1623" t="str">
        <f>UPPER(TEXT(Tabela_DB[[#This Row],[DATA]],"aaaa"))</f>
        <v>2021</v>
      </c>
    </row>
    <row r="1624" spans="1:8" x14ac:dyDescent="0.25">
      <c r="A1624" s="2">
        <v>44293</v>
      </c>
      <c r="B1624" t="s">
        <v>37</v>
      </c>
      <c r="C1624">
        <v>-3843</v>
      </c>
      <c r="D1624" t="str">
        <f>VLOOKUP(B1624,Tabela_Auxiliar[],2,0)</f>
        <v>3. Custos do Produto/Mercadoria/Serviço</v>
      </c>
      <c r="E1624" t="str">
        <f>VLOOKUP(B1624,Tabela_Auxiliar[],4,0)</f>
        <v>Despesas c/ Produto</v>
      </c>
      <c r="F1624" t="str">
        <f>VLOOKUP(B1624,Tabela_Auxiliar[],3,0)</f>
        <v>Saída</v>
      </c>
      <c r="G1624" t="str">
        <f>UPPER(TEXT(Tabela_DB[[#This Row],[DATA]],"mmm"))</f>
        <v>ABR</v>
      </c>
      <c r="H1624" t="str">
        <f>UPPER(TEXT(Tabela_DB[[#This Row],[DATA]],"aaaa"))</f>
        <v>2021</v>
      </c>
    </row>
    <row r="1625" spans="1:8" x14ac:dyDescent="0.25">
      <c r="A1625" s="2">
        <v>44293</v>
      </c>
      <c r="B1625" t="s">
        <v>34</v>
      </c>
      <c r="C1625">
        <v>-1050</v>
      </c>
      <c r="D1625" t="str">
        <f>VLOOKUP(B1625,Tabela_Auxiliar[],2,0)</f>
        <v>2. Deduções da Receita</v>
      </c>
      <c r="E1625" t="str">
        <f>VLOOKUP(B1625,Tabela_Auxiliar[],4,0)</f>
        <v>Imposto</v>
      </c>
      <c r="F1625" t="str">
        <f>VLOOKUP(B1625,Tabela_Auxiliar[],3,0)</f>
        <v>Saída</v>
      </c>
      <c r="G1625" t="str">
        <f>UPPER(TEXT(Tabela_DB[[#This Row],[DATA]],"mmm"))</f>
        <v>ABR</v>
      </c>
      <c r="H1625" t="str">
        <f>UPPER(TEXT(Tabela_DB[[#This Row],[DATA]],"aaaa"))</f>
        <v>2021</v>
      </c>
    </row>
    <row r="1626" spans="1:8" x14ac:dyDescent="0.25">
      <c r="A1626" s="2">
        <v>44293</v>
      </c>
      <c r="B1626" t="s">
        <v>56</v>
      </c>
      <c r="C1626">
        <v>-2394</v>
      </c>
      <c r="D1626" t="str">
        <f>VLOOKUP(B1626,Tabela_Auxiliar[],2,0)</f>
        <v>4. Despesas Operacionais</v>
      </c>
      <c r="E1626" t="str">
        <f>VLOOKUP(B1626,Tabela_Auxiliar[],4,0)</f>
        <v>Despesa com Pessoal</v>
      </c>
      <c r="F1626" t="str">
        <f>VLOOKUP(B1626,Tabela_Auxiliar[],3,0)</f>
        <v>Saída</v>
      </c>
      <c r="G1626" t="str">
        <f>UPPER(TEXT(Tabela_DB[[#This Row],[DATA]],"mmm"))</f>
        <v>ABR</v>
      </c>
      <c r="H1626" t="str">
        <f>UPPER(TEXT(Tabela_DB[[#This Row],[DATA]],"aaaa"))</f>
        <v>2021</v>
      </c>
    </row>
    <row r="1627" spans="1:8" x14ac:dyDescent="0.25">
      <c r="A1627" s="2">
        <v>44293</v>
      </c>
      <c r="B1627" t="s">
        <v>37</v>
      </c>
      <c r="C1627">
        <v>-3230</v>
      </c>
      <c r="D1627" t="str">
        <f>VLOOKUP(B1627,Tabela_Auxiliar[],2,0)</f>
        <v>3. Custos do Produto/Mercadoria/Serviço</v>
      </c>
      <c r="E1627" t="str">
        <f>VLOOKUP(B1627,Tabela_Auxiliar[],4,0)</f>
        <v>Despesas c/ Produto</v>
      </c>
      <c r="F1627" t="str">
        <f>VLOOKUP(B1627,Tabela_Auxiliar[],3,0)</f>
        <v>Saída</v>
      </c>
      <c r="G1627" t="str">
        <f>UPPER(TEXT(Tabela_DB[[#This Row],[DATA]],"mmm"))</f>
        <v>ABR</v>
      </c>
      <c r="H1627" t="str">
        <f>UPPER(TEXT(Tabela_DB[[#This Row],[DATA]],"aaaa"))</f>
        <v>2021</v>
      </c>
    </row>
    <row r="1628" spans="1:8" x14ac:dyDescent="0.25">
      <c r="A1628" s="2">
        <v>44293</v>
      </c>
      <c r="B1628" t="s">
        <v>34</v>
      </c>
      <c r="C1628">
        <v>-2350</v>
      </c>
      <c r="D1628" t="str">
        <f>VLOOKUP(B1628,Tabela_Auxiliar[],2,0)</f>
        <v>2. Deduções da Receita</v>
      </c>
      <c r="E1628" t="str">
        <f>VLOOKUP(B1628,Tabela_Auxiliar[],4,0)</f>
        <v>Imposto</v>
      </c>
      <c r="F1628" t="str">
        <f>VLOOKUP(B1628,Tabela_Auxiliar[],3,0)</f>
        <v>Saída</v>
      </c>
      <c r="G1628" t="str">
        <f>UPPER(TEXT(Tabela_DB[[#This Row],[DATA]],"mmm"))</f>
        <v>ABR</v>
      </c>
      <c r="H1628" t="str">
        <f>UPPER(TEXT(Tabela_DB[[#This Row],[DATA]],"aaaa"))</f>
        <v>2021</v>
      </c>
    </row>
    <row r="1629" spans="1:8" x14ac:dyDescent="0.25">
      <c r="A1629" s="2">
        <v>44293</v>
      </c>
      <c r="B1629" t="s">
        <v>3</v>
      </c>
      <c r="C1629">
        <v>12633</v>
      </c>
      <c r="D1629" t="str">
        <f>VLOOKUP(B1629,Tabela_Auxiliar[],2,0)</f>
        <v>1. Receita Operacional Bruta</v>
      </c>
      <c r="E1629" t="str">
        <f>VLOOKUP(B1629,Tabela_Auxiliar[],4,0)</f>
        <v>Receita Bruta</v>
      </c>
      <c r="F1629" t="str">
        <f>VLOOKUP(B1629,Tabela_Auxiliar[],3,0)</f>
        <v>Entrada</v>
      </c>
      <c r="G1629" t="str">
        <f>UPPER(TEXT(Tabela_DB[[#This Row],[DATA]],"mmm"))</f>
        <v>ABR</v>
      </c>
      <c r="H1629" t="str">
        <f>UPPER(TEXT(Tabela_DB[[#This Row],[DATA]],"aaaa"))</f>
        <v>2021</v>
      </c>
    </row>
    <row r="1630" spans="1:8" x14ac:dyDescent="0.25">
      <c r="A1630" s="2">
        <v>44293</v>
      </c>
      <c r="B1630" t="s">
        <v>4</v>
      </c>
      <c r="C1630">
        <v>14881</v>
      </c>
      <c r="D1630" t="str">
        <f>VLOOKUP(B1630,Tabela_Auxiliar[],2,0)</f>
        <v>1. Receita Operacional Bruta</v>
      </c>
      <c r="E1630" t="str">
        <f>VLOOKUP(B1630,Tabela_Auxiliar[],4,0)</f>
        <v>Receita Bruta</v>
      </c>
      <c r="F1630" t="str">
        <f>VLOOKUP(B1630,Tabela_Auxiliar[],3,0)</f>
        <v>Entrada</v>
      </c>
      <c r="G1630" t="str">
        <f>UPPER(TEXT(Tabela_DB[[#This Row],[DATA]],"mmm"))</f>
        <v>ABR</v>
      </c>
      <c r="H1630" t="str">
        <f>UPPER(TEXT(Tabela_DB[[#This Row],[DATA]],"aaaa"))</f>
        <v>2021</v>
      </c>
    </row>
    <row r="1631" spans="1:8" x14ac:dyDescent="0.25">
      <c r="A1631" s="2">
        <v>44293</v>
      </c>
      <c r="B1631" t="s">
        <v>37</v>
      </c>
      <c r="C1631">
        <v>-3615</v>
      </c>
      <c r="D1631" t="str">
        <f>VLOOKUP(B1631,Tabela_Auxiliar[],2,0)</f>
        <v>3. Custos do Produto/Mercadoria/Serviço</v>
      </c>
      <c r="E1631" t="str">
        <f>VLOOKUP(B1631,Tabela_Auxiliar[],4,0)</f>
        <v>Despesas c/ Produto</v>
      </c>
      <c r="F1631" t="str">
        <f>VLOOKUP(B1631,Tabela_Auxiliar[],3,0)</f>
        <v>Saída</v>
      </c>
      <c r="G1631" t="str">
        <f>UPPER(TEXT(Tabela_DB[[#This Row],[DATA]],"mmm"))</f>
        <v>ABR</v>
      </c>
      <c r="H1631" t="str">
        <f>UPPER(TEXT(Tabela_DB[[#This Row],[DATA]],"aaaa"))</f>
        <v>2021</v>
      </c>
    </row>
    <row r="1632" spans="1:8" x14ac:dyDescent="0.25">
      <c r="A1632" s="2">
        <v>44293</v>
      </c>
      <c r="B1632" t="s">
        <v>37</v>
      </c>
      <c r="C1632">
        <v>-4197</v>
      </c>
      <c r="D1632" t="str">
        <f>VLOOKUP(B1632,Tabela_Auxiliar[],2,0)</f>
        <v>3. Custos do Produto/Mercadoria/Serviço</v>
      </c>
      <c r="E1632" t="str">
        <f>VLOOKUP(B1632,Tabela_Auxiliar[],4,0)</f>
        <v>Despesas c/ Produto</v>
      </c>
      <c r="F1632" t="str">
        <f>VLOOKUP(B1632,Tabela_Auxiliar[],3,0)</f>
        <v>Saída</v>
      </c>
      <c r="G1632" t="str">
        <f>UPPER(TEXT(Tabela_DB[[#This Row],[DATA]],"mmm"))</f>
        <v>ABR</v>
      </c>
      <c r="H1632" t="str">
        <f>UPPER(TEXT(Tabela_DB[[#This Row],[DATA]],"aaaa"))</f>
        <v>2021</v>
      </c>
    </row>
    <row r="1633" spans="1:8" x14ac:dyDescent="0.25">
      <c r="A1633" s="2">
        <v>44293</v>
      </c>
      <c r="B1633" t="s">
        <v>3</v>
      </c>
      <c r="C1633">
        <v>12212</v>
      </c>
      <c r="D1633" t="str">
        <f>VLOOKUP(B1633,Tabela_Auxiliar[],2,0)</f>
        <v>1. Receita Operacional Bruta</v>
      </c>
      <c r="E1633" t="str">
        <f>VLOOKUP(B1633,Tabela_Auxiliar[],4,0)</f>
        <v>Receita Bruta</v>
      </c>
      <c r="F1633" t="str">
        <f>VLOOKUP(B1633,Tabela_Auxiliar[],3,0)</f>
        <v>Entrada</v>
      </c>
      <c r="G1633" t="str">
        <f>UPPER(TEXT(Tabela_DB[[#This Row],[DATA]],"mmm"))</f>
        <v>ABR</v>
      </c>
      <c r="H1633" t="str">
        <f>UPPER(TEXT(Tabela_DB[[#This Row],[DATA]],"aaaa"))</f>
        <v>2021</v>
      </c>
    </row>
    <row r="1634" spans="1:8" x14ac:dyDescent="0.25">
      <c r="A1634" s="2">
        <v>44294</v>
      </c>
      <c r="B1634" t="s">
        <v>5</v>
      </c>
      <c r="C1634">
        <v>-2242</v>
      </c>
      <c r="D1634" t="str">
        <f>VLOOKUP(B1634,Tabela_Auxiliar[],2,0)</f>
        <v>4. Despesas Operacionais</v>
      </c>
      <c r="E1634" t="str">
        <f>VLOOKUP(B1634,Tabela_Auxiliar[],4,0)</f>
        <v>Despesa com Pessoal</v>
      </c>
      <c r="F1634" t="str">
        <f>VLOOKUP(B1634,Tabela_Auxiliar[],3,0)</f>
        <v>Saída</v>
      </c>
      <c r="G1634" t="str">
        <f>UPPER(TEXT(Tabela_DB[[#This Row],[DATA]],"mmm"))</f>
        <v>ABR</v>
      </c>
      <c r="H1634" t="str">
        <f>UPPER(TEXT(Tabela_DB[[#This Row],[DATA]],"aaaa"))</f>
        <v>2021</v>
      </c>
    </row>
    <row r="1635" spans="1:8" x14ac:dyDescent="0.25">
      <c r="A1635" s="2">
        <v>44294</v>
      </c>
      <c r="B1635" t="s">
        <v>3</v>
      </c>
      <c r="C1635">
        <v>11989</v>
      </c>
      <c r="D1635" t="str">
        <f>VLOOKUP(B1635,Tabela_Auxiliar[],2,0)</f>
        <v>1. Receita Operacional Bruta</v>
      </c>
      <c r="E1635" t="str">
        <f>VLOOKUP(B1635,Tabela_Auxiliar[],4,0)</f>
        <v>Receita Bruta</v>
      </c>
      <c r="F1635" t="str">
        <f>VLOOKUP(B1635,Tabela_Auxiliar[],3,0)</f>
        <v>Entrada</v>
      </c>
      <c r="G1635" t="str">
        <f>UPPER(TEXT(Tabela_DB[[#This Row],[DATA]],"mmm"))</f>
        <v>ABR</v>
      </c>
      <c r="H1635" t="str">
        <f>UPPER(TEXT(Tabela_DB[[#This Row],[DATA]],"aaaa"))</f>
        <v>2021</v>
      </c>
    </row>
    <row r="1636" spans="1:8" x14ac:dyDescent="0.25">
      <c r="A1636" s="2">
        <v>44294</v>
      </c>
      <c r="B1636" t="s">
        <v>85</v>
      </c>
      <c r="C1636">
        <v>-2371</v>
      </c>
      <c r="D1636" t="str">
        <f>VLOOKUP(B1636,Tabela_Auxiliar[],2,0)</f>
        <v>4. Despesas Operacionais</v>
      </c>
      <c r="E1636" t="str">
        <f>VLOOKUP(B1636,Tabela_Auxiliar[],4,0)</f>
        <v>Despesa com Veículos</v>
      </c>
      <c r="F1636" t="str">
        <f>VLOOKUP(B1636,Tabela_Auxiliar[],3,0)</f>
        <v>Saída</v>
      </c>
      <c r="G1636" t="str">
        <f>UPPER(TEXT(Tabela_DB[[#This Row],[DATA]],"mmm"))</f>
        <v>ABR</v>
      </c>
      <c r="H1636" t="str">
        <f>UPPER(TEXT(Tabela_DB[[#This Row],[DATA]],"aaaa"))</f>
        <v>2021</v>
      </c>
    </row>
    <row r="1637" spans="1:8" x14ac:dyDescent="0.25">
      <c r="A1637" s="2">
        <v>44294</v>
      </c>
      <c r="B1637" t="s">
        <v>37</v>
      </c>
      <c r="C1637">
        <v>-3902</v>
      </c>
      <c r="D1637" t="str">
        <f>VLOOKUP(B1637,Tabela_Auxiliar[],2,0)</f>
        <v>3. Custos do Produto/Mercadoria/Serviço</v>
      </c>
      <c r="E1637" t="str">
        <f>VLOOKUP(B1637,Tabela_Auxiliar[],4,0)</f>
        <v>Despesas c/ Produto</v>
      </c>
      <c r="F1637" t="str">
        <f>VLOOKUP(B1637,Tabela_Auxiliar[],3,0)</f>
        <v>Saída</v>
      </c>
      <c r="G1637" t="str">
        <f>UPPER(TEXT(Tabela_DB[[#This Row],[DATA]],"mmm"))</f>
        <v>ABR</v>
      </c>
      <c r="H1637" t="str">
        <f>UPPER(TEXT(Tabela_DB[[#This Row],[DATA]],"aaaa"))</f>
        <v>2021</v>
      </c>
    </row>
    <row r="1638" spans="1:8" x14ac:dyDescent="0.25">
      <c r="A1638" s="2">
        <v>44294</v>
      </c>
      <c r="B1638" t="s">
        <v>111</v>
      </c>
      <c r="C1638">
        <v>-1731</v>
      </c>
      <c r="D1638" t="str">
        <f>VLOOKUP(B1638,Tabela_Auxiliar[],2,0)</f>
        <v>2. Deduções da Receita</v>
      </c>
      <c r="E1638" t="str">
        <f>VLOOKUP(B1638,Tabela_Auxiliar[],4,0)</f>
        <v>Imposto</v>
      </c>
      <c r="F1638" t="str">
        <f>VLOOKUP(B1638,Tabela_Auxiliar[],3,0)</f>
        <v>Saída</v>
      </c>
      <c r="G1638" t="str">
        <f>UPPER(TEXT(Tabela_DB[[#This Row],[DATA]],"mmm"))</f>
        <v>ABR</v>
      </c>
      <c r="H1638" t="str">
        <f>UPPER(TEXT(Tabela_DB[[#This Row],[DATA]],"aaaa"))</f>
        <v>2021</v>
      </c>
    </row>
    <row r="1639" spans="1:8" x14ac:dyDescent="0.25">
      <c r="A1639" s="2">
        <v>44294</v>
      </c>
      <c r="B1639" t="s">
        <v>102</v>
      </c>
      <c r="C1639">
        <v>-1509</v>
      </c>
      <c r="D1639" t="str">
        <f>VLOOKUP(B1639,Tabela_Auxiliar[],2,0)</f>
        <v>6. Resultado após o Resultado Financeiro</v>
      </c>
      <c r="E1639" t="str">
        <f>VLOOKUP(B1639,Tabela_Auxiliar[],4,0)</f>
        <v>EBTIDA</v>
      </c>
      <c r="F1639" t="str">
        <f>VLOOKUP(B1639,Tabela_Auxiliar[],3,0)</f>
        <v>Saída</v>
      </c>
      <c r="G1639" t="str">
        <f>UPPER(TEXT(Tabela_DB[[#This Row],[DATA]],"mmm"))</f>
        <v>ABR</v>
      </c>
      <c r="H1639" t="str">
        <f>UPPER(TEXT(Tabela_DB[[#This Row],[DATA]],"aaaa"))</f>
        <v>2021</v>
      </c>
    </row>
    <row r="1640" spans="1:8" x14ac:dyDescent="0.25">
      <c r="A1640" s="2">
        <v>44294</v>
      </c>
      <c r="B1640" t="s">
        <v>38</v>
      </c>
      <c r="C1640">
        <v>-2164</v>
      </c>
      <c r="D1640" t="str">
        <f>VLOOKUP(B1640,Tabela_Auxiliar[],2,0)</f>
        <v>2. Deduções da Receita</v>
      </c>
      <c r="E1640" t="str">
        <f>VLOOKUP(B1640,Tabela_Auxiliar[],4,0)</f>
        <v>Deduções</v>
      </c>
      <c r="F1640" t="str">
        <f>VLOOKUP(B1640,Tabela_Auxiliar[],3,0)</f>
        <v>Saída</v>
      </c>
      <c r="G1640" t="str">
        <f>UPPER(TEXT(Tabela_DB[[#This Row],[DATA]],"mmm"))</f>
        <v>ABR</v>
      </c>
      <c r="H1640" t="str">
        <f>UPPER(TEXT(Tabela_DB[[#This Row],[DATA]],"aaaa"))</f>
        <v>2021</v>
      </c>
    </row>
    <row r="1641" spans="1:8" x14ac:dyDescent="0.25">
      <c r="A1641" s="2">
        <v>44294</v>
      </c>
      <c r="B1641" t="s">
        <v>54</v>
      </c>
      <c r="C1641">
        <v>-1445</v>
      </c>
      <c r="D1641" t="str">
        <f>VLOOKUP(B1641,Tabela_Auxiliar[],2,0)</f>
        <v>4. Despesas Operacionais</v>
      </c>
      <c r="E1641" t="str">
        <f>VLOOKUP(B1641,Tabela_Auxiliar[],4,0)</f>
        <v>Despesa com Pessoal</v>
      </c>
      <c r="F1641" t="str">
        <f>VLOOKUP(B1641,Tabela_Auxiliar[],3,0)</f>
        <v>Saída</v>
      </c>
      <c r="G1641" t="str">
        <f>UPPER(TEXT(Tabela_DB[[#This Row],[DATA]],"mmm"))</f>
        <v>ABR</v>
      </c>
      <c r="H1641" t="str">
        <f>UPPER(TEXT(Tabela_DB[[#This Row],[DATA]],"aaaa"))</f>
        <v>2021</v>
      </c>
    </row>
    <row r="1642" spans="1:8" x14ac:dyDescent="0.25">
      <c r="A1642" s="2">
        <v>44294</v>
      </c>
      <c r="B1642" t="s">
        <v>37</v>
      </c>
      <c r="C1642">
        <v>-3262</v>
      </c>
      <c r="D1642" t="str">
        <f>VLOOKUP(B1642,Tabela_Auxiliar[],2,0)</f>
        <v>3. Custos do Produto/Mercadoria/Serviço</v>
      </c>
      <c r="E1642" t="str">
        <f>VLOOKUP(B1642,Tabela_Auxiliar[],4,0)</f>
        <v>Despesas c/ Produto</v>
      </c>
      <c r="F1642" t="str">
        <f>VLOOKUP(B1642,Tabela_Auxiliar[],3,0)</f>
        <v>Saída</v>
      </c>
      <c r="G1642" t="str">
        <f>UPPER(TEXT(Tabela_DB[[#This Row],[DATA]],"mmm"))</f>
        <v>ABR</v>
      </c>
      <c r="H1642" t="str">
        <f>UPPER(TEXT(Tabela_DB[[#This Row],[DATA]],"aaaa"))</f>
        <v>2021</v>
      </c>
    </row>
    <row r="1643" spans="1:8" x14ac:dyDescent="0.25">
      <c r="A1643" s="2">
        <v>44294</v>
      </c>
      <c r="B1643" t="s">
        <v>88</v>
      </c>
      <c r="C1643">
        <v>-1516</v>
      </c>
      <c r="D1643" t="str">
        <f>VLOOKUP(B1643,Tabela_Auxiliar[],2,0)</f>
        <v>4. Despesas Operacionais</v>
      </c>
      <c r="E1643" t="str">
        <f>VLOOKUP(B1643,Tabela_Auxiliar[],4,0)</f>
        <v>Despesa Tributária</v>
      </c>
      <c r="F1643" t="str">
        <f>VLOOKUP(B1643,Tabela_Auxiliar[],3,0)</f>
        <v>Saída</v>
      </c>
      <c r="G1643" t="str">
        <f>UPPER(TEXT(Tabela_DB[[#This Row],[DATA]],"mmm"))</f>
        <v>ABR</v>
      </c>
      <c r="H1643" t="str">
        <f>UPPER(TEXT(Tabela_DB[[#This Row],[DATA]],"aaaa"))</f>
        <v>2021</v>
      </c>
    </row>
    <row r="1644" spans="1:8" x14ac:dyDescent="0.25">
      <c r="A1644" s="2">
        <v>44294</v>
      </c>
      <c r="B1644" t="s">
        <v>111</v>
      </c>
      <c r="C1644">
        <v>-1946</v>
      </c>
      <c r="D1644" t="str">
        <f>VLOOKUP(B1644,Tabela_Auxiliar[],2,0)</f>
        <v>2. Deduções da Receita</v>
      </c>
      <c r="E1644" t="str">
        <f>VLOOKUP(B1644,Tabela_Auxiliar[],4,0)</f>
        <v>Imposto</v>
      </c>
      <c r="F1644" t="str">
        <f>VLOOKUP(B1644,Tabela_Auxiliar[],3,0)</f>
        <v>Saída</v>
      </c>
      <c r="G1644" t="str">
        <f>UPPER(TEXT(Tabela_DB[[#This Row],[DATA]],"mmm"))</f>
        <v>ABR</v>
      </c>
      <c r="H1644" t="str">
        <f>UPPER(TEXT(Tabela_DB[[#This Row],[DATA]],"aaaa"))</f>
        <v>2021</v>
      </c>
    </row>
    <row r="1645" spans="1:8" x14ac:dyDescent="0.25">
      <c r="A1645" s="2">
        <v>44294</v>
      </c>
      <c r="B1645" t="s">
        <v>80</v>
      </c>
      <c r="C1645">
        <v>-1045</v>
      </c>
      <c r="D1645" t="str">
        <f>VLOOKUP(B1645,Tabela_Auxiliar[],2,0)</f>
        <v>4. Despesas Operacionais</v>
      </c>
      <c r="E1645" t="str">
        <f>VLOOKUP(B1645,Tabela_Auxiliar[],4,0)</f>
        <v>Serviços Contratados</v>
      </c>
      <c r="F1645" t="str">
        <f>VLOOKUP(B1645,Tabela_Auxiliar[],3,0)</f>
        <v>Saída</v>
      </c>
      <c r="G1645" t="str">
        <f>UPPER(TEXT(Tabela_DB[[#This Row],[DATA]],"mmm"))</f>
        <v>ABR</v>
      </c>
      <c r="H1645" t="str">
        <f>UPPER(TEXT(Tabela_DB[[#This Row],[DATA]],"aaaa"))</f>
        <v>2021</v>
      </c>
    </row>
    <row r="1646" spans="1:8" x14ac:dyDescent="0.25">
      <c r="A1646" s="2">
        <v>44294</v>
      </c>
      <c r="B1646" t="s">
        <v>35</v>
      </c>
      <c r="C1646">
        <v>-1832</v>
      </c>
      <c r="D1646" t="str">
        <f>VLOOKUP(B1646,Tabela_Auxiliar[],2,0)</f>
        <v>2. Deduções da Receita</v>
      </c>
      <c r="E1646" t="str">
        <f>VLOOKUP(B1646,Tabela_Auxiliar[],4,0)</f>
        <v>Imposto</v>
      </c>
      <c r="F1646" t="str">
        <f>VLOOKUP(B1646,Tabela_Auxiliar[],3,0)</f>
        <v>Saída</v>
      </c>
      <c r="G1646" t="str">
        <f>UPPER(TEXT(Tabela_DB[[#This Row],[DATA]],"mmm"))</f>
        <v>ABR</v>
      </c>
      <c r="H1646" t="str">
        <f>UPPER(TEXT(Tabela_DB[[#This Row],[DATA]],"aaaa"))</f>
        <v>2021</v>
      </c>
    </row>
    <row r="1647" spans="1:8" x14ac:dyDescent="0.25">
      <c r="A1647" s="2">
        <v>44294</v>
      </c>
      <c r="B1647" t="s">
        <v>31</v>
      </c>
      <c r="C1647">
        <v>-2491</v>
      </c>
      <c r="D1647" t="str">
        <f>VLOOKUP(B1647,Tabela_Auxiliar[],2,0)</f>
        <v>5. Resultado Financeiro</v>
      </c>
      <c r="E1647" t="str">
        <f>VLOOKUP(B1647,Tabela_Auxiliar[],4,0)</f>
        <v>Participação nos resultados</v>
      </c>
      <c r="F1647" t="str">
        <f>VLOOKUP(B1647,Tabela_Auxiliar[],3,0)</f>
        <v>Saída</v>
      </c>
      <c r="G1647" t="str">
        <f>UPPER(TEXT(Tabela_DB[[#This Row],[DATA]],"mmm"))</f>
        <v>ABR</v>
      </c>
      <c r="H1647" t="str">
        <f>UPPER(TEXT(Tabela_DB[[#This Row],[DATA]],"aaaa"))</f>
        <v>2021</v>
      </c>
    </row>
    <row r="1648" spans="1:8" x14ac:dyDescent="0.25">
      <c r="A1648" s="2">
        <v>44294</v>
      </c>
      <c r="B1648" t="s">
        <v>76</v>
      </c>
      <c r="C1648">
        <v>-1064</v>
      </c>
      <c r="D1648" t="str">
        <f>VLOOKUP(B1648,Tabela_Auxiliar[],2,0)</f>
        <v>4. Despesas Operacionais</v>
      </c>
      <c r="E1648" t="str">
        <f>VLOOKUP(B1648,Tabela_Auxiliar[],4,0)</f>
        <v>Serviços Contratados</v>
      </c>
      <c r="F1648" t="str">
        <f>VLOOKUP(B1648,Tabela_Auxiliar[],3,0)</f>
        <v>Saída</v>
      </c>
      <c r="G1648" t="str">
        <f>UPPER(TEXT(Tabela_DB[[#This Row],[DATA]],"mmm"))</f>
        <v>ABR</v>
      </c>
      <c r="H1648" t="str">
        <f>UPPER(TEXT(Tabela_DB[[#This Row],[DATA]],"aaaa"))</f>
        <v>2021</v>
      </c>
    </row>
    <row r="1649" spans="1:8" x14ac:dyDescent="0.25">
      <c r="A1649" s="2">
        <v>44294</v>
      </c>
      <c r="B1649" t="s">
        <v>33</v>
      </c>
      <c r="C1649">
        <v>-1897</v>
      </c>
      <c r="D1649" t="str">
        <f>VLOOKUP(B1649,Tabela_Auxiliar[],2,0)</f>
        <v>4. Despesas Operacionais</v>
      </c>
      <c r="E1649" t="str">
        <f>VLOOKUP(B1649,Tabela_Auxiliar[],4,0)</f>
        <v>Despesa com Vendas</v>
      </c>
      <c r="F1649" t="str">
        <f>VLOOKUP(B1649,Tabela_Auxiliar[],3,0)</f>
        <v>Saída</v>
      </c>
      <c r="G1649" t="str">
        <f>UPPER(TEXT(Tabela_DB[[#This Row],[DATA]],"mmm"))</f>
        <v>ABR</v>
      </c>
      <c r="H1649" t="str">
        <f>UPPER(TEXT(Tabela_DB[[#This Row],[DATA]],"aaaa"))</f>
        <v>2021</v>
      </c>
    </row>
    <row r="1650" spans="1:8" x14ac:dyDescent="0.25">
      <c r="A1650" s="2">
        <v>44294</v>
      </c>
      <c r="B1650" t="s">
        <v>3</v>
      </c>
      <c r="C1650">
        <v>13578</v>
      </c>
      <c r="D1650" t="str">
        <f>VLOOKUP(B1650,Tabela_Auxiliar[],2,0)</f>
        <v>1. Receita Operacional Bruta</v>
      </c>
      <c r="E1650" t="str">
        <f>VLOOKUP(B1650,Tabela_Auxiliar[],4,0)</f>
        <v>Receita Bruta</v>
      </c>
      <c r="F1650" t="str">
        <f>VLOOKUP(B1650,Tabela_Auxiliar[],3,0)</f>
        <v>Entrada</v>
      </c>
      <c r="G1650" t="str">
        <f>UPPER(TEXT(Tabela_DB[[#This Row],[DATA]],"mmm"))</f>
        <v>ABR</v>
      </c>
      <c r="H1650" t="str">
        <f>UPPER(TEXT(Tabela_DB[[#This Row],[DATA]],"aaaa"))</f>
        <v>2021</v>
      </c>
    </row>
    <row r="1651" spans="1:8" x14ac:dyDescent="0.25">
      <c r="A1651" s="2">
        <v>44294</v>
      </c>
      <c r="B1651" t="s">
        <v>4</v>
      </c>
      <c r="C1651">
        <v>13552</v>
      </c>
      <c r="D1651" t="str">
        <f>VLOOKUP(B1651,Tabela_Auxiliar[],2,0)</f>
        <v>1. Receita Operacional Bruta</v>
      </c>
      <c r="E1651" t="str">
        <f>VLOOKUP(B1651,Tabela_Auxiliar[],4,0)</f>
        <v>Receita Bruta</v>
      </c>
      <c r="F1651" t="str">
        <f>VLOOKUP(B1651,Tabela_Auxiliar[],3,0)</f>
        <v>Entrada</v>
      </c>
      <c r="G1651" t="str">
        <f>UPPER(TEXT(Tabela_DB[[#This Row],[DATA]],"mmm"))</f>
        <v>ABR</v>
      </c>
      <c r="H1651" t="str">
        <f>UPPER(TEXT(Tabela_DB[[#This Row],[DATA]],"aaaa"))</f>
        <v>2021</v>
      </c>
    </row>
    <row r="1652" spans="1:8" x14ac:dyDescent="0.25">
      <c r="A1652" s="2">
        <v>44295</v>
      </c>
      <c r="B1652" t="s">
        <v>35</v>
      </c>
      <c r="C1652">
        <v>-2490</v>
      </c>
      <c r="D1652" t="str">
        <f>VLOOKUP(B1652,Tabela_Auxiliar[],2,0)</f>
        <v>2. Deduções da Receita</v>
      </c>
      <c r="E1652" t="str">
        <f>VLOOKUP(B1652,Tabela_Auxiliar[],4,0)</f>
        <v>Imposto</v>
      </c>
      <c r="F1652" t="str">
        <f>VLOOKUP(B1652,Tabela_Auxiliar[],3,0)</f>
        <v>Saída</v>
      </c>
      <c r="G1652" t="str">
        <f>UPPER(TEXT(Tabela_DB[[#This Row],[DATA]],"mmm"))</f>
        <v>ABR</v>
      </c>
      <c r="H1652" t="str">
        <f>UPPER(TEXT(Tabela_DB[[#This Row],[DATA]],"aaaa"))</f>
        <v>2021</v>
      </c>
    </row>
    <row r="1653" spans="1:8" x14ac:dyDescent="0.25">
      <c r="A1653" s="2">
        <v>44295</v>
      </c>
      <c r="B1653" t="s">
        <v>65</v>
      </c>
      <c r="C1653">
        <v>-2275</v>
      </c>
      <c r="D1653" t="str">
        <f>VLOOKUP(B1653,Tabela_Auxiliar[],2,0)</f>
        <v>4. Despesas Operacionais</v>
      </c>
      <c r="E1653" t="str">
        <f>VLOOKUP(B1653,Tabela_Auxiliar[],4,0)</f>
        <v>Despesa Gerais</v>
      </c>
      <c r="F1653" t="str">
        <f>VLOOKUP(B1653,Tabela_Auxiliar[],3,0)</f>
        <v>Saída</v>
      </c>
      <c r="G1653" t="str">
        <f>UPPER(TEXT(Tabela_DB[[#This Row],[DATA]],"mmm"))</f>
        <v>ABR</v>
      </c>
      <c r="H1653" t="str">
        <f>UPPER(TEXT(Tabela_DB[[#This Row],[DATA]],"aaaa"))</f>
        <v>2021</v>
      </c>
    </row>
    <row r="1654" spans="1:8" x14ac:dyDescent="0.25">
      <c r="A1654" s="2">
        <v>44295</v>
      </c>
      <c r="B1654" t="s">
        <v>57</v>
      </c>
      <c r="C1654">
        <v>-2444</v>
      </c>
      <c r="D1654" t="str">
        <f>VLOOKUP(B1654,Tabela_Auxiliar[],2,0)</f>
        <v>4. Despesas Operacionais</v>
      </c>
      <c r="E1654" t="str">
        <f>VLOOKUP(B1654,Tabela_Auxiliar[],4,0)</f>
        <v>Despesa com Pessoal</v>
      </c>
      <c r="F1654" t="str">
        <f>VLOOKUP(B1654,Tabela_Auxiliar[],3,0)</f>
        <v>Saída</v>
      </c>
      <c r="G1654" t="str">
        <f>UPPER(TEXT(Tabela_DB[[#This Row],[DATA]],"mmm"))</f>
        <v>ABR</v>
      </c>
      <c r="H1654" t="str">
        <f>UPPER(TEXT(Tabela_DB[[#This Row],[DATA]],"aaaa"))</f>
        <v>2021</v>
      </c>
    </row>
    <row r="1655" spans="1:8" x14ac:dyDescent="0.25">
      <c r="A1655" s="2">
        <v>44295</v>
      </c>
      <c r="B1655" t="s">
        <v>62</v>
      </c>
      <c r="C1655">
        <v>-2273</v>
      </c>
      <c r="D1655" t="str">
        <f>VLOOKUP(B1655,Tabela_Auxiliar[],2,0)</f>
        <v>4. Despesas Operacionais</v>
      </c>
      <c r="E1655" t="str">
        <f>VLOOKUP(B1655,Tabela_Auxiliar[],4,0)</f>
        <v>Despesa Gerais</v>
      </c>
      <c r="F1655" t="str">
        <f>VLOOKUP(B1655,Tabela_Auxiliar[],3,0)</f>
        <v>Saída</v>
      </c>
      <c r="G1655" t="str">
        <f>UPPER(TEXT(Tabela_DB[[#This Row],[DATA]],"mmm"))</f>
        <v>ABR</v>
      </c>
      <c r="H1655" t="str">
        <f>UPPER(TEXT(Tabela_DB[[#This Row],[DATA]],"aaaa"))</f>
        <v>2021</v>
      </c>
    </row>
    <row r="1656" spans="1:8" x14ac:dyDescent="0.25">
      <c r="A1656" s="2">
        <v>44295</v>
      </c>
      <c r="B1656" t="s">
        <v>59</v>
      </c>
      <c r="C1656">
        <v>-1933</v>
      </c>
      <c r="D1656" t="str">
        <f>VLOOKUP(B1656,Tabela_Auxiliar[],2,0)</f>
        <v>4. Despesas Operacionais</v>
      </c>
      <c r="E1656" t="str">
        <f>VLOOKUP(B1656,Tabela_Auxiliar[],4,0)</f>
        <v>Despesa de Depreciação</v>
      </c>
      <c r="F1656" t="str">
        <f>VLOOKUP(B1656,Tabela_Auxiliar[],3,0)</f>
        <v>Saída</v>
      </c>
      <c r="G1656" t="str">
        <f>UPPER(TEXT(Tabela_DB[[#This Row],[DATA]],"mmm"))</f>
        <v>ABR</v>
      </c>
      <c r="H1656" t="str">
        <f>UPPER(TEXT(Tabela_DB[[#This Row],[DATA]],"aaaa"))</f>
        <v>2021</v>
      </c>
    </row>
    <row r="1657" spans="1:8" x14ac:dyDescent="0.25">
      <c r="A1657" s="2">
        <v>44295</v>
      </c>
      <c r="B1657" t="s">
        <v>111</v>
      </c>
      <c r="C1657">
        <v>-2059</v>
      </c>
      <c r="D1657" t="str">
        <f>VLOOKUP(B1657,Tabela_Auxiliar[],2,0)</f>
        <v>2. Deduções da Receita</v>
      </c>
      <c r="E1657" t="str">
        <f>VLOOKUP(B1657,Tabela_Auxiliar[],4,0)</f>
        <v>Imposto</v>
      </c>
      <c r="F1657" t="str">
        <f>VLOOKUP(B1657,Tabela_Auxiliar[],3,0)</f>
        <v>Saída</v>
      </c>
      <c r="G1657" t="str">
        <f>UPPER(TEXT(Tabela_DB[[#This Row],[DATA]],"mmm"))</f>
        <v>ABR</v>
      </c>
      <c r="H1657" t="str">
        <f>UPPER(TEXT(Tabela_DB[[#This Row],[DATA]],"aaaa"))</f>
        <v>2021</v>
      </c>
    </row>
    <row r="1658" spans="1:8" x14ac:dyDescent="0.25">
      <c r="A1658" s="2">
        <v>44295</v>
      </c>
      <c r="B1658" t="s">
        <v>35</v>
      </c>
      <c r="C1658">
        <v>-1236</v>
      </c>
      <c r="D1658" t="str">
        <f>VLOOKUP(B1658,Tabela_Auxiliar[],2,0)</f>
        <v>2. Deduções da Receita</v>
      </c>
      <c r="E1658" t="str">
        <f>VLOOKUP(B1658,Tabela_Auxiliar[],4,0)</f>
        <v>Imposto</v>
      </c>
      <c r="F1658" t="str">
        <f>VLOOKUP(B1658,Tabela_Auxiliar[],3,0)</f>
        <v>Saída</v>
      </c>
      <c r="G1658" t="str">
        <f>UPPER(TEXT(Tabela_DB[[#This Row],[DATA]],"mmm"))</f>
        <v>ABR</v>
      </c>
      <c r="H1658" t="str">
        <f>UPPER(TEXT(Tabela_DB[[#This Row],[DATA]],"aaaa"))</f>
        <v>2021</v>
      </c>
    </row>
    <row r="1659" spans="1:8" x14ac:dyDescent="0.25">
      <c r="A1659" s="2">
        <v>44295</v>
      </c>
      <c r="B1659" t="s">
        <v>52</v>
      </c>
      <c r="C1659">
        <v>-1205</v>
      </c>
      <c r="D1659" t="str">
        <f>VLOOKUP(B1659,Tabela_Auxiliar[],2,0)</f>
        <v>4. Despesas Operacionais</v>
      </c>
      <c r="E1659" t="str">
        <f>VLOOKUP(B1659,Tabela_Auxiliar[],4,0)</f>
        <v>Despesa com Pessoal</v>
      </c>
      <c r="F1659" t="str">
        <f>VLOOKUP(B1659,Tabela_Auxiliar[],3,0)</f>
        <v>Saída</v>
      </c>
      <c r="G1659" t="str">
        <f>UPPER(TEXT(Tabela_DB[[#This Row],[DATA]],"mmm"))</f>
        <v>ABR</v>
      </c>
      <c r="H1659" t="str">
        <f>UPPER(TEXT(Tabela_DB[[#This Row],[DATA]],"aaaa"))</f>
        <v>2021</v>
      </c>
    </row>
    <row r="1660" spans="1:8" x14ac:dyDescent="0.25">
      <c r="A1660" s="2">
        <v>44295</v>
      </c>
      <c r="B1660" t="s">
        <v>111</v>
      </c>
      <c r="C1660">
        <v>-2358</v>
      </c>
      <c r="D1660" t="str">
        <f>VLOOKUP(B1660,Tabela_Auxiliar[],2,0)</f>
        <v>2. Deduções da Receita</v>
      </c>
      <c r="E1660" t="str">
        <f>VLOOKUP(B1660,Tabela_Auxiliar[],4,0)</f>
        <v>Imposto</v>
      </c>
      <c r="F1660" t="str">
        <f>VLOOKUP(B1660,Tabela_Auxiliar[],3,0)</f>
        <v>Saída</v>
      </c>
      <c r="G1660" t="str">
        <f>UPPER(TEXT(Tabela_DB[[#This Row],[DATA]],"mmm"))</f>
        <v>ABR</v>
      </c>
      <c r="H1660" t="str">
        <f>UPPER(TEXT(Tabela_DB[[#This Row],[DATA]],"aaaa"))</f>
        <v>2021</v>
      </c>
    </row>
    <row r="1661" spans="1:8" x14ac:dyDescent="0.25">
      <c r="A1661" s="2">
        <v>44295</v>
      </c>
      <c r="B1661" t="s">
        <v>34</v>
      </c>
      <c r="C1661">
        <v>-1645</v>
      </c>
      <c r="D1661" t="str">
        <f>VLOOKUP(B1661,Tabela_Auxiliar[],2,0)</f>
        <v>2. Deduções da Receita</v>
      </c>
      <c r="E1661" t="str">
        <f>VLOOKUP(B1661,Tabela_Auxiliar[],4,0)</f>
        <v>Imposto</v>
      </c>
      <c r="F1661" t="str">
        <f>VLOOKUP(B1661,Tabela_Auxiliar[],3,0)</f>
        <v>Saída</v>
      </c>
      <c r="G1661" t="str">
        <f>UPPER(TEXT(Tabela_DB[[#This Row],[DATA]],"mmm"))</f>
        <v>ABR</v>
      </c>
      <c r="H1661" t="str">
        <f>UPPER(TEXT(Tabela_DB[[#This Row],[DATA]],"aaaa"))</f>
        <v>2021</v>
      </c>
    </row>
    <row r="1662" spans="1:8" x14ac:dyDescent="0.25">
      <c r="A1662" s="2">
        <v>44295</v>
      </c>
      <c r="B1662" t="s">
        <v>102</v>
      </c>
      <c r="C1662">
        <v>-1178</v>
      </c>
      <c r="D1662" t="str">
        <f>VLOOKUP(B1662,Tabela_Auxiliar[],2,0)</f>
        <v>6. Resultado após o Resultado Financeiro</v>
      </c>
      <c r="E1662" t="str">
        <f>VLOOKUP(B1662,Tabela_Auxiliar[],4,0)</f>
        <v>EBTIDA</v>
      </c>
      <c r="F1662" t="str">
        <f>VLOOKUP(B1662,Tabela_Auxiliar[],3,0)</f>
        <v>Saída</v>
      </c>
      <c r="G1662" t="str">
        <f>UPPER(TEXT(Tabela_DB[[#This Row],[DATA]],"mmm"))</f>
        <v>ABR</v>
      </c>
      <c r="H1662" t="str">
        <f>UPPER(TEXT(Tabela_DB[[#This Row],[DATA]],"aaaa"))</f>
        <v>2021</v>
      </c>
    </row>
    <row r="1663" spans="1:8" x14ac:dyDescent="0.25">
      <c r="A1663" s="2">
        <v>44295</v>
      </c>
      <c r="B1663" t="s">
        <v>111</v>
      </c>
      <c r="C1663">
        <v>-2324</v>
      </c>
      <c r="D1663" t="str">
        <f>VLOOKUP(B1663,Tabela_Auxiliar[],2,0)</f>
        <v>2. Deduções da Receita</v>
      </c>
      <c r="E1663" t="str">
        <f>VLOOKUP(B1663,Tabela_Auxiliar[],4,0)</f>
        <v>Imposto</v>
      </c>
      <c r="F1663" t="str">
        <f>VLOOKUP(B1663,Tabela_Auxiliar[],3,0)</f>
        <v>Saída</v>
      </c>
      <c r="G1663" t="str">
        <f>UPPER(TEXT(Tabela_DB[[#This Row],[DATA]],"mmm"))</f>
        <v>ABR</v>
      </c>
      <c r="H1663" t="str">
        <f>UPPER(TEXT(Tabela_DB[[#This Row],[DATA]],"aaaa"))</f>
        <v>2021</v>
      </c>
    </row>
    <row r="1664" spans="1:8" x14ac:dyDescent="0.25">
      <c r="A1664" s="2">
        <v>44295</v>
      </c>
      <c r="B1664" t="s">
        <v>47</v>
      </c>
      <c r="C1664">
        <v>-1884</v>
      </c>
      <c r="D1664" t="str">
        <f>VLOOKUP(B1664,Tabela_Auxiliar[],2,0)</f>
        <v>4. Despesas Operacionais</v>
      </c>
      <c r="E1664" t="str">
        <f>VLOOKUP(B1664,Tabela_Auxiliar[],4,0)</f>
        <v>Despesa com Pessoal</v>
      </c>
      <c r="F1664" t="str">
        <f>VLOOKUP(B1664,Tabela_Auxiliar[],3,0)</f>
        <v>Saída</v>
      </c>
      <c r="G1664" t="str">
        <f>UPPER(TEXT(Tabela_DB[[#This Row],[DATA]],"mmm"))</f>
        <v>ABR</v>
      </c>
      <c r="H1664" t="str">
        <f>UPPER(TEXT(Tabela_DB[[#This Row],[DATA]],"aaaa"))</f>
        <v>2021</v>
      </c>
    </row>
    <row r="1665" spans="1:8" x14ac:dyDescent="0.25">
      <c r="A1665" s="2">
        <v>44295</v>
      </c>
      <c r="B1665" t="s">
        <v>111</v>
      </c>
      <c r="C1665">
        <v>-1275</v>
      </c>
      <c r="D1665" t="str">
        <f>VLOOKUP(B1665,Tabela_Auxiliar[],2,0)</f>
        <v>2. Deduções da Receita</v>
      </c>
      <c r="E1665" t="str">
        <f>VLOOKUP(B1665,Tabela_Auxiliar[],4,0)</f>
        <v>Imposto</v>
      </c>
      <c r="F1665" t="str">
        <f>VLOOKUP(B1665,Tabela_Auxiliar[],3,0)</f>
        <v>Saída</v>
      </c>
      <c r="G1665" t="str">
        <f>UPPER(TEXT(Tabela_DB[[#This Row],[DATA]],"mmm"))</f>
        <v>ABR</v>
      </c>
      <c r="H1665" t="str">
        <f>UPPER(TEXT(Tabela_DB[[#This Row],[DATA]],"aaaa"))</f>
        <v>2021</v>
      </c>
    </row>
    <row r="1666" spans="1:8" x14ac:dyDescent="0.25">
      <c r="A1666" s="2">
        <v>44295</v>
      </c>
      <c r="B1666" t="s">
        <v>3</v>
      </c>
      <c r="C1666">
        <v>14130</v>
      </c>
      <c r="D1666" t="str">
        <f>VLOOKUP(B1666,Tabela_Auxiliar[],2,0)</f>
        <v>1. Receita Operacional Bruta</v>
      </c>
      <c r="E1666" t="str">
        <f>VLOOKUP(B1666,Tabela_Auxiliar[],4,0)</f>
        <v>Receita Bruta</v>
      </c>
      <c r="F1666" t="str">
        <f>VLOOKUP(B1666,Tabela_Auxiliar[],3,0)</f>
        <v>Entrada</v>
      </c>
      <c r="G1666" t="str">
        <f>UPPER(TEXT(Tabela_DB[[#This Row],[DATA]],"mmm"))</f>
        <v>ABR</v>
      </c>
      <c r="H1666" t="str">
        <f>UPPER(TEXT(Tabela_DB[[#This Row],[DATA]],"aaaa"))</f>
        <v>2021</v>
      </c>
    </row>
    <row r="1667" spans="1:8" x14ac:dyDescent="0.25">
      <c r="A1667" s="2">
        <v>44295</v>
      </c>
      <c r="B1667" t="s">
        <v>37</v>
      </c>
      <c r="C1667">
        <v>-4721</v>
      </c>
      <c r="D1667" t="str">
        <f>VLOOKUP(B1667,Tabela_Auxiliar[],2,0)</f>
        <v>3. Custos do Produto/Mercadoria/Serviço</v>
      </c>
      <c r="E1667" t="str">
        <f>VLOOKUP(B1667,Tabela_Auxiliar[],4,0)</f>
        <v>Despesas c/ Produto</v>
      </c>
      <c r="F1667" t="str">
        <f>VLOOKUP(B1667,Tabela_Auxiliar[],3,0)</f>
        <v>Saída</v>
      </c>
      <c r="G1667" t="str">
        <f>UPPER(TEXT(Tabela_DB[[#This Row],[DATA]],"mmm"))</f>
        <v>ABR</v>
      </c>
      <c r="H1667" t="str">
        <f>UPPER(TEXT(Tabela_DB[[#This Row],[DATA]],"aaaa"))</f>
        <v>2021</v>
      </c>
    </row>
    <row r="1668" spans="1:8" x14ac:dyDescent="0.25">
      <c r="A1668" s="2">
        <v>44295</v>
      </c>
      <c r="B1668" t="s">
        <v>38</v>
      </c>
      <c r="C1668">
        <v>-1783</v>
      </c>
      <c r="D1668" t="str">
        <f>VLOOKUP(B1668,Tabela_Auxiliar[],2,0)</f>
        <v>2. Deduções da Receita</v>
      </c>
      <c r="E1668" t="str">
        <f>VLOOKUP(B1668,Tabela_Auxiliar[],4,0)</f>
        <v>Deduções</v>
      </c>
      <c r="F1668" t="str">
        <f>VLOOKUP(B1668,Tabela_Auxiliar[],3,0)</f>
        <v>Saída</v>
      </c>
      <c r="G1668" t="str">
        <f>UPPER(TEXT(Tabela_DB[[#This Row],[DATA]],"mmm"))</f>
        <v>ABR</v>
      </c>
      <c r="H1668" t="str">
        <f>UPPER(TEXT(Tabela_DB[[#This Row],[DATA]],"aaaa"))</f>
        <v>2021</v>
      </c>
    </row>
    <row r="1669" spans="1:8" x14ac:dyDescent="0.25">
      <c r="A1669" s="2">
        <v>44295</v>
      </c>
      <c r="B1669" t="s">
        <v>38</v>
      </c>
      <c r="C1669">
        <v>-1436</v>
      </c>
      <c r="D1669" t="str">
        <f>VLOOKUP(B1669,Tabela_Auxiliar[],2,0)</f>
        <v>2. Deduções da Receita</v>
      </c>
      <c r="E1669" t="str">
        <f>VLOOKUP(B1669,Tabela_Auxiliar[],4,0)</f>
        <v>Deduções</v>
      </c>
      <c r="F1669" t="str">
        <f>VLOOKUP(B1669,Tabela_Auxiliar[],3,0)</f>
        <v>Saída</v>
      </c>
      <c r="G1669" t="str">
        <f>UPPER(TEXT(Tabela_DB[[#This Row],[DATA]],"mmm"))</f>
        <v>ABR</v>
      </c>
      <c r="H1669" t="str">
        <f>UPPER(TEXT(Tabela_DB[[#This Row],[DATA]],"aaaa"))</f>
        <v>2021</v>
      </c>
    </row>
    <row r="1670" spans="1:8" x14ac:dyDescent="0.25">
      <c r="A1670" s="2">
        <v>44295</v>
      </c>
      <c r="B1670" t="s">
        <v>3</v>
      </c>
      <c r="C1670">
        <v>10181</v>
      </c>
      <c r="D1670" t="str">
        <f>VLOOKUP(B1670,Tabela_Auxiliar[],2,0)</f>
        <v>1. Receita Operacional Bruta</v>
      </c>
      <c r="E1670" t="str">
        <f>VLOOKUP(B1670,Tabela_Auxiliar[],4,0)</f>
        <v>Receita Bruta</v>
      </c>
      <c r="F1670" t="str">
        <f>VLOOKUP(B1670,Tabela_Auxiliar[],3,0)</f>
        <v>Entrada</v>
      </c>
      <c r="G1670" t="str">
        <f>UPPER(TEXT(Tabela_DB[[#This Row],[DATA]],"mmm"))</f>
        <v>ABR</v>
      </c>
      <c r="H1670" t="str">
        <f>UPPER(TEXT(Tabela_DB[[#This Row],[DATA]],"aaaa"))</f>
        <v>2021</v>
      </c>
    </row>
    <row r="1671" spans="1:8" x14ac:dyDescent="0.25">
      <c r="A1671" s="2">
        <v>44295</v>
      </c>
      <c r="B1671" t="s">
        <v>78</v>
      </c>
      <c r="C1671">
        <v>-2118</v>
      </c>
      <c r="D1671" t="str">
        <f>VLOOKUP(B1671,Tabela_Auxiliar[],2,0)</f>
        <v>4. Despesas Operacionais</v>
      </c>
      <c r="E1671" t="str">
        <f>VLOOKUP(B1671,Tabela_Auxiliar[],4,0)</f>
        <v>Serviços Contratados</v>
      </c>
      <c r="F1671" t="str">
        <f>VLOOKUP(B1671,Tabela_Auxiliar[],3,0)</f>
        <v>Saída</v>
      </c>
      <c r="G1671" t="str">
        <f>UPPER(TEXT(Tabela_DB[[#This Row],[DATA]],"mmm"))</f>
        <v>ABR</v>
      </c>
      <c r="H1671" t="str">
        <f>UPPER(TEXT(Tabela_DB[[#This Row],[DATA]],"aaaa"))</f>
        <v>2021</v>
      </c>
    </row>
    <row r="1672" spans="1:8" x14ac:dyDescent="0.25">
      <c r="A1672" s="2">
        <v>44295</v>
      </c>
      <c r="B1672" t="s">
        <v>111</v>
      </c>
      <c r="C1672">
        <v>-2288</v>
      </c>
      <c r="D1672" t="str">
        <f>VLOOKUP(B1672,Tabela_Auxiliar[],2,0)</f>
        <v>2. Deduções da Receita</v>
      </c>
      <c r="E1672" t="str">
        <f>VLOOKUP(B1672,Tabela_Auxiliar[],4,0)</f>
        <v>Imposto</v>
      </c>
      <c r="F1672" t="str">
        <f>VLOOKUP(B1672,Tabela_Auxiliar[],3,0)</f>
        <v>Saída</v>
      </c>
      <c r="G1672" t="str">
        <f>UPPER(TEXT(Tabela_DB[[#This Row],[DATA]],"mmm"))</f>
        <v>ABR</v>
      </c>
      <c r="H1672" t="str">
        <f>UPPER(TEXT(Tabela_DB[[#This Row],[DATA]],"aaaa"))</f>
        <v>2021</v>
      </c>
    </row>
    <row r="1673" spans="1:8" x14ac:dyDescent="0.25">
      <c r="A1673" s="2">
        <v>44295</v>
      </c>
      <c r="B1673" t="s">
        <v>34</v>
      </c>
      <c r="C1673">
        <v>-2101</v>
      </c>
      <c r="D1673" t="str">
        <f>VLOOKUP(B1673,Tabela_Auxiliar[],2,0)</f>
        <v>2. Deduções da Receita</v>
      </c>
      <c r="E1673" t="str">
        <f>VLOOKUP(B1673,Tabela_Auxiliar[],4,0)</f>
        <v>Imposto</v>
      </c>
      <c r="F1673" t="str">
        <f>VLOOKUP(B1673,Tabela_Auxiliar[],3,0)</f>
        <v>Saída</v>
      </c>
      <c r="G1673" t="str">
        <f>UPPER(TEXT(Tabela_DB[[#This Row],[DATA]],"mmm"))</f>
        <v>ABR</v>
      </c>
      <c r="H1673" t="str">
        <f>UPPER(TEXT(Tabela_DB[[#This Row],[DATA]],"aaaa"))</f>
        <v>2021</v>
      </c>
    </row>
    <row r="1674" spans="1:8" x14ac:dyDescent="0.25">
      <c r="A1674" s="2">
        <v>44296</v>
      </c>
      <c r="B1674" t="s">
        <v>37</v>
      </c>
      <c r="C1674">
        <v>-2728</v>
      </c>
      <c r="D1674" t="str">
        <f>VLOOKUP(B1674,Tabela_Auxiliar[],2,0)</f>
        <v>3. Custos do Produto/Mercadoria/Serviço</v>
      </c>
      <c r="E1674" t="str">
        <f>VLOOKUP(B1674,Tabela_Auxiliar[],4,0)</f>
        <v>Despesas c/ Produto</v>
      </c>
      <c r="F1674" t="str">
        <f>VLOOKUP(B1674,Tabela_Auxiliar[],3,0)</f>
        <v>Saída</v>
      </c>
      <c r="G1674" t="str">
        <f>UPPER(TEXT(Tabela_DB[[#This Row],[DATA]],"mmm"))</f>
        <v>ABR</v>
      </c>
      <c r="H1674" t="str">
        <f>UPPER(TEXT(Tabela_DB[[#This Row],[DATA]],"aaaa"))</f>
        <v>2021</v>
      </c>
    </row>
    <row r="1675" spans="1:8" x14ac:dyDescent="0.25">
      <c r="A1675" s="2">
        <v>44296</v>
      </c>
      <c r="B1675" t="s">
        <v>37</v>
      </c>
      <c r="C1675">
        <v>-4758</v>
      </c>
      <c r="D1675" t="str">
        <f>VLOOKUP(B1675,Tabela_Auxiliar[],2,0)</f>
        <v>3. Custos do Produto/Mercadoria/Serviço</v>
      </c>
      <c r="E1675" t="str">
        <f>VLOOKUP(B1675,Tabela_Auxiliar[],4,0)</f>
        <v>Despesas c/ Produto</v>
      </c>
      <c r="F1675" t="str">
        <f>VLOOKUP(B1675,Tabela_Auxiliar[],3,0)</f>
        <v>Saída</v>
      </c>
      <c r="G1675" t="str">
        <f>UPPER(TEXT(Tabela_DB[[#This Row],[DATA]],"mmm"))</f>
        <v>ABR</v>
      </c>
      <c r="H1675" t="str">
        <f>UPPER(TEXT(Tabela_DB[[#This Row],[DATA]],"aaaa"))</f>
        <v>2021</v>
      </c>
    </row>
    <row r="1676" spans="1:8" x14ac:dyDescent="0.25">
      <c r="A1676" s="2">
        <v>44296</v>
      </c>
      <c r="B1676" t="s">
        <v>34</v>
      </c>
      <c r="C1676">
        <v>-1954</v>
      </c>
      <c r="D1676" t="str">
        <f>VLOOKUP(B1676,Tabela_Auxiliar[],2,0)</f>
        <v>2. Deduções da Receita</v>
      </c>
      <c r="E1676" t="str">
        <f>VLOOKUP(B1676,Tabela_Auxiliar[],4,0)</f>
        <v>Imposto</v>
      </c>
      <c r="F1676" t="str">
        <f>VLOOKUP(B1676,Tabela_Auxiliar[],3,0)</f>
        <v>Saída</v>
      </c>
      <c r="G1676" t="str">
        <f>UPPER(TEXT(Tabela_DB[[#This Row],[DATA]],"mmm"))</f>
        <v>ABR</v>
      </c>
      <c r="H1676" t="str">
        <f>UPPER(TEXT(Tabela_DB[[#This Row],[DATA]],"aaaa"))</f>
        <v>2021</v>
      </c>
    </row>
    <row r="1677" spans="1:8" x14ac:dyDescent="0.25">
      <c r="A1677" s="2">
        <v>44296</v>
      </c>
      <c r="B1677" t="s">
        <v>44</v>
      </c>
      <c r="C1677">
        <v>-1618</v>
      </c>
      <c r="D1677" t="str">
        <f>VLOOKUP(B1677,Tabela_Auxiliar[],2,0)</f>
        <v>4. Despesas Operacionais</v>
      </c>
      <c r="E1677" t="str">
        <f>VLOOKUP(B1677,Tabela_Auxiliar[],4,0)</f>
        <v>Despesa com Pessoal</v>
      </c>
      <c r="F1677" t="str">
        <f>VLOOKUP(B1677,Tabela_Auxiliar[],3,0)</f>
        <v>Saída</v>
      </c>
      <c r="G1677" t="str">
        <f>UPPER(TEXT(Tabela_DB[[#This Row],[DATA]],"mmm"))</f>
        <v>ABR</v>
      </c>
      <c r="H1677" t="str">
        <f>UPPER(TEXT(Tabela_DB[[#This Row],[DATA]],"aaaa"))</f>
        <v>2021</v>
      </c>
    </row>
    <row r="1678" spans="1:8" x14ac:dyDescent="0.25">
      <c r="A1678" s="2">
        <v>44296</v>
      </c>
      <c r="B1678" t="s">
        <v>111</v>
      </c>
      <c r="C1678">
        <v>-1891</v>
      </c>
      <c r="D1678" t="str">
        <f>VLOOKUP(B1678,Tabela_Auxiliar[],2,0)</f>
        <v>2. Deduções da Receita</v>
      </c>
      <c r="E1678" t="str">
        <f>VLOOKUP(B1678,Tabela_Auxiliar[],4,0)</f>
        <v>Imposto</v>
      </c>
      <c r="F1678" t="str">
        <f>VLOOKUP(B1678,Tabela_Auxiliar[],3,0)</f>
        <v>Saída</v>
      </c>
      <c r="G1678" t="str">
        <f>UPPER(TEXT(Tabela_DB[[#This Row],[DATA]],"mmm"))</f>
        <v>ABR</v>
      </c>
      <c r="H1678" t="str">
        <f>UPPER(TEXT(Tabela_DB[[#This Row],[DATA]],"aaaa"))</f>
        <v>2021</v>
      </c>
    </row>
    <row r="1679" spans="1:8" x14ac:dyDescent="0.25">
      <c r="A1679" s="2">
        <v>44296</v>
      </c>
      <c r="B1679" t="s">
        <v>44</v>
      </c>
      <c r="C1679">
        <v>-2280</v>
      </c>
      <c r="D1679" t="str">
        <f>VLOOKUP(B1679,Tabela_Auxiliar[],2,0)</f>
        <v>4. Despesas Operacionais</v>
      </c>
      <c r="E1679" t="str">
        <f>VLOOKUP(B1679,Tabela_Auxiliar[],4,0)</f>
        <v>Despesa com Pessoal</v>
      </c>
      <c r="F1679" t="str">
        <f>VLOOKUP(B1679,Tabela_Auxiliar[],3,0)</f>
        <v>Saída</v>
      </c>
      <c r="G1679" t="str">
        <f>UPPER(TEXT(Tabela_DB[[#This Row],[DATA]],"mmm"))</f>
        <v>ABR</v>
      </c>
      <c r="H1679" t="str">
        <f>UPPER(TEXT(Tabela_DB[[#This Row],[DATA]],"aaaa"))</f>
        <v>2021</v>
      </c>
    </row>
    <row r="1680" spans="1:8" x14ac:dyDescent="0.25">
      <c r="A1680" s="2">
        <v>44296</v>
      </c>
      <c r="B1680" t="s">
        <v>90</v>
      </c>
      <c r="C1680">
        <v>-1031</v>
      </c>
      <c r="D1680" t="str">
        <f>VLOOKUP(B1680,Tabela_Auxiliar[],2,0)</f>
        <v>4. Despesas Operacionais</v>
      </c>
      <c r="E1680" t="str">
        <f>VLOOKUP(B1680,Tabela_Auxiliar[],4,0)</f>
        <v>Despesa Tributária</v>
      </c>
      <c r="F1680" t="str">
        <f>VLOOKUP(B1680,Tabela_Auxiliar[],3,0)</f>
        <v>Saída</v>
      </c>
      <c r="G1680" t="str">
        <f>UPPER(TEXT(Tabela_DB[[#This Row],[DATA]],"mmm"))</f>
        <v>ABR</v>
      </c>
      <c r="H1680" t="str">
        <f>UPPER(TEXT(Tabela_DB[[#This Row],[DATA]],"aaaa"))</f>
        <v>2021</v>
      </c>
    </row>
    <row r="1681" spans="1:8" x14ac:dyDescent="0.25">
      <c r="A1681" s="2">
        <v>44296</v>
      </c>
      <c r="B1681" t="s">
        <v>77</v>
      </c>
      <c r="C1681">
        <v>-2473</v>
      </c>
      <c r="D1681" t="str">
        <f>VLOOKUP(B1681,Tabela_Auxiliar[],2,0)</f>
        <v>4. Despesas Operacionais</v>
      </c>
      <c r="E1681" t="str">
        <f>VLOOKUP(B1681,Tabela_Auxiliar[],4,0)</f>
        <v>Serviços Contratados</v>
      </c>
      <c r="F1681" t="str">
        <f>VLOOKUP(B1681,Tabela_Auxiliar[],3,0)</f>
        <v>Saída</v>
      </c>
      <c r="G1681" t="str">
        <f>UPPER(TEXT(Tabela_DB[[#This Row],[DATA]],"mmm"))</f>
        <v>ABR</v>
      </c>
      <c r="H1681" t="str">
        <f>UPPER(TEXT(Tabela_DB[[#This Row],[DATA]],"aaaa"))</f>
        <v>2021</v>
      </c>
    </row>
    <row r="1682" spans="1:8" x14ac:dyDescent="0.25">
      <c r="A1682" s="2">
        <v>44297</v>
      </c>
      <c r="B1682" t="s">
        <v>111</v>
      </c>
      <c r="C1682">
        <v>-2467</v>
      </c>
      <c r="D1682" t="str">
        <f>VLOOKUP(B1682,Tabela_Auxiliar[],2,0)</f>
        <v>2. Deduções da Receita</v>
      </c>
      <c r="E1682" t="str">
        <f>VLOOKUP(B1682,Tabela_Auxiliar[],4,0)</f>
        <v>Imposto</v>
      </c>
      <c r="F1682" t="str">
        <f>VLOOKUP(B1682,Tabela_Auxiliar[],3,0)</f>
        <v>Saída</v>
      </c>
      <c r="G1682" t="str">
        <f>UPPER(TEXT(Tabela_DB[[#This Row],[DATA]],"mmm"))</f>
        <v>ABR</v>
      </c>
      <c r="H1682" t="str">
        <f>UPPER(TEXT(Tabela_DB[[#This Row],[DATA]],"aaaa"))</f>
        <v>2021</v>
      </c>
    </row>
    <row r="1683" spans="1:8" x14ac:dyDescent="0.25">
      <c r="A1683" s="2">
        <v>44297</v>
      </c>
      <c r="B1683" t="s">
        <v>76</v>
      </c>
      <c r="C1683">
        <v>-1719</v>
      </c>
      <c r="D1683" t="str">
        <f>VLOOKUP(B1683,Tabela_Auxiliar[],2,0)</f>
        <v>4. Despesas Operacionais</v>
      </c>
      <c r="E1683" t="str">
        <f>VLOOKUP(B1683,Tabela_Auxiliar[],4,0)</f>
        <v>Serviços Contratados</v>
      </c>
      <c r="F1683" t="str">
        <f>VLOOKUP(B1683,Tabela_Auxiliar[],3,0)</f>
        <v>Saída</v>
      </c>
      <c r="G1683" t="str">
        <f>UPPER(TEXT(Tabela_DB[[#This Row],[DATA]],"mmm"))</f>
        <v>ABR</v>
      </c>
      <c r="H1683" t="str">
        <f>UPPER(TEXT(Tabela_DB[[#This Row],[DATA]],"aaaa"))</f>
        <v>2021</v>
      </c>
    </row>
    <row r="1684" spans="1:8" x14ac:dyDescent="0.25">
      <c r="A1684" s="2">
        <v>44297</v>
      </c>
      <c r="B1684" t="s">
        <v>37</v>
      </c>
      <c r="C1684">
        <v>-4406</v>
      </c>
      <c r="D1684" t="str">
        <f>VLOOKUP(B1684,Tabela_Auxiliar[],2,0)</f>
        <v>3. Custos do Produto/Mercadoria/Serviço</v>
      </c>
      <c r="E1684" t="str">
        <f>VLOOKUP(B1684,Tabela_Auxiliar[],4,0)</f>
        <v>Despesas c/ Produto</v>
      </c>
      <c r="F1684" t="str">
        <f>VLOOKUP(B1684,Tabela_Auxiliar[],3,0)</f>
        <v>Saída</v>
      </c>
      <c r="G1684" t="str">
        <f>UPPER(TEXT(Tabela_DB[[#This Row],[DATA]],"mmm"))</f>
        <v>ABR</v>
      </c>
      <c r="H1684" t="str">
        <f>UPPER(TEXT(Tabela_DB[[#This Row],[DATA]],"aaaa"))</f>
        <v>2021</v>
      </c>
    </row>
    <row r="1685" spans="1:8" x14ac:dyDescent="0.25">
      <c r="A1685" s="2">
        <v>44297</v>
      </c>
      <c r="B1685" t="s">
        <v>51</v>
      </c>
      <c r="C1685">
        <v>-1874</v>
      </c>
      <c r="D1685" t="str">
        <f>VLOOKUP(B1685,Tabela_Auxiliar[],2,0)</f>
        <v>4. Despesas Operacionais</v>
      </c>
      <c r="E1685" t="str">
        <f>VLOOKUP(B1685,Tabela_Auxiliar[],4,0)</f>
        <v>Despesa com Pessoal</v>
      </c>
      <c r="F1685" t="str">
        <f>VLOOKUP(B1685,Tabela_Auxiliar[],3,0)</f>
        <v>Saída</v>
      </c>
      <c r="G1685" t="str">
        <f>UPPER(TEXT(Tabela_DB[[#This Row],[DATA]],"mmm"))</f>
        <v>ABR</v>
      </c>
      <c r="H1685" t="str">
        <f>UPPER(TEXT(Tabela_DB[[#This Row],[DATA]],"aaaa"))</f>
        <v>2021</v>
      </c>
    </row>
    <row r="1686" spans="1:8" x14ac:dyDescent="0.25">
      <c r="A1686" s="2">
        <v>44297</v>
      </c>
      <c r="B1686" t="s">
        <v>111</v>
      </c>
      <c r="C1686">
        <v>-1044</v>
      </c>
      <c r="D1686" t="str">
        <f>VLOOKUP(B1686,Tabela_Auxiliar[],2,0)</f>
        <v>2. Deduções da Receita</v>
      </c>
      <c r="E1686" t="str">
        <f>VLOOKUP(B1686,Tabela_Auxiliar[],4,0)</f>
        <v>Imposto</v>
      </c>
      <c r="F1686" t="str">
        <f>VLOOKUP(B1686,Tabela_Auxiliar[],3,0)</f>
        <v>Saída</v>
      </c>
      <c r="G1686" t="str">
        <f>UPPER(TEXT(Tabela_DB[[#This Row],[DATA]],"mmm"))</f>
        <v>ABR</v>
      </c>
      <c r="H1686" t="str">
        <f>UPPER(TEXT(Tabela_DB[[#This Row],[DATA]],"aaaa"))</f>
        <v>2021</v>
      </c>
    </row>
    <row r="1687" spans="1:8" x14ac:dyDescent="0.25">
      <c r="A1687" s="2">
        <v>44297</v>
      </c>
      <c r="B1687" t="s">
        <v>5</v>
      </c>
      <c r="C1687">
        <v>-1324</v>
      </c>
      <c r="D1687" t="str">
        <f>VLOOKUP(B1687,Tabela_Auxiliar[],2,0)</f>
        <v>4. Despesas Operacionais</v>
      </c>
      <c r="E1687" t="str">
        <f>VLOOKUP(B1687,Tabela_Auxiliar[],4,0)</f>
        <v>Despesa com Pessoal</v>
      </c>
      <c r="F1687" t="str">
        <f>VLOOKUP(B1687,Tabela_Auxiliar[],3,0)</f>
        <v>Saída</v>
      </c>
      <c r="G1687" t="str">
        <f>UPPER(TEXT(Tabela_DB[[#This Row],[DATA]],"mmm"))</f>
        <v>ABR</v>
      </c>
      <c r="H1687" t="str">
        <f>UPPER(TEXT(Tabela_DB[[#This Row],[DATA]],"aaaa"))</f>
        <v>2021</v>
      </c>
    </row>
    <row r="1688" spans="1:8" x14ac:dyDescent="0.25">
      <c r="A1688" s="2">
        <v>44297</v>
      </c>
      <c r="B1688" t="s">
        <v>38</v>
      </c>
      <c r="C1688">
        <v>-1065</v>
      </c>
      <c r="D1688" t="str">
        <f>VLOOKUP(B1688,Tabela_Auxiliar[],2,0)</f>
        <v>2. Deduções da Receita</v>
      </c>
      <c r="E1688" t="str">
        <f>VLOOKUP(B1688,Tabela_Auxiliar[],4,0)</f>
        <v>Deduções</v>
      </c>
      <c r="F1688" t="str">
        <f>VLOOKUP(B1688,Tabela_Auxiliar[],3,0)</f>
        <v>Saída</v>
      </c>
      <c r="G1688" t="str">
        <f>UPPER(TEXT(Tabela_DB[[#This Row],[DATA]],"mmm"))</f>
        <v>ABR</v>
      </c>
      <c r="H1688" t="str">
        <f>UPPER(TEXT(Tabela_DB[[#This Row],[DATA]],"aaaa"))</f>
        <v>2021</v>
      </c>
    </row>
    <row r="1689" spans="1:8" x14ac:dyDescent="0.25">
      <c r="A1689" s="2">
        <v>44297</v>
      </c>
      <c r="B1689" t="s">
        <v>77</v>
      </c>
      <c r="C1689">
        <v>-1228</v>
      </c>
      <c r="D1689" t="str">
        <f>VLOOKUP(B1689,Tabela_Auxiliar[],2,0)</f>
        <v>4. Despesas Operacionais</v>
      </c>
      <c r="E1689" t="str">
        <f>VLOOKUP(B1689,Tabela_Auxiliar[],4,0)</f>
        <v>Serviços Contratados</v>
      </c>
      <c r="F1689" t="str">
        <f>VLOOKUP(B1689,Tabela_Auxiliar[],3,0)</f>
        <v>Saída</v>
      </c>
      <c r="G1689" t="str">
        <f>UPPER(TEXT(Tabela_DB[[#This Row],[DATA]],"mmm"))</f>
        <v>ABR</v>
      </c>
      <c r="H1689" t="str">
        <f>UPPER(TEXT(Tabela_DB[[#This Row],[DATA]],"aaaa"))</f>
        <v>2021</v>
      </c>
    </row>
    <row r="1690" spans="1:8" x14ac:dyDescent="0.25">
      <c r="A1690" s="2">
        <v>44297</v>
      </c>
      <c r="B1690" t="s">
        <v>111</v>
      </c>
      <c r="C1690">
        <v>-1152</v>
      </c>
      <c r="D1690" t="str">
        <f>VLOOKUP(B1690,Tabela_Auxiliar[],2,0)</f>
        <v>2. Deduções da Receita</v>
      </c>
      <c r="E1690" t="str">
        <f>VLOOKUP(B1690,Tabela_Auxiliar[],4,0)</f>
        <v>Imposto</v>
      </c>
      <c r="F1690" t="str">
        <f>VLOOKUP(B1690,Tabela_Auxiliar[],3,0)</f>
        <v>Saída</v>
      </c>
      <c r="G1690" t="str">
        <f>UPPER(TEXT(Tabela_DB[[#This Row],[DATA]],"mmm"))</f>
        <v>ABR</v>
      </c>
      <c r="H1690" t="str">
        <f>UPPER(TEXT(Tabela_DB[[#This Row],[DATA]],"aaaa"))</f>
        <v>2021</v>
      </c>
    </row>
    <row r="1691" spans="1:8" x14ac:dyDescent="0.25">
      <c r="A1691" s="2">
        <v>44297</v>
      </c>
      <c r="B1691" t="s">
        <v>60</v>
      </c>
      <c r="C1691">
        <v>-1400</v>
      </c>
      <c r="D1691" t="str">
        <f>VLOOKUP(B1691,Tabela_Auxiliar[],2,0)</f>
        <v>4. Despesas Operacionais</v>
      </c>
      <c r="E1691" t="str">
        <f>VLOOKUP(B1691,Tabela_Auxiliar[],4,0)</f>
        <v>Despesa de Depreciação</v>
      </c>
      <c r="F1691" t="str">
        <f>VLOOKUP(B1691,Tabela_Auxiliar[],3,0)</f>
        <v>Saída</v>
      </c>
      <c r="G1691" t="str">
        <f>UPPER(TEXT(Tabela_DB[[#This Row],[DATA]],"mmm"))</f>
        <v>ABR</v>
      </c>
      <c r="H1691" t="str">
        <f>UPPER(TEXT(Tabela_DB[[#This Row],[DATA]],"aaaa"))</f>
        <v>2021</v>
      </c>
    </row>
    <row r="1692" spans="1:8" x14ac:dyDescent="0.25">
      <c r="A1692" s="2">
        <v>44297</v>
      </c>
      <c r="B1692" t="s">
        <v>51</v>
      </c>
      <c r="C1692">
        <v>-1861</v>
      </c>
      <c r="D1692" t="str">
        <f>VLOOKUP(B1692,Tabela_Auxiliar[],2,0)</f>
        <v>4. Despesas Operacionais</v>
      </c>
      <c r="E1692" t="str">
        <f>VLOOKUP(B1692,Tabela_Auxiliar[],4,0)</f>
        <v>Despesa com Pessoal</v>
      </c>
      <c r="F1692" t="str">
        <f>VLOOKUP(B1692,Tabela_Auxiliar[],3,0)</f>
        <v>Saída</v>
      </c>
      <c r="G1692" t="str">
        <f>UPPER(TEXT(Tabela_DB[[#This Row],[DATA]],"mmm"))</f>
        <v>ABR</v>
      </c>
      <c r="H1692" t="str">
        <f>UPPER(TEXT(Tabela_DB[[#This Row],[DATA]],"aaaa"))</f>
        <v>2021</v>
      </c>
    </row>
    <row r="1693" spans="1:8" x14ac:dyDescent="0.25">
      <c r="A1693" s="2">
        <v>44297</v>
      </c>
      <c r="B1693" t="s">
        <v>35</v>
      </c>
      <c r="C1693">
        <v>-1641</v>
      </c>
      <c r="D1693" t="str">
        <f>VLOOKUP(B1693,Tabela_Auxiliar[],2,0)</f>
        <v>2. Deduções da Receita</v>
      </c>
      <c r="E1693" t="str">
        <f>VLOOKUP(B1693,Tabela_Auxiliar[],4,0)</f>
        <v>Imposto</v>
      </c>
      <c r="F1693" t="str">
        <f>VLOOKUP(B1693,Tabela_Auxiliar[],3,0)</f>
        <v>Saída</v>
      </c>
      <c r="G1693" t="str">
        <f>UPPER(TEXT(Tabela_DB[[#This Row],[DATA]],"mmm"))</f>
        <v>ABR</v>
      </c>
      <c r="H1693" t="str">
        <f>UPPER(TEXT(Tabela_DB[[#This Row],[DATA]],"aaaa"))</f>
        <v>2021</v>
      </c>
    </row>
    <row r="1694" spans="1:8" x14ac:dyDescent="0.25">
      <c r="A1694" s="2">
        <v>44297</v>
      </c>
      <c r="B1694" t="s">
        <v>35</v>
      </c>
      <c r="C1694">
        <v>-1225</v>
      </c>
      <c r="D1694" t="str">
        <f>VLOOKUP(B1694,Tabela_Auxiliar[],2,0)</f>
        <v>2. Deduções da Receita</v>
      </c>
      <c r="E1694" t="str">
        <f>VLOOKUP(B1694,Tabela_Auxiliar[],4,0)</f>
        <v>Imposto</v>
      </c>
      <c r="F1694" t="str">
        <f>VLOOKUP(B1694,Tabela_Auxiliar[],3,0)</f>
        <v>Saída</v>
      </c>
      <c r="G1694" t="str">
        <f>UPPER(TEXT(Tabela_DB[[#This Row],[DATA]],"mmm"))</f>
        <v>ABR</v>
      </c>
      <c r="H1694" t="str">
        <f>UPPER(TEXT(Tabela_DB[[#This Row],[DATA]],"aaaa"))</f>
        <v>2021</v>
      </c>
    </row>
    <row r="1695" spans="1:8" x14ac:dyDescent="0.25">
      <c r="A1695" s="2">
        <v>44297</v>
      </c>
      <c r="B1695" t="s">
        <v>34</v>
      </c>
      <c r="C1695">
        <v>-2108</v>
      </c>
      <c r="D1695" t="str">
        <f>VLOOKUP(B1695,Tabela_Auxiliar[],2,0)</f>
        <v>2. Deduções da Receita</v>
      </c>
      <c r="E1695" t="str">
        <f>VLOOKUP(B1695,Tabela_Auxiliar[],4,0)</f>
        <v>Imposto</v>
      </c>
      <c r="F1695" t="str">
        <f>VLOOKUP(B1695,Tabela_Auxiliar[],3,0)</f>
        <v>Saída</v>
      </c>
      <c r="G1695" t="str">
        <f>UPPER(TEXT(Tabela_DB[[#This Row],[DATA]],"mmm"))</f>
        <v>ABR</v>
      </c>
      <c r="H1695" t="str">
        <f>UPPER(TEXT(Tabela_DB[[#This Row],[DATA]],"aaaa"))</f>
        <v>2021</v>
      </c>
    </row>
    <row r="1696" spans="1:8" x14ac:dyDescent="0.25">
      <c r="A1696" s="2">
        <v>44297</v>
      </c>
      <c r="B1696" t="s">
        <v>52</v>
      </c>
      <c r="C1696">
        <v>-1486</v>
      </c>
      <c r="D1696" t="str">
        <f>VLOOKUP(B1696,Tabela_Auxiliar[],2,0)</f>
        <v>4. Despesas Operacionais</v>
      </c>
      <c r="E1696" t="str">
        <f>VLOOKUP(B1696,Tabela_Auxiliar[],4,0)</f>
        <v>Despesa com Pessoal</v>
      </c>
      <c r="F1696" t="str">
        <f>VLOOKUP(B1696,Tabela_Auxiliar[],3,0)</f>
        <v>Saída</v>
      </c>
      <c r="G1696" t="str">
        <f>UPPER(TEXT(Tabela_DB[[#This Row],[DATA]],"mmm"))</f>
        <v>ABR</v>
      </c>
      <c r="H1696" t="str">
        <f>UPPER(TEXT(Tabela_DB[[#This Row],[DATA]],"aaaa"))</f>
        <v>2021</v>
      </c>
    </row>
    <row r="1697" spans="1:8" x14ac:dyDescent="0.25">
      <c r="A1697" s="2">
        <v>44297</v>
      </c>
      <c r="B1697" t="s">
        <v>4</v>
      </c>
      <c r="C1697">
        <v>10565</v>
      </c>
      <c r="D1697" t="str">
        <f>VLOOKUP(B1697,Tabela_Auxiliar[],2,0)</f>
        <v>1. Receita Operacional Bruta</v>
      </c>
      <c r="E1697" t="str">
        <f>VLOOKUP(B1697,Tabela_Auxiliar[],4,0)</f>
        <v>Receita Bruta</v>
      </c>
      <c r="F1697" t="str">
        <f>VLOOKUP(B1697,Tabela_Auxiliar[],3,0)</f>
        <v>Entrada</v>
      </c>
      <c r="G1697" t="str">
        <f>UPPER(TEXT(Tabela_DB[[#This Row],[DATA]],"mmm"))</f>
        <v>ABR</v>
      </c>
      <c r="H1697" t="str">
        <f>UPPER(TEXT(Tabela_DB[[#This Row],[DATA]],"aaaa"))</f>
        <v>2021</v>
      </c>
    </row>
    <row r="1698" spans="1:8" x14ac:dyDescent="0.25">
      <c r="A1698" s="2">
        <v>44297</v>
      </c>
      <c r="B1698" t="s">
        <v>101</v>
      </c>
      <c r="C1698">
        <v>-1122</v>
      </c>
      <c r="D1698" t="str">
        <f>VLOOKUP(B1698,Tabela_Auxiliar[],2,0)</f>
        <v>5. Resultado Financeiro</v>
      </c>
      <c r="E1698" t="str">
        <f>VLOOKUP(B1698,Tabela_Auxiliar[],4,0)</f>
        <v>Despesa Financeira</v>
      </c>
      <c r="F1698" t="str">
        <f>VLOOKUP(B1698,Tabela_Auxiliar[],3,0)</f>
        <v>Saída</v>
      </c>
      <c r="G1698" t="str">
        <f>UPPER(TEXT(Tabela_DB[[#This Row],[DATA]],"mmm"))</f>
        <v>ABR</v>
      </c>
      <c r="H1698" t="str">
        <f>UPPER(TEXT(Tabela_DB[[#This Row],[DATA]],"aaaa"))</f>
        <v>2021</v>
      </c>
    </row>
    <row r="1699" spans="1:8" x14ac:dyDescent="0.25">
      <c r="A1699" s="2">
        <v>44297</v>
      </c>
      <c r="B1699" t="s">
        <v>4</v>
      </c>
      <c r="C1699">
        <v>10390</v>
      </c>
      <c r="D1699" t="str">
        <f>VLOOKUP(B1699,Tabela_Auxiliar[],2,0)</f>
        <v>1. Receita Operacional Bruta</v>
      </c>
      <c r="E1699" t="str">
        <f>VLOOKUP(B1699,Tabela_Auxiliar[],4,0)</f>
        <v>Receita Bruta</v>
      </c>
      <c r="F1699" t="str">
        <f>VLOOKUP(B1699,Tabela_Auxiliar[],3,0)</f>
        <v>Entrada</v>
      </c>
      <c r="G1699" t="str">
        <f>UPPER(TEXT(Tabela_DB[[#This Row],[DATA]],"mmm"))</f>
        <v>ABR</v>
      </c>
      <c r="H1699" t="str">
        <f>UPPER(TEXT(Tabela_DB[[#This Row],[DATA]],"aaaa"))</f>
        <v>2021</v>
      </c>
    </row>
    <row r="1700" spans="1:8" x14ac:dyDescent="0.25">
      <c r="A1700" s="2">
        <v>44297</v>
      </c>
      <c r="B1700" t="s">
        <v>4</v>
      </c>
      <c r="C1700">
        <v>13386</v>
      </c>
      <c r="D1700" t="str">
        <f>VLOOKUP(B1700,Tabela_Auxiliar[],2,0)</f>
        <v>1. Receita Operacional Bruta</v>
      </c>
      <c r="E1700" t="str">
        <f>VLOOKUP(B1700,Tabela_Auxiliar[],4,0)</f>
        <v>Receita Bruta</v>
      </c>
      <c r="F1700" t="str">
        <f>VLOOKUP(B1700,Tabela_Auxiliar[],3,0)</f>
        <v>Entrada</v>
      </c>
      <c r="G1700" t="str">
        <f>UPPER(TEXT(Tabela_DB[[#This Row],[DATA]],"mmm"))</f>
        <v>ABR</v>
      </c>
      <c r="H1700" t="str">
        <f>UPPER(TEXT(Tabela_DB[[#This Row],[DATA]],"aaaa"))</f>
        <v>2021</v>
      </c>
    </row>
    <row r="1701" spans="1:8" x14ac:dyDescent="0.25">
      <c r="A1701" s="2">
        <v>44297</v>
      </c>
      <c r="B1701" t="s">
        <v>89</v>
      </c>
      <c r="C1701">
        <v>-2190</v>
      </c>
      <c r="D1701" t="str">
        <f>VLOOKUP(B1701,Tabela_Auxiliar[],2,0)</f>
        <v>4. Despesas Operacionais</v>
      </c>
      <c r="E1701" t="str">
        <f>VLOOKUP(B1701,Tabela_Auxiliar[],4,0)</f>
        <v>Despesa Tributária</v>
      </c>
      <c r="F1701" t="str">
        <f>VLOOKUP(B1701,Tabela_Auxiliar[],3,0)</f>
        <v>Saída</v>
      </c>
      <c r="G1701" t="str">
        <f>UPPER(TEXT(Tabela_DB[[#This Row],[DATA]],"mmm"))</f>
        <v>ABR</v>
      </c>
      <c r="H1701" t="str">
        <f>UPPER(TEXT(Tabela_DB[[#This Row],[DATA]],"aaaa"))</f>
        <v>2021</v>
      </c>
    </row>
    <row r="1702" spans="1:8" x14ac:dyDescent="0.25">
      <c r="A1702" s="2">
        <v>44298</v>
      </c>
      <c r="B1702" t="s">
        <v>72</v>
      </c>
      <c r="C1702">
        <v>-1004</v>
      </c>
      <c r="D1702" t="str">
        <f>VLOOKUP(B1702,Tabela_Auxiliar[],2,0)</f>
        <v>4. Despesas Operacionais</v>
      </c>
      <c r="E1702" t="str">
        <f>VLOOKUP(B1702,Tabela_Auxiliar[],4,0)</f>
        <v>Despesa com Ocupação</v>
      </c>
      <c r="F1702" t="str">
        <f>VLOOKUP(B1702,Tabela_Auxiliar[],3,0)</f>
        <v>Saída</v>
      </c>
      <c r="G1702" t="str">
        <f>UPPER(TEXT(Tabela_DB[[#This Row],[DATA]],"mmm"))</f>
        <v>ABR</v>
      </c>
      <c r="H1702" t="str">
        <f>UPPER(TEXT(Tabela_DB[[#This Row],[DATA]],"aaaa"))</f>
        <v>2021</v>
      </c>
    </row>
    <row r="1703" spans="1:8" x14ac:dyDescent="0.25">
      <c r="A1703" s="2">
        <v>44298</v>
      </c>
      <c r="B1703" t="s">
        <v>46</v>
      </c>
      <c r="C1703">
        <v>-2409</v>
      </c>
      <c r="D1703" t="str">
        <f>VLOOKUP(B1703,Tabela_Auxiliar[],2,0)</f>
        <v>4. Despesas Operacionais</v>
      </c>
      <c r="E1703" t="str">
        <f>VLOOKUP(B1703,Tabela_Auxiliar[],4,0)</f>
        <v>Despesa com Pessoal</v>
      </c>
      <c r="F1703" t="str">
        <f>VLOOKUP(B1703,Tabela_Auxiliar[],3,0)</f>
        <v>Saída</v>
      </c>
      <c r="G1703" t="str">
        <f>UPPER(TEXT(Tabela_DB[[#This Row],[DATA]],"mmm"))</f>
        <v>ABR</v>
      </c>
      <c r="H1703" t="str">
        <f>UPPER(TEXT(Tabela_DB[[#This Row],[DATA]],"aaaa"))</f>
        <v>2021</v>
      </c>
    </row>
    <row r="1704" spans="1:8" x14ac:dyDescent="0.25">
      <c r="A1704" s="2">
        <v>44298</v>
      </c>
      <c r="B1704" t="s">
        <v>35</v>
      </c>
      <c r="C1704">
        <v>-1540</v>
      </c>
      <c r="D1704" t="str">
        <f>VLOOKUP(B1704,Tabela_Auxiliar[],2,0)</f>
        <v>2. Deduções da Receita</v>
      </c>
      <c r="E1704" t="str">
        <f>VLOOKUP(B1704,Tabela_Auxiliar[],4,0)</f>
        <v>Imposto</v>
      </c>
      <c r="F1704" t="str">
        <f>VLOOKUP(B1704,Tabela_Auxiliar[],3,0)</f>
        <v>Saída</v>
      </c>
      <c r="G1704" t="str">
        <f>UPPER(TEXT(Tabela_DB[[#This Row],[DATA]],"mmm"))</f>
        <v>ABR</v>
      </c>
      <c r="H1704" t="str">
        <f>UPPER(TEXT(Tabela_DB[[#This Row],[DATA]],"aaaa"))</f>
        <v>2021</v>
      </c>
    </row>
    <row r="1705" spans="1:8" x14ac:dyDescent="0.25">
      <c r="A1705" s="2">
        <v>44298</v>
      </c>
      <c r="B1705" t="s">
        <v>34</v>
      </c>
      <c r="C1705">
        <v>-2452</v>
      </c>
      <c r="D1705" t="str">
        <f>VLOOKUP(B1705,Tabela_Auxiliar[],2,0)</f>
        <v>2. Deduções da Receita</v>
      </c>
      <c r="E1705" t="str">
        <f>VLOOKUP(B1705,Tabela_Auxiliar[],4,0)</f>
        <v>Imposto</v>
      </c>
      <c r="F1705" t="str">
        <f>VLOOKUP(B1705,Tabela_Auxiliar[],3,0)</f>
        <v>Saída</v>
      </c>
      <c r="G1705" t="str">
        <f>UPPER(TEXT(Tabela_DB[[#This Row],[DATA]],"mmm"))</f>
        <v>ABR</v>
      </c>
      <c r="H1705" t="str">
        <f>UPPER(TEXT(Tabela_DB[[#This Row],[DATA]],"aaaa"))</f>
        <v>2021</v>
      </c>
    </row>
    <row r="1706" spans="1:8" x14ac:dyDescent="0.25">
      <c r="A1706" s="2">
        <v>44298</v>
      </c>
      <c r="B1706" t="s">
        <v>35</v>
      </c>
      <c r="C1706">
        <v>-1433</v>
      </c>
      <c r="D1706" t="str">
        <f>VLOOKUP(B1706,Tabela_Auxiliar[],2,0)</f>
        <v>2. Deduções da Receita</v>
      </c>
      <c r="E1706" t="str">
        <f>VLOOKUP(B1706,Tabela_Auxiliar[],4,0)</f>
        <v>Imposto</v>
      </c>
      <c r="F1706" t="str">
        <f>VLOOKUP(B1706,Tabela_Auxiliar[],3,0)</f>
        <v>Saída</v>
      </c>
      <c r="G1706" t="str">
        <f>UPPER(TEXT(Tabela_DB[[#This Row],[DATA]],"mmm"))</f>
        <v>ABR</v>
      </c>
      <c r="H1706" t="str">
        <f>UPPER(TEXT(Tabela_DB[[#This Row],[DATA]],"aaaa"))</f>
        <v>2021</v>
      </c>
    </row>
    <row r="1707" spans="1:8" x14ac:dyDescent="0.25">
      <c r="A1707" s="2">
        <v>44298</v>
      </c>
      <c r="B1707" t="s">
        <v>37</v>
      </c>
      <c r="C1707">
        <v>-3432</v>
      </c>
      <c r="D1707" t="str">
        <f>VLOOKUP(B1707,Tabela_Auxiliar[],2,0)</f>
        <v>3. Custos do Produto/Mercadoria/Serviço</v>
      </c>
      <c r="E1707" t="str">
        <f>VLOOKUP(B1707,Tabela_Auxiliar[],4,0)</f>
        <v>Despesas c/ Produto</v>
      </c>
      <c r="F1707" t="str">
        <f>VLOOKUP(B1707,Tabela_Auxiliar[],3,0)</f>
        <v>Saída</v>
      </c>
      <c r="G1707" t="str">
        <f>UPPER(TEXT(Tabela_DB[[#This Row],[DATA]],"mmm"))</f>
        <v>ABR</v>
      </c>
      <c r="H1707" t="str">
        <f>UPPER(TEXT(Tabela_DB[[#This Row],[DATA]],"aaaa"))</f>
        <v>2021</v>
      </c>
    </row>
    <row r="1708" spans="1:8" x14ac:dyDescent="0.25">
      <c r="A1708" s="2">
        <v>44298</v>
      </c>
      <c r="B1708" t="s">
        <v>38</v>
      </c>
      <c r="C1708">
        <v>-2364</v>
      </c>
      <c r="D1708" t="str">
        <f>VLOOKUP(B1708,Tabela_Auxiliar[],2,0)</f>
        <v>2. Deduções da Receita</v>
      </c>
      <c r="E1708" t="str">
        <f>VLOOKUP(B1708,Tabela_Auxiliar[],4,0)</f>
        <v>Deduções</v>
      </c>
      <c r="F1708" t="str">
        <f>VLOOKUP(B1708,Tabela_Auxiliar[],3,0)</f>
        <v>Saída</v>
      </c>
      <c r="G1708" t="str">
        <f>UPPER(TEXT(Tabela_DB[[#This Row],[DATA]],"mmm"))</f>
        <v>ABR</v>
      </c>
      <c r="H1708" t="str">
        <f>UPPER(TEXT(Tabela_DB[[#This Row],[DATA]],"aaaa"))</f>
        <v>2021</v>
      </c>
    </row>
    <row r="1709" spans="1:8" x14ac:dyDescent="0.25">
      <c r="A1709" s="2">
        <v>44298</v>
      </c>
      <c r="B1709" t="s">
        <v>37</v>
      </c>
      <c r="C1709">
        <v>-3448</v>
      </c>
      <c r="D1709" t="str">
        <f>VLOOKUP(B1709,Tabela_Auxiliar[],2,0)</f>
        <v>3. Custos do Produto/Mercadoria/Serviço</v>
      </c>
      <c r="E1709" t="str">
        <f>VLOOKUP(B1709,Tabela_Auxiliar[],4,0)</f>
        <v>Despesas c/ Produto</v>
      </c>
      <c r="F1709" t="str">
        <f>VLOOKUP(B1709,Tabela_Auxiliar[],3,0)</f>
        <v>Saída</v>
      </c>
      <c r="G1709" t="str">
        <f>UPPER(TEXT(Tabela_DB[[#This Row],[DATA]],"mmm"))</f>
        <v>ABR</v>
      </c>
      <c r="H1709" t="str">
        <f>UPPER(TEXT(Tabela_DB[[#This Row],[DATA]],"aaaa"))</f>
        <v>2021</v>
      </c>
    </row>
    <row r="1710" spans="1:8" x14ac:dyDescent="0.25">
      <c r="A1710" s="2">
        <v>44299</v>
      </c>
      <c r="B1710" t="s">
        <v>34</v>
      </c>
      <c r="C1710">
        <v>-1443</v>
      </c>
      <c r="D1710" t="str">
        <f>VLOOKUP(B1710,Tabela_Auxiliar[],2,0)</f>
        <v>2. Deduções da Receita</v>
      </c>
      <c r="E1710" t="str">
        <f>VLOOKUP(B1710,Tabela_Auxiliar[],4,0)</f>
        <v>Imposto</v>
      </c>
      <c r="F1710" t="str">
        <f>VLOOKUP(B1710,Tabela_Auxiliar[],3,0)</f>
        <v>Saída</v>
      </c>
      <c r="G1710" t="str">
        <f>UPPER(TEXT(Tabela_DB[[#This Row],[DATA]],"mmm"))</f>
        <v>ABR</v>
      </c>
      <c r="H1710" t="str">
        <f>UPPER(TEXT(Tabela_DB[[#This Row],[DATA]],"aaaa"))</f>
        <v>2021</v>
      </c>
    </row>
    <row r="1711" spans="1:8" x14ac:dyDescent="0.25">
      <c r="A1711" s="2">
        <v>44299</v>
      </c>
      <c r="B1711" t="s">
        <v>4</v>
      </c>
      <c r="C1711">
        <v>12518</v>
      </c>
      <c r="D1711" t="str">
        <f>VLOOKUP(B1711,Tabela_Auxiliar[],2,0)</f>
        <v>1. Receita Operacional Bruta</v>
      </c>
      <c r="E1711" t="str">
        <f>VLOOKUP(B1711,Tabela_Auxiliar[],4,0)</f>
        <v>Receita Bruta</v>
      </c>
      <c r="F1711" t="str">
        <f>VLOOKUP(B1711,Tabela_Auxiliar[],3,0)</f>
        <v>Entrada</v>
      </c>
      <c r="G1711" t="str">
        <f>UPPER(TEXT(Tabela_DB[[#This Row],[DATA]],"mmm"))</f>
        <v>ABR</v>
      </c>
      <c r="H1711" t="str">
        <f>UPPER(TEXT(Tabela_DB[[#This Row],[DATA]],"aaaa"))</f>
        <v>2021</v>
      </c>
    </row>
    <row r="1712" spans="1:8" x14ac:dyDescent="0.25">
      <c r="A1712" s="2">
        <v>44299</v>
      </c>
      <c r="B1712" t="s">
        <v>8</v>
      </c>
      <c r="C1712">
        <v>-1842</v>
      </c>
      <c r="D1712" t="str">
        <f>VLOOKUP(B1712,Tabela_Auxiliar[],2,0)</f>
        <v>4. Despesas Operacionais</v>
      </c>
      <c r="E1712" t="str">
        <f>VLOOKUP(B1712,Tabela_Auxiliar[],4,0)</f>
        <v>Despesa com Pessoal</v>
      </c>
      <c r="F1712" t="str">
        <f>VLOOKUP(B1712,Tabela_Auxiliar[],3,0)</f>
        <v>Saída</v>
      </c>
      <c r="G1712" t="str">
        <f>UPPER(TEXT(Tabela_DB[[#This Row],[DATA]],"mmm"))</f>
        <v>ABR</v>
      </c>
      <c r="H1712" t="str">
        <f>UPPER(TEXT(Tabela_DB[[#This Row],[DATA]],"aaaa"))</f>
        <v>2021</v>
      </c>
    </row>
    <row r="1713" spans="1:8" x14ac:dyDescent="0.25">
      <c r="A1713" s="2">
        <v>44299</v>
      </c>
      <c r="B1713" t="s">
        <v>102</v>
      </c>
      <c r="C1713">
        <v>-1953</v>
      </c>
      <c r="D1713" t="str">
        <f>VLOOKUP(B1713,Tabela_Auxiliar[],2,0)</f>
        <v>6. Resultado após o Resultado Financeiro</v>
      </c>
      <c r="E1713" t="str">
        <f>VLOOKUP(B1713,Tabela_Auxiliar[],4,0)</f>
        <v>EBTIDA</v>
      </c>
      <c r="F1713" t="str">
        <f>VLOOKUP(B1713,Tabela_Auxiliar[],3,0)</f>
        <v>Saída</v>
      </c>
      <c r="G1713" t="str">
        <f>UPPER(TEXT(Tabela_DB[[#This Row],[DATA]],"mmm"))</f>
        <v>ABR</v>
      </c>
      <c r="H1713" t="str">
        <f>UPPER(TEXT(Tabela_DB[[#This Row],[DATA]],"aaaa"))</f>
        <v>2021</v>
      </c>
    </row>
    <row r="1714" spans="1:8" x14ac:dyDescent="0.25">
      <c r="A1714" s="2">
        <v>44299</v>
      </c>
      <c r="B1714" t="s">
        <v>111</v>
      </c>
      <c r="C1714">
        <v>-1604</v>
      </c>
      <c r="D1714" t="str">
        <f>VLOOKUP(B1714,Tabela_Auxiliar[],2,0)</f>
        <v>2. Deduções da Receita</v>
      </c>
      <c r="E1714" t="str">
        <f>VLOOKUP(B1714,Tabela_Auxiliar[],4,0)</f>
        <v>Imposto</v>
      </c>
      <c r="F1714" t="str">
        <f>VLOOKUP(B1714,Tabela_Auxiliar[],3,0)</f>
        <v>Saída</v>
      </c>
      <c r="G1714" t="str">
        <f>UPPER(TEXT(Tabela_DB[[#This Row],[DATA]],"mmm"))</f>
        <v>ABR</v>
      </c>
      <c r="H1714" t="str">
        <f>UPPER(TEXT(Tabela_DB[[#This Row],[DATA]],"aaaa"))</f>
        <v>2021</v>
      </c>
    </row>
    <row r="1715" spans="1:8" x14ac:dyDescent="0.25">
      <c r="A1715" s="2">
        <v>44299</v>
      </c>
      <c r="B1715" t="s">
        <v>43</v>
      </c>
      <c r="C1715">
        <v>-2387</v>
      </c>
      <c r="D1715" t="str">
        <f>VLOOKUP(B1715,Tabela_Auxiliar[],2,0)</f>
        <v>4. Despesas Operacionais</v>
      </c>
      <c r="E1715" t="str">
        <f>VLOOKUP(B1715,Tabela_Auxiliar[],4,0)</f>
        <v>Despesa com Pessoal</v>
      </c>
      <c r="F1715" t="str">
        <f>VLOOKUP(B1715,Tabela_Auxiliar[],3,0)</f>
        <v>Saída</v>
      </c>
      <c r="G1715" t="str">
        <f>UPPER(TEXT(Tabela_DB[[#This Row],[DATA]],"mmm"))</f>
        <v>ABR</v>
      </c>
      <c r="H1715" t="str">
        <f>UPPER(TEXT(Tabela_DB[[#This Row],[DATA]],"aaaa"))</f>
        <v>2021</v>
      </c>
    </row>
    <row r="1716" spans="1:8" x14ac:dyDescent="0.25">
      <c r="A1716" s="2">
        <v>44299</v>
      </c>
      <c r="B1716" t="s">
        <v>34</v>
      </c>
      <c r="C1716">
        <v>-2389</v>
      </c>
      <c r="D1716" t="str">
        <f>VLOOKUP(B1716,Tabela_Auxiliar[],2,0)</f>
        <v>2. Deduções da Receita</v>
      </c>
      <c r="E1716" t="str">
        <f>VLOOKUP(B1716,Tabela_Auxiliar[],4,0)</f>
        <v>Imposto</v>
      </c>
      <c r="F1716" t="str">
        <f>VLOOKUP(B1716,Tabela_Auxiliar[],3,0)</f>
        <v>Saída</v>
      </c>
      <c r="G1716" t="str">
        <f>UPPER(TEXT(Tabela_DB[[#This Row],[DATA]],"mmm"))</f>
        <v>ABR</v>
      </c>
      <c r="H1716" t="str">
        <f>UPPER(TEXT(Tabela_DB[[#This Row],[DATA]],"aaaa"))</f>
        <v>2021</v>
      </c>
    </row>
    <row r="1717" spans="1:8" x14ac:dyDescent="0.25">
      <c r="A1717" s="2">
        <v>44299</v>
      </c>
      <c r="B1717" t="s">
        <v>102</v>
      </c>
      <c r="C1717">
        <v>-1084</v>
      </c>
      <c r="D1717" t="str">
        <f>VLOOKUP(B1717,Tabela_Auxiliar[],2,0)</f>
        <v>6. Resultado após o Resultado Financeiro</v>
      </c>
      <c r="E1717" t="str">
        <f>VLOOKUP(B1717,Tabela_Auxiliar[],4,0)</f>
        <v>EBTIDA</v>
      </c>
      <c r="F1717" t="str">
        <f>VLOOKUP(B1717,Tabela_Auxiliar[],3,0)</f>
        <v>Saída</v>
      </c>
      <c r="G1717" t="str">
        <f>UPPER(TEXT(Tabela_DB[[#This Row],[DATA]],"mmm"))</f>
        <v>ABR</v>
      </c>
      <c r="H1717" t="str">
        <f>UPPER(TEXT(Tabela_DB[[#This Row],[DATA]],"aaaa"))</f>
        <v>2021</v>
      </c>
    </row>
    <row r="1718" spans="1:8" x14ac:dyDescent="0.25">
      <c r="A1718" s="2">
        <v>44299</v>
      </c>
      <c r="B1718" t="s">
        <v>70</v>
      </c>
      <c r="C1718">
        <v>-1207</v>
      </c>
      <c r="D1718" t="str">
        <f>VLOOKUP(B1718,Tabela_Auxiliar[],2,0)</f>
        <v>4. Despesas Operacionais</v>
      </c>
      <c r="E1718" t="str">
        <f>VLOOKUP(B1718,Tabela_Auxiliar[],4,0)</f>
        <v>Despesa com Ocupação</v>
      </c>
      <c r="F1718" t="str">
        <f>VLOOKUP(B1718,Tabela_Auxiliar[],3,0)</f>
        <v>Saída</v>
      </c>
      <c r="G1718" t="str">
        <f>UPPER(TEXT(Tabela_DB[[#This Row],[DATA]],"mmm"))</f>
        <v>ABR</v>
      </c>
      <c r="H1718" t="str">
        <f>UPPER(TEXT(Tabela_DB[[#This Row],[DATA]],"aaaa"))</f>
        <v>2021</v>
      </c>
    </row>
    <row r="1719" spans="1:8" x14ac:dyDescent="0.25">
      <c r="A1719" s="2">
        <v>44299</v>
      </c>
      <c r="B1719" t="s">
        <v>66</v>
      </c>
      <c r="C1719">
        <v>-2458</v>
      </c>
      <c r="D1719" t="str">
        <f>VLOOKUP(B1719,Tabela_Auxiliar[],2,0)</f>
        <v>4. Despesas Operacionais</v>
      </c>
      <c r="E1719" t="str">
        <f>VLOOKUP(B1719,Tabela_Auxiliar[],4,0)</f>
        <v>Despesa com Vendas</v>
      </c>
      <c r="F1719" t="str">
        <f>VLOOKUP(B1719,Tabela_Auxiliar[],3,0)</f>
        <v>Saída</v>
      </c>
      <c r="G1719" t="str">
        <f>UPPER(TEXT(Tabela_DB[[#This Row],[DATA]],"mmm"))</f>
        <v>ABR</v>
      </c>
      <c r="H1719" t="str">
        <f>UPPER(TEXT(Tabela_DB[[#This Row],[DATA]],"aaaa"))</f>
        <v>2021</v>
      </c>
    </row>
    <row r="1720" spans="1:8" x14ac:dyDescent="0.25">
      <c r="A1720" s="2">
        <v>44299</v>
      </c>
      <c r="B1720" t="s">
        <v>37</v>
      </c>
      <c r="C1720">
        <v>-4231</v>
      </c>
      <c r="D1720" t="str">
        <f>VLOOKUP(B1720,Tabela_Auxiliar[],2,0)</f>
        <v>3. Custos do Produto/Mercadoria/Serviço</v>
      </c>
      <c r="E1720" t="str">
        <f>VLOOKUP(B1720,Tabela_Auxiliar[],4,0)</f>
        <v>Despesas c/ Produto</v>
      </c>
      <c r="F1720" t="str">
        <f>VLOOKUP(B1720,Tabela_Auxiliar[],3,0)</f>
        <v>Saída</v>
      </c>
      <c r="G1720" t="str">
        <f>UPPER(TEXT(Tabela_DB[[#This Row],[DATA]],"mmm"))</f>
        <v>ABR</v>
      </c>
      <c r="H1720" t="str">
        <f>UPPER(TEXT(Tabela_DB[[#This Row],[DATA]],"aaaa"))</f>
        <v>2021</v>
      </c>
    </row>
    <row r="1721" spans="1:8" x14ac:dyDescent="0.25">
      <c r="A1721" s="2">
        <v>44299</v>
      </c>
      <c r="B1721" t="s">
        <v>33</v>
      </c>
      <c r="C1721">
        <v>-1624</v>
      </c>
      <c r="D1721" t="str">
        <f>VLOOKUP(B1721,Tabela_Auxiliar[],2,0)</f>
        <v>4. Despesas Operacionais</v>
      </c>
      <c r="E1721" t="str">
        <f>VLOOKUP(B1721,Tabela_Auxiliar[],4,0)</f>
        <v>Despesa com Vendas</v>
      </c>
      <c r="F1721" t="str">
        <f>VLOOKUP(B1721,Tabela_Auxiliar[],3,0)</f>
        <v>Saída</v>
      </c>
      <c r="G1721" t="str">
        <f>UPPER(TEXT(Tabela_DB[[#This Row],[DATA]],"mmm"))</f>
        <v>ABR</v>
      </c>
      <c r="H1721" t="str">
        <f>UPPER(TEXT(Tabela_DB[[#This Row],[DATA]],"aaaa"))</f>
        <v>2021</v>
      </c>
    </row>
    <row r="1722" spans="1:8" x14ac:dyDescent="0.25">
      <c r="A1722" s="2">
        <v>44300</v>
      </c>
      <c r="B1722" t="s">
        <v>54</v>
      </c>
      <c r="C1722">
        <v>-1421</v>
      </c>
      <c r="D1722" t="str">
        <f>VLOOKUP(B1722,Tabela_Auxiliar[],2,0)</f>
        <v>4. Despesas Operacionais</v>
      </c>
      <c r="E1722" t="str">
        <f>VLOOKUP(B1722,Tabela_Auxiliar[],4,0)</f>
        <v>Despesa com Pessoal</v>
      </c>
      <c r="F1722" t="str">
        <f>VLOOKUP(B1722,Tabela_Auxiliar[],3,0)</f>
        <v>Saída</v>
      </c>
      <c r="G1722" t="str">
        <f>UPPER(TEXT(Tabela_DB[[#This Row],[DATA]],"mmm"))</f>
        <v>ABR</v>
      </c>
      <c r="H1722" t="str">
        <f>UPPER(TEXT(Tabela_DB[[#This Row],[DATA]],"aaaa"))</f>
        <v>2021</v>
      </c>
    </row>
    <row r="1723" spans="1:8" x14ac:dyDescent="0.25">
      <c r="A1723" s="2">
        <v>44300</v>
      </c>
      <c r="B1723" t="s">
        <v>88</v>
      </c>
      <c r="C1723">
        <v>-2253</v>
      </c>
      <c r="D1723" t="str">
        <f>VLOOKUP(B1723,Tabela_Auxiliar[],2,0)</f>
        <v>4. Despesas Operacionais</v>
      </c>
      <c r="E1723" t="str">
        <f>VLOOKUP(B1723,Tabela_Auxiliar[],4,0)</f>
        <v>Despesa Tributária</v>
      </c>
      <c r="F1723" t="str">
        <f>VLOOKUP(B1723,Tabela_Auxiliar[],3,0)</f>
        <v>Saída</v>
      </c>
      <c r="G1723" t="str">
        <f>UPPER(TEXT(Tabela_DB[[#This Row],[DATA]],"mmm"))</f>
        <v>ABR</v>
      </c>
      <c r="H1723" t="str">
        <f>UPPER(TEXT(Tabela_DB[[#This Row],[DATA]],"aaaa"))</f>
        <v>2021</v>
      </c>
    </row>
    <row r="1724" spans="1:8" x14ac:dyDescent="0.25">
      <c r="A1724" s="2">
        <v>44300</v>
      </c>
      <c r="B1724" t="s">
        <v>57</v>
      </c>
      <c r="C1724">
        <v>-1849</v>
      </c>
      <c r="D1724" t="str">
        <f>VLOOKUP(B1724,Tabela_Auxiliar[],2,0)</f>
        <v>4. Despesas Operacionais</v>
      </c>
      <c r="E1724" t="str">
        <f>VLOOKUP(B1724,Tabela_Auxiliar[],4,0)</f>
        <v>Despesa com Pessoal</v>
      </c>
      <c r="F1724" t="str">
        <f>VLOOKUP(B1724,Tabela_Auxiliar[],3,0)</f>
        <v>Saída</v>
      </c>
      <c r="G1724" t="str">
        <f>UPPER(TEXT(Tabela_DB[[#This Row],[DATA]],"mmm"))</f>
        <v>ABR</v>
      </c>
      <c r="H1724" t="str">
        <f>UPPER(TEXT(Tabela_DB[[#This Row],[DATA]],"aaaa"))</f>
        <v>2021</v>
      </c>
    </row>
    <row r="1725" spans="1:8" x14ac:dyDescent="0.25">
      <c r="A1725" s="2">
        <v>44300</v>
      </c>
      <c r="B1725" t="s">
        <v>82</v>
      </c>
      <c r="C1725">
        <v>-2479</v>
      </c>
      <c r="D1725" t="str">
        <f>VLOOKUP(B1725,Tabela_Auxiliar[],2,0)</f>
        <v>4. Despesas Operacionais</v>
      </c>
      <c r="E1725" t="str">
        <f>VLOOKUP(B1725,Tabela_Auxiliar[],4,0)</f>
        <v>Despesa com Veículos</v>
      </c>
      <c r="F1725" t="str">
        <f>VLOOKUP(B1725,Tabela_Auxiliar[],3,0)</f>
        <v>Saída</v>
      </c>
      <c r="G1725" t="str">
        <f>UPPER(TEXT(Tabela_DB[[#This Row],[DATA]],"mmm"))</f>
        <v>ABR</v>
      </c>
      <c r="H1725" t="str">
        <f>UPPER(TEXT(Tabela_DB[[#This Row],[DATA]],"aaaa"))</f>
        <v>2021</v>
      </c>
    </row>
    <row r="1726" spans="1:8" x14ac:dyDescent="0.25">
      <c r="A1726" s="2">
        <v>44300</v>
      </c>
      <c r="B1726" t="s">
        <v>82</v>
      </c>
      <c r="C1726">
        <v>-2070</v>
      </c>
      <c r="D1726" t="str">
        <f>VLOOKUP(B1726,Tabela_Auxiliar[],2,0)</f>
        <v>4. Despesas Operacionais</v>
      </c>
      <c r="E1726" t="str">
        <f>VLOOKUP(B1726,Tabela_Auxiliar[],4,0)</f>
        <v>Despesa com Veículos</v>
      </c>
      <c r="F1726" t="str">
        <f>VLOOKUP(B1726,Tabela_Auxiliar[],3,0)</f>
        <v>Saída</v>
      </c>
      <c r="G1726" t="str">
        <f>UPPER(TEXT(Tabela_DB[[#This Row],[DATA]],"mmm"))</f>
        <v>ABR</v>
      </c>
      <c r="H1726" t="str">
        <f>UPPER(TEXT(Tabela_DB[[#This Row],[DATA]],"aaaa"))</f>
        <v>2021</v>
      </c>
    </row>
    <row r="1727" spans="1:8" x14ac:dyDescent="0.25">
      <c r="A1727" s="2">
        <v>44300</v>
      </c>
      <c r="B1727" t="s">
        <v>34</v>
      </c>
      <c r="C1727">
        <v>-2310</v>
      </c>
      <c r="D1727" t="str">
        <f>VLOOKUP(B1727,Tabela_Auxiliar[],2,0)</f>
        <v>2. Deduções da Receita</v>
      </c>
      <c r="E1727" t="str">
        <f>VLOOKUP(B1727,Tabela_Auxiliar[],4,0)</f>
        <v>Imposto</v>
      </c>
      <c r="F1727" t="str">
        <f>VLOOKUP(B1727,Tabela_Auxiliar[],3,0)</f>
        <v>Saída</v>
      </c>
      <c r="G1727" t="str">
        <f>UPPER(TEXT(Tabela_DB[[#This Row],[DATA]],"mmm"))</f>
        <v>ABR</v>
      </c>
      <c r="H1727" t="str">
        <f>UPPER(TEXT(Tabela_DB[[#This Row],[DATA]],"aaaa"))</f>
        <v>2021</v>
      </c>
    </row>
    <row r="1728" spans="1:8" x14ac:dyDescent="0.25">
      <c r="A1728" s="2">
        <v>44300</v>
      </c>
      <c r="B1728" t="s">
        <v>37</v>
      </c>
      <c r="C1728">
        <v>-3098</v>
      </c>
      <c r="D1728" t="str">
        <f>VLOOKUP(B1728,Tabela_Auxiliar[],2,0)</f>
        <v>3. Custos do Produto/Mercadoria/Serviço</v>
      </c>
      <c r="E1728" t="str">
        <f>VLOOKUP(B1728,Tabela_Auxiliar[],4,0)</f>
        <v>Despesas c/ Produto</v>
      </c>
      <c r="F1728" t="str">
        <f>VLOOKUP(B1728,Tabela_Auxiliar[],3,0)</f>
        <v>Saída</v>
      </c>
      <c r="G1728" t="str">
        <f>UPPER(TEXT(Tabela_DB[[#This Row],[DATA]],"mmm"))</f>
        <v>ABR</v>
      </c>
      <c r="H1728" t="str">
        <f>UPPER(TEXT(Tabela_DB[[#This Row],[DATA]],"aaaa"))</f>
        <v>2021</v>
      </c>
    </row>
    <row r="1729" spans="1:8" x14ac:dyDescent="0.25">
      <c r="A1729" s="2">
        <v>44300</v>
      </c>
      <c r="B1729" t="s">
        <v>3</v>
      </c>
      <c r="C1729">
        <v>10184</v>
      </c>
      <c r="D1729" t="str">
        <f>VLOOKUP(B1729,Tabela_Auxiliar[],2,0)</f>
        <v>1. Receita Operacional Bruta</v>
      </c>
      <c r="E1729" t="str">
        <f>VLOOKUP(B1729,Tabela_Auxiliar[],4,0)</f>
        <v>Receita Bruta</v>
      </c>
      <c r="F1729" t="str">
        <f>VLOOKUP(B1729,Tabela_Auxiliar[],3,0)</f>
        <v>Entrada</v>
      </c>
      <c r="G1729" t="str">
        <f>UPPER(TEXT(Tabela_DB[[#This Row],[DATA]],"mmm"))</f>
        <v>ABR</v>
      </c>
      <c r="H1729" t="str">
        <f>UPPER(TEXT(Tabela_DB[[#This Row],[DATA]],"aaaa"))</f>
        <v>2021</v>
      </c>
    </row>
    <row r="1730" spans="1:8" x14ac:dyDescent="0.25">
      <c r="A1730" s="2">
        <v>44301</v>
      </c>
      <c r="B1730" t="s">
        <v>111</v>
      </c>
      <c r="C1730">
        <v>-2024</v>
      </c>
      <c r="D1730" t="str">
        <f>VLOOKUP(B1730,Tabela_Auxiliar[],2,0)</f>
        <v>2. Deduções da Receita</v>
      </c>
      <c r="E1730" t="str">
        <f>VLOOKUP(B1730,Tabela_Auxiliar[],4,0)</f>
        <v>Imposto</v>
      </c>
      <c r="F1730" t="str">
        <f>VLOOKUP(B1730,Tabela_Auxiliar[],3,0)</f>
        <v>Saída</v>
      </c>
      <c r="G1730" t="str">
        <f>UPPER(TEXT(Tabela_DB[[#This Row],[DATA]],"mmm"))</f>
        <v>ABR</v>
      </c>
      <c r="H1730" t="str">
        <f>UPPER(TEXT(Tabela_DB[[#This Row],[DATA]],"aaaa"))</f>
        <v>2021</v>
      </c>
    </row>
    <row r="1731" spans="1:8" x14ac:dyDescent="0.25">
      <c r="A1731" s="2">
        <v>44301</v>
      </c>
      <c r="B1731" t="s">
        <v>71</v>
      </c>
      <c r="C1731">
        <v>-1587</v>
      </c>
      <c r="D1731" t="str">
        <f>VLOOKUP(B1731,Tabela_Auxiliar[],2,0)</f>
        <v>4. Despesas Operacionais</v>
      </c>
      <c r="E1731" t="str">
        <f>VLOOKUP(B1731,Tabela_Auxiliar[],4,0)</f>
        <v>Despesa com Ocupação</v>
      </c>
      <c r="F1731" t="str">
        <f>VLOOKUP(B1731,Tabela_Auxiliar[],3,0)</f>
        <v>Saída</v>
      </c>
      <c r="G1731" t="str">
        <f>UPPER(TEXT(Tabela_DB[[#This Row],[DATA]],"mmm"))</f>
        <v>ABR</v>
      </c>
      <c r="H1731" t="str">
        <f>UPPER(TEXT(Tabela_DB[[#This Row],[DATA]],"aaaa"))</f>
        <v>2021</v>
      </c>
    </row>
    <row r="1732" spans="1:8" x14ac:dyDescent="0.25">
      <c r="A1732" s="2">
        <v>44301</v>
      </c>
      <c r="B1732" t="s">
        <v>83</v>
      </c>
      <c r="C1732">
        <v>-1426</v>
      </c>
      <c r="D1732" t="str">
        <f>VLOOKUP(B1732,Tabela_Auxiliar[],2,0)</f>
        <v>4. Despesas Operacionais</v>
      </c>
      <c r="E1732" t="str">
        <f>VLOOKUP(B1732,Tabela_Auxiliar[],4,0)</f>
        <v>Despesa com Veículos</v>
      </c>
      <c r="F1732" t="str">
        <f>VLOOKUP(B1732,Tabela_Auxiliar[],3,0)</f>
        <v>Saída</v>
      </c>
      <c r="G1732" t="str">
        <f>UPPER(TEXT(Tabela_DB[[#This Row],[DATA]],"mmm"))</f>
        <v>ABR</v>
      </c>
      <c r="H1732" t="str">
        <f>UPPER(TEXT(Tabela_DB[[#This Row],[DATA]],"aaaa"))</f>
        <v>2021</v>
      </c>
    </row>
    <row r="1733" spans="1:8" x14ac:dyDescent="0.25">
      <c r="A1733" s="2">
        <v>44301</v>
      </c>
      <c r="B1733" t="s">
        <v>111</v>
      </c>
      <c r="C1733">
        <v>-2364</v>
      </c>
      <c r="D1733" t="str">
        <f>VLOOKUP(B1733,Tabela_Auxiliar[],2,0)</f>
        <v>2. Deduções da Receita</v>
      </c>
      <c r="E1733" t="str">
        <f>VLOOKUP(B1733,Tabela_Auxiliar[],4,0)</f>
        <v>Imposto</v>
      </c>
      <c r="F1733" t="str">
        <f>VLOOKUP(B1733,Tabela_Auxiliar[],3,0)</f>
        <v>Saída</v>
      </c>
      <c r="G1733" t="str">
        <f>UPPER(TEXT(Tabela_DB[[#This Row],[DATA]],"mmm"))</f>
        <v>ABR</v>
      </c>
      <c r="H1733" t="str">
        <f>UPPER(TEXT(Tabela_DB[[#This Row],[DATA]],"aaaa"))</f>
        <v>2021</v>
      </c>
    </row>
    <row r="1734" spans="1:8" x14ac:dyDescent="0.25">
      <c r="A1734" s="2">
        <v>44301</v>
      </c>
      <c r="B1734" t="s">
        <v>111</v>
      </c>
      <c r="C1734">
        <v>-1018</v>
      </c>
      <c r="D1734" t="str">
        <f>VLOOKUP(B1734,Tabela_Auxiliar[],2,0)</f>
        <v>2. Deduções da Receita</v>
      </c>
      <c r="E1734" t="str">
        <f>VLOOKUP(B1734,Tabela_Auxiliar[],4,0)</f>
        <v>Imposto</v>
      </c>
      <c r="F1734" t="str">
        <f>VLOOKUP(B1734,Tabela_Auxiliar[],3,0)</f>
        <v>Saída</v>
      </c>
      <c r="G1734" t="str">
        <f>UPPER(TEXT(Tabela_DB[[#This Row],[DATA]],"mmm"))</f>
        <v>ABR</v>
      </c>
      <c r="H1734" t="str">
        <f>UPPER(TEXT(Tabela_DB[[#This Row],[DATA]],"aaaa"))</f>
        <v>2021</v>
      </c>
    </row>
    <row r="1735" spans="1:8" x14ac:dyDescent="0.25">
      <c r="A1735" s="2">
        <v>44301</v>
      </c>
      <c r="B1735" t="s">
        <v>37</v>
      </c>
      <c r="C1735">
        <v>-4524</v>
      </c>
      <c r="D1735" t="str">
        <f>VLOOKUP(B1735,Tabela_Auxiliar[],2,0)</f>
        <v>3. Custos do Produto/Mercadoria/Serviço</v>
      </c>
      <c r="E1735" t="str">
        <f>VLOOKUP(B1735,Tabela_Auxiliar[],4,0)</f>
        <v>Despesas c/ Produto</v>
      </c>
      <c r="F1735" t="str">
        <f>VLOOKUP(B1735,Tabela_Auxiliar[],3,0)</f>
        <v>Saída</v>
      </c>
      <c r="G1735" t="str">
        <f>UPPER(TEXT(Tabela_DB[[#This Row],[DATA]],"mmm"))</f>
        <v>ABR</v>
      </c>
      <c r="H1735" t="str">
        <f>UPPER(TEXT(Tabela_DB[[#This Row],[DATA]],"aaaa"))</f>
        <v>2021</v>
      </c>
    </row>
    <row r="1736" spans="1:8" x14ac:dyDescent="0.25">
      <c r="A1736" s="2">
        <v>44301</v>
      </c>
      <c r="B1736" t="s">
        <v>111</v>
      </c>
      <c r="C1736">
        <v>-2303</v>
      </c>
      <c r="D1736" t="str">
        <f>VLOOKUP(B1736,Tabela_Auxiliar[],2,0)</f>
        <v>2. Deduções da Receita</v>
      </c>
      <c r="E1736" t="str">
        <f>VLOOKUP(B1736,Tabela_Auxiliar[],4,0)</f>
        <v>Imposto</v>
      </c>
      <c r="F1736" t="str">
        <f>VLOOKUP(B1736,Tabela_Auxiliar[],3,0)</f>
        <v>Saída</v>
      </c>
      <c r="G1736" t="str">
        <f>UPPER(TEXT(Tabela_DB[[#This Row],[DATA]],"mmm"))</f>
        <v>ABR</v>
      </c>
      <c r="H1736" t="str">
        <f>UPPER(TEXT(Tabela_DB[[#This Row],[DATA]],"aaaa"))</f>
        <v>2021</v>
      </c>
    </row>
    <row r="1737" spans="1:8" x14ac:dyDescent="0.25">
      <c r="A1737" s="2">
        <v>44301</v>
      </c>
      <c r="B1737" t="s">
        <v>38</v>
      </c>
      <c r="C1737">
        <v>-1973</v>
      </c>
      <c r="D1737" t="str">
        <f>VLOOKUP(B1737,Tabela_Auxiliar[],2,0)</f>
        <v>2. Deduções da Receita</v>
      </c>
      <c r="E1737" t="str">
        <f>VLOOKUP(B1737,Tabela_Auxiliar[],4,0)</f>
        <v>Deduções</v>
      </c>
      <c r="F1737" t="str">
        <f>VLOOKUP(B1737,Tabela_Auxiliar[],3,0)</f>
        <v>Saída</v>
      </c>
      <c r="G1737" t="str">
        <f>UPPER(TEXT(Tabela_DB[[#This Row],[DATA]],"mmm"))</f>
        <v>ABR</v>
      </c>
      <c r="H1737" t="str">
        <f>UPPER(TEXT(Tabela_DB[[#This Row],[DATA]],"aaaa"))</f>
        <v>2021</v>
      </c>
    </row>
    <row r="1738" spans="1:8" x14ac:dyDescent="0.25">
      <c r="A1738" s="2">
        <v>44301</v>
      </c>
      <c r="B1738" t="s">
        <v>111</v>
      </c>
      <c r="C1738">
        <v>-1603</v>
      </c>
      <c r="D1738" t="str">
        <f>VLOOKUP(B1738,Tabela_Auxiliar[],2,0)</f>
        <v>2. Deduções da Receita</v>
      </c>
      <c r="E1738" t="str">
        <f>VLOOKUP(B1738,Tabela_Auxiliar[],4,0)</f>
        <v>Imposto</v>
      </c>
      <c r="F1738" t="str">
        <f>VLOOKUP(B1738,Tabela_Auxiliar[],3,0)</f>
        <v>Saída</v>
      </c>
      <c r="G1738" t="str">
        <f>UPPER(TEXT(Tabela_DB[[#This Row],[DATA]],"mmm"))</f>
        <v>ABR</v>
      </c>
      <c r="H1738" t="str">
        <f>UPPER(TEXT(Tabela_DB[[#This Row],[DATA]],"aaaa"))</f>
        <v>2021</v>
      </c>
    </row>
    <row r="1739" spans="1:8" x14ac:dyDescent="0.25">
      <c r="A1739" s="2">
        <v>44301</v>
      </c>
      <c r="B1739" t="s">
        <v>35</v>
      </c>
      <c r="C1739">
        <v>-1555</v>
      </c>
      <c r="D1739" t="str">
        <f>VLOOKUP(B1739,Tabela_Auxiliar[],2,0)</f>
        <v>2. Deduções da Receita</v>
      </c>
      <c r="E1739" t="str">
        <f>VLOOKUP(B1739,Tabela_Auxiliar[],4,0)</f>
        <v>Imposto</v>
      </c>
      <c r="F1739" t="str">
        <f>VLOOKUP(B1739,Tabela_Auxiliar[],3,0)</f>
        <v>Saída</v>
      </c>
      <c r="G1739" t="str">
        <f>UPPER(TEXT(Tabela_DB[[#This Row],[DATA]],"mmm"))</f>
        <v>ABR</v>
      </c>
      <c r="H1739" t="str">
        <f>UPPER(TEXT(Tabela_DB[[#This Row],[DATA]],"aaaa"))</f>
        <v>2021</v>
      </c>
    </row>
    <row r="1740" spans="1:8" x14ac:dyDescent="0.25">
      <c r="A1740" s="2">
        <v>44302</v>
      </c>
      <c r="B1740" t="s">
        <v>38</v>
      </c>
      <c r="C1740">
        <v>-1100</v>
      </c>
      <c r="D1740" t="str">
        <f>VLOOKUP(B1740,Tabela_Auxiliar[],2,0)</f>
        <v>2. Deduções da Receita</v>
      </c>
      <c r="E1740" t="str">
        <f>VLOOKUP(B1740,Tabela_Auxiliar[],4,0)</f>
        <v>Deduções</v>
      </c>
      <c r="F1740" t="str">
        <f>VLOOKUP(B1740,Tabela_Auxiliar[],3,0)</f>
        <v>Saída</v>
      </c>
      <c r="G1740" t="str">
        <f>UPPER(TEXT(Tabela_DB[[#This Row],[DATA]],"mmm"))</f>
        <v>ABR</v>
      </c>
      <c r="H1740" t="str">
        <f>UPPER(TEXT(Tabela_DB[[#This Row],[DATA]],"aaaa"))</f>
        <v>2021</v>
      </c>
    </row>
    <row r="1741" spans="1:8" x14ac:dyDescent="0.25">
      <c r="A1741" s="2">
        <v>44302</v>
      </c>
      <c r="B1741" t="s">
        <v>64</v>
      </c>
      <c r="C1741">
        <v>-1993</v>
      </c>
      <c r="D1741" t="str">
        <f>VLOOKUP(B1741,Tabela_Auxiliar[],2,0)</f>
        <v>4. Despesas Operacionais</v>
      </c>
      <c r="E1741" t="str">
        <f>VLOOKUP(B1741,Tabela_Auxiliar[],4,0)</f>
        <v>Despesa Gerais</v>
      </c>
      <c r="F1741" t="str">
        <f>VLOOKUP(B1741,Tabela_Auxiliar[],3,0)</f>
        <v>Saída</v>
      </c>
      <c r="G1741" t="str">
        <f>UPPER(TEXT(Tabela_DB[[#This Row],[DATA]],"mmm"))</f>
        <v>ABR</v>
      </c>
      <c r="H1741" t="str">
        <f>UPPER(TEXT(Tabela_DB[[#This Row],[DATA]],"aaaa"))</f>
        <v>2021</v>
      </c>
    </row>
    <row r="1742" spans="1:8" x14ac:dyDescent="0.25">
      <c r="A1742" s="2">
        <v>44302</v>
      </c>
      <c r="B1742" t="s">
        <v>68</v>
      </c>
      <c r="C1742">
        <v>-2151</v>
      </c>
      <c r="D1742" t="str">
        <f>VLOOKUP(B1742,Tabela_Auxiliar[],2,0)</f>
        <v>4. Despesas Operacionais</v>
      </c>
      <c r="E1742" t="str">
        <f>VLOOKUP(B1742,Tabela_Auxiliar[],4,0)</f>
        <v>Despesa com Ocupação</v>
      </c>
      <c r="F1742" t="str">
        <f>VLOOKUP(B1742,Tabela_Auxiliar[],3,0)</f>
        <v>Saída</v>
      </c>
      <c r="G1742" t="str">
        <f>UPPER(TEXT(Tabela_DB[[#This Row],[DATA]],"mmm"))</f>
        <v>ABR</v>
      </c>
      <c r="H1742" t="str">
        <f>UPPER(TEXT(Tabela_DB[[#This Row],[DATA]],"aaaa"))</f>
        <v>2021</v>
      </c>
    </row>
    <row r="1743" spans="1:8" x14ac:dyDescent="0.25">
      <c r="A1743" s="2">
        <v>44302</v>
      </c>
      <c r="B1743" t="s">
        <v>37</v>
      </c>
      <c r="C1743">
        <v>-4419</v>
      </c>
      <c r="D1743" t="str">
        <f>VLOOKUP(B1743,Tabela_Auxiliar[],2,0)</f>
        <v>3. Custos do Produto/Mercadoria/Serviço</v>
      </c>
      <c r="E1743" t="str">
        <f>VLOOKUP(B1743,Tabela_Auxiliar[],4,0)</f>
        <v>Despesas c/ Produto</v>
      </c>
      <c r="F1743" t="str">
        <f>VLOOKUP(B1743,Tabela_Auxiliar[],3,0)</f>
        <v>Saída</v>
      </c>
      <c r="G1743" t="str">
        <f>UPPER(TEXT(Tabela_DB[[#This Row],[DATA]],"mmm"))</f>
        <v>ABR</v>
      </c>
      <c r="H1743" t="str">
        <f>UPPER(TEXT(Tabela_DB[[#This Row],[DATA]],"aaaa"))</f>
        <v>2021</v>
      </c>
    </row>
    <row r="1744" spans="1:8" x14ac:dyDescent="0.25">
      <c r="A1744" s="2">
        <v>44302</v>
      </c>
      <c r="B1744" t="s">
        <v>111</v>
      </c>
      <c r="C1744">
        <v>-1824</v>
      </c>
      <c r="D1744" t="str">
        <f>VLOOKUP(B1744,Tabela_Auxiliar[],2,0)</f>
        <v>2. Deduções da Receita</v>
      </c>
      <c r="E1744" t="str">
        <f>VLOOKUP(B1744,Tabela_Auxiliar[],4,0)</f>
        <v>Imposto</v>
      </c>
      <c r="F1744" t="str">
        <f>VLOOKUP(B1744,Tabela_Auxiliar[],3,0)</f>
        <v>Saída</v>
      </c>
      <c r="G1744" t="str">
        <f>UPPER(TEXT(Tabela_DB[[#This Row],[DATA]],"mmm"))</f>
        <v>ABR</v>
      </c>
      <c r="H1744" t="str">
        <f>UPPER(TEXT(Tabela_DB[[#This Row],[DATA]],"aaaa"))</f>
        <v>2021</v>
      </c>
    </row>
    <row r="1745" spans="1:8" x14ac:dyDescent="0.25">
      <c r="A1745" s="2">
        <v>44302</v>
      </c>
      <c r="B1745" t="s">
        <v>75</v>
      </c>
      <c r="C1745">
        <v>-1687</v>
      </c>
      <c r="D1745" t="str">
        <f>VLOOKUP(B1745,Tabela_Auxiliar[],2,0)</f>
        <v>4. Despesas Operacionais</v>
      </c>
      <c r="E1745" t="str">
        <f>VLOOKUP(B1745,Tabela_Auxiliar[],4,0)</f>
        <v>Serviços Contratados</v>
      </c>
      <c r="F1745" t="str">
        <f>VLOOKUP(B1745,Tabela_Auxiliar[],3,0)</f>
        <v>Saída</v>
      </c>
      <c r="G1745" t="str">
        <f>UPPER(TEXT(Tabela_DB[[#This Row],[DATA]],"mmm"))</f>
        <v>ABR</v>
      </c>
      <c r="H1745" t="str">
        <f>UPPER(TEXT(Tabela_DB[[#This Row],[DATA]],"aaaa"))</f>
        <v>2021</v>
      </c>
    </row>
    <row r="1746" spans="1:8" x14ac:dyDescent="0.25">
      <c r="A1746" s="2">
        <v>44302</v>
      </c>
      <c r="B1746" t="s">
        <v>38</v>
      </c>
      <c r="C1746">
        <v>-2365</v>
      </c>
      <c r="D1746" t="str">
        <f>VLOOKUP(B1746,Tabela_Auxiliar[],2,0)</f>
        <v>2. Deduções da Receita</v>
      </c>
      <c r="E1746" t="str">
        <f>VLOOKUP(B1746,Tabela_Auxiliar[],4,0)</f>
        <v>Deduções</v>
      </c>
      <c r="F1746" t="str">
        <f>VLOOKUP(B1746,Tabela_Auxiliar[],3,0)</f>
        <v>Saída</v>
      </c>
      <c r="G1746" t="str">
        <f>UPPER(TEXT(Tabela_DB[[#This Row],[DATA]],"mmm"))</f>
        <v>ABR</v>
      </c>
      <c r="H1746" t="str">
        <f>UPPER(TEXT(Tabela_DB[[#This Row],[DATA]],"aaaa"))</f>
        <v>2021</v>
      </c>
    </row>
    <row r="1747" spans="1:8" x14ac:dyDescent="0.25">
      <c r="A1747" s="2">
        <v>44302</v>
      </c>
      <c r="B1747" t="s">
        <v>37</v>
      </c>
      <c r="C1747">
        <v>-3304</v>
      </c>
      <c r="D1747" t="str">
        <f>VLOOKUP(B1747,Tabela_Auxiliar[],2,0)</f>
        <v>3. Custos do Produto/Mercadoria/Serviço</v>
      </c>
      <c r="E1747" t="str">
        <f>VLOOKUP(B1747,Tabela_Auxiliar[],4,0)</f>
        <v>Despesas c/ Produto</v>
      </c>
      <c r="F1747" t="str">
        <f>VLOOKUP(B1747,Tabela_Auxiliar[],3,0)</f>
        <v>Saída</v>
      </c>
      <c r="G1747" t="str">
        <f>UPPER(TEXT(Tabela_DB[[#This Row],[DATA]],"mmm"))</f>
        <v>ABR</v>
      </c>
      <c r="H1747" t="str">
        <f>UPPER(TEXT(Tabela_DB[[#This Row],[DATA]],"aaaa"))</f>
        <v>2021</v>
      </c>
    </row>
    <row r="1748" spans="1:8" x14ac:dyDescent="0.25">
      <c r="A1748" s="2">
        <v>44302</v>
      </c>
      <c r="B1748" t="s">
        <v>3</v>
      </c>
      <c r="C1748">
        <v>13283</v>
      </c>
      <c r="D1748" t="str">
        <f>VLOOKUP(B1748,Tabela_Auxiliar[],2,0)</f>
        <v>1. Receita Operacional Bruta</v>
      </c>
      <c r="E1748" t="str">
        <f>VLOOKUP(B1748,Tabela_Auxiliar[],4,0)</f>
        <v>Receita Bruta</v>
      </c>
      <c r="F1748" t="str">
        <f>VLOOKUP(B1748,Tabela_Auxiliar[],3,0)</f>
        <v>Entrada</v>
      </c>
      <c r="G1748" t="str">
        <f>UPPER(TEXT(Tabela_DB[[#This Row],[DATA]],"mmm"))</f>
        <v>ABR</v>
      </c>
      <c r="H1748" t="str">
        <f>UPPER(TEXT(Tabela_DB[[#This Row],[DATA]],"aaaa"))</f>
        <v>2021</v>
      </c>
    </row>
    <row r="1749" spans="1:8" x14ac:dyDescent="0.25">
      <c r="A1749" s="2">
        <v>44302</v>
      </c>
      <c r="B1749" t="s">
        <v>53</v>
      </c>
      <c r="C1749">
        <v>-1642</v>
      </c>
      <c r="D1749" t="str">
        <f>VLOOKUP(B1749,Tabela_Auxiliar[],2,0)</f>
        <v>4. Despesas Operacionais</v>
      </c>
      <c r="E1749" t="str">
        <f>VLOOKUP(B1749,Tabela_Auxiliar[],4,0)</f>
        <v>Despesa com Pessoal</v>
      </c>
      <c r="F1749" t="str">
        <f>VLOOKUP(B1749,Tabela_Auxiliar[],3,0)</f>
        <v>Saída</v>
      </c>
      <c r="G1749" t="str">
        <f>UPPER(TEXT(Tabela_DB[[#This Row],[DATA]],"mmm"))</f>
        <v>ABR</v>
      </c>
      <c r="H1749" t="str">
        <f>UPPER(TEXT(Tabela_DB[[#This Row],[DATA]],"aaaa"))</f>
        <v>2021</v>
      </c>
    </row>
    <row r="1750" spans="1:8" x14ac:dyDescent="0.25">
      <c r="A1750" s="2">
        <v>44302</v>
      </c>
      <c r="B1750" t="s">
        <v>4</v>
      </c>
      <c r="C1750">
        <v>10642</v>
      </c>
      <c r="D1750" t="str">
        <f>VLOOKUP(B1750,Tabela_Auxiliar[],2,0)</f>
        <v>1. Receita Operacional Bruta</v>
      </c>
      <c r="E1750" t="str">
        <f>VLOOKUP(B1750,Tabela_Auxiliar[],4,0)</f>
        <v>Receita Bruta</v>
      </c>
      <c r="F1750" t="str">
        <f>VLOOKUP(B1750,Tabela_Auxiliar[],3,0)</f>
        <v>Entrada</v>
      </c>
      <c r="G1750" t="str">
        <f>UPPER(TEXT(Tabela_DB[[#This Row],[DATA]],"mmm"))</f>
        <v>ABR</v>
      </c>
      <c r="H1750" t="str">
        <f>UPPER(TEXT(Tabela_DB[[#This Row],[DATA]],"aaaa"))</f>
        <v>2021</v>
      </c>
    </row>
    <row r="1751" spans="1:8" x14ac:dyDescent="0.25">
      <c r="A1751" s="2">
        <v>44302</v>
      </c>
      <c r="B1751" t="s">
        <v>4</v>
      </c>
      <c r="C1751">
        <v>14368</v>
      </c>
      <c r="D1751" t="str">
        <f>VLOOKUP(B1751,Tabela_Auxiliar[],2,0)</f>
        <v>1. Receita Operacional Bruta</v>
      </c>
      <c r="E1751" t="str">
        <f>VLOOKUP(B1751,Tabela_Auxiliar[],4,0)</f>
        <v>Receita Bruta</v>
      </c>
      <c r="F1751" t="str">
        <f>VLOOKUP(B1751,Tabela_Auxiliar[],3,0)</f>
        <v>Entrada</v>
      </c>
      <c r="G1751" t="str">
        <f>UPPER(TEXT(Tabela_DB[[#This Row],[DATA]],"mmm"))</f>
        <v>ABR</v>
      </c>
      <c r="H1751" t="str">
        <f>UPPER(TEXT(Tabela_DB[[#This Row],[DATA]],"aaaa"))</f>
        <v>2021</v>
      </c>
    </row>
    <row r="1752" spans="1:8" x14ac:dyDescent="0.25">
      <c r="A1752" s="2">
        <v>44302</v>
      </c>
      <c r="B1752" t="s">
        <v>37</v>
      </c>
      <c r="C1752">
        <v>-3940</v>
      </c>
      <c r="D1752" t="str">
        <f>VLOOKUP(B1752,Tabela_Auxiliar[],2,0)</f>
        <v>3. Custos do Produto/Mercadoria/Serviço</v>
      </c>
      <c r="E1752" t="str">
        <f>VLOOKUP(B1752,Tabela_Auxiliar[],4,0)</f>
        <v>Despesas c/ Produto</v>
      </c>
      <c r="F1752" t="str">
        <f>VLOOKUP(B1752,Tabela_Auxiliar[],3,0)</f>
        <v>Saída</v>
      </c>
      <c r="G1752" t="str">
        <f>UPPER(TEXT(Tabela_DB[[#This Row],[DATA]],"mmm"))</f>
        <v>ABR</v>
      </c>
      <c r="H1752" t="str">
        <f>UPPER(TEXT(Tabela_DB[[#This Row],[DATA]],"aaaa"))</f>
        <v>2021</v>
      </c>
    </row>
    <row r="1753" spans="1:8" x14ac:dyDescent="0.25">
      <c r="A1753" s="2">
        <v>44302</v>
      </c>
      <c r="B1753" t="s">
        <v>4</v>
      </c>
      <c r="C1753">
        <v>11612</v>
      </c>
      <c r="D1753" t="str">
        <f>VLOOKUP(B1753,Tabela_Auxiliar[],2,0)</f>
        <v>1. Receita Operacional Bruta</v>
      </c>
      <c r="E1753" t="str">
        <f>VLOOKUP(B1753,Tabela_Auxiliar[],4,0)</f>
        <v>Receita Bruta</v>
      </c>
      <c r="F1753" t="str">
        <f>VLOOKUP(B1753,Tabela_Auxiliar[],3,0)</f>
        <v>Entrada</v>
      </c>
      <c r="G1753" t="str">
        <f>UPPER(TEXT(Tabela_DB[[#This Row],[DATA]],"mmm"))</f>
        <v>ABR</v>
      </c>
      <c r="H1753" t="str">
        <f>UPPER(TEXT(Tabela_DB[[#This Row],[DATA]],"aaaa"))</f>
        <v>2021</v>
      </c>
    </row>
    <row r="1754" spans="1:8" x14ac:dyDescent="0.25">
      <c r="A1754" s="2">
        <v>44302</v>
      </c>
      <c r="B1754" t="s">
        <v>79</v>
      </c>
      <c r="C1754">
        <v>-2235</v>
      </c>
      <c r="D1754" t="str">
        <f>VLOOKUP(B1754,Tabela_Auxiliar[],2,0)</f>
        <v>4. Despesas Operacionais</v>
      </c>
      <c r="E1754" t="str">
        <f>VLOOKUP(B1754,Tabela_Auxiliar[],4,0)</f>
        <v>Serviços Contratados</v>
      </c>
      <c r="F1754" t="str">
        <f>VLOOKUP(B1754,Tabela_Auxiliar[],3,0)</f>
        <v>Saída</v>
      </c>
      <c r="G1754" t="str">
        <f>UPPER(TEXT(Tabela_DB[[#This Row],[DATA]],"mmm"))</f>
        <v>ABR</v>
      </c>
      <c r="H1754" t="str">
        <f>UPPER(TEXT(Tabela_DB[[#This Row],[DATA]],"aaaa"))</f>
        <v>2021</v>
      </c>
    </row>
    <row r="1755" spans="1:8" x14ac:dyDescent="0.25">
      <c r="A1755" s="2">
        <v>44302</v>
      </c>
      <c r="B1755" t="s">
        <v>4</v>
      </c>
      <c r="C1755">
        <v>11309</v>
      </c>
      <c r="D1755" t="str">
        <f>VLOOKUP(B1755,Tabela_Auxiliar[],2,0)</f>
        <v>1. Receita Operacional Bruta</v>
      </c>
      <c r="E1755" t="str">
        <f>VLOOKUP(B1755,Tabela_Auxiliar[],4,0)</f>
        <v>Receita Bruta</v>
      </c>
      <c r="F1755" t="str">
        <f>VLOOKUP(B1755,Tabela_Auxiliar[],3,0)</f>
        <v>Entrada</v>
      </c>
      <c r="G1755" t="str">
        <f>UPPER(TEXT(Tabela_DB[[#This Row],[DATA]],"mmm"))</f>
        <v>ABR</v>
      </c>
      <c r="H1755" t="str">
        <f>UPPER(TEXT(Tabela_DB[[#This Row],[DATA]],"aaaa"))</f>
        <v>2021</v>
      </c>
    </row>
    <row r="1756" spans="1:8" x14ac:dyDescent="0.25">
      <c r="A1756" s="2">
        <v>44303</v>
      </c>
      <c r="B1756" t="s">
        <v>4</v>
      </c>
      <c r="C1756">
        <v>11519</v>
      </c>
      <c r="D1756" t="str">
        <f>VLOOKUP(B1756,Tabela_Auxiliar[],2,0)</f>
        <v>1. Receita Operacional Bruta</v>
      </c>
      <c r="E1756" t="str">
        <f>VLOOKUP(B1756,Tabela_Auxiliar[],4,0)</f>
        <v>Receita Bruta</v>
      </c>
      <c r="F1756" t="str">
        <f>VLOOKUP(B1756,Tabela_Auxiliar[],3,0)</f>
        <v>Entrada</v>
      </c>
      <c r="G1756" t="str">
        <f>UPPER(TEXT(Tabela_DB[[#This Row],[DATA]],"mmm"))</f>
        <v>ABR</v>
      </c>
      <c r="H1756" t="str">
        <f>UPPER(TEXT(Tabela_DB[[#This Row],[DATA]],"aaaa"))</f>
        <v>2021</v>
      </c>
    </row>
    <row r="1757" spans="1:8" x14ac:dyDescent="0.25">
      <c r="A1757" s="2">
        <v>44303</v>
      </c>
      <c r="B1757" t="s">
        <v>38</v>
      </c>
      <c r="C1757">
        <v>-1750</v>
      </c>
      <c r="D1757" t="str">
        <f>VLOOKUP(B1757,Tabela_Auxiliar[],2,0)</f>
        <v>2. Deduções da Receita</v>
      </c>
      <c r="E1757" t="str">
        <f>VLOOKUP(B1757,Tabela_Auxiliar[],4,0)</f>
        <v>Deduções</v>
      </c>
      <c r="F1757" t="str">
        <f>VLOOKUP(B1757,Tabela_Auxiliar[],3,0)</f>
        <v>Saída</v>
      </c>
      <c r="G1757" t="str">
        <f>UPPER(TEXT(Tabela_DB[[#This Row],[DATA]],"mmm"))</f>
        <v>ABR</v>
      </c>
      <c r="H1757" t="str">
        <f>UPPER(TEXT(Tabela_DB[[#This Row],[DATA]],"aaaa"))</f>
        <v>2021</v>
      </c>
    </row>
    <row r="1758" spans="1:8" x14ac:dyDescent="0.25">
      <c r="A1758" s="2">
        <v>44303</v>
      </c>
      <c r="B1758" t="s">
        <v>50</v>
      </c>
      <c r="C1758">
        <v>-2207</v>
      </c>
      <c r="D1758" t="str">
        <f>VLOOKUP(B1758,Tabela_Auxiliar[],2,0)</f>
        <v>4. Despesas Operacionais</v>
      </c>
      <c r="E1758" t="str">
        <f>VLOOKUP(B1758,Tabela_Auxiliar[],4,0)</f>
        <v>Despesa com Pessoal</v>
      </c>
      <c r="F1758" t="str">
        <f>VLOOKUP(B1758,Tabela_Auxiliar[],3,0)</f>
        <v>Saída</v>
      </c>
      <c r="G1758" t="str">
        <f>UPPER(TEXT(Tabela_DB[[#This Row],[DATA]],"mmm"))</f>
        <v>ABR</v>
      </c>
      <c r="H1758" t="str">
        <f>UPPER(TEXT(Tabela_DB[[#This Row],[DATA]],"aaaa"))</f>
        <v>2021</v>
      </c>
    </row>
    <row r="1759" spans="1:8" x14ac:dyDescent="0.25">
      <c r="A1759" s="2">
        <v>44303</v>
      </c>
      <c r="B1759" t="s">
        <v>34</v>
      </c>
      <c r="C1759">
        <v>-1909</v>
      </c>
      <c r="D1759" t="str">
        <f>VLOOKUP(B1759,Tabela_Auxiliar[],2,0)</f>
        <v>2. Deduções da Receita</v>
      </c>
      <c r="E1759" t="str">
        <f>VLOOKUP(B1759,Tabela_Auxiliar[],4,0)</f>
        <v>Imposto</v>
      </c>
      <c r="F1759" t="str">
        <f>VLOOKUP(B1759,Tabela_Auxiliar[],3,0)</f>
        <v>Saída</v>
      </c>
      <c r="G1759" t="str">
        <f>UPPER(TEXT(Tabela_DB[[#This Row],[DATA]],"mmm"))</f>
        <v>ABR</v>
      </c>
      <c r="H1759" t="str">
        <f>UPPER(TEXT(Tabela_DB[[#This Row],[DATA]],"aaaa"))</f>
        <v>2021</v>
      </c>
    </row>
    <row r="1760" spans="1:8" x14ac:dyDescent="0.25">
      <c r="A1760" s="2">
        <v>44303</v>
      </c>
      <c r="B1760" t="s">
        <v>59</v>
      </c>
      <c r="C1760">
        <v>-1151</v>
      </c>
      <c r="D1760" t="str">
        <f>VLOOKUP(B1760,Tabela_Auxiliar[],2,0)</f>
        <v>4. Despesas Operacionais</v>
      </c>
      <c r="E1760" t="str">
        <f>VLOOKUP(B1760,Tabela_Auxiliar[],4,0)</f>
        <v>Despesa de Depreciação</v>
      </c>
      <c r="F1760" t="str">
        <f>VLOOKUP(B1760,Tabela_Auxiliar[],3,0)</f>
        <v>Saída</v>
      </c>
      <c r="G1760" t="str">
        <f>UPPER(TEXT(Tabela_DB[[#This Row],[DATA]],"mmm"))</f>
        <v>ABR</v>
      </c>
      <c r="H1760" t="str">
        <f>UPPER(TEXT(Tabela_DB[[#This Row],[DATA]],"aaaa"))</f>
        <v>2021</v>
      </c>
    </row>
    <row r="1761" spans="1:8" x14ac:dyDescent="0.25">
      <c r="A1761" s="2">
        <v>44303</v>
      </c>
      <c r="B1761" t="s">
        <v>4</v>
      </c>
      <c r="C1761">
        <v>14440</v>
      </c>
      <c r="D1761" t="str">
        <f>VLOOKUP(B1761,Tabela_Auxiliar[],2,0)</f>
        <v>1. Receita Operacional Bruta</v>
      </c>
      <c r="E1761" t="str">
        <f>VLOOKUP(B1761,Tabela_Auxiliar[],4,0)</f>
        <v>Receita Bruta</v>
      </c>
      <c r="F1761" t="str">
        <f>VLOOKUP(B1761,Tabela_Auxiliar[],3,0)</f>
        <v>Entrada</v>
      </c>
      <c r="G1761" t="str">
        <f>UPPER(TEXT(Tabela_DB[[#This Row],[DATA]],"mmm"))</f>
        <v>ABR</v>
      </c>
      <c r="H1761" t="str">
        <f>UPPER(TEXT(Tabela_DB[[#This Row],[DATA]],"aaaa"))</f>
        <v>2021</v>
      </c>
    </row>
    <row r="1762" spans="1:8" x14ac:dyDescent="0.25">
      <c r="A1762" s="2">
        <v>44303</v>
      </c>
      <c r="B1762" t="s">
        <v>4</v>
      </c>
      <c r="C1762">
        <v>14611</v>
      </c>
      <c r="D1762" t="str">
        <f>VLOOKUP(B1762,Tabela_Auxiliar[],2,0)</f>
        <v>1. Receita Operacional Bruta</v>
      </c>
      <c r="E1762" t="str">
        <f>VLOOKUP(B1762,Tabela_Auxiliar[],4,0)</f>
        <v>Receita Bruta</v>
      </c>
      <c r="F1762" t="str">
        <f>VLOOKUP(B1762,Tabela_Auxiliar[],3,0)</f>
        <v>Entrada</v>
      </c>
      <c r="G1762" t="str">
        <f>UPPER(TEXT(Tabela_DB[[#This Row],[DATA]],"mmm"))</f>
        <v>ABR</v>
      </c>
      <c r="H1762" t="str">
        <f>UPPER(TEXT(Tabela_DB[[#This Row],[DATA]],"aaaa"))</f>
        <v>2021</v>
      </c>
    </row>
    <row r="1763" spans="1:8" x14ac:dyDescent="0.25">
      <c r="A1763" s="2">
        <v>44303</v>
      </c>
      <c r="B1763" t="s">
        <v>60</v>
      </c>
      <c r="C1763">
        <v>-1326</v>
      </c>
      <c r="D1763" t="str">
        <f>VLOOKUP(B1763,Tabela_Auxiliar[],2,0)</f>
        <v>4. Despesas Operacionais</v>
      </c>
      <c r="E1763" t="str">
        <f>VLOOKUP(B1763,Tabela_Auxiliar[],4,0)</f>
        <v>Despesa de Depreciação</v>
      </c>
      <c r="F1763" t="str">
        <f>VLOOKUP(B1763,Tabela_Auxiliar[],3,0)</f>
        <v>Saída</v>
      </c>
      <c r="G1763" t="str">
        <f>UPPER(TEXT(Tabela_DB[[#This Row],[DATA]],"mmm"))</f>
        <v>ABR</v>
      </c>
      <c r="H1763" t="str">
        <f>UPPER(TEXT(Tabela_DB[[#This Row],[DATA]],"aaaa"))</f>
        <v>2021</v>
      </c>
    </row>
    <row r="1764" spans="1:8" x14ac:dyDescent="0.25">
      <c r="A1764" s="2">
        <v>44303</v>
      </c>
      <c r="B1764" t="s">
        <v>79</v>
      </c>
      <c r="C1764">
        <v>-1584</v>
      </c>
      <c r="D1764" t="str">
        <f>VLOOKUP(B1764,Tabela_Auxiliar[],2,0)</f>
        <v>4. Despesas Operacionais</v>
      </c>
      <c r="E1764" t="str">
        <f>VLOOKUP(B1764,Tabela_Auxiliar[],4,0)</f>
        <v>Serviços Contratados</v>
      </c>
      <c r="F1764" t="str">
        <f>VLOOKUP(B1764,Tabela_Auxiliar[],3,0)</f>
        <v>Saída</v>
      </c>
      <c r="G1764" t="str">
        <f>UPPER(TEXT(Tabela_DB[[#This Row],[DATA]],"mmm"))</f>
        <v>ABR</v>
      </c>
      <c r="H1764" t="str">
        <f>UPPER(TEXT(Tabela_DB[[#This Row],[DATA]],"aaaa"))</f>
        <v>2021</v>
      </c>
    </row>
    <row r="1765" spans="1:8" x14ac:dyDescent="0.25">
      <c r="A1765" s="2">
        <v>44303</v>
      </c>
      <c r="B1765" t="s">
        <v>111</v>
      </c>
      <c r="C1765">
        <v>-1194</v>
      </c>
      <c r="D1765" t="str">
        <f>VLOOKUP(B1765,Tabela_Auxiliar[],2,0)</f>
        <v>2. Deduções da Receita</v>
      </c>
      <c r="E1765" t="str">
        <f>VLOOKUP(B1765,Tabela_Auxiliar[],4,0)</f>
        <v>Imposto</v>
      </c>
      <c r="F1765" t="str">
        <f>VLOOKUP(B1765,Tabela_Auxiliar[],3,0)</f>
        <v>Saída</v>
      </c>
      <c r="G1765" t="str">
        <f>UPPER(TEXT(Tabela_DB[[#This Row],[DATA]],"mmm"))</f>
        <v>ABR</v>
      </c>
      <c r="H1765" t="str">
        <f>UPPER(TEXT(Tabela_DB[[#This Row],[DATA]],"aaaa"))</f>
        <v>2021</v>
      </c>
    </row>
    <row r="1766" spans="1:8" x14ac:dyDescent="0.25">
      <c r="A1766" s="2">
        <v>44304</v>
      </c>
      <c r="B1766" t="s">
        <v>35</v>
      </c>
      <c r="C1766">
        <v>-1484</v>
      </c>
      <c r="D1766" t="str">
        <f>VLOOKUP(B1766,Tabela_Auxiliar[],2,0)</f>
        <v>2. Deduções da Receita</v>
      </c>
      <c r="E1766" t="str">
        <f>VLOOKUP(B1766,Tabela_Auxiliar[],4,0)</f>
        <v>Imposto</v>
      </c>
      <c r="F1766" t="str">
        <f>VLOOKUP(B1766,Tabela_Auxiliar[],3,0)</f>
        <v>Saída</v>
      </c>
      <c r="G1766" t="str">
        <f>UPPER(TEXT(Tabela_DB[[#This Row],[DATA]],"mmm"))</f>
        <v>ABR</v>
      </c>
      <c r="H1766" t="str">
        <f>UPPER(TEXT(Tabela_DB[[#This Row],[DATA]],"aaaa"))</f>
        <v>2021</v>
      </c>
    </row>
    <row r="1767" spans="1:8" x14ac:dyDescent="0.25">
      <c r="A1767" s="2">
        <v>44304</v>
      </c>
      <c r="B1767" t="s">
        <v>60</v>
      </c>
      <c r="C1767">
        <v>-2084</v>
      </c>
      <c r="D1767" t="str">
        <f>VLOOKUP(B1767,Tabela_Auxiliar[],2,0)</f>
        <v>4. Despesas Operacionais</v>
      </c>
      <c r="E1767" t="str">
        <f>VLOOKUP(B1767,Tabela_Auxiliar[],4,0)</f>
        <v>Despesa de Depreciação</v>
      </c>
      <c r="F1767" t="str">
        <f>VLOOKUP(B1767,Tabela_Auxiliar[],3,0)</f>
        <v>Saída</v>
      </c>
      <c r="G1767" t="str">
        <f>UPPER(TEXT(Tabela_DB[[#This Row],[DATA]],"mmm"))</f>
        <v>ABR</v>
      </c>
      <c r="H1767" t="str">
        <f>UPPER(TEXT(Tabela_DB[[#This Row],[DATA]],"aaaa"))</f>
        <v>2021</v>
      </c>
    </row>
    <row r="1768" spans="1:8" x14ac:dyDescent="0.25">
      <c r="A1768" s="2">
        <v>44304</v>
      </c>
      <c r="B1768" t="s">
        <v>38</v>
      </c>
      <c r="C1768">
        <v>-1459</v>
      </c>
      <c r="D1768" t="str">
        <f>VLOOKUP(B1768,Tabela_Auxiliar[],2,0)</f>
        <v>2. Deduções da Receita</v>
      </c>
      <c r="E1768" t="str">
        <f>VLOOKUP(B1768,Tabela_Auxiliar[],4,0)</f>
        <v>Deduções</v>
      </c>
      <c r="F1768" t="str">
        <f>VLOOKUP(B1768,Tabela_Auxiliar[],3,0)</f>
        <v>Saída</v>
      </c>
      <c r="G1768" t="str">
        <f>UPPER(TEXT(Tabela_DB[[#This Row],[DATA]],"mmm"))</f>
        <v>ABR</v>
      </c>
      <c r="H1768" t="str">
        <f>UPPER(TEXT(Tabela_DB[[#This Row],[DATA]],"aaaa"))</f>
        <v>2021</v>
      </c>
    </row>
    <row r="1769" spans="1:8" x14ac:dyDescent="0.25">
      <c r="A1769" s="2">
        <v>44304</v>
      </c>
      <c r="B1769" t="s">
        <v>111</v>
      </c>
      <c r="C1769">
        <v>-1704</v>
      </c>
      <c r="D1769" t="str">
        <f>VLOOKUP(B1769,Tabela_Auxiliar[],2,0)</f>
        <v>2. Deduções da Receita</v>
      </c>
      <c r="E1769" t="str">
        <f>VLOOKUP(B1769,Tabela_Auxiliar[],4,0)</f>
        <v>Imposto</v>
      </c>
      <c r="F1769" t="str">
        <f>VLOOKUP(B1769,Tabela_Auxiliar[],3,0)</f>
        <v>Saída</v>
      </c>
      <c r="G1769" t="str">
        <f>UPPER(TEXT(Tabela_DB[[#This Row],[DATA]],"mmm"))</f>
        <v>ABR</v>
      </c>
      <c r="H1769" t="str">
        <f>UPPER(TEXT(Tabela_DB[[#This Row],[DATA]],"aaaa"))</f>
        <v>2021</v>
      </c>
    </row>
    <row r="1770" spans="1:8" x14ac:dyDescent="0.25">
      <c r="A1770" s="2">
        <v>44304</v>
      </c>
      <c r="B1770" t="s">
        <v>3</v>
      </c>
      <c r="C1770">
        <v>11862</v>
      </c>
      <c r="D1770" t="str">
        <f>VLOOKUP(B1770,Tabela_Auxiliar[],2,0)</f>
        <v>1. Receita Operacional Bruta</v>
      </c>
      <c r="E1770" t="str">
        <f>VLOOKUP(B1770,Tabela_Auxiliar[],4,0)</f>
        <v>Receita Bruta</v>
      </c>
      <c r="F1770" t="str">
        <f>VLOOKUP(B1770,Tabela_Auxiliar[],3,0)</f>
        <v>Entrada</v>
      </c>
      <c r="G1770" t="str">
        <f>UPPER(TEXT(Tabela_DB[[#This Row],[DATA]],"mmm"))</f>
        <v>ABR</v>
      </c>
      <c r="H1770" t="str">
        <f>UPPER(TEXT(Tabela_DB[[#This Row],[DATA]],"aaaa"))</f>
        <v>2021</v>
      </c>
    </row>
    <row r="1771" spans="1:8" x14ac:dyDescent="0.25">
      <c r="A1771" s="2">
        <v>44304</v>
      </c>
      <c r="B1771" t="s">
        <v>34</v>
      </c>
      <c r="C1771">
        <v>-1023</v>
      </c>
      <c r="D1771" t="str">
        <f>VLOOKUP(B1771,Tabela_Auxiliar[],2,0)</f>
        <v>2. Deduções da Receita</v>
      </c>
      <c r="E1771" t="str">
        <f>VLOOKUP(B1771,Tabela_Auxiliar[],4,0)</f>
        <v>Imposto</v>
      </c>
      <c r="F1771" t="str">
        <f>VLOOKUP(B1771,Tabela_Auxiliar[],3,0)</f>
        <v>Saída</v>
      </c>
      <c r="G1771" t="str">
        <f>UPPER(TEXT(Tabela_DB[[#This Row],[DATA]],"mmm"))</f>
        <v>ABR</v>
      </c>
      <c r="H1771" t="str">
        <f>UPPER(TEXT(Tabela_DB[[#This Row],[DATA]],"aaaa"))</f>
        <v>2021</v>
      </c>
    </row>
    <row r="1772" spans="1:8" x14ac:dyDescent="0.25">
      <c r="A1772" s="2">
        <v>44305</v>
      </c>
      <c r="B1772" t="s">
        <v>100</v>
      </c>
      <c r="C1772">
        <v>1920</v>
      </c>
      <c r="D1772" t="str">
        <f>VLOOKUP(B1772,Tabela_Auxiliar[],2,0)</f>
        <v>5. Resultado Financeiro</v>
      </c>
      <c r="E1772" t="str">
        <f>VLOOKUP(B1772,Tabela_Auxiliar[],4,0)</f>
        <v>Receita Financeira</v>
      </c>
      <c r="F1772" t="str">
        <f>VLOOKUP(B1772,Tabela_Auxiliar[],3,0)</f>
        <v>Saída</v>
      </c>
      <c r="G1772" t="str">
        <f>UPPER(TEXT(Tabela_DB[[#This Row],[DATA]],"mmm"))</f>
        <v>ABR</v>
      </c>
      <c r="H1772" t="str">
        <f>UPPER(TEXT(Tabela_DB[[#This Row],[DATA]],"aaaa"))</f>
        <v>2021</v>
      </c>
    </row>
    <row r="1773" spans="1:8" x14ac:dyDescent="0.25">
      <c r="A1773" s="2">
        <v>44305</v>
      </c>
      <c r="B1773" t="s">
        <v>3</v>
      </c>
      <c r="C1773">
        <v>13880</v>
      </c>
      <c r="D1773" t="str">
        <f>VLOOKUP(B1773,Tabela_Auxiliar[],2,0)</f>
        <v>1. Receita Operacional Bruta</v>
      </c>
      <c r="E1773" t="str">
        <f>VLOOKUP(B1773,Tabela_Auxiliar[],4,0)</f>
        <v>Receita Bruta</v>
      </c>
      <c r="F1773" t="str">
        <f>VLOOKUP(B1773,Tabela_Auxiliar[],3,0)</f>
        <v>Entrada</v>
      </c>
      <c r="G1773" t="str">
        <f>UPPER(TEXT(Tabela_DB[[#This Row],[DATA]],"mmm"))</f>
        <v>ABR</v>
      </c>
      <c r="H1773" t="str">
        <f>UPPER(TEXT(Tabela_DB[[#This Row],[DATA]],"aaaa"))</f>
        <v>2021</v>
      </c>
    </row>
    <row r="1774" spans="1:8" x14ac:dyDescent="0.25">
      <c r="A1774" s="2">
        <v>44305</v>
      </c>
      <c r="B1774" t="s">
        <v>38</v>
      </c>
      <c r="C1774">
        <v>-1550</v>
      </c>
      <c r="D1774" t="str">
        <f>VLOOKUP(B1774,Tabela_Auxiliar[],2,0)</f>
        <v>2. Deduções da Receita</v>
      </c>
      <c r="E1774" t="str">
        <f>VLOOKUP(B1774,Tabela_Auxiliar[],4,0)</f>
        <v>Deduções</v>
      </c>
      <c r="F1774" t="str">
        <f>VLOOKUP(B1774,Tabela_Auxiliar[],3,0)</f>
        <v>Saída</v>
      </c>
      <c r="G1774" t="str">
        <f>UPPER(TEXT(Tabela_DB[[#This Row],[DATA]],"mmm"))</f>
        <v>ABR</v>
      </c>
      <c r="H1774" t="str">
        <f>UPPER(TEXT(Tabela_DB[[#This Row],[DATA]],"aaaa"))</f>
        <v>2021</v>
      </c>
    </row>
    <row r="1775" spans="1:8" x14ac:dyDescent="0.25">
      <c r="A1775" s="2">
        <v>44305</v>
      </c>
      <c r="B1775" t="s">
        <v>37</v>
      </c>
      <c r="C1775">
        <v>-2517</v>
      </c>
      <c r="D1775" t="str">
        <f>VLOOKUP(B1775,Tabela_Auxiliar[],2,0)</f>
        <v>3. Custos do Produto/Mercadoria/Serviço</v>
      </c>
      <c r="E1775" t="str">
        <f>VLOOKUP(B1775,Tabela_Auxiliar[],4,0)</f>
        <v>Despesas c/ Produto</v>
      </c>
      <c r="F1775" t="str">
        <f>VLOOKUP(B1775,Tabela_Auxiliar[],3,0)</f>
        <v>Saída</v>
      </c>
      <c r="G1775" t="str">
        <f>UPPER(TEXT(Tabela_DB[[#This Row],[DATA]],"mmm"))</f>
        <v>ABR</v>
      </c>
      <c r="H1775" t="str">
        <f>UPPER(TEXT(Tabela_DB[[#This Row],[DATA]],"aaaa"))</f>
        <v>2021</v>
      </c>
    </row>
    <row r="1776" spans="1:8" x14ac:dyDescent="0.25">
      <c r="A1776" s="2">
        <v>44305</v>
      </c>
      <c r="B1776" t="s">
        <v>37</v>
      </c>
      <c r="C1776">
        <v>-3101</v>
      </c>
      <c r="D1776" t="str">
        <f>VLOOKUP(B1776,Tabela_Auxiliar[],2,0)</f>
        <v>3. Custos do Produto/Mercadoria/Serviço</v>
      </c>
      <c r="E1776" t="str">
        <f>VLOOKUP(B1776,Tabela_Auxiliar[],4,0)</f>
        <v>Despesas c/ Produto</v>
      </c>
      <c r="F1776" t="str">
        <f>VLOOKUP(B1776,Tabela_Auxiliar[],3,0)</f>
        <v>Saída</v>
      </c>
      <c r="G1776" t="str">
        <f>UPPER(TEXT(Tabela_DB[[#This Row],[DATA]],"mmm"))</f>
        <v>ABR</v>
      </c>
      <c r="H1776" t="str">
        <f>UPPER(TEXT(Tabela_DB[[#This Row],[DATA]],"aaaa"))</f>
        <v>2021</v>
      </c>
    </row>
    <row r="1777" spans="1:8" x14ac:dyDescent="0.25">
      <c r="A1777" s="2">
        <v>44305</v>
      </c>
      <c r="B1777" t="s">
        <v>4</v>
      </c>
      <c r="C1777">
        <v>11913</v>
      </c>
      <c r="D1777" t="str">
        <f>VLOOKUP(B1777,Tabela_Auxiliar[],2,0)</f>
        <v>1. Receita Operacional Bruta</v>
      </c>
      <c r="E1777" t="str">
        <f>VLOOKUP(B1777,Tabela_Auxiliar[],4,0)</f>
        <v>Receita Bruta</v>
      </c>
      <c r="F1777" t="str">
        <f>VLOOKUP(B1777,Tabela_Auxiliar[],3,0)</f>
        <v>Entrada</v>
      </c>
      <c r="G1777" t="str">
        <f>UPPER(TEXT(Tabela_DB[[#This Row],[DATA]],"mmm"))</f>
        <v>ABR</v>
      </c>
      <c r="H1777" t="str">
        <f>UPPER(TEXT(Tabela_DB[[#This Row],[DATA]],"aaaa"))</f>
        <v>2021</v>
      </c>
    </row>
    <row r="1778" spans="1:8" x14ac:dyDescent="0.25">
      <c r="A1778" s="2">
        <v>44305</v>
      </c>
      <c r="B1778" t="s">
        <v>38</v>
      </c>
      <c r="C1778">
        <v>-1773</v>
      </c>
      <c r="D1778" t="str">
        <f>VLOOKUP(B1778,Tabela_Auxiliar[],2,0)</f>
        <v>2. Deduções da Receita</v>
      </c>
      <c r="E1778" t="str">
        <f>VLOOKUP(B1778,Tabela_Auxiliar[],4,0)</f>
        <v>Deduções</v>
      </c>
      <c r="F1778" t="str">
        <f>VLOOKUP(B1778,Tabela_Auxiliar[],3,0)</f>
        <v>Saída</v>
      </c>
      <c r="G1778" t="str">
        <f>UPPER(TEXT(Tabela_DB[[#This Row],[DATA]],"mmm"))</f>
        <v>ABR</v>
      </c>
      <c r="H1778" t="str">
        <f>UPPER(TEXT(Tabela_DB[[#This Row],[DATA]],"aaaa"))</f>
        <v>2021</v>
      </c>
    </row>
    <row r="1779" spans="1:8" x14ac:dyDescent="0.25">
      <c r="A1779" s="2">
        <v>44305</v>
      </c>
      <c r="B1779" t="s">
        <v>37</v>
      </c>
      <c r="C1779">
        <v>-3714</v>
      </c>
      <c r="D1779" t="str">
        <f>VLOOKUP(B1779,Tabela_Auxiliar[],2,0)</f>
        <v>3. Custos do Produto/Mercadoria/Serviço</v>
      </c>
      <c r="E1779" t="str">
        <f>VLOOKUP(B1779,Tabela_Auxiliar[],4,0)</f>
        <v>Despesas c/ Produto</v>
      </c>
      <c r="F1779" t="str">
        <f>VLOOKUP(B1779,Tabela_Auxiliar[],3,0)</f>
        <v>Saída</v>
      </c>
      <c r="G1779" t="str">
        <f>UPPER(TEXT(Tabela_DB[[#This Row],[DATA]],"mmm"))</f>
        <v>ABR</v>
      </c>
      <c r="H1779" t="str">
        <f>UPPER(TEXT(Tabela_DB[[#This Row],[DATA]],"aaaa"))</f>
        <v>2021</v>
      </c>
    </row>
    <row r="1780" spans="1:8" x14ac:dyDescent="0.25">
      <c r="A1780" s="2">
        <v>44305</v>
      </c>
      <c r="B1780" t="s">
        <v>38</v>
      </c>
      <c r="C1780">
        <v>-1899</v>
      </c>
      <c r="D1780" t="str">
        <f>VLOOKUP(B1780,Tabela_Auxiliar[],2,0)</f>
        <v>2. Deduções da Receita</v>
      </c>
      <c r="E1780" t="str">
        <f>VLOOKUP(B1780,Tabela_Auxiliar[],4,0)</f>
        <v>Deduções</v>
      </c>
      <c r="F1780" t="str">
        <f>VLOOKUP(B1780,Tabela_Auxiliar[],3,0)</f>
        <v>Saída</v>
      </c>
      <c r="G1780" t="str">
        <f>UPPER(TEXT(Tabela_DB[[#This Row],[DATA]],"mmm"))</f>
        <v>ABR</v>
      </c>
      <c r="H1780" t="str">
        <f>UPPER(TEXT(Tabela_DB[[#This Row],[DATA]],"aaaa"))</f>
        <v>2021</v>
      </c>
    </row>
    <row r="1781" spans="1:8" x14ac:dyDescent="0.25">
      <c r="A1781" s="2">
        <v>44305</v>
      </c>
      <c r="B1781" t="s">
        <v>47</v>
      </c>
      <c r="C1781">
        <v>-2182</v>
      </c>
      <c r="D1781" t="str">
        <f>VLOOKUP(B1781,Tabela_Auxiliar[],2,0)</f>
        <v>4. Despesas Operacionais</v>
      </c>
      <c r="E1781" t="str">
        <f>VLOOKUP(B1781,Tabela_Auxiliar[],4,0)</f>
        <v>Despesa com Pessoal</v>
      </c>
      <c r="F1781" t="str">
        <f>VLOOKUP(B1781,Tabela_Auxiliar[],3,0)</f>
        <v>Saída</v>
      </c>
      <c r="G1781" t="str">
        <f>UPPER(TEXT(Tabela_DB[[#This Row],[DATA]],"mmm"))</f>
        <v>ABR</v>
      </c>
      <c r="H1781" t="str">
        <f>UPPER(TEXT(Tabela_DB[[#This Row],[DATA]],"aaaa"))</f>
        <v>2021</v>
      </c>
    </row>
    <row r="1782" spans="1:8" x14ac:dyDescent="0.25">
      <c r="A1782" s="2">
        <v>44305</v>
      </c>
      <c r="B1782" t="s">
        <v>83</v>
      </c>
      <c r="C1782">
        <v>-1472</v>
      </c>
      <c r="D1782" t="str">
        <f>VLOOKUP(B1782,Tabela_Auxiliar[],2,0)</f>
        <v>4. Despesas Operacionais</v>
      </c>
      <c r="E1782" t="str">
        <f>VLOOKUP(B1782,Tabela_Auxiliar[],4,0)</f>
        <v>Despesa com Veículos</v>
      </c>
      <c r="F1782" t="str">
        <f>VLOOKUP(B1782,Tabela_Auxiliar[],3,0)</f>
        <v>Saída</v>
      </c>
      <c r="G1782" t="str">
        <f>UPPER(TEXT(Tabela_DB[[#This Row],[DATA]],"mmm"))</f>
        <v>ABR</v>
      </c>
      <c r="H1782" t="str">
        <f>UPPER(TEXT(Tabela_DB[[#This Row],[DATA]],"aaaa"))</f>
        <v>2021</v>
      </c>
    </row>
    <row r="1783" spans="1:8" x14ac:dyDescent="0.25">
      <c r="A1783" s="2">
        <v>44305</v>
      </c>
      <c r="B1783" t="s">
        <v>101</v>
      </c>
      <c r="C1783">
        <v>-1237</v>
      </c>
      <c r="D1783" t="str">
        <f>VLOOKUP(B1783,Tabela_Auxiliar[],2,0)</f>
        <v>5. Resultado Financeiro</v>
      </c>
      <c r="E1783" t="str">
        <f>VLOOKUP(B1783,Tabela_Auxiliar[],4,0)</f>
        <v>Despesa Financeira</v>
      </c>
      <c r="F1783" t="str">
        <f>VLOOKUP(B1783,Tabela_Auxiliar[],3,0)</f>
        <v>Saída</v>
      </c>
      <c r="G1783" t="str">
        <f>UPPER(TEXT(Tabela_DB[[#This Row],[DATA]],"mmm"))</f>
        <v>ABR</v>
      </c>
      <c r="H1783" t="str">
        <f>UPPER(TEXT(Tabela_DB[[#This Row],[DATA]],"aaaa"))</f>
        <v>2021</v>
      </c>
    </row>
    <row r="1784" spans="1:8" x14ac:dyDescent="0.25">
      <c r="A1784" s="2">
        <v>44305</v>
      </c>
      <c r="B1784" t="s">
        <v>86</v>
      </c>
      <c r="C1784">
        <v>-2235</v>
      </c>
      <c r="D1784" t="str">
        <f>VLOOKUP(B1784,Tabela_Auxiliar[],2,0)</f>
        <v>4. Despesas Operacionais</v>
      </c>
      <c r="E1784" t="str">
        <f>VLOOKUP(B1784,Tabela_Auxiliar[],4,0)</f>
        <v>Despesa com Veículos</v>
      </c>
      <c r="F1784" t="str">
        <f>VLOOKUP(B1784,Tabela_Auxiliar[],3,0)</f>
        <v>Saída</v>
      </c>
      <c r="G1784" t="str">
        <f>UPPER(TEXT(Tabela_DB[[#This Row],[DATA]],"mmm"))</f>
        <v>ABR</v>
      </c>
      <c r="H1784" t="str">
        <f>UPPER(TEXT(Tabela_DB[[#This Row],[DATA]],"aaaa"))</f>
        <v>2021</v>
      </c>
    </row>
    <row r="1785" spans="1:8" x14ac:dyDescent="0.25">
      <c r="A1785" s="2">
        <v>44305</v>
      </c>
      <c r="B1785" t="s">
        <v>4</v>
      </c>
      <c r="C1785">
        <v>13112</v>
      </c>
      <c r="D1785" t="str">
        <f>VLOOKUP(B1785,Tabela_Auxiliar[],2,0)</f>
        <v>1. Receita Operacional Bruta</v>
      </c>
      <c r="E1785" t="str">
        <f>VLOOKUP(B1785,Tabela_Auxiliar[],4,0)</f>
        <v>Receita Bruta</v>
      </c>
      <c r="F1785" t="str">
        <f>VLOOKUP(B1785,Tabela_Auxiliar[],3,0)</f>
        <v>Entrada</v>
      </c>
      <c r="G1785" t="str">
        <f>UPPER(TEXT(Tabela_DB[[#This Row],[DATA]],"mmm"))</f>
        <v>ABR</v>
      </c>
      <c r="H1785" t="str">
        <f>UPPER(TEXT(Tabela_DB[[#This Row],[DATA]],"aaaa"))</f>
        <v>2021</v>
      </c>
    </row>
    <row r="1786" spans="1:8" x14ac:dyDescent="0.25">
      <c r="A1786" s="2">
        <v>44305</v>
      </c>
      <c r="B1786" t="s">
        <v>34</v>
      </c>
      <c r="C1786">
        <v>-2182</v>
      </c>
      <c r="D1786" t="str">
        <f>VLOOKUP(B1786,Tabela_Auxiliar[],2,0)</f>
        <v>2. Deduções da Receita</v>
      </c>
      <c r="E1786" t="str">
        <f>VLOOKUP(B1786,Tabela_Auxiliar[],4,0)</f>
        <v>Imposto</v>
      </c>
      <c r="F1786" t="str">
        <f>VLOOKUP(B1786,Tabela_Auxiliar[],3,0)</f>
        <v>Saída</v>
      </c>
      <c r="G1786" t="str">
        <f>UPPER(TEXT(Tabela_DB[[#This Row],[DATA]],"mmm"))</f>
        <v>ABR</v>
      </c>
      <c r="H1786" t="str">
        <f>UPPER(TEXT(Tabela_DB[[#This Row],[DATA]],"aaaa"))</f>
        <v>2021</v>
      </c>
    </row>
    <row r="1787" spans="1:8" x14ac:dyDescent="0.25">
      <c r="A1787" s="2">
        <v>44305</v>
      </c>
      <c r="B1787" t="s">
        <v>3</v>
      </c>
      <c r="C1787">
        <v>10346</v>
      </c>
      <c r="D1787" t="str">
        <f>VLOOKUP(B1787,Tabela_Auxiliar[],2,0)</f>
        <v>1. Receita Operacional Bruta</v>
      </c>
      <c r="E1787" t="str">
        <f>VLOOKUP(B1787,Tabela_Auxiliar[],4,0)</f>
        <v>Receita Bruta</v>
      </c>
      <c r="F1787" t="str">
        <f>VLOOKUP(B1787,Tabela_Auxiliar[],3,0)</f>
        <v>Entrada</v>
      </c>
      <c r="G1787" t="str">
        <f>UPPER(TEXT(Tabela_DB[[#This Row],[DATA]],"mmm"))</f>
        <v>ABR</v>
      </c>
      <c r="H1787" t="str">
        <f>UPPER(TEXT(Tabela_DB[[#This Row],[DATA]],"aaaa"))</f>
        <v>2021</v>
      </c>
    </row>
    <row r="1788" spans="1:8" x14ac:dyDescent="0.25">
      <c r="A1788" s="2">
        <v>44305</v>
      </c>
      <c r="B1788" t="s">
        <v>37</v>
      </c>
      <c r="C1788">
        <v>-3331</v>
      </c>
      <c r="D1788" t="str">
        <f>VLOOKUP(B1788,Tabela_Auxiliar[],2,0)</f>
        <v>3. Custos do Produto/Mercadoria/Serviço</v>
      </c>
      <c r="E1788" t="str">
        <f>VLOOKUP(B1788,Tabela_Auxiliar[],4,0)</f>
        <v>Despesas c/ Produto</v>
      </c>
      <c r="F1788" t="str">
        <f>VLOOKUP(B1788,Tabela_Auxiliar[],3,0)</f>
        <v>Saída</v>
      </c>
      <c r="G1788" t="str">
        <f>UPPER(TEXT(Tabela_DB[[#This Row],[DATA]],"mmm"))</f>
        <v>ABR</v>
      </c>
      <c r="H1788" t="str">
        <f>UPPER(TEXT(Tabela_DB[[#This Row],[DATA]],"aaaa"))</f>
        <v>2021</v>
      </c>
    </row>
    <row r="1789" spans="1:8" x14ac:dyDescent="0.25">
      <c r="A1789" s="2">
        <v>44305</v>
      </c>
      <c r="B1789" t="s">
        <v>34</v>
      </c>
      <c r="C1789">
        <v>-2165</v>
      </c>
      <c r="D1789" t="str">
        <f>VLOOKUP(B1789,Tabela_Auxiliar[],2,0)</f>
        <v>2. Deduções da Receita</v>
      </c>
      <c r="E1789" t="str">
        <f>VLOOKUP(B1789,Tabela_Auxiliar[],4,0)</f>
        <v>Imposto</v>
      </c>
      <c r="F1789" t="str">
        <f>VLOOKUP(B1789,Tabela_Auxiliar[],3,0)</f>
        <v>Saída</v>
      </c>
      <c r="G1789" t="str">
        <f>UPPER(TEXT(Tabela_DB[[#This Row],[DATA]],"mmm"))</f>
        <v>ABR</v>
      </c>
      <c r="H1789" t="str">
        <f>UPPER(TEXT(Tabela_DB[[#This Row],[DATA]],"aaaa"))</f>
        <v>2021</v>
      </c>
    </row>
    <row r="1790" spans="1:8" x14ac:dyDescent="0.25">
      <c r="A1790" s="2">
        <v>44305</v>
      </c>
      <c r="B1790" t="s">
        <v>4</v>
      </c>
      <c r="C1790">
        <v>14798</v>
      </c>
      <c r="D1790" t="str">
        <f>VLOOKUP(B1790,Tabela_Auxiliar[],2,0)</f>
        <v>1. Receita Operacional Bruta</v>
      </c>
      <c r="E1790" t="str">
        <f>VLOOKUP(B1790,Tabela_Auxiliar[],4,0)</f>
        <v>Receita Bruta</v>
      </c>
      <c r="F1790" t="str">
        <f>VLOOKUP(B1790,Tabela_Auxiliar[],3,0)</f>
        <v>Entrada</v>
      </c>
      <c r="G1790" t="str">
        <f>UPPER(TEXT(Tabela_DB[[#This Row],[DATA]],"mmm"))</f>
        <v>ABR</v>
      </c>
      <c r="H1790" t="str">
        <f>UPPER(TEXT(Tabela_DB[[#This Row],[DATA]],"aaaa"))</f>
        <v>2021</v>
      </c>
    </row>
    <row r="1791" spans="1:8" x14ac:dyDescent="0.25">
      <c r="A1791" s="2">
        <v>44305</v>
      </c>
      <c r="B1791" t="s">
        <v>4</v>
      </c>
      <c r="C1791">
        <v>14414</v>
      </c>
      <c r="D1791" t="str">
        <f>VLOOKUP(B1791,Tabela_Auxiliar[],2,0)</f>
        <v>1. Receita Operacional Bruta</v>
      </c>
      <c r="E1791" t="str">
        <f>VLOOKUP(B1791,Tabela_Auxiliar[],4,0)</f>
        <v>Receita Bruta</v>
      </c>
      <c r="F1791" t="str">
        <f>VLOOKUP(B1791,Tabela_Auxiliar[],3,0)</f>
        <v>Entrada</v>
      </c>
      <c r="G1791" t="str">
        <f>UPPER(TEXT(Tabela_DB[[#This Row],[DATA]],"mmm"))</f>
        <v>ABR</v>
      </c>
      <c r="H1791" t="str">
        <f>UPPER(TEXT(Tabela_DB[[#This Row],[DATA]],"aaaa"))</f>
        <v>2021</v>
      </c>
    </row>
    <row r="1792" spans="1:8" x14ac:dyDescent="0.25">
      <c r="A1792" s="2">
        <v>44305</v>
      </c>
      <c r="B1792" t="s">
        <v>86</v>
      </c>
      <c r="C1792">
        <v>-1446</v>
      </c>
      <c r="D1792" t="str">
        <f>VLOOKUP(B1792,Tabela_Auxiliar[],2,0)</f>
        <v>4. Despesas Operacionais</v>
      </c>
      <c r="E1792" t="str">
        <f>VLOOKUP(B1792,Tabela_Auxiliar[],4,0)</f>
        <v>Despesa com Veículos</v>
      </c>
      <c r="F1792" t="str">
        <f>VLOOKUP(B1792,Tabela_Auxiliar[],3,0)</f>
        <v>Saída</v>
      </c>
      <c r="G1792" t="str">
        <f>UPPER(TEXT(Tabela_DB[[#This Row],[DATA]],"mmm"))</f>
        <v>ABR</v>
      </c>
      <c r="H1792" t="str">
        <f>UPPER(TEXT(Tabela_DB[[#This Row],[DATA]],"aaaa"))</f>
        <v>2021</v>
      </c>
    </row>
    <row r="1793" spans="1:8" x14ac:dyDescent="0.25">
      <c r="A1793" s="2">
        <v>44305</v>
      </c>
      <c r="B1793" t="s">
        <v>34</v>
      </c>
      <c r="C1793">
        <v>-2266</v>
      </c>
      <c r="D1793" t="str">
        <f>VLOOKUP(B1793,Tabela_Auxiliar[],2,0)</f>
        <v>2. Deduções da Receita</v>
      </c>
      <c r="E1793" t="str">
        <f>VLOOKUP(B1793,Tabela_Auxiliar[],4,0)</f>
        <v>Imposto</v>
      </c>
      <c r="F1793" t="str">
        <f>VLOOKUP(B1793,Tabela_Auxiliar[],3,0)</f>
        <v>Saída</v>
      </c>
      <c r="G1793" t="str">
        <f>UPPER(TEXT(Tabela_DB[[#This Row],[DATA]],"mmm"))</f>
        <v>ABR</v>
      </c>
      <c r="H1793" t="str">
        <f>UPPER(TEXT(Tabela_DB[[#This Row],[DATA]],"aaaa"))</f>
        <v>2021</v>
      </c>
    </row>
    <row r="1794" spans="1:8" x14ac:dyDescent="0.25">
      <c r="A1794" s="2">
        <v>44306</v>
      </c>
      <c r="B1794" t="s">
        <v>37</v>
      </c>
      <c r="C1794">
        <v>-3806</v>
      </c>
      <c r="D1794" t="str">
        <f>VLOOKUP(B1794,Tabela_Auxiliar[],2,0)</f>
        <v>3. Custos do Produto/Mercadoria/Serviço</v>
      </c>
      <c r="E1794" t="str">
        <f>VLOOKUP(B1794,Tabela_Auxiliar[],4,0)</f>
        <v>Despesas c/ Produto</v>
      </c>
      <c r="F1794" t="str">
        <f>VLOOKUP(B1794,Tabela_Auxiliar[],3,0)</f>
        <v>Saída</v>
      </c>
      <c r="G1794" t="str">
        <f>UPPER(TEXT(Tabela_DB[[#This Row],[DATA]],"mmm"))</f>
        <v>ABR</v>
      </c>
      <c r="H1794" t="str">
        <f>UPPER(TEXT(Tabela_DB[[#This Row],[DATA]],"aaaa"))</f>
        <v>2021</v>
      </c>
    </row>
    <row r="1795" spans="1:8" x14ac:dyDescent="0.25">
      <c r="A1795" s="2">
        <v>44306</v>
      </c>
      <c r="B1795" t="s">
        <v>67</v>
      </c>
      <c r="C1795">
        <v>-1006</v>
      </c>
      <c r="D1795" t="str">
        <f>VLOOKUP(B1795,Tabela_Auxiliar[],2,0)</f>
        <v>4. Despesas Operacionais</v>
      </c>
      <c r="E1795" t="str">
        <f>VLOOKUP(B1795,Tabela_Auxiliar[],4,0)</f>
        <v>Despesa com Vendas</v>
      </c>
      <c r="F1795" t="str">
        <f>VLOOKUP(B1795,Tabela_Auxiliar[],3,0)</f>
        <v>Saída</v>
      </c>
      <c r="G1795" t="str">
        <f>UPPER(TEXT(Tabela_DB[[#This Row],[DATA]],"mmm"))</f>
        <v>ABR</v>
      </c>
      <c r="H1795" t="str">
        <f>UPPER(TEXT(Tabela_DB[[#This Row],[DATA]],"aaaa"))</f>
        <v>2021</v>
      </c>
    </row>
    <row r="1796" spans="1:8" x14ac:dyDescent="0.25">
      <c r="A1796" s="2">
        <v>44306</v>
      </c>
      <c r="B1796" t="s">
        <v>111</v>
      </c>
      <c r="C1796">
        <v>-1647</v>
      </c>
      <c r="D1796" t="str">
        <f>VLOOKUP(B1796,Tabela_Auxiliar[],2,0)</f>
        <v>2. Deduções da Receita</v>
      </c>
      <c r="E1796" t="str">
        <f>VLOOKUP(B1796,Tabela_Auxiliar[],4,0)</f>
        <v>Imposto</v>
      </c>
      <c r="F1796" t="str">
        <f>VLOOKUP(B1796,Tabela_Auxiliar[],3,0)</f>
        <v>Saída</v>
      </c>
      <c r="G1796" t="str">
        <f>UPPER(TEXT(Tabela_DB[[#This Row],[DATA]],"mmm"))</f>
        <v>ABR</v>
      </c>
      <c r="H1796" t="str">
        <f>UPPER(TEXT(Tabela_DB[[#This Row],[DATA]],"aaaa"))</f>
        <v>2021</v>
      </c>
    </row>
    <row r="1797" spans="1:8" x14ac:dyDescent="0.25">
      <c r="A1797" s="2">
        <v>44306</v>
      </c>
      <c r="B1797" t="s">
        <v>84</v>
      </c>
      <c r="C1797">
        <v>-1718</v>
      </c>
      <c r="D1797" t="str">
        <f>VLOOKUP(B1797,Tabela_Auxiliar[],2,0)</f>
        <v>4. Despesas Operacionais</v>
      </c>
      <c r="E1797" t="str">
        <f>VLOOKUP(B1797,Tabela_Auxiliar[],4,0)</f>
        <v>Despesa com Veículos</v>
      </c>
      <c r="F1797" t="str">
        <f>VLOOKUP(B1797,Tabela_Auxiliar[],3,0)</f>
        <v>Saída</v>
      </c>
      <c r="G1797" t="str">
        <f>UPPER(TEXT(Tabela_DB[[#This Row],[DATA]],"mmm"))</f>
        <v>ABR</v>
      </c>
      <c r="H1797" t="str">
        <f>UPPER(TEXT(Tabela_DB[[#This Row],[DATA]],"aaaa"))</f>
        <v>2021</v>
      </c>
    </row>
    <row r="1798" spans="1:8" x14ac:dyDescent="0.25">
      <c r="A1798" s="2">
        <v>44306</v>
      </c>
      <c r="B1798" t="s">
        <v>37</v>
      </c>
      <c r="C1798">
        <v>-4751</v>
      </c>
      <c r="D1798" t="str">
        <f>VLOOKUP(B1798,Tabela_Auxiliar[],2,0)</f>
        <v>3. Custos do Produto/Mercadoria/Serviço</v>
      </c>
      <c r="E1798" t="str">
        <f>VLOOKUP(B1798,Tabela_Auxiliar[],4,0)</f>
        <v>Despesas c/ Produto</v>
      </c>
      <c r="F1798" t="str">
        <f>VLOOKUP(B1798,Tabela_Auxiliar[],3,0)</f>
        <v>Saída</v>
      </c>
      <c r="G1798" t="str">
        <f>UPPER(TEXT(Tabela_DB[[#This Row],[DATA]],"mmm"))</f>
        <v>ABR</v>
      </c>
      <c r="H1798" t="str">
        <f>UPPER(TEXT(Tabela_DB[[#This Row],[DATA]],"aaaa"))</f>
        <v>2021</v>
      </c>
    </row>
    <row r="1799" spans="1:8" x14ac:dyDescent="0.25">
      <c r="A1799" s="2">
        <v>44306</v>
      </c>
      <c r="B1799" t="s">
        <v>34</v>
      </c>
      <c r="C1799">
        <v>-1167</v>
      </c>
      <c r="D1799" t="str">
        <f>VLOOKUP(B1799,Tabela_Auxiliar[],2,0)</f>
        <v>2. Deduções da Receita</v>
      </c>
      <c r="E1799" t="str">
        <f>VLOOKUP(B1799,Tabela_Auxiliar[],4,0)</f>
        <v>Imposto</v>
      </c>
      <c r="F1799" t="str">
        <f>VLOOKUP(B1799,Tabela_Auxiliar[],3,0)</f>
        <v>Saída</v>
      </c>
      <c r="G1799" t="str">
        <f>UPPER(TEXT(Tabela_DB[[#This Row],[DATA]],"mmm"))</f>
        <v>ABR</v>
      </c>
      <c r="H1799" t="str">
        <f>UPPER(TEXT(Tabela_DB[[#This Row],[DATA]],"aaaa"))</f>
        <v>2021</v>
      </c>
    </row>
    <row r="1800" spans="1:8" x14ac:dyDescent="0.25">
      <c r="A1800" s="2">
        <v>44306</v>
      </c>
      <c r="B1800" t="s">
        <v>111</v>
      </c>
      <c r="C1800">
        <v>-1680</v>
      </c>
      <c r="D1800" t="str">
        <f>VLOOKUP(B1800,Tabela_Auxiliar[],2,0)</f>
        <v>2. Deduções da Receita</v>
      </c>
      <c r="E1800" t="str">
        <f>VLOOKUP(B1800,Tabela_Auxiliar[],4,0)</f>
        <v>Imposto</v>
      </c>
      <c r="F1800" t="str">
        <f>VLOOKUP(B1800,Tabela_Auxiliar[],3,0)</f>
        <v>Saída</v>
      </c>
      <c r="G1800" t="str">
        <f>UPPER(TEXT(Tabela_DB[[#This Row],[DATA]],"mmm"))</f>
        <v>ABR</v>
      </c>
      <c r="H1800" t="str">
        <f>UPPER(TEXT(Tabela_DB[[#This Row],[DATA]],"aaaa"))</f>
        <v>2021</v>
      </c>
    </row>
    <row r="1801" spans="1:8" x14ac:dyDescent="0.25">
      <c r="A1801" s="2">
        <v>44306</v>
      </c>
      <c r="B1801" t="s">
        <v>38</v>
      </c>
      <c r="C1801">
        <v>-1257</v>
      </c>
      <c r="D1801" t="str">
        <f>VLOOKUP(B1801,Tabela_Auxiliar[],2,0)</f>
        <v>2. Deduções da Receita</v>
      </c>
      <c r="E1801" t="str">
        <f>VLOOKUP(B1801,Tabela_Auxiliar[],4,0)</f>
        <v>Deduções</v>
      </c>
      <c r="F1801" t="str">
        <f>VLOOKUP(B1801,Tabela_Auxiliar[],3,0)</f>
        <v>Saída</v>
      </c>
      <c r="G1801" t="str">
        <f>UPPER(TEXT(Tabela_DB[[#This Row],[DATA]],"mmm"))</f>
        <v>ABR</v>
      </c>
      <c r="H1801" t="str">
        <f>UPPER(TEXT(Tabela_DB[[#This Row],[DATA]],"aaaa"))</f>
        <v>2021</v>
      </c>
    </row>
    <row r="1802" spans="1:8" x14ac:dyDescent="0.25">
      <c r="A1802" s="2">
        <v>44306</v>
      </c>
      <c r="B1802" t="s">
        <v>42</v>
      </c>
      <c r="C1802">
        <v>-1433</v>
      </c>
      <c r="D1802" t="str">
        <f>VLOOKUP(B1802,Tabela_Auxiliar[],2,0)</f>
        <v>4. Despesas Operacionais</v>
      </c>
      <c r="E1802" t="str">
        <f>VLOOKUP(B1802,Tabela_Auxiliar[],4,0)</f>
        <v>Despesa com Pessoal</v>
      </c>
      <c r="F1802" t="str">
        <f>VLOOKUP(B1802,Tabela_Auxiliar[],3,0)</f>
        <v>Saída</v>
      </c>
      <c r="G1802" t="str">
        <f>UPPER(TEXT(Tabela_DB[[#This Row],[DATA]],"mmm"))</f>
        <v>ABR</v>
      </c>
      <c r="H1802" t="str">
        <f>UPPER(TEXT(Tabela_DB[[#This Row],[DATA]],"aaaa"))</f>
        <v>2021</v>
      </c>
    </row>
    <row r="1803" spans="1:8" x14ac:dyDescent="0.25">
      <c r="A1803" s="2">
        <v>44306</v>
      </c>
      <c r="B1803" t="s">
        <v>85</v>
      </c>
      <c r="C1803">
        <v>-1668</v>
      </c>
      <c r="D1803" t="str">
        <f>VLOOKUP(B1803,Tabela_Auxiliar[],2,0)</f>
        <v>4. Despesas Operacionais</v>
      </c>
      <c r="E1803" t="str">
        <f>VLOOKUP(B1803,Tabela_Auxiliar[],4,0)</f>
        <v>Despesa com Veículos</v>
      </c>
      <c r="F1803" t="str">
        <f>VLOOKUP(B1803,Tabela_Auxiliar[],3,0)</f>
        <v>Saída</v>
      </c>
      <c r="G1803" t="str">
        <f>UPPER(TEXT(Tabela_DB[[#This Row],[DATA]],"mmm"))</f>
        <v>ABR</v>
      </c>
      <c r="H1803" t="str">
        <f>UPPER(TEXT(Tabela_DB[[#This Row],[DATA]],"aaaa"))</f>
        <v>2021</v>
      </c>
    </row>
    <row r="1804" spans="1:8" x14ac:dyDescent="0.25">
      <c r="A1804" s="2">
        <v>44306</v>
      </c>
      <c r="B1804" t="s">
        <v>4</v>
      </c>
      <c r="C1804">
        <v>10302</v>
      </c>
      <c r="D1804" t="str">
        <f>VLOOKUP(B1804,Tabela_Auxiliar[],2,0)</f>
        <v>1. Receita Operacional Bruta</v>
      </c>
      <c r="E1804" t="str">
        <f>VLOOKUP(B1804,Tabela_Auxiliar[],4,0)</f>
        <v>Receita Bruta</v>
      </c>
      <c r="F1804" t="str">
        <f>VLOOKUP(B1804,Tabela_Auxiliar[],3,0)</f>
        <v>Entrada</v>
      </c>
      <c r="G1804" t="str">
        <f>UPPER(TEXT(Tabela_DB[[#This Row],[DATA]],"mmm"))</f>
        <v>ABR</v>
      </c>
      <c r="H1804" t="str">
        <f>UPPER(TEXT(Tabela_DB[[#This Row],[DATA]],"aaaa"))</f>
        <v>2021</v>
      </c>
    </row>
    <row r="1805" spans="1:8" x14ac:dyDescent="0.25">
      <c r="A1805" s="2">
        <v>44306</v>
      </c>
      <c r="B1805" t="s">
        <v>4</v>
      </c>
      <c r="C1805">
        <v>12040</v>
      </c>
      <c r="D1805" t="str">
        <f>VLOOKUP(B1805,Tabela_Auxiliar[],2,0)</f>
        <v>1. Receita Operacional Bruta</v>
      </c>
      <c r="E1805" t="str">
        <f>VLOOKUP(B1805,Tabela_Auxiliar[],4,0)</f>
        <v>Receita Bruta</v>
      </c>
      <c r="F1805" t="str">
        <f>VLOOKUP(B1805,Tabela_Auxiliar[],3,0)</f>
        <v>Entrada</v>
      </c>
      <c r="G1805" t="str">
        <f>UPPER(TEXT(Tabela_DB[[#This Row],[DATA]],"mmm"))</f>
        <v>ABR</v>
      </c>
      <c r="H1805" t="str">
        <f>UPPER(TEXT(Tabela_DB[[#This Row],[DATA]],"aaaa"))</f>
        <v>2021</v>
      </c>
    </row>
    <row r="1806" spans="1:8" x14ac:dyDescent="0.25">
      <c r="A1806" s="2">
        <v>44306</v>
      </c>
      <c r="B1806" t="s">
        <v>37</v>
      </c>
      <c r="C1806">
        <v>-3400</v>
      </c>
      <c r="D1806" t="str">
        <f>VLOOKUP(B1806,Tabela_Auxiliar[],2,0)</f>
        <v>3. Custos do Produto/Mercadoria/Serviço</v>
      </c>
      <c r="E1806" t="str">
        <f>VLOOKUP(B1806,Tabela_Auxiliar[],4,0)</f>
        <v>Despesas c/ Produto</v>
      </c>
      <c r="F1806" t="str">
        <f>VLOOKUP(B1806,Tabela_Auxiliar[],3,0)</f>
        <v>Saída</v>
      </c>
      <c r="G1806" t="str">
        <f>UPPER(TEXT(Tabela_DB[[#This Row],[DATA]],"mmm"))</f>
        <v>ABR</v>
      </c>
      <c r="H1806" t="str">
        <f>UPPER(TEXT(Tabela_DB[[#This Row],[DATA]],"aaaa"))</f>
        <v>2021</v>
      </c>
    </row>
    <row r="1807" spans="1:8" x14ac:dyDescent="0.25">
      <c r="A1807" s="2">
        <v>44306</v>
      </c>
      <c r="B1807" t="s">
        <v>89</v>
      </c>
      <c r="C1807">
        <v>-2084</v>
      </c>
      <c r="D1807" t="str">
        <f>VLOOKUP(B1807,Tabela_Auxiliar[],2,0)</f>
        <v>4. Despesas Operacionais</v>
      </c>
      <c r="E1807" t="str">
        <f>VLOOKUP(B1807,Tabela_Auxiliar[],4,0)</f>
        <v>Despesa Tributária</v>
      </c>
      <c r="F1807" t="str">
        <f>VLOOKUP(B1807,Tabela_Auxiliar[],3,0)</f>
        <v>Saída</v>
      </c>
      <c r="G1807" t="str">
        <f>UPPER(TEXT(Tabela_DB[[#This Row],[DATA]],"mmm"))</f>
        <v>ABR</v>
      </c>
      <c r="H1807" t="str">
        <f>UPPER(TEXT(Tabela_DB[[#This Row],[DATA]],"aaaa"))</f>
        <v>2021</v>
      </c>
    </row>
    <row r="1808" spans="1:8" x14ac:dyDescent="0.25">
      <c r="A1808" s="2">
        <v>44306</v>
      </c>
      <c r="B1808" t="s">
        <v>49</v>
      </c>
      <c r="C1808">
        <v>-1579</v>
      </c>
      <c r="D1808" t="str">
        <f>VLOOKUP(B1808,Tabela_Auxiliar[],2,0)</f>
        <v>4. Despesas Operacionais</v>
      </c>
      <c r="E1808" t="str">
        <f>VLOOKUP(B1808,Tabela_Auxiliar[],4,0)</f>
        <v>Despesa com Pessoal</v>
      </c>
      <c r="F1808" t="str">
        <f>VLOOKUP(B1808,Tabela_Auxiliar[],3,0)</f>
        <v>Saída</v>
      </c>
      <c r="G1808" t="str">
        <f>UPPER(TEXT(Tabela_DB[[#This Row],[DATA]],"mmm"))</f>
        <v>ABR</v>
      </c>
      <c r="H1808" t="str">
        <f>UPPER(TEXT(Tabela_DB[[#This Row],[DATA]],"aaaa"))</f>
        <v>2021</v>
      </c>
    </row>
    <row r="1809" spans="1:8" x14ac:dyDescent="0.25">
      <c r="A1809" s="2">
        <v>44306</v>
      </c>
      <c r="B1809" t="s">
        <v>74</v>
      </c>
      <c r="C1809">
        <v>-1986</v>
      </c>
      <c r="D1809" t="str">
        <f>VLOOKUP(B1809,Tabela_Auxiliar[],2,0)</f>
        <v>4. Despesas Operacionais</v>
      </c>
      <c r="E1809" t="str">
        <f>VLOOKUP(B1809,Tabela_Auxiliar[],4,0)</f>
        <v>Serviços Contratados</v>
      </c>
      <c r="F1809" t="str">
        <f>VLOOKUP(B1809,Tabela_Auxiliar[],3,0)</f>
        <v>Saída</v>
      </c>
      <c r="G1809" t="str">
        <f>UPPER(TEXT(Tabela_DB[[#This Row],[DATA]],"mmm"))</f>
        <v>ABR</v>
      </c>
      <c r="H1809" t="str">
        <f>UPPER(TEXT(Tabela_DB[[#This Row],[DATA]],"aaaa"))</f>
        <v>2021</v>
      </c>
    </row>
    <row r="1810" spans="1:8" x14ac:dyDescent="0.25">
      <c r="A1810" s="2">
        <v>44306</v>
      </c>
      <c r="B1810" t="s">
        <v>111</v>
      </c>
      <c r="C1810">
        <v>-1696</v>
      </c>
      <c r="D1810" t="str">
        <f>VLOOKUP(B1810,Tabela_Auxiliar[],2,0)</f>
        <v>2. Deduções da Receita</v>
      </c>
      <c r="E1810" t="str">
        <f>VLOOKUP(B1810,Tabela_Auxiliar[],4,0)</f>
        <v>Imposto</v>
      </c>
      <c r="F1810" t="str">
        <f>VLOOKUP(B1810,Tabela_Auxiliar[],3,0)</f>
        <v>Saída</v>
      </c>
      <c r="G1810" t="str">
        <f>UPPER(TEXT(Tabela_DB[[#This Row],[DATA]],"mmm"))</f>
        <v>ABR</v>
      </c>
      <c r="H1810" t="str">
        <f>UPPER(TEXT(Tabela_DB[[#This Row],[DATA]],"aaaa"))</f>
        <v>2021</v>
      </c>
    </row>
    <row r="1811" spans="1:8" x14ac:dyDescent="0.25">
      <c r="A1811" s="2">
        <v>44306</v>
      </c>
      <c r="B1811" t="s">
        <v>3</v>
      </c>
      <c r="C1811">
        <v>10988</v>
      </c>
      <c r="D1811" t="str">
        <f>VLOOKUP(B1811,Tabela_Auxiliar[],2,0)</f>
        <v>1. Receita Operacional Bruta</v>
      </c>
      <c r="E1811" t="str">
        <f>VLOOKUP(B1811,Tabela_Auxiliar[],4,0)</f>
        <v>Receita Bruta</v>
      </c>
      <c r="F1811" t="str">
        <f>VLOOKUP(B1811,Tabela_Auxiliar[],3,0)</f>
        <v>Entrada</v>
      </c>
      <c r="G1811" t="str">
        <f>UPPER(TEXT(Tabela_DB[[#This Row],[DATA]],"mmm"))</f>
        <v>ABR</v>
      </c>
      <c r="H1811" t="str">
        <f>UPPER(TEXT(Tabela_DB[[#This Row],[DATA]],"aaaa"))</f>
        <v>2021</v>
      </c>
    </row>
    <row r="1812" spans="1:8" x14ac:dyDescent="0.25">
      <c r="A1812" s="2">
        <v>44307</v>
      </c>
      <c r="B1812" t="s">
        <v>37</v>
      </c>
      <c r="C1812">
        <v>-3538</v>
      </c>
      <c r="D1812" t="str">
        <f>VLOOKUP(B1812,Tabela_Auxiliar[],2,0)</f>
        <v>3. Custos do Produto/Mercadoria/Serviço</v>
      </c>
      <c r="E1812" t="str">
        <f>VLOOKUP(B1812,Tabela_Auxiliar[],4,0)</f>
        <v>Despesas c/ Produto</v>
      </c>
      <c r="F1812" t="str">
        <f>VLOOKUP(B1812,Tabela_Auxiliar[],3,0)</f>
        <v>Saída</v>
      </c>
      <c r="G1812" t="str">
        <f>UPPER(TEXT(Tabela_DB[[#This Row],[DATA]],"mmm"))</f>
        <v>ABR</v>
      </c>
      <c r="H1812" t="str">
        <f>UPPER(TEXT(Tabela_DB[[#This Row],[DATA]],"aaaa"))</f>
        <v>2021</v>
      </c>
    </row>
    <row r="1813" spans="1:8" x14ac:dyDescent="0.25">
      <c r="A1813" s="2">
        <v>44307</v>
      </c>
      <c r="B1813" t="s">
        <v>4</v>
      </c>
      <c r="C1813">
        <v>11444</v>
      </c>
      <c r="D1813" t="str">
        <f>VLOOKUP(B1813,Tabela_Auxiliar[],2,0)</f>
        <v>1. Receita Operacional Bruta</v>
      </c>
      <c r="E1813" t="str">
        <f>VLOOKUP(B1813,Tabela_Auxiliar[],4,0)</f>
        <v>Receita Bruta</v>
      </c>
      <c r="F1813" t="str">
        <f>VLOOKUP(B1813,Tabela_Auxiliar[],3,0)</f>
        <v>Entrada</v>
      </c>
      <c r="G1813" t="str">
        <f>UPPER(TEXT(Tabela_DB[[#This Row],[DATA]],"mmm"))</f>
        <v>ABR</v>
      </c>
      <c r="H1813" t="str">
        <f>UPPER(TEXT(Tabela_DB[[#This Row],[DATA]],"aaaa"))</f>
        <v>2021</v>
      </c>
    </row>
    <row r="1814" spans="1:8" x14ac:dyDescent="0.25">
      <c r="A1814" s="2">
        <v>44307</v>
      </c>
      <c r="B1814" t="s">
        <v>4</v>
      </c>
      <c r="C1814">
        <v>11223</v>
      </c>
      <c r="D1814" t="str">
        <f>VLOOKUP(B1814,Tabela_Auxiliar[],2,0)</f>
        <v>1. Receita Operacional Bruta</v>
      </c>
      <c r="E1814" t="str">
        <f>VLOOKUP(B1814,Tabela_Auxiliar[],4,0)</f>
        <v>Receita Bruta</v>
      </c>
      <c r="F1814" t="str">
        <f>VLOOKUP(B1814,Tabela_Auxiliar[],3,0)</f>
        <v>Entrada</v>
      </c>
      <c r="G1814" t="str">
        <f>UPPER(TEXT(Tabela_DB[[#This Row],[DATA]],"mmm"))</f>
        <v>ABR</v>
      </c>
      <c r="H1814" t="str">
        <f>UPPER(TEXT(Tabela_DB[[#This Row],[DATA]],"aaaa"))</f>
        <v>2021</v>
      </c>
    </row>
    <row r="1815" spans="1:8" x14ac:dyDescent="0.25">
      <c r="A1815" s="2">
        <v>44307</v>
      </c>
      <c r="B1815" t="s">
        <v>79</v>
      </c>
      <c r="C1815">
        <v>-1227</v>
      </c>
      <c r="D1815" t="str">
        <f>VLOOKUP(B1815,Tabela_Auxiliar[],2,0)</f>
        <v>4. Despesas Operacionais</v>
      </c>
      <c r="E1815" t="str">
        <f>VLOOKUP(B1815,Tabela_Auxiliar[],4,0)</f>
        <v>Serviços Contratados</v>
      </c>
      <c r="F1815" t="str">
        <f>VLOOKUP(B1815,Tabela_Auxiliar[],3,0)</f>
        <v>Saída</v>
      </c>
      <c r="G1815" t="str">
        <f>UPPER(TEXT(Tabela_DB[[#This Row],[DATA]],"mmm"))</f>
        <v>ABR</v>
      </c>
      <c r="H1815" t="str">
        <f>UPPER(TEXT(Tabela_DB[[#This Row],[DATA]],"aaaa"))</f>
        <v>2021</v>
      </c>
    </row>
    <row r="1816" spans="1:8" x14ac:dyDescent="0.25">
      <c r="A1816" s="2">
        <v>44307</v>
      </c>
      <c r="B1816" t="s">
        <v>37</v>
      </c>
      <c r="C1816">
        <v>-4050</v>
      </c>
      <c r="D1816" t="str">
        <f>VLOOKUP(B1816,Tabela_Auxiliar[],2,0)</f>
        <v>3. Custos do Produto/Mercadoria/Serviço</v>
      </c>
      <c r="E1816" t="str">
        <f>VLOOKUP(B1816,Tabela_Auxiliar[],4,0)</f>
        <v>Despesas c/ Produto</v>
      </c>
      <c r="F1816" t="str">
        <f>VLOOKUP(B1816,Tabela_Auxiliar[],3,0)</f>
        <v>Saída</v>
      </c>
      <c r="G1816" t="str">
        <f>UPPER(TEXT(Tabela_DB[[#This Row],[DATA]],"mmm"))</f>
        <v>ABR</v>
      </c>
      <c r="H1816" t="str">
        <f>UPPER(TEXT(Tabela_DB[[#This Row],[DATA]],"aaaa"))</f>
        <v>2021</v>
      </c>
    </row>
    <row r="1817" spans="1:8" x14ac:dyDescent="0.25">
      <c r="A1817" s="2">
        <v>44307</v>
      </c>
      <c r="B1817" t="s">
        <v>38</v>
      </c>
      <c r="C1817">
        <v>-1495</v>
      </c>
      <c r="D1817" t="str">
        <f>VLOOKUP(B1817,Tabela_Auxiliar[],2,0)</f>
        <v>2. Deduções da Receita</v>
      </c>
      <c r="E1817" t="str">
        <f>VLOOKUP(B1817,Tabela_Auxiliar[],4,0)</f>
        <v>Deduções</v>
      </c>
      <c r="F1817" t="str">
        <f>VLOOKUP(B1817,Tabela_Auxiliar[],3,0)</f>
        <v>Saída</v>
      </c>
      <c r="G1817" t="str">
        <f>UPPER(TEXT(Tabela_DB[[#This Row],[DATA]],"mmm"))</f>
        <v>ABR</v>
      </c>
      <c r="H1817" t="str">
        <f>UPPER(TEXT(Tabela_DB[[#This Row],[DATA]],"aaaa"))</f>
        <v>2021</v>
      </c>
    </row>
    <row r="1818" spans="1:8" x14ac:dyDescent="0.25">
      <c r="A1818" s="2">
        <v>44307</v>
      </c>
      <c r="B1818" t="s">
        <v>62</v>
      </c>
      <c r="C1818">
        <v>-1518</v>
      </c>
      <c r="D1818" t="str">
        <f>VLOOKUP(B1818,Tabela_Auxiliar[],2,0)</f>
        <v>4. Despesas Operacionais</v>
      </c>
      <c r="E1818" t="str">
        <f>VLOOKUP(B1818,Tabela_Auxiliar[],4,0)</f>
        <v>Despesa Gerais</v>
      </c>
      <c r="F1818" t="str">
        <f>VLOOKUP(B1818,Tabela_Auxiliar[],3,0)</f>
        <v>Saída</v>
      </c>
      <c r="G1818" t="str">
        <f>UPPER(TEXT(Tabela_DB[[#This Row],[DATA]],"mmm"))</f>
        <v>ABR</v>
      </c>
      <c r="H1818" t="str">
        <f>UPPER(TEXT(Tabela_DB[[#This Row],[DATA]],"aaaa"))</f>
        <v>2021</v>
      </c>
    </row>
    <row r="1819" spans="1:8" x14ac:dyDescent="0.25">
      <c r="A1819" s="2">
        <v>44307</v>
      </c>
      <c r="B1819" t="s">
        <v>63</v>
      </c>
      <c r="C1819">
        <v>-1430</v>
      </c>
      <c r="D1819" t="str">
        <f>VLOOKUP(B1819,Tabela_Auxiliar[],2,0)</f>
        <v>4. Despesas Operacionais</v>
      </c>
      <c r="E1819" t="str">
        <f>VLOOKUP(B1819,Tabela_Auxiliar[],4,0)</f>
        <v>Despesa Gerais</v>
      </c>
      <c r="F1819" t="str">
        <f>VLOOKUP(B1819,Tabela_Auxiliar[],3,0)</f>
        <v>Saída</v>
      </c>
      <c r="G1819" t="str">
        <f>UPPER(TEXT(Tabela_DB[[#This Row],[DATA]],"mmm"))</f>
        <v>ABR</v>
      </c>
      <c r="H1819" t="str">
        <f>UPPER(TEXT(Tabela_DB[[#This Row],[DATA]],"aaaa"))</f>
        <v>2021</v>
      </c>
    </row>
    <row r="1820" spans="1:8" x14ac:dyDescent="0.25">
      <c r="A1820" s="2">
        <v>44307</v>
      </c>
      <c r="B1820" t="s">
        <v>37</v>
      </c>
      <c r="C1820">
        <v>-2810</v>
      </c>
      <c r="D1820" t="str">
        <f>VLOOKUP(B1820,Tabela_Auxiliar[],2,0)</f>
        <v>3. Custos do Produto/Mercadoria/Serviço</v>
      </c>
      <c r="E1820" t="str">
        <f>VLOOKUP(B1820,Tabela_Auxiliar[],4,0)</f>
        <v>Despesas c/ Produto</v>
      </c>
      <c r="F1820" t="str">
        <f>VLOOKUP(B1820,Tabela_Auxiliar[],3,0)</f>
        <v>Saída</v>
      </c>
      <c r="G1820" t="str">
        <f>UPPER(TEXT(Tabela_DB[[#This Row],[DATA]],"mmm"))</f>
        <v>ABR</v>
      </c>
      <c r="H1820" t="str">
        <f>UPPER(TEXT(Tabela_DB[[#This Row],[DATA]],"aaaa"))</f>
        <v>2021</v>
      </c>
    </row>
    <row r="1821" spans="1:8" x14ac:dyDescent="0.25">
      <c r="A1821" s="2">
        <v>44307</v>
      </c>
      <c r="B1821" t="s">
        <v>35</v>
      </c>
      <c r="C1821">
        <v>-1442</v>
      </c>
      <c r="D1821" t="str">
        <f>VLOOKUP(B1821,Tabela_Auxiliar[],2,0)</f>
        <v>2. Deduções da Receita</v>
      </c>
      <c r="E1821" t="str">
        <f>VLOOKUP(B1821,Tabela_Auxiliar[],4,0)</f>
        <v>Imposto</v>
      </c>
      <c r="F1821" t="str">
        <f>VLOOKUP(B1821,Tabela_Auxiliar[],3,0)</f>
        <v>Saída</v>
      </c>
      <c r="G1821" t="str">
        <f>UPPER(TEXT(Tabela_DB[[#This Row],[DATA]],"mmm"))</f>
        <v>ABR</v>
      </c>
      <c r="H1821" t="str">
        <f>UPPER(TEXT(Tabela_DB[[#This Row],[DATA]],"aaaa"))</f>
        <v>2021</v>
      </c>
    </row>
    <row r="1822" spans="1:8" x14ac:dyDescent="0.25">
      <c r="A1822" s="2">
        <v>44307</v>
      </c>
      <c r="B1822" t="s">
        <v>49</v>
      </c>
      <c r="C1822">
        <v>-2032</v>
      </c>
      <c r="D1822" t="str">
        <f>VLOOKUP(B1822,Tabela_Auxiliar[],2,0)</f>
        <v>4. Despesas Operacionais</v>
      </c>
      <c r="E1822" t="str">
        <f>VLOOKUP(B1822,Tabela_Auxiliar[],4,0)</f>
        <v>Despesa com Pessoal</v>
      </c>
      <c r="F1822" t="str">
        <f>VLOOKUP(B1822,Tabela_Auxiliar[],3,0)</f>
        <v>Saída</v>
      </c>
      <c r="G1822" t="str">
        <f>UPPER(TEXT(Tabela_DB[[#This Row],[DATA]],"mmm"))</f>
        <v>ABR</v>
      </c>
      <c r="H1822" t="str">
        <f>UPPER(TEXT(Tabela_DB[[#This Row],[DATA]],"aaaa"))</f>
        <v>2021</v>
      </c>
    </row>
    <row r="1823" spans="1:8" x14ac:dyDescent="0.25">
      <c r="A1823" s="2">
        <v>44307</v>
      </c>
      <c r="B1823" t="s">
        <v>34</v>
      </c>
      <c r="C1823">
        <v>-1519</v>
      </c>
      <c r="D1823" t="str">
        <f>VLOOKUP(B1823,Tabela_Auxiliar[],2,0)</f>
        <v>2. Deduções da Receita</v>
      </c>
      <c r="E1823" t="str">
        <f>VLOOKUP(B1823,Tabela_Auxiliar[],4,0)</f>
        <v>Imposto</v>
      </c>
      <c r="F1823" t="str">
        <f>VLOOKUP(B1823,Tabela_Auxiliar[],3,0)</f>
        <v>Saída</v>
      </c>
      <c r="G1823" t="str">
        <f>UPPER(TEXT(Tabela_DB[[#This Row],[DATA]],"mmm"))</f>
        <v>ABR</v>
      </c>
      <c r="H1823" t="str">
        <f>UPPER(TEXT(Tabela_DB[[#This Row],[DATA]],"aaaa"))</f>
        <v>2021</v>
      </c>
    </row>
    <row r="1824" spans="1:8" x14ac:dyDescent="0.25">
      <c r="A1824" s="2">
        <v>44307</v>
      </c>
      <c r="B1824" t="s">
        <v>8</v>
      </c>
      <c r="C1824">
        <v>-2033</v>
      </c>
      <c r="D1824" t="str">
        <f>VLOOKUP(B1824,Tabela_Auxiliar[],2,0)</f>
        <v>4. Despesas Operacionais</v>
      </c>
      <c r="E1824" t="str">
        <f>VLOOKUP(B1824,Tabela_Auxiliar[],4,0)</f>
        <v>Despesa com Pessoal</v>
      </c>
      <c r="F1824" t="str">
        <f>VLOOKUP(B1824,Tabela_Auxiliar[],3,0)</f>
        <v>Saída</v>
      </c>
      <c r="G1824" t="str">
        <f>UPPER(TEXT(Tabela_DB[[#This Row],[DATA]],"mmm"))</f>
        <v>ABR</v>
      </c>
      <c r="H1824" t="str">
        <f>UPPER(TEXT(Tabela_DB[[#This Row],[DATA]],"aaaa"))</f>
        <v>2021</v>
      </c>
    </row>
    <row r="1825" spans="1:8" x14ac:dyDescent="0.25">
      <c r="A1825" s="2">
        <v>44307</v>
      </c>
      <c r="B1825" t="s">
        <v>111</v>
      </c>
      <c r="C1825">
        <v>-1254</v>
      </c>
      <c r="D1825" t="str">
        <f>VLOOKUP(B1825,Tabela_Auxiliar[],2,0)</f>
        <v>2. Deduções da Receita</v>
      </c>
      <c r="E1825" t="str">
        <f>VLOOKUP(B1825,Tabela_Auxiliar[],4,0)</f>
        <v>Imposto</v>
      </c>
      <c r="F1825" t="str">
        <f>VLOOKUP(B1825,Tabela_Auxiliar[],3,0)</f>
        <v>Saída</v>
      </c>
      <c r="G1825" t="str">
        <f>UPPER(TEXT(Tabela_DB[[#This Row],[DATA]],"mmm"))</f>
        <v>ABR</v>
      </c>
      <c r="H1825" t="str">
        <f>UPPER(TEXT(Tabela_DB[[#This Row],[DATA]],"aaaa"))</f>
        <v>2021</v>
      </c>
    </row>
    <row r="1826" spans="1:8" x14ac:dyDescent="0.25">
      <c r="A1826" s="2">
        <v>44307</v>
      </c>
      <c r="B1826" t="s">
        <v>111</v>
      </c>
      <c r="C1826">
        <v>-1706</v>
      </c>
      <c r="D1826" t="str">
        <f>VLOOKUP(B1826,Tabela_Auxiliar[],2,0)</f>
        <v>2. Deduções da Receita</v>
      </c>
      <c r="E1826" t="str">
        <f>VLOOKUP(B1826,Tabela_Auxiliar[],4,0)</f>
        <v>Imposto</v>
      </c>
      <c r="F1826" t="str">
        <f>VLOOKUP(B1826,Tabela_Auxiliar[],3,0)</f>
        <v>Saída</v>
      </c>
      <c r="G1826" t="str">
        <f>UPPER(TEXT(Tabela_DB[[#This Row],[DATA]],"mmm"))</f>
        <v>ABR</v>
      </c>
      <c r="H1826" t="str">
        <f>UPPER(TEXT(Tabela_DB[[#This Row],[DATA]],"aaaa"))</f>
        <v>2021</v>
      </c>
    </row>
    <row r="1827" spans="1:8" x14ac:dyDescent="0.25">
      <c r="A1827" s="2">
        <v>44307</v>
      </c>
      <c r="B1827" t="s">
        <v>62</v>
      </c>
      <c r="C1827">
        <v>-1659</v>
      </c>
      <c r="D1827" t="str">
        <f>VLOOKUP(B1827,Tabela_Auxiliar[],2,0)</f>
        <v>4. Despesas Operacionais</v>
      </c>
      <c r="E1827" t="str">
        <f>VLOOKUP(B1827,Tabela_Auxiliar[],4,0)</f>
        <v>Despesa Gerais</v>
      </c>
      <c r="F1827" t="str">
        <f>VLOOKUP(B1827,Tabela_Auxiliar[],3,0)</f>
        <v>Saída</v>
      </c>
      <c r="G1827" t="str">
        <f>UPPER(TEXT(Tabela_DB[[#This Row],[DATA]],"mmm"))</f>
        <v>ABR</v>
      </c>
      <c r="H1827" t="str">
        <f>UPPER(TEXT(Tabela_DB[[#This Row],[DATA]],"aaaa"))</f>
        <v>2021</v>
      </c>
    </row>
    <row r="1828" spans="1:8" x14ac:dyDescent="0.25">
      <c r="A1828" s="2">
        <v>44308</v>
      </c>
      <c r="B1828" t="s">
        <v>75</v>
      </c>
      <c r="C1828">
        <v>-1112</v>
      </c>
      <c r="D1828" t="str">
        <f>VLOOKUP(B1828,Tabela_Auxiliar[],2,0)</f>
        <v>4. Despesas Operacionais</v>
      </c>
      <c r="E1828" t="str">
        <f>VLOOKUP(B1828,Tabela_Auxiliar[],4,0)</f>
        <v>Serviços Contratados</v>
      </c>
      <c r="F1828" t="str">
        <f>VLOOKUP(B1828,Tabela_Auxiliar[],3,0)</f>
        <v>Saída</v>
      </c>
      <c r="G1828" t="str">
        <f>UPPER(TEXT(Tabela_DB[[#This Row],[DATA]],"mmm"))</f>
        <v>ABR</v>
      </c>
      <c r="H1828" t="str">
        <f>UPPER(TEXT(Tabela_DB[[#This Row],[DATA]],"aaaa"))</f>
        <v>2021</v>
      </c>
    </row>
    <row r="1829" spans="1:8" x14ac:dyDescent="0.25">
      <c r="A1829" s="2">
        <v>44308</v>
      </c>
      <c r="B1829" t="s">
        <v>37</v>
      </c>
      <c r="C1829">
        <v>-4723</v>
      </c>
      <c r="D1829" t="str">
        <f>VLOOKUP(B1829,Tabela_Auxiliar[],2,0)</f>
        <v>3. Custos do Produto/Mercadoria/Serviço</v>
      </c>
      <c r="E1829" t="str">
        <f>VLOOKUP(B1829,Tabela_Auxiliar[],4,0)</f>
        <v>Despesas c/ Produto</v>
      </c>
      <c r="F1829" t="str">
        <f>VLOOKUP(B1829,Tabela_Auxiliar[],3,0)</f>
        <v>Saída</v>
      </c>
      <c r="G1829" t="str">
        <f>UPPER(TEXT(Tabela_DB[[#This Row],[DATA]],"mmm"))</f>
        <v>ABR</v>
      </c>
      <c r="H1829" t="str">
        <f>UPPER(TEXT(Tabela_DB[[#This Row],[DATA]],"aaaa"))</f>
        <v>2021</v>
      </c>
    </row>
    <row r="1830" spans="1:8" x14ac:dyDescent="0.25">
      <c r="A1830" s="2">
        <v>44308</v>
      </c>
      <c r="B1830" t="s">
        <v>67</v>
      </c>
      <c r="C1830">
        <v>-2220</v>
      </c>
      <c r="D1830" t="str">
        <f>VLOOKUP(B1830,Tabela_Auxiliar[],2,0)</f>
        <v>4. Despesas Operacionais</v>
      </c>
      <c r="E1830" t="str">
        <f>VLOOKUP(B1830,Tabela_Auxiliar[],4,0)</f>
        <v>Despesa com Vendas</v>
      </c>
      <c r="F1830" t="str">
        <f>VLOOKUP(B1830,Tabela_Auxiliar[],3,0)</f>
        <v>Saída</v>
      </c>
      <c r="G1830" t="str">
        <f>UPPER(TEXT(Tabela_DB[[#This Row],[DATA]],"mmm"))</f>
        <v>ABR</v>
      </c>
      <c r="H1830" t="str">
        <f>UPPER(TEXT(Tabela_DB[[#This Row],[DATA]],"aaaa"))</f>
        <v>2021</v>
      </c>
    </row>
    <row r="1831" spans="1:8" x14ac:dyDescent="0.25">
      <c r="A1831" s="2">
        <v>44308</v>
      </c>
      <c r="B1831" t="s">
        <v>4</v>
      </c>
      <c r="C1831">
        <v>11161</v>
      </c>
      <c r="D1831" t="str">
        <f>VLOOKUP(B1831,Tabela_Auxiliar[],2,0)</f>
        <v>1. Receita Operacional Bruta</v>
      </c>
      <c r="E1831" t="str">
        <f>VLOOKUP(B1831,Tabela_Auxiliar[],4,0)</f>
        <v>Receita Bruta</v>
      </c>
      <c r="F1831" t="str">
        <f>VLOOKUP(B1831,Tabela_Auxiliar[],3,0)</f>
        <v>Entrada</v>
      </c>
      <c r="G1831" t="str">
        <f>UPPER(TEXT(Tabela_DB[[#This Row],[DATA]],"mmm"))</f>
        <v>ABR</v>
      </c>
      <c r="H1831" t="str">
        <f>UPPER(TEXT(Tabela_DB[[#This Row],[DATA]],"aaaa"))</f>
        <v>2021</v>
      </c>
    </row>
    <row r="1832" spans="1:8" x14ac:dyDescent="0.25">
      <c r="A1832" s="2">
        <v>44308</v>
      </c>
      <c r="B1832" t="s">
        <v>37</v>
      </c>
      <c r="C1832">
        <v>-4301</v>
      </c>
      <c r="D1832" t="str">
        <f>VLOOKUP(B1832,Tabela_Auxiliar[],2,0)</f>
        <v>3. Custos do Produto/Mercadoria/Serviço</v>
      </c>
      <c r="E1832" t="str">
        <f>VLOOKUP(B1832,Tabela_Auxiliar[],4,0)</f>
        <v>Despesas c/ Produto</v>
      </c>
      <c r="F1832" t="str">
        <f>VLOOKUP(B1832,Tabela_Auxiliar[],3,0)</f>
        <v>Saída</v>
      </c>
      <c r="G1832" t="str">
        <f>UPPER(TEXT(Tabela_DB[[#This Row],[DATA]],"mmm"))</f>
        <v>ABR</v>
      </c>
      <c r="H1832" t="str">
        <f>UPPER(TEXT(Tabela_DB[[#This Row],[DATA]],"aaaa"))</f>
        <v>2021</v>
      </c>
    </row>
    <row r="1833" spans="1:8" x14ac:dyDescent="0.25">
      <c r="A1833" s="2">
        <v>44308</v>
      </c>
      <c r="B1833" t="s">
        <v>34</v>
      </c>
      <c r="C1833">
        <v>-1626</v>
      </c>
      <c r="D1833" t="str">
        <f>VLOOKUP(B1833,Tabela_Auxiliar[],2,0)</f>
        <v>2. Deduções da Receita</v>
      </c>
      <c r="E1833" t="str">
        <f>VLOOKUP(B1833,Tabela_Auxiliar[],4,0)</f>
        <v>Imposto</v>
      </c>
      <c r="F1833" t="str">
        <f>VLOOKUP(B1833,Tabela_Auxiliar[],3,0)</f>
        <v>Saída</v>
      </c>
      <c r="G1833" t="str">
        <f>UPPER(TEXT(Tabela_DB[[#This Row],[DATA]],"mmm"))</f>
        <v>ABR</v>
      </c>
      <c r="H1833" t="str">
        <f>UPPER(TEXT(Tabela_DB[[#This Row],[DATA]],"aaaa"))</f>
        <v>2021</v>
      </c>
    </row>
    <row r="1834" spans="1:8" x14ac:dyDescent="0.25">
      <c r="A1834" s="2">
        <v>44308</v>
      </c>
      <c r="B1834" t="s">
        <v>38</v>
      </c>
      <c r="C1834">
        <v>-1145</v>
      </c>
      <c r="D1834" t="str">
        <f>VLOOKUP(B1834,Tabela_Auxiliar[],2,0)</f>
        <v>2. Deduções da Receita</v>
      </c>
      <c r="E1834" t="str">
        <f>VLOOKUP(B1834,Tabela_Auxiliar[],4,0)</f>
        <v>Deduções</v>
      </c>
      <c r="F1834" t="str">
        <f>VLOOKUP(B1834,Tabela_Auxiliar[],3,0)</f>
        <v>Saída</v>
      </c>
      <c r="G1834" t="str">
        <f>UPPER(TEXT(Tabela_DB[[#This Row],[DATA]],"mmm"))</f>
        <v>ABR</v>
      </c>
      <c r="H1834" t="str">
        <f>UPPER(TEXT(Tabela_DB[[#This Row],[DATA]],"aaaa"))</f>
        <v>2021</v>
      </c>
    </row>
    <row r="1835" spans="1:8" x14ac:dyDescent="0.25">
      <c r="A1835" s="2">
        <v>44308</v>
      </c>
      <c r="B1835" t="s">
        <v>51</v>
      </c>
      <c r="C1835">
        <v>-1127</v>
      </c>
      <c r="D1835" t="str">
        <f>VLOOKUP(B1835,Tabela_Auxiliar[],2,0)</f>
        <v>4. Despesas Operacionais</v>
      </c>
      <c r="E1835" t="str">
        <f>VLOOKUP(B1835,Tabela_Auxiliar[],4,0)</f>
        <v>Despesa com Pessoal</v>
      </c>
      <c r="F1835" t="str">
        <f>VLOOKUP(B1835,Tabela_Auxiliar[],3,0)</f>
        <v>Saída</v>
      </c>
      <c r="G1835" t="str">
        <f>UPPER(TEXT(Tabela_DB[[#This Row],[DATA]],"mmm"))</f>
        <v>ABR</v>
      </c>
      <c r="H1835" t="str">
        <f>UPPER(TEXT(Tabela_DB[[#This Row],[DATA]],"aaaa"))</f>
        <v>2021</v>
      </c>
    </row>
    <row r="1836" spans="1:8" x14ac:dyDescent="0.25">
      <c r="A1836" s="2">
        <v>44308</v>
      </c>
      <c r="B1836" t="s">
        <v>4</v>
      </c>
      <c r="C1836">
        <v>14220</v>
      </c>
      <c r="D1836" t="str">
        <f>VLOOKUP(B1836,Tabela_Auxiliar[],2,0)</f>
        <v>1. Receita Operacional Bruta</v>
      </c>
      <c r="E1836" t="str">
        <f>VLOOKUP(B1836,Tabela_Auxiliar[],4,0)</f>
        <v>Receita Bruta</v>
      </c>
      <c r="F1836" t="str">
        <f>VLOOKUP(B1836,Tabela_Auxiliar[],3,0)</f>
        <v>Entrada</v>
      </c>
      <c r="G1836" t="str">
        <f>UPPER(TEXT(Tabela_DB[[#This Row],[DATA]],"mmm"))</f>
        <v>ABR</v>
      </c>
      <c r="H1836" t="str">
        <f>UPPER(TEXT(Tabela_DB[[#This Row],[DATA]],"aaaa"))</f>
        <v>2021</v>
      </c>
    </row>
    <row r="1837" spans="1:8" x14ac:dyDescent="0.25">
      <c r="A1837" s="2">
        <v>44308</v>
      </c>
      <c r="B1837" t="s">
        <v>62</v>
      </c>
      <c r="C1837">
        <v>-1264</v>
      </c>
      <c r="D1837" t="str">
        <f>VLOOKUP(B1837,Tabela_Auxiliar[],2,0)</f>
        <v>4. Despesas Operacionais</v>
      </c>
      <c r="E1837" t="str">
        <f>VLOOKUP(B1837,Tabela_Auxiliar[],4,0)</f>
        <v>Despesa Gerais</v>
      </c>
      <c r="F1837" t="str">
        <f>VLOOKUP(B1837,Tabela_Auxiliar[],3,0)</f>
        <v>Saída</v>
      </c>
      <c r="G1837" t="str">
        <f>UPPER(TEXT(Tabela_DB[[#This Row],[DATA]],"mmm"))</f>
        <v>ABR</v>
      </c>
      <c r="H1837" t="str">
        <f>UPPER(TEXT(Tabela_DB[[#This Row],[DATA]],"aaaa"))</f>
        <v>2021</v>
      </c>
    </row>
    <row r="1838" spans="1:8" x14ac:dyDescent="0.25">
      <c r="A1838" s="2">
        <v>44308</v>
      </c>
      <c r="B1838" t="s">
        <v>45</v>
      </c>
      <c r="C1838">
        <v>-1682</v>
      </c>
      <c r="D1838" t="str">
        <f>VLOOKUP(B1838,Tabela_Auxiliar[],2,0)</f>
        <v>4. Despesas Operacionais</v>
      </c>
      <c r="E1838" t="str">
        <f>VLOOKUP(B1838,Tabela_Auxiliar[],4,0)</f>
        <v>Despesa com Pessoal</v>
      </c>
      <c r="F1838" t="str">
        <f>VLOOKUP(B1838,Tabela_Auxiliar[],3,0)</f>
        <v>Saída</v>
      </c>
      <c r="G1838" t="str">
        <f>UPPER(TEXT(Tabela_DB[[#This Row],[DATA]],"mmm"))</f>
        <v>ABR</v>
      </c>
      <c r="H1838" t="str">
        <f>UPPER(TEXT(Tabela_DB[[#This Row],[DATA]],"aaaa"))</f>
        <v>2021</v>
      </c>
    </row>
    <row r="1839" spans="1:8" x14ac:dyDescent="0.25">
      <c r="A1839" s="2">
        <v>44308</v>
      </c>
      <c r="B1839" t="s">
        <v>52</v>
      </c>
      <c r="C1839">
        <v>-1675</v>
      </c>
      <c r="D1839" t="str">
        <f>VLOOKUP(B1839,Tabela_Auxiliar[],2,0)</f>
        <v>4. Despesas Operacionais</v>
      </c>
      <c r="E1839" t="str">
        <f>VLOOKUP(B1839,Tabela_Auxiliar[],4,0)</f>
        <v>Despesa com Pessoal</v>
      </c>
      <c r="F1839" t="str">
        <f>VLOOKUP(B1839,Tabela_Auxiliar[],3,0)</f>
        <v>Saída</v>
      </c>
      <c r="G1839" t="str">
        <f>UPPER(TEXT(Tabela_DB[[#This Row],[DATA]],"mmm"))</f>
        <v>ABR</v>
      </c>
      <c r="H1839" t="str">
        <f>UPPER(TEXT(Tabela_DB[[#This Row],[DATA]],"aaaa"))</f>
        <v>2021</v>
      </c>
    </row>
    <row r="1840" spans="1:8" x14ac:dyDescent="0.25">
      <c r="A1840" s="2">
        <v>44308</v>
      </c>
      <c r="B1840" t="s">
        <v>34</v>
      </c>
      <c r="C1840">
        <v>-1798</v>
      </c>
      <c r="D1840" t="str">
        <f>VLOOKUP(B1840,Tabela_Auxiliar[],2,0)</f>
        <v>2. Deduções da Receita</v>
      </c>
      <c r="E1840" t="str">
        <f>VLOOKUP(B1840,Tabela_Auxiliar[],4,0)</f>
        <v>Imposto</v>
      </c>
      <c r="F1840" t="str">
        <f>VLOOKUP(B1840,Tabela_Auxiliar[],3,0)</f>
        <v>Saída</v>
      </c>
      <c r="G1840" t="str">
        <f>UPPER(TEXT(Tabela_DB[[#This Row],[DATA]],"mmm"))</f>
        <v>ABR</v>
      </c>
      <c r="H1840" t="str">
        <f>UPPER(TEXT(Tabela_DB[[#This Row],[DATA]],"aaaa"))</f>
        <v>2021</v>
      </c>
    </row>
    <row r="1841" spans="1:8" x14ac:dyDescent="0.25">
      <c r="A1841" s="2">
        <v>44308</v>
      </c>
      <c r="B1841" t="s">
        <v>3</v>
      </c>
      <c r="C1841">
        <v>12252</v>
      </c>
      <c r="D1841" t="str">
        <f>VLOOKUP(B1841,Tabela_Auxiliar[],2,0)</f>
        <v>1. Receita Operacional Bruta</v>
      </c>
      <c r="E1841" t="str">
        <f>VLOOKUP(B1841,Tabela_Auxiliar[],4,0)</f>
        <v>Receita Bruta</v>
      </c>
      <c r="F1841" t="str">
        <f>VLOOKUP(B1841,Tabela_Auxiliar[],3,0)</f>
        <v>Entrada</v>
      </c>
      <c r="G1841" t="str">
        <f>UPPER(TEXT(Tabela_DB[[#This Row],[DATA]],"mmm"))</f>
        <v>ABR</v>
      </c>
      <c r="H1841" t="str">
        <f>UPPER(TEXT(Tabela_DB[[#This Row],[DATA]],"aaaa"))</f>
        <v>2021</v>
      </c>
    </row>
    <row r="1842" spans="1:8" x14ac:dyDescent="0.25">
      <c r="A1842" s="2">
        <v>44309</v>
      </c>
      <c r="B1842" t="s">
        <v>59</v>
      </c>
      <c r="C1842">
        <v>-1046</v>
      </c>
      <c r="D1842" t="str">
        <f>VLOOKUP(B1842,Tabela_Auxiliar[],2,0)</f>
        <v>4. Despesas Operacionais</v>
      </c>
      <c r="E1842" t="str">
        <f>VLOOKUP(B1842,Tabela_Auxiliar[],4,0)</f>
        <v>Despesa de Depreciação</v>
      </c>
      <c r="F1842" t="str">
        <f>VLOOKUP(B1842,Tabela_Auxiliar[],3,0)</f>
        <v>Saída</v>
      </c>
      <c r="G1842" t="str">
        <f>UPPER(TEXT(Tabela_DB[[#This Row],[DATA]],"mmm"))</f>
        <v>ABR</v>
      </c>
      <c r="H1842" t="str">
        <f>UPPER(TEXT(Tabela_DB[[#This Row],[DATA]],"aaaa"))</f>
        <v>2021</v>
      </c>
    </row>
    <row r="1843" spans="1:8" x14ac:dyDescent="0.25">
      <c r="A1843" s="2">
        <v>44309</v>
      </c>
      <c r="B1843" t="s">
        <v>67</v>
      </c>
      <c r="C1843">
        <v>-2189</v>
      </c>
      <c r="D1843" t="str">
        <f>VLOOKUP(B1843,Tabela_Auxiliar[],2,0)</f>
        <v>4. Despesas Operacionais</v>
      </c>
      <c r="E1843" t="str">
        <f>VLOOKUP(B1843,Tabela_Auxiliar[],4,0)</f>
        <v>Despesa com Vendas</v>
      </c>
      <c r="F1843" t="str">
        <f>VLOOKUP(B1843,Tabela_Auxiliar[],3,0)</f>
        <v>Saída</v>
      </c>
      <c r="G1843" t="str">
        <f>UPPER(TEXT(Tabela_DB[[#This Row],[DATA]],"mmm"))</f>
        <v>ABR</v>
      </c>
      <c r="H1843" t="str">
        <f>UPPER(TEXT(Tabela_DB[[#This Row],[DATA]],"aaaa"))</f>
        <v>2021</v>
      </c>
    </row>
    <row r="1844" spans="1:8" x14ac:dyDescent="0.25">
      <c r="A1844" s="2">
        <v>44309</v>
      </c>
      <c r="B1844" t="s">
        <v>3</v>
      </c>
      <c r="C1844">
        <v>12159</v>
      </c>
      <c r="D1844" t="str">
        <f>VLOOKUP(B1844,Tabela_Auxiliar[],2,0)</f>
        <v>1. Receita Operacional Bruta</v>
      </c>
      <c r="E1844" t="str">
        <f>VLOOKUP(B1844,Tabela_Auxiliar[],4,0)</f>
        <v>Receita Bruta</v>
      </c>
      <c r="F1844" t="str">
        <f>VLOOKUP(B1844,Tabela_Auxiliar[],3,0)</f>
        <v>Entrada</v>
      </c>
      <c r="G1844" t="str">
        <f>UPPER(TEXT(Tabela_DB[[#This Row],[DATA]],"mmm"))</f>
        <v>ABR</v>
      </c>
      <c r="H1844" t="str">
        <f>UPPER(TEXT(Tabela_DB[[#This Row],[DATA]],"aaaa"))</f>
        <v>2021</v>
      </c>
    </row>
    <row r="1845" spans="1:8" x14ac:dyDescent="0.25">
      <c r="A1845" s="2">
        <v>44309</v>
      </c>
      <c r="B1845" t="s">
        <v>69</v>
      </c>
      <c r="C1845">
        <v>-1746</v>
      </c>
      <c r="D1845" t="str">
        <f>VLOOKUP(B1845,Tabela_Auxiliar[],2,0)</f>
        <v>4. Despesas Operacionais</v>
      </c>
      <c r="E1845" t="str">
        <f>VLOOKUP(B1845,Tabela_Auxiliar[],4,0)</f>
        <v>Despesa com Ocupação</v>
      </c>
      <c r="F1845" t="str">
        <f>VLOOKUP(B1845,Tabela_Auxiliar[],3,0)</f>
        <v>Saída</v>
      </c>
      <c r="G1845" t="str">
        <f>UPPER(TEXT(Tabela_DB[[#This Row],[DATA]],"mmm"))</f>
        <v>ABR</v>
      </c>
      <c r="H1845" t="str">
        <f>UPPER(TEXT(Tabela_DB[[#This Row],[DATA]],"aaaa"))</f>
        <v>2021</v>
      </c>
    </row>
    <row r="1846" spans="1:8" x14ac:dyDescent="0.25">
      <c r="A1846" s="2">
        <v>44309</v>
      </c>
      <c r="B1846" t="s">
        <v>3</v>
      </c>
      <c r="C1846">
        <v>13412</v>
      </c>
      <c r="D1846" t="str">
        <f>VLOOKUP(B1846,Tabela_Auxiliar[],2,0)</f>
        <v>1. Receita Operacional Bruta</v>
      </c>
      <c r="E1846" t="str">
        <f>VLOOKUP(B1846,Tabela_Auxiliar[],4,0)</f>
        <v>Receita Bruta</v>
      </c>
      <c r="F1846" t="str">
        <f>VLOOKUP(B1846,Tabela_Auxiliar[],3,0)</f>
        <v>Entrada</v>
      </c>
      <c r="G1846" t="str">
        <f>UPPER(TEXT(Tabela_DB[[#This Row],[DATA]],"mmm"))</f>
        <v>ABR</v>
      </c>
      <c r="H1846" t="str">
        <f>UPPER(TEXT(Tabela_DB[[#This Row],[DATA]],"aaaa"))</f>
        <v>2021</v>
      </c>
    </row>
    <row r="1847" spans="1:8" x14ac:dyDescent="0.25">
      <c r="A1847" s="2">
        <v>44309</v>
      </c>
      <c r="B1847" t="s">
        <v>60</v>
      </c>
      <c r="C1847">
        <v>-1340</v>
      </c>
      <c r="D1847" t="str">
        <f>VLOOKUP(B1847,Tabela_Auxiliar[],2,0)</f>
        <v>4. Despesas Operacionais</v>
      </c>
      <c r="E1847" t="str">
        <f>VLOOKUP(B1847,Tabela_Auxiliar[],4,0)</f>
        <v>Despesa de Depreciação</v>
      </c>
      <c r="F1847" t="str">
        <f>VLOOKUP(B1847,Tabela_Auxiliar[],3,0)</f>
        <v>Saída</v>
      </c>
      <c r="G1847" t="str">
        <f>UPPER(TEXT(Tabela_DB[[#This Row],[DATA]],"mmm"))</f>
        <v>ABR</v>
      </c>
      <c r="H1847" t="str">
        <f>UPPER(TEXT(Tabela_DB[[#This Row],[DATA]],"aaaa"))</f>
        <v>2021</v>
      </c>
    </row>
    <row r="1848" spans="1:8" x14ac:dyDescent="0.25">
      <c r="A1848" s="2">
        <v>44309</v>
      </c>
      <c r="B1848" t="s">
        <v>37</v>
      </c>
      <c r="C1848">
        <v>-3657</v>
      </c>
      <c r="D1848" t="str">
        <f>VLOOKUP(B1848,Tabela_Auxiliar[],2,0)</f>
        <v>3. Custos do Produto/Mercadoria/Serviço</v>
      </c>
      <c r="E1848" t="str">
        <f>VLOOKUP(B1848,Tabela_Auxiliar[],4,0)</f>
        <v>Despesas c/ Produto</v>
      </c>
      <c r="F1848" t="str">
        <f>VLOOKUP(B1848,Tabela_Auxiliar[],3,0)</f>
        <v>Saída</v>
      </c>
      <c r="G1848" t="str">
        <f>UPPER(TEXT(Tabela_DB[[#This Row],[DATA]],"mmm"))</f>
        <v>ABR</v>
      </c>
      <c r="H1848" t="str">
        <f>UPPER(TEXT(Tabela_DB[[#This Row],[DATA]],"aaaa"))</f>
        <v>2021</v>
      </c>
    </row>
    <row r="1849" spans="1:8" x14ac:dyDescent="0.25">
      <c r="A1849" s="2">
        <v>44309</v>
      </c>
      <c r="B1849" t="s">
        <v>38</v>
      </c>
      <c r="C1849">
        <v>-1579</v>
      </c>
      <c r="D1849" t="str">
        <f>VLOOKUP(B1849,Tabela_Auxiliar[],2,0)</f>
        <v>2. Deduções da Receita</v>
      </c>
      <c r="E1849" t="str">
        <f>VLOOKUP(B1849,Tabela_Auxiliar[],4,0)</f>
        <v>Deduções</v>
      </c>
      <c r="F1849" t="str">
        <f>VLOOKUP(B1849,Tabela_Auxiliar[],3,0)</f>
        <v>Saída</v>
      </c>
      <c r="G1849" t="str">
        <f>UPPER(TEXT(Tabela_DB[[#This Row],[DATA]],"mmm"))</f>
        <v>ABR</v>
      </c>
      <c r="H1849" t="str">
        <f>UPPER(TEXT(Tabela_DB[[#This Row],[DATA]],"aaaa"))</f>
        <v>2021</v>
      </c>
    </row>
    <row r="1850" spans="1:8" x14ac:dyDescent="0.25">
      <c r="A1850" s="2">
        <v>44309</v>
      </c>
      <c r="B1850" t="s">
        <v>3</v>
      </c>
      <c r="C1850">
        <v>11461</v>
      </c>
      <c r="D1850" t="str">
        <f>VLOOKUP(B1850,Tabela_Auxiliar[],2,0)</f>
        <v>1. Receita Operacional Bruta</v>
      </c>
      <c r="E1850" t="str">
        <f>VLOOKUP(B1850,Tabela_Auxiliar[],4,0)</f>
        <v>Receita Bruta</v>
      </c>
      <c r="F1850" t="str">
        <f>VLOOKUP(B1850,Tabela_Auxiliar[],3,0)</f>
        <v>Entrada</v>
      </c>
      <c r="G1850" t="str">
        <f>UPPER(TEXT(Tabela_DB[[#This Row],[DATA]],"mmm"))</f>
        <v>ABR</v>
      </c>
      <c r="H1850" t="str">
        <f>UPPER(TEXT(Tabela_DB[[#This Row],[DATA]],"aaaa"))</f>
        <v>2021</v>
      </c>
    </row>
    <row r="1851" spans="1:8" x14ac:dyDescent="0.25">
      <c r="A1851" s="2">
        <v>44309</v>
      </c>
      <c r="B1851" t="s">
        <v>34</v>
      </c>
      <c r="C1851">
        <v>-2275</v>
      </c>
      <c r="D1851" t="str">
        <f>VLOOKUP(B1851,Tabela_Auxiliar[],2,0)</f>
        <v>2. Deduções da Receita</v>
      </c>
      <c r="E1851" t="str">
        <f>VLOOKUP(B1851,Tabela_Auxiliar[],4,0)</f>
        <v>Imposto</v>
      </c>
      <c r="F1851" t="str">
        <f>VLOOKUP(B1851,Tabela_Auxiliar[],3,0)</f>
        <v>Saída</v>
      </c>
      <c r="G1851" t="str">
        <f>UPPER(TEXT(Tabela_DB[[#This Row],[DATA]],"mmm"))</f>
        <v>ABR</v>
      </c>
      <c r="H1851" t="str">
        <f>UPPER(TEXT(Tabela_DB[[#This Row],[DATA]],"aaaa"))</f>
        <v>2021</v>
      </c>
    </row>
    <row r="1852" spans="1:8" x14ac:dyDescent="0.25">
      <c r="A1852" s="2">
        <v>44309</v>
      </c>
      <c r="B1852" t="s">
        <v>4</v>
      </c>
      <c r="C1852">
        <v>13373</v>
      </c>
      <c r="D1852" t="str">
        <f>VLOOKUP(B1852,Tabela_Auxiliar[],2,0)</f>
        <v>1. Receita Operacional Bruta</v>
      </c>
      <c r="E1852" t="str">
        <f>VLOOKUP(B1852,Tabela_Auxiliar[],4,0)</f>
        <v>Receita Bruta</v>
      </c>
      <c r="F1852" t="str">
        <f>VLOOKUP(B1852,Tabela_Auxiliar[],3,0)</f>
        <v>Entrada</v>
      </c>
      <c r="G1852" t="str">
        <f>UPPER(TEXT(Tabela_DB[[#This Row],[DATA]],"mmm"))</f>
        <v>ABR</v>
      </c>
      <c r="H1852" t="str">
        <f>UPPER(TEXT(Tabela_DB[[#This Row],[DATA]],"aaaa"))</f>
        <v>2021</v>
      </c>
    </row>
    <row r="1853" spans="1:8" x14ac:dyDescent="0.25">
      <c r="A1853" s="2">
        <v>44309</v>
      </c>
      <c r="B1853" t="s">
        <v>33</v>
      </c>
      <c r="C1853">
        <v>-1327</v>
      </c>
      <c r="D1853" t="str">
        <f>VLOOKUP(B1853,Tabela_Auxiliar[],2,0)</f>
        <v>4. Despesas Operacionais</v>
      </c>
      <c r="E1853" t="str">
        <f>VLOOKUP(B1853,Tabela_Auxiliar[],4,0)</f>
        <v>Despesa com Vendas</v>
      </c>
      <c r="F1853" t="str">
        <f>VLOOKUP(B1853,Tabela_Auxiliar[],3,0)</f>
        <v>Saída</v>
      </c>
      <c r="G1853" t="str">
        <f>UPPER(TEXT(Tabela_DB[[#This Row],[DATA]],"mmm"))</f>
        <v>ABR</v>
      </c>
      <c r="H1853" t="str">
        <f>UPPER(TEXT(Tabela_DB[[#This Row],[DATA]],"aaaa"))</f>
        <v>2021</v>
      </c>
    </row>
    <row r="1854" spans="1:8" x14ac:dyDescent="0.25">
      <c r="A1854" s="2">
        <v>44310</v>
      </c>
      <c r="B1854" t="s">
        <v>38</v>
      </c>
      <c r="C1854">
        <v>-2403</v>
      </c>
      <c r="D1854" t="str">
        <f>VLOOKUP(B1854,Tabela_Auxiliar[],2,0)</f>
        <v>2. Deduções da Receita</v>
      </c>
      <c r="E1854" t="str">
        <f>VLOOKUP(B1854,Tabela_Auxiliar[],4,0)</f>
        <v>Deduções</v>
      </c>
      <c r="F1854" t="str">
        <f>VLOOKUP(B1854,Tabela_Auxiliar[],3,0)</f>
        <v>Saída</v>
      </c>
      <c r="G1854" t="str">
        <f>UPPER(TEXT(Tabela_DB[[#This Row],[DATA]],"mmm"))</f>
        <v>ABR</v>
      </c>
      <c r="H1854" t="str">
        <f>UPPER(TEXT(Tabela_DB[[#This Row],[DATA]],"aaaa"))</f>
        <v>2021</v>
      </c>
    </row>
    <row r="1855" spans="1:8" x14ac:dyDescent="0.25">
      <c r="A1855" s="2">
        <v>44310</v>
      </c>
      <c r="B1855" t="s">
        <v>89</v>
      </c>
      <c r="C1855">
        <v>-1496</v>
      </c>
      <c r="D1855" t="str">
        <f>VLOOKUP(B1855,Tabela_Auxiliar[],2,0)</f>
        <v>4. Despesas Operacionais</v>
      </c>
      <c r="E1855" t="str">
        <f>VLOOKUP(B1855,Tabela_Auxiliar[],4,0)</f>
        <v>Despesa Tributária</v>
      </c>
      <c r="F1855" t="str">
        <f>VLOOKUP(B1855,Tabela_Auxiliar[],3,0)</f>
        <v>Saída</v>
      </c>
      <c r="G1855" t="str">
        <f>UPPER(TEXT(Tabela_DB[[#This Row],[DATA]],"mmm"))</f>
        <v>ABR</v>
      </c>
      <c r="H1855" t="str">
        <f>UPPER(TEXT(Tabela_DB[[#This Row],[DATA]],"aaaa"))</f>
        <v>2021</v>
      </c>
    </row>
    <row r="1856" spans="1:8" x14ac:dyDescent="0.25">
      <c r="A1856" s="2">
        <v>44310</v>
      </c>
      <c r="B1856" t="s">
        <v>38</v>
      </c>
      <c r="C1856">
        <v>-1312</v>
      </c>
      <c r="D1856" t="str">
        <f>VLOOKUP(B1856,Tabela_Auxiliar[],2,0)</f>
        <v>2. Deduções da Receita</v>
      </c>
      <c r="E1856" t="str">
        <f>VLOOKUP(B1856,Tabela_Auxiliar[],4,0)</f>
        <v>Deduções</v>
      </c>
      <c r="F1856" t="str">
        <f>VLOOKUP(B1856,Tabela_Auxiliar[],3,0)</f>
        <v>Saída</v>
      </c>
      <c r="G1856" t="str">
        <f>UPPER(TEXT(Tabela_DB[[#This Row],[DATA]],"mmm"))</f>
        <v>ABR</v>
      </c>
      <c r="H1856" t="str">
        <f>UPPER(TEXT(Tabela_DB[[#This Row],[DATA]],"aaaa"))</f>
        <v>2021</v>
      </c>
    </row>
    <row r="1857" spans="1:8" x14ac:dyDescent="0.25">
      <c r="A1857" s="2">
        <v>44310</v>
      </c>
      <c r="B1857" t="s">
        <v>4</v>
      </c>
      <c r="C1857">
        <v>12070</v>
      </c>
      <c r="D1857" t="str">
        <f>VLOOKUP(B1857,Tabela_Auxiliar[],2,0)</f>
        <v>1. Receita Operacional Bruta</v>
      </c>
      <c r="E1857" t="str">
        <f>VLOOKUP(B1857,Tabela_Auxiliar[],4,0)</f>
        <v>Receita Bruta</v>
      </c>
      <c r="F1857" t="str">
        <f>VLOOKUP(B1857,Tabela_Auxiliar[],3,0)</f>
        <v>Entrada</v>
      </c>
      <c r="G1857" t="str">
        <f>UPPER(TEXT(Tabela_DB[[#This Row],[DATA]],"mmm"))</f>
        <v>ABR</v>
      </c>
      <c r="H1857" t="str">
        <f>UPPER(TEXT(Tabela_DB[[#This Row],[DATA]],"aaaa"))</f>
        <v>2021</v>
      </c>
    </row>
    <row r="1858" spans="1:8" x14ac:dyDescent="0.25">
      <c r="A1858" s="2">
        <v>44310</v>
      </c>
      <c r="B1858" t="s">
        <v>88</v>
      </c>
      <c r="C1858">
        <v>-2162</v>
      </c>
      <c r="D1858" t="str">
        <f>VLOOKUP(B1858,Tabela_Auxiliar[],2,0)</f>
        <v>4. Despesas Operacionais</v>
      </c>
      <c r="E1858" t="str">
        <f>VLOOKUP(B1858,Tabela_Auxiliar[],4,0)</f>
        <v>Despesa Tributária</v>
      </c>
      <c r="F1858" t="str">
        <f>VLOOKUP(B1858,Tabela_Auxiliar[],3,0)</f>
        <v>Saída</v>
      </c>
      <c r="G1858" t="str">
        <f>UPPER(TEXT(Tabela_DB[[#This Row],[DATA]],"mmm"))</f>
        <v>ABR</v>
      </c>
      <c r="H1858" t="str">
        <f>UPPER(TEXT(Tabela_DB[[#This Row],[DATA]],"aaaa"))</f>
        <v>2021</v>
      </c>
    </row>
    <row r="1859" spans="1:8" x14ac:dyDescent="0.25">
      <c r="A1859" s="2">
        <v>44310</v>
      </c>
      <c r="B1859" t="s">
        <v>84</v>
      </c>
      <c r="C1859">
        <v>-1990</v>
      </c>
      <c r="D1859" t="str">
        <f>VLOOKUP(B1859,Tabela_Auxiliar[],2,0)</f>
        <v>4. Despesas Operacionais</v>
      </c>
      <c r="E1859" t="str">
        <f>VLOOKUP(B1859,Tabela_Auxiliar[],4,0)</f>
        <v>Despesa com Veículos</v>
      </c>
      <c r="F1859" t="str">
        <f>VLOOKUP(B1859,Tabela_Auxiliar[],3,0)</f>
        <v>Saída</v>
      </c>
      <c r="G1859" t="str">
        <f>UPPER(TEXT(Tabela_DB[[#This Row],[DATA]],"mmm"))</f>
        <v>ABR</v>
      </c>
      <c r="H1859" t="str">
        <f>UPPER(TEXT(Tabela_DB[[#This Row],[DATA]],"aaaa"))</f>
        <v>2021</v>
      </c>
    </row>
    <row r="1860" spans="1:8" x14ac:dyDescent="0.25">
      <c r="A1860" s="2">
        <v>44310</v>
      </c>
      <c r="B1860" t="s">
        <v>35</v>
      </c>
      <c r="C1860">
        <v>-1856</v>
      </c>
      <c r="D1860" t="str">
        <f>VLOOKUP(B1860,Tabela_Auxiliar[],2,0)</f>
        <v>2. Deduções da Receita</v>
      </c>
      <c r="E1860" t="str">
        <f>VLOOKUP(B1860,Tabela_Auxiliar[],4,0)</f>
        <v>Imposto</v>
      </c>
      <c r="F1860" t="str">
        <f>VLOOKUP(B1860,Tabela_Auxiliar[],3,0)</f>
        <v>Saída</v>
      </c>
      <c r="G1860" t="str">
        <f>UPPER(TEXT(Tabela_DB[[#This Row],[DATA]],"mmm"))</f>
        <v>ABR</v>
      </c>
      <c r="H1860" t="str">
        <f>UPPER(TEXT(Tabela_DB[[#This Row],[DATA]],"aaaa"))</f>
        <v>2021</v>
      </c>
    </row>
    <row r="1861" spans="1:8" x14ac:dyDescent="0.25">
      <c r="A1861" s="2">
        <v>44310</v>
      </c>
      <c r="B1861" t="s">
        <v>56</v>
      </c>
      <c r="C1861">
        <v>-1070</v>
      </c>
      <c r="D1861" t="str">
        <f>VLOOKUP(B1861,Tabela_Auxiliar[],2,0)</f>
        <v>4. Despesas Operacionais</v>
      </c>
      <c r="E1861" t="str">
        <f>VLOOKUP(B1861,Tabela_Auxiliar[],4,0)</f>
        <v>Despesa com Pessoal</v>
      </c>
      <c r="F1861" t="str">
        <f>VLOOKUP(B1861,Tabela_Auxiliar[],3,0)</f>
        <v>Saída</v>
      </c>
      <c r="G1861" t="str">
        <f>UPPER(TEXT(Tabela_DB[[#This Row],[DATA]],"mmm"))</f>
        <v>ABR</v>
      </c>
      <c r="H1861" t="str">
        <f>UPPER(TEXT(Tabela_DB[[#This Row],[DATA]],"aaaa"))</f>
        <v>2021</v>
      </c>
    </row>
    <row r="1862" spans="1:8" x14ac:dyDescent="0.25">
      <c r="A1862" s="2">
        <v>44310</v>
      </c>
      <c r="B1862" t="s">
        <v>4</v>
      </c>
      <c r="C1862">
        <v>12809</v>
      </c>
      <c r="D1862" t="str">
        <f>VLOOKUP(B1862,Tabela_Auxiliar[],2,0)</f>
        <v>1. Receita Operacional Bruta</v>
      </c>
      <c r="E1862" t="str">
        <f>VLOOKUP(B1862,Tabela_Auxiliar[],4,0)</f>
        <v>Receita Bruta</v>
      </c>
      <c r="F1862" t="str">
        <f>VLOOKUP(B1862,Tabela_Auxiliar[],3,0)</f>
        <v>Entrada</v>
      </c>
      <c r="G1862" t="str">
        <f>UPPER(TEXT(Tabela_DB[[#This Row],[DATA]],"mmm"))</f>
        <v>ABR</v>
      </c>
      <c r="H1862" t="str">
        <f>UPPER(TEXT(Tabela_DB[[#This Row],[DATA]],"aaaa"))</f>
        <v>2021</v>
      </c>
    </row>
    <row r="1863" spans="1:8" x14ac:dyDescent="0.25">
      <c r="A1863" s="2">
        <v>44310</v>
      </c>
      <c r="B1863" t="s">
        <v>4</v>
      </c>
      <c r="C1863">
        <v>10416</v>
      </c>
      <c r="D1863" t="str">
        <f>VLOOKUP(B1863,Tabela_Auxiliar[],2,0)</f>
        <v>1. Receita Operacional Bruta</v>
      </c>
      <c r="E1863" t="str">
        <f>VLOOKUP(B1863,Tabela_Auxiliar[],4,0)</f>
        <v>Receita Bruta</v>
      </c>
      <c r="F1863" t="str">
        <f>VLOOKUP(B1863,Tabela_Auxiliar[],3,0)</f>
        <v>Entrada</v>
      </c>
      <c r="G1863" t="str">
        <f>UPPER(TEXT(Tabela_DB[[#This Row],[DATA]],"mmm"))</f>
        <v>ABR</v>
      </c>
      <c r="H1863" t="str">
        <f>UPPER(TEXT(Tabela_DB[[#This Row],[DATA]],"aaaa"))</f>
        <v>2021</v>
      </c>
    </row>
    <row r="1864" spans="1:8" x14ac:dyDescent="0.25">
      <c r="A1864" s="2">
        <v>44310</v>
      </c>
      <c r="B1864" t="s">
        <v>45</v>
      </c>
      <c r="C1864">
        <v>-1177</v>
      </c>
      <c r="D1864" t="str">
        <f>VLOOKUP(B1864,Tabela_Auxiliar[],2,0)</f>
        <v>4. Despesas Operacionais</v>
      </c>
      <c r="E1864" t="str">
        <f>VLOOKUP(B1864,Tabela_Auxiliar[],4,0)</f>
        <v>Despesa com Pessoal</v>
      </c>
      <c r="F1864" t="str">
        <f>VLOOKUP(B1864,Tabela_Auxiliar[],3,0)</f>
        <v>Saída</v>
      </c>
      <c r="G1864" t="str">
        <f>UPPER(TEXT(Tabela_DB[[#This Row],[DATA]],"mmm"))</f>
        <v>ABR</v>
      </c>
      <c r="H1864" t="str">
        <f>UPPER(TEXT(Tabela_DB[[#This Row],[DATA]],"aaaa"))</f>
        <v>2021</v>
      </c>
    </row>
    <row r="1865" spans="1:8" x14ac:dyDescent="0.25">
      <c r="A1865" s="2">
        <v>44310</v>
      </c>
      <c r="B1865" t="s">
        <v>65</v>
      </c>
      <c r="C1865">
        <v>-2388</v>
      </c>
      <c r="D1865" t="str">
        <f>VLOOKUP(B1865,Tabela_Auxiliar[],2,0)</f>
        <v>4. Despesas Operacionais</v>
      </c>
      <c r="E1865" t="str">
        <f>VLOOKUP(B1865,Tabela_Auxiliar[],4,0)</f>
        <v>Despesa Gerais</v>
      </c>
      <c r="F1865" t="str">
        <f>VLOOKUP(B1865,Tabela_Auxiliar[],3,0)</f>
        <v>Saída</v>
      </c>
      <c r="G1865" t="str">
        <f>UPPER(TEXT(Tabela_DB[[#This Row],[DATA]],"mmm"))</f>
        <v>ABR</v>
      </c>
      <c r="H1865" t="str">
        <f>UPPER(TEXT(Tabela_DB[[#This Row],[DATA]],"aaaa"))</f>
        <v>2021</v>
      </c>
    </row>
    <row r="1866" spans="1:8" x14ac:dyDescent="0.25">
      <c r="A1866" s="2">
        <v>44310</v>
      </c>
      <c r="B1866" t="s">
        <v>66</v>
      </c>
      <c r="C1866">
        <v>-2378</v>
      </c>
      <c r="D1866" t="str">
        <f>VLOOKUP(B1866,Tabela_Auxiliar[],2,0)</f>
        <v>4. Despesas Operacionais</v>
      </c>
      <c r="E1866" t="str">
        <f>VLOOKUP(B1866,Tabela_Auxiliar[],4,0)</f>
        <v>Despesa com Vendas</v>
      </c>
      <c r="F1866" t="str">
        <f>VLOOKUP(B1866,Tabela_Auxiliar[],3,0)</f>
        <v>Saída</v>
      </c>
      <c r="G1866" t="str">
        <f>UPPER(TEXT(Tabela_DB[[#This Row],[DATA]],"mmm"))</f>
        <v>ABR</v>
      </c>
      <c r="H1866" t="str">
        <f>UPPER(TEXT(Tabela_DB[[#This Row],[DATA]],"aaaa"))</f>
        <v>2021</v>
      </c>
    </row>
    <row r="1867" spans="1:8" x14ac:dyDescent="0.25">
      <c r="A1867" s="2">
        <v>44310</v>
      </c>
      <c r="B1867" t="s">
        <v>34</v>
      </c>
      <c r="C1867">
        <v>-1406</v>
      </c>
      <c r="D1867" t="str">
        <f>VLOOKUP(B1867,Tabela_Auxiliar[],2,0)</f>
        <v>2. Deduções da Receita</v>
      </c>
      <c r="E1867" t="str">
        <f>VLOOKUP(B1867,Tabela_Auxiliar[],4,0)</f>
        <v>Imposto</v>
      </c>
      <c r="F1867" t="str">
        <f>VLOOKUP(B1867,Tabela_Auxiliar[],3,0)</f>
        <v>Saída</v>
      </c>
      <c r="G1867" t="str">
        <f>UPPER(TEXT(Tabela_DB[[#This Row],[DATA]],"mmm"))</f>
        <v>ABR</v>
      </c>
      <c r="H1867" t="str">
        <f>UPPER(TEXT(Tabela_DB[[#This Row],[DATA]],"aaaa"))</f>
        <v>2021</v>
      </c>
    </row>
    <row r="1868" spans="1:8" x14ac:dyDescent="0.25">
      <c r="A1868" s="2">
        <v>44310</v>
      </c>
      <c r="B1868" t="s">
        <v>48</v>
      </c>
      <c r="C1868">
        <v>-1174</v>
      </c>
      <c r="D1868" t="str">
        <f>VLOOKUP(B1868,Tabela_Auxiliar[],2,0)</f>
        <v>4. Despesas Operacionais</v>
      </c>
      <c r="E1868" t="str">
        <f>VLOOKUP(B1868,Tabela_Auxiliar[],4,0)</f>
        <v>Despesa com Pessoal</v>
      </c>
      <c r="F1868" t="str">
        <f>VLOOKUP(B1868,Tabela_Auxiliar[],3,0)</f>
        <v>Saída</v>
      </c>
      <c r="G1868" t="str">
        <f>UPPER(TEXT(Tabela_DB[[#This Row],[DATA]],"mmm"))</f>
        <v>ABR</v>
      </c>
      <c r="H1868" t="str">
        <f>UPPER(TEXT(Tabela_DB[[#This Row],[DATA]],"aaaa"))</f>
        <v>2021</v>
      </c>
    </row>
    <row r="1869" spans="1:8" x14ac:dyDescent="0.25">
      <c r="A1869" s="2">
        <v>44310</v>
      </c>
      <c r="B1869" t="s">
        <v>69</v>
      </c>
      <c r="C1869">
        <v>-1785</v>
      </c>
      <c r="D1869" t="str">
        <f>VLOOKUP(B1869,Tabela_Auxiliar[],2,0)</f>
        <v>4. Despesas Operacionais</v>
      </c>
      <c r="E1869" t="str">
        <f>VLOOKUP(B1869,Tabela_Auxiliar[],4,0)</f>
        <v>Despesa com Ocupação</v>
      </c>
      <c r="F1869" t="str">
        <f>VLOOKUP(B1869,Tabela_Auxiliar[],3,0)</f>
        <v>Saída</v>
      </c>
      <c r="G1869" t="str">
        <f>UPPER(TEXT(Tabela_DB[[#This Row],[DATA]],"mmm"))</f>
        <v>ABR</v>
      </c>
      <c r="H1869" t="str">
        <f>UPPER(TEXT(Tabela_DB[[#This Row],[DATA]],"aaaa"))</f>
        <v>2021</v>
      </c>
    </row>
    <row r="1870" spans="1:8" x14ac:dyDescent="0.25">
      <c r="A1870" s="2">
        <v>44311</v>
      </c>
      <c r="B1870" t="s">
        <v>37</v>
      </c>
      <c r="C1870">
        <v>-4035</v>
      </c>
      <c r="D1870" t="str">
        <f>VLOOKUP(B1870,Tabela_Auxiliar[],2,0)</f>
        <v>3. Custos do Produto/Mercadoria/Serviço</v>
      </c>
      <c r="E1870" t="str">
        <f>VLOOKUP(B1870,Tabela_Auxiliar[],4,0)</f>
        <v>Despesas c/ Produto</v>
      </c>
      <c r="F1870" t="str">
        <f>VLOOKUP(B1870,Tabela_Auxiliar[],3,0)</f>
        <v>Saída</v>
      </c>
      <c r="G1870" t="str">
        <f>UPPER(TEXT(Tabela_DB[[#This Row],[DATA]],"mmm"))</f>
        <v>ABR</v>
      </c>
      <c r="H1870" t="str">
        <f>UPPER(TEXT(Tabela_DB[[#This Row],[DATA]],"aaaa"))</f>
        <v>2021</v>
      </c>
    </row>
    <row r="1871" spans="1:8" x14ac:dyDescent="0.25">
      <c r="A1871" s="2">
        <v>44311</v>
      </c>
      <c r="B1871" t="s">
        <v>37</v>
      </c>
      <c r="C1871">
        <v>-4452</v>
      </c>
      <c r="D1871" t="str">
        <f>VLOOKUP(B1871,Tabela_Auxiliar[],2,0)</f>
        <v>3. Custos do Produto/Mercadoria/Serviço</v>
      </c>
      <c r="E1871" t="str">
        <f>VLOOKUP(B1871,Tabela_Auxiliar[],4,0)</f>
        <v>Despesas c/ Produto</v>
      </c>
      <c r="F1871" t="str">
        <f>VLOOKUP(B1871,Tabela_Auxiliar[],3,0)</f>
        <v>Saída</v>
      </c>
      <c r="G1871" t="str">
        <f>UPPER(TEXT(Tabela_DB[[#This Row],[DATA]],"mmm"))</f>
        <v>ABR</v>
      </c>
      <c r="H1871" t="str">
        <f>UPPER(TEXT(Tabela_DB[[#This Row],[DATA]],"aaaa"))</f>
        <v>2021</v>
      </c>
    </row>
    <row r="1872" spans="1:8" x14ac:dyDescent="0.25">
      <c r="A1872" s="2">
        <v>44311</v>
      </c>
      <c r="B1872" t="s">
        <v>38</v>
      </c>
      <c r="C1872">
        <v>-1870</v>
      </c>
      <c r="D1872" t="str">
        <f>VLOOKUP(B1872,Tabela_Auxiliar[],2,0)</f>
        <v>2. Deduções da Receita</v>
      </c>
      <c r="E1872" t="str">
        <f>VLOOKUP(B1872,Tabela_Auxiliar[],4,0)</f>
        <v>Deduções</v>
      </c>
      <c r="F1872" t="str">
        <f>VLOOKUP(B1872,Tabela_Auxiliar[],3,0)</f>
        <v>Saída</v>
      </c>
      <c r="G1872" t="str">
        <f>UPPER(TEXT(Tabela_DB[[#This Row],[DATA]],"mmm"))</f>
        <v>ABR</v>
      </c>
      <c r="H1872" t="str">
        <f>UPPER(TEXT(Tabela_DB[[#This Row],[DATA]],"aaaa"))</f>
        <v>2021</v>
      </c>
    </row>
    <row r="1873" spans="1:8" x14ac:dyDescent="0.25">
      <c r="A1873" s="2">
        <v>44311</v>
      </c>
      <c r="B1873" t="s">
        <v>4</v>
      </c>
      <c r="C1873">
        <v>13464</v>
      </c>
      <c r="D1873" t="str">
        <f>VLOOKUP(B1873,Tabela_Auxiliar[],2,0)</f>
        <v>1. Receita Operacional Bruta</v>
      </c>
      <c r="E1873" t="str">
        <f>VLOOKUP(B1873,Tabela_Auxiliar[],4,0)</f>
        <v>Receita Bruta</v>
      </c>
      <c r="F1873" t="str">
        <f>VLOOKUP(B1873,Tabela_Auxiliar[],3,0)</f>
        <v>Entrada</v>
      </c>
      <c r="G1873" t="str">
        <f>UPPER(TEXT(Tabela_DB[[#This Row],[DATA]],"mmm"))</f>
        <v>ABR</v>
      </c>
      <c r="H1873" t="str">
        <f>UPPER(TEXT(Tabela_DB[[#This Row],[DATA]],"aaaa"))</f>
        <v>2021</v>
      </c>
    </row>
    <row r="1874" spans="1:8" x14ac:dyDescent="0.25">
      <c r="A1874" s="2">
        <v>44311</v>
      </c>
      <c r="B1874" t="s">
        <v>38</v>
      </c>
      <c r="C1874">
        <v>-2384</v>
      </c>
      <c r="D1874" t="str">
        <f>VLOOKUP(B1874,Tabela_Auxiliar[],2,0)</f>
        <v>2. Deduções da Receita</v>
      </c>
      <c r="E1874" t="str">
        <f>VLOOKUP(B1874,Tabela_Auxiliar[],4,0)</f>
        <v>Deduções</v>
      </c>
      <c r="F1874" t="str">
        <f>VLOOKUP(B1874,Tabela_Auxiliar[],3,0)</f>
        <v>Saída</v>
      </c>
      <c r="G1874" t="str">
        <f>UPPER(TEXT(Tabela_DB[[#This Row],[DATA]],"mmm"))</f>
        <v>ABR</v>
      </c>
      <c r="H1874" t="str">
        <f>UPPER(TEXT(Tabela_DB[[#This Row],[DATA]],"aaaa"))</f>
        <v>2021</v>
      </c>
    </row>
    <row r="1875" spans="1:8" x14ac:dyDescent="0.25">
      <c r="A1875" s="2">
        <v>44311</v>
      </c>
      <c r="B1875" t="s">
        <v>38</v>
      </c>
      <c r="C1875">
        <v>-1994</v>
      </c>
      <c r="D1875" t="str">
        <f>VLOOKUP(B1875,Tabela_Auxiliar[],2,0)</f>
        <v>2. Deduções da Receita</v>
      </c>
      <c r="E1875" t="str">
        <f>VLOOKUP(B1875,Tabela_Auxiliar[],4,0)</f>
        <v>Deduções</v>
      </c>
      <c r="F1875" t="str">
        <f>VLOOKUP(B1875,Tabela_Auxiliar[],3,0)</f>
        <v>Saída</v>
      </c>
      <c r="G1875" t="str">
        <f>UPPER(TEXT(Tabela_DB[[#This Row],[DATA]],"mmm"))</f>
        <v>ABR</v>
      </c>
      <c r="H1875" t="str">
        <f>UPPER(TEXT(Tabela_DB[[#This Row],[DATA]],"aaaa"))</f>
        <v>2021</v>
      </c>
    </row>
    <row r="1876" spans="1:8" x14ac:dyDescent="0.25">
      <c r="A1876" s="2">
        <v>44312</v>
      </c>
      <c r="B1876" t="s">
        <v>3</v>
      </c>
      <c r="C1876">
        <v>14225</v>
      </c>
      <c r="D1876" t="str">
        <f>VLOOKUP(B1876,Tabela_Auxiliar[],2,0)</f>
        <v>1. Receita Operacional Bruta</v>
      </c>
      <c r="E1876" t="str">
        <f>VLOOKUP(B1876,Tabela_Auxiliar[],4,0)</f>
        <v>Receita Bruta</v>
      </c>
      <c r="F1876" t="str">
        <f>VLOOKUP(B1876,Tabela_Auxiliar[],3,0)</f>
        <v>Entrada</v>
      </c>
      <c r="G1876" t="str">
        <f>UPPER(TEXT(Tabela_DB[[#This Row],[DATA]],"mmm"))</f>
        <v>ABR</v>
      </c>
      <c r="H1876" t="str">
        <f>UPPER(TEXT(Tabela_DB[[#This Row],[DATA]],"aaaa"))</f>
        <v>2021</v>
      </c>
    </row>
    <row r="1877" spans="1:8" x14ac:dyDescent="0.25">
      <c r="A1877" s="2">
        <v>44312</v>
      </c>
      <c r="B1877" t="s">
        <v>35</v>
      </c>
      <c r="C1877">
        <v>-1907</v>
      </c>
      <c r="D1877" t="str">
        <f>VLOOKUP(B1877,Tabela_Auxiliar[],2,0)</f>
        <v>2. Deduções da Receita</v>
      </c>
      <c r="E1877" t="str">
        <f>VLOOKUP(B1877,Tabela_Auxiliar[],4,0)</f>
        <v>Imposto</v>
      </c>
      <c r="F1877" t="str">
        <f>VLOOKUP(B1877,Tabela_Auxiliar[],3,0)</f>
        <v>Saída</v>
      </c>
      <c r="G1877" t="str">
        <f>UPPER(TEXT(Tabela_DB[[#This Row],[DATA]],"mmm"))</f>
        <v>ABR</v>
      </c>
      <c r="H1877" t="str">
        <f>UPPER(TEXT(Tabela_DB[[#This Row],[DATA]],"aaaa"))</f>
        <v>2021</v>
      </c>
    </row>
    <row r="1878" spans="1:8" x14ac:dyDescent="0.25">
      <c r="A1878" s="2">
        <v>44312</v>
      </c>
      <c r="B1878" t="s">
        <v>35</v>
      </c>
      <c r="C1878">
        <v>-1908</v>
      </c>
      <c r="D1878" t="str">
        <f>VLOOKUP(B1878,Tabela_Auxiliar[],2,0)</f>
        <v>2. Deduções da Receita</v>
      </c>
      <c r="E1878" t="str">
        <f>VLOOKUP(B1878,Tabela_Auxiliar[],4,0)</f>
        <v>Imposto</v>
      </c>
      <c r="F1878" t="str">
        <f>VLOOKUP(B1878,Tabela_Auxiliar[],3,0)</f>
        <v>Saída</v>
      </c>
      <c r="G1878" t="str">
        <f>UPPER(TEXT(Tabela_DB[[#This Row],[DATA]],"mmm"))</f>
        <v>ABR</v>
      </c>
      <c r="H1878" t="str">
        <f>UPPER(TEXT(Tabela_DB[[#This Row],[DATA]],"aaaa"))</f>
        <v>2021</v>
      </c>
    </row>
    <row r="1879" spans="1:8" x14ac:dyDescent="0.25">
      <c r="A1879" s="2">
        <v>44312</v>
      </c>
      <c r="B1879" t="s">
        <v>38</v>
      </c>
      <c r="C1879">
        <v>-1438</v>
      </c>
      <c r="D1879" t="str">
        <f>VLOOKUP(B1879,Tabela_Auxiliar[],2,0)</f>
        <v>2. Deduções da Receita</v>
      </c>
      <c r="E1879" t="str">
        <f>VLOOKUP(B1879,Tabela_Auxiliar[],4,0)</f>
        <v>Deduções</v>
      </c>
      <c r="F1879" t="str">
        <f>VLOOKUP(B1879,Tabela_Auxiliar[],3,0)</f>
        <v>Saída</v>
      </c>
      <c r="G1879" t="str">
        <f>UPPER(TEXT(Tabela_DB[[#This Row],[DATA]],"mmm"))</f>
        <v>ABR</v>
      </c>
      <c r="H1879" t="str">
        <f>UPPER(TEXT(Tabela_DB[[#This Row],[DATA]],"aaaa"))</f>
        <v>2021</v>
      </c>
    </row>
    <row r="1880" spans="1:8" x14ac:dyDescent="0.25">
      <c r="A1880" s="2">
        <v>44312</v>
      </c>
      <c r="B1880" t="s">
        <v>3</v>
      </c>
      <c r="C1880">
        <v>10904</v>
      </c>
      <c r="D1880" t="str">
        <f>VLOOKUP(B1880,Tabela_Auxiliar[],2,0)</f>
        <v>1. Receita Operacional Bruta</v>
      </c>
      <c r="E1880" t="str">
        <f>VLOOKUP(B1880,Tabela_Auxiliar[],4,0)</f>
        <v>Receita Bruta</v>
      </c>
      <c r="F1880" t="str">
        <f>VLOOKUP(B1880,Tabela_Auxiliar[],3,0)</f>
        <v>Entrada</v>
      </c>
      <c r="G1880" t="str">
        <f>UPPER(TEXT(Tabela_DB[[#This Row],[DATA]],"mmm"))</f>
        <v>ABR</v>
      </c>
      <c r="H1880" t="str">
        <f>UPPER(TEXT(Tabela_DB[[#This Row],[DATA]],"aaaa"))</f>
        <v>2021</v>
      </c>
    </row>
    <row r="1881" spans="1:8" x14ac:dyDescent="0.25">
      <c r="A1881" s="2">
        <v>44312</v>
      </c>
      <c r="B1881" t="s">
        <v>4</v>
      </c>
      <c r="C1881">
        <v>14348</v>
      </c>
      <c r="D1881" t="str">
        <f>VLOOKUP(B1881,Tabela_Auxiliar[],2,0)</f>
        <v>1. Receita Operacional Bruta</v>
      </c>
      <c r="E1881" t="str">
        <f>VLOOKUP(B1881,Tabela_Auxiliar[],4,0)</f>
        <v>Receita Bruta</v>
      </c>
      <c r="F1881" t="str">
        <f>VLOOKUP(B1881,Tabela_Auxiliar[],3,0)</f>
        <v>Entrada</v>
      </c>
      <c r="G1881" t="str">
        <f>UPPER(TEXT(Tabela_DB[[#This Row],[DATA]],"mmm"))</f>
        <v>ABR</v>
      </c>
      <c r="H1881" t="str">
        <f>UPPER(TEXT(Tabela_DB[[#This Row],[DATA]],"aaaa"))</f>
        <v>2021</v>
      </c>
    </row>
    <row r="1882" spans="1:8" x14ac:dyDescent="0.25">
      <c r="A1882" s="2">
        <v>44312</v>
      </c>
      <c r="B1882" t="s">
        <v>37</v>
      </c>
      <c r="C1882">
        <v>-2809</v>
      </c>
      <c r="D1882" t="str">
        <f>VLOOKUP(B1882,Tabela_Auxiliar[],2,0)</f>
        <v>3. Custos do Produto/Mercadoria/Serviço</v>
      </c>
      <c r="E1882" t="str">
        <f>VLOOKUP(B1882,Tabela_Auxiliar[],4,0)</f>
        <v>Despesas c/ Produto</v>
      </c>
      <c r="F1882" t="str">
        <f>VLOOKUP(B1882,Tabela_Auxiliar[],3,0)</f>
        <v>Saída</v>
      </c>
      <c r="G1882" t="str">
        <f>UPPER(TEXT(Tabela_DB[[#This Row],[DATA]],"mmm"))</f>
        <v>ABR</v>
      </c>
      <c r="H1882" t="str">
        <f>UPPER(TEXT(Tabela_DB[[#This Row],[DATA]],"aaaa"))</f>
        <v>2021</v>
      </c>
    </row>
    <row r="1883" spans="1:8" x14ac:dyDescent="0.25">
      <c r="A1883" s="2">
        <v>44312</v>
      </c>
      <c r="B1883" t="s">
        <v>35</v>
      </c>
      <c r="C1883">
        <v>-2354</v>
      </c>
      <c r="D1883" t="str">
        <f>VLOOKUP(B1883,Tabela_Auxiliar[],2,0)</f>
        <v>2. Deduções da Receita</v>
      </c>
      <c r="E1883" t="str">
        <f>VLOOKUP(B1883,Tabela_Auxiliar[],4,0)</f>
        <v>Imposto</v>
      </c>
      <c r="F1883" t="str">
        <f>VLOOKUP(B1883,Tabela_Auxiliar[],3,0)</f>
        <v>Saída</v>
      </c>
      <c r="G1883" t="str">
        <f>UPPER(TEXT(Tabela_DB[[#This Row],[DATA]],"mmm"))</f>
        <v>ABR</v>
      </c>
      <c r="H1883" t="str">
        <f>UPPER(TEXT(Tabela_DB[[#This Row],[DATA]],"aaaa"))</f>
        <v>2021</v>
      </c>
    </row>
    <row r="1884" spans="1:8" x14ac:dyDescent="0.25">
      <c r="A1884" s="2">
        <v>44312</v>
      </c>
      <c r="B1884" t="s">
        <v>76</v>
      </c>
      <c r="C1884">
        <v>-1540</v>
      </c>
      <c r="D1884" t="str">
        <f>VLOOKUP(B1884,Tabela_Auxiliar[],2,0)</f>
        <v>4. Despesas Operacionais</v>
      </c>
      <c r="E1884" t="str">
        <f>VLOOKUP(B1884,Tabela_Auxiliar[],4,0)</f>
        <v>Serviços Contratados</v>
      </c>
      <c r="F1884" t="str">
        <f>VLOOKUP(B1884,Tabela_Auxiliar[],3,0)</f>
        <v>Saída</v>
      </c>
      <c r="G1884" t="str">
        <f>UPPER(TEXT(Tabela_DB[[#This Row],[DATA]],"mmm"))</f>
        <v>ABR</v>
      </c>
      <c r="H1884" t="str">
        <f>UPPER(TEXT(Tabela_DB[[#This Row],[DATA]],"aaaa"))</f>
        <v>2021</v>
      </c>
    </row>
    <row r="1885" spans="1:8" x14ac:dyDescent="0.25">
      <c r="A1885" s="2">
        <v>44312</v>
      </c>
      <c r="B1885" t="s">
        <v>34</v>
      </c>
      <c r="C1885">
        <v>-1049</v>
      </c>
      <c r="D1885" t="str">
        <f>VLOOKUP(B1885,Tabela_Auxiliar[],2,0)</f>
        <v>2. Deduções da Receita</v>
      </c>
      <c r="E1885" t="str">
        <f>VLOOKUP(B1885,Tabela_Auxiliar[],4,0)</f>
        <v>Imposto</v>
      </c>
      <c r="F1885" t="str">
        <f>VLOOKUP(B1885,Tabela_Auxiliar[],3,0)</f>
        <v>Saída</v>
      </c>
      <c r="G1885" t="str">
        <f>UPPER(TEXT(Tabela_DB[[#This Row],[DATA]],"mmm"))</f>
        <v>ABR</v>
      </c>
      <c r="H1885" t="str">
        <f>UPPER(TEXT(Tabela_DB[[#This Row],[DATA]],"aaaa"))</f>
        <v>2021</v>
      </c>
    </row>
    <row r="1886" spans="1:8" x14ac:dyDescent="0.25">
      <c r="A1886" s="2">
        <v>44312</v>
      </c>
      <c r="B1886" t="s">
        <v>90</v>
      </c>
      <c r="C1886">
        <v>-2018</v>
      </c>
      <c r="D1886" t="str">
        <f>VLOOKUP(B1886,Tabela_Auxiliar[],2,0)</f>
        <v>4. Despesas Operacionais</v>
      </c>
      <c r="E1886" t="str">
        <f>VLOOKUP(B1886,Tabela_Auxiliar[],4,0)</f>
        <v>Despesa Tributária</v>
      </c>
      <c r="F1886" t="str">
        <f>VLOOKUP(B1886,Tabela_Auxiliar[],3,0)</f>
        <v>Saída</v>
      </c>
      <c r="G1886" t="str">
        <f>UPPER(TEXT(Tabela_DB[[#This Row],[DATA]],"mmm"))</f>
        <v>ABR</v>
      </c>
      <c r="H1886" t="str">
        <f>UPPER(TEXT(Tabela_DB[[#This Row],[DATA]],"aaaa"))</f>
        <v>2021</v>
      </c>
    </row>
    <row r="1887" spans="1:8" x14ac:dyDescent="0.25">
      <c r="A1887" s="2">
        <v>44312</v>
      </c>
      <c r="B1887" t="s">
        <v>55</v>
      </c>
      <c r="C1887">
        <v>-2200</v>
      </c>
      <c r="D1887" t="str">
        <f>VLOOKUP(B1887,Tabela_Auxiliar[],2,0)</f>
        <v>4. Despesas Operacionais</v>
      </c>
      <c r="E1887" t="str">
        <f>VLOOKUP(B1887,Tabela_Auxiliar[],4,0)</f>
        <v>Despesa com Pessoal</v>
      </c>
      <c r="F1887" t="str">
        <f>VLOOKUP(B1887,Tabela_Auxiliar[],3,0)</f>
        <v>Saída</v>
      </c>
      <c r="G1887" t="str">
        <f>UPPER(TEXT(Tabela_DB[[#This Row],[DATA]],"mmm"))</f>
        <v>ABR</v>
      </c>
      <c r="H1887" t="str">
        <f>UPPER(TEXT(Tabela_DB[[#This Row],[DATA]],"aaaa"))</f>
        <v>2021</v>
      </c>
    </row>
    <row r="1888" spans="1:8" x14ac:dyDescent="0.25">
      <c r="A1888" s="2">
        <v>44312</v>
      </c>
      <c r="B1888" t="s">
        <v>37</v>
      </c>
      <c r="C1888">
        <v>-4279</v>
      </c>
      <c r="D1888" t="str">
        <f>VLOOKUP(B1888,Tabela_Auxiliar[],2,0)</f>
        <v>3. Custos do Produto/Mercadoria/Serviço</v>
      </c>
      <c r="E1888" t="str">
        <f>VLOOKUP(B1888,Tabela_Auxiliar[],4,0)</f>
        <v>Despesas c/ Produto</v>
      </c>
      <c r="F1888" t="str">
        <f>VLOOKUP(B1888,Tabela_Auxiliar[],3,0)</f>
        <v>Saída</v>
      </c>
      <c r="G1888" t="str">
        <f>UPPER(TEXT(Tabela_DB[[#This Row],[DATA]],"mmm"))</f>
        <v>ABR</v>
      </c>
      <c r="H1888" t="str">
        <f>UPPER(TEXT(Tabela_DB[[#This Row],[DATA]],"aaaa"))</f>
        <v>2021</v>
      </c>
    </row>
    <row r="1889" spans="1:8" x14ac:dyDescent="0.25">
      <c r="A1889" s="2">
        <v>44312</v>
      </c>
      <c r="B1889" t="s">
        <v>63</v>
      </c>
      <c r="C1889">
        <v>-2355</v>
      </c>
      <c r="D1889" t="str">
        <f>VLOOKUP(B1889,Tabela_Auxiliar[],2,0)</f>
        <v>4. Despesas Operacionais</v>
      </c>
      <c r="E1889" t="str">
        <f>VLOOKUP(B1889,Tabela_Auxiliar[],4,0)</f>
        <v>Despesa Gerais</v>
      </c>
      <c r="F1889" t="str">
        <f>VLOOKUP(B1889,Tabela_Auxiliar[],3,0)</f>
        <v>Saída</v>
      </c>
      <c r="G1889" t="str">
        <f>UPPER(TEXT(Tabela_DB[[#This Row],[DATA]],"mmm"))</f>
        <v>ABR</v>
      </c>
      <c r="H1889" t="str">
        <f>UPPER(TEXT(Tabela_DB[[#This Row],[DATA]],"aaaa"))</f>
        <v>2021</v>
      </c>
    </row>
    <row r="1890" spans="1:8" x14ac:dyDescent="0.25">
      <c r="A1890" s="2">
        <v>44313</v>
      </c>
      <c r="B1890" t="s">
        <v>38</v>
      </c>
      <c r="C1890">
        <v>-1817</v>
      </c>
      <c r="D1890" t="str">
        <f>VLOOKUP(B1890,Tabela_Auxiliar[],2,0)</f>
        <v>2. Deduções da Receita</v>
      </c>
      <c r="E1890" t="str">
        <f>VLOOKUP(B1890,Tabela_Auxiliar[],4,0)</f>
        <v>Deduções</v>
      </c>
      <c r="F1890" t="str">
        <f>VLOOKUP(B1890,Tabela_Auxiliar[],3,0)</f>
        <v>Saída</v>
      </c>
      <c r="G1890" t="str">
        <f>UPPER(TEXT(Tabela_DB[[#This Row],[DATA]],"mmm"))</f>
        <v>ABR</v>
      </c>
      <c r="H1890" t="str">
        <f>UPPER(TEXT(Tabela_DB[[#This Row],[DATA]],"aaaa"))</f>
        <v>2021</v>
      </c>
    </row>
    <row r="1891" spans="1:8" x14ac:dyDescent="0.25">
      <c r="A1891" s="2">
        <v>44313</v>
      </c>
      <c r="B1891" t="s">
        <v>42</v>
      </c>
      <c r="C1891">
        <v>-2481</v>
      </c>
      <c r="D1891" t="str">
        <f>VLOOKUP(B1891,Tabela_Auxiliar[],2,0)</f>
        <v>4. Despesas Operacionais</v>
      </c>
      <c r="E1891" t="str">
        <f>VLOOKUP(B1891,Tabela_Auxiliar[],4,0)</f>
        <v>Despesa com Pessoal</v>
      </c>
      <c r="F1891" t="str">
        <f>VLOOKUP(B1891,Tabela_Auxiliar[],3,0)</f>
        <v>Saída</v>
      </c>
      <c r="G1891" t="str">
        <f>UPPER(TEXT(Tabela_DB[[#This Row],[DATA]],"mmm"))</f>
        <v>ABR</v>
      </c>
      <c r="H1891" t="str">
        <f>UPPER(TEXT(Tabela_DB[[#This Row],[DATA]],"aaaa"))</f>
        <v>2021</v>
      </c>
    </row>
    <row r="1892" spans="1:8" x14ac:dyDescent="0.25">
      <c r="A1892" s="2">
        <v>44313</v>
      </c>
      <c r="B1892" t="s">
        <v>38</v>
      </c>
      <c r="C1892">
        <v>-1196</v>
      </c>
      <c r="D1892" t="str">
        <f>VLOOKUP(B1892,Tabela_Auxiliar[],2,0)</f>
        <v>2. Deduções da Receita</v>
      </c>
      <c r="E1892" t="str">
        <f>VLOOKUP(B1892,Tabela_Auxiliar[],4,0)</f>
        <v>Deduções</v>
      </c>
      <c r="F1892" t="str">
        <f>VLOOKUP(B1892,Tabela_Auxiliar[],3,0)</f>
        <v>Saída</v>
      </c>
      <c r="G1892" t="str">
        <f>UPPER(TEXT(Tabela_DB[[#This Row],[DATA]],"mmm"))</f>
        <v>ABR</v>
      </c>
      <c r="H1892" t="str">
        <f>UPPER(TEXT(Tabela_DB[[#This Row],[DATA]],"aaaa"))</f>
        <v>2021</v>
      </c>
    </row>
    <row r="1893" spans="1:8" x14ac:dyDescent="0.25">
      <c r="A1893" s="2">
        <v>44313</v>
      </c>
      <c r="B1893" t="s">
        <v>111</v>
      </c>
      <c r="C1893">
        <v>-1439</v>
      </c>
      <c r="D1893" t="str">
        <f>VLOOKUP(B1893,Tabela_Auxiliar[],2,0)</f>
        <v>2. Deduções da Receita</v>
      </c>
      <c r="E1893" t="str">
        <f>VLOOKUP(B1893,Tabela_Auxiliar[],4,0)</f>
        <v>Imposto</v>
      </c>
      <c r="F1893" t="str">
        <f>VLOOKUP(B1893,Tabela_Auxiliar[],3,0)</f>
        <v>Saída</v>
      </c>
      <c r="G1893" t="str">
        <f>UPPER(TEXT(Tabela_DB[[#This Row],[DATA]],"mmm"))</f>
        <v>ABR</v>
      </c>
      <c r="H1893" t="str">
        <f>UPPER(TEXT(Tabela_DB[[#This Row],[DATA]],"aaaa"))</f>
        <v>2021</v>
      </c>
    </row>
    <row r="1894" spans="1:8" x14ac:dyDescent="0.25">
      <c r="A1894" s="2">
        <v>44313</v>
      </c>
      <c r="B1894" t="s">
        <v>102</v>
      </c>
      <c r="C1894">
        <v>-2276</v>
      </c>
      <c r="D1894" t="str">
        <f>VLOOKUP(B1894,Tabela_Auxiliar[],2,0)</f>
        <v>6. Resultado após o Resultado Financeiro</v>
      </c>
      <c r="E1894" t="str">
        <f>VLOOKUP(B1894,Tabela_Auxiliar[],4,0)</f>
        <v>EBTIDA</v>
      </c>
      <c r="F1894" t="str">
        <f>VLOOKUP(B1894,Tabela_Auxiliar[],3,0)</f>
        <v>Saída</v>
      </c>
      <c r="G1894" t="str">
        <f>UPPER(TEXT(Tabela_DB[[#This Row],[DATA]],"mmm"))</f>
        <v>ABR</v>
      </c>
      <c r="H1894" t="str">
        <f>UPPER(TEXT(Tabela_DB[[#This Row],[DATA]],"aaaa"))</f>
        <v>2021</v>
      </c>
    </row>
    <row r="1895" spans="1:8" x14ac:dyDescent="0.25">
      <c r="A1895" s="2">
        <v>44313</v>
      </c>
      <c r="B1895" t="s">
        <v>4</v>
      </c>
      <c r="C1895">
        <v>12352</v>
      </c>
      <c r="D1895" t="str">
        <f>VLOOKUP(B1895,Tabela_Auxiliar[],2,0)</f>
        <v>1. Receita Operacional Bruta</v>
      </c>
      <c r="E1895" t="str">
        <f>VLOOKUP(B1895,Tabela_Auxiliar[],4,0)</f>
        <v>Receita Bruta</v>
      </c>
      <c r="F1895" t="str">
        <f>VLOOKUP(B1895,Tabela_Auxiliar[],3,0)</f>
        <v>Entrada</v>
      </c>
      <c r="G1895" t="str">
        <f>UPPER(TEXT(Tabela_DB[[#This Row],[DATA]],"mmm"))</f>
        <v>ABR</v>
      </c>
      <c r="H1895" t="str">
        <f>UPPER(TEXT(Tabela_DB[[#This Row],[DATA]],"aaaa"))</f>
        <v>2021</v>
      </c>
    </row>
    <row r="1896" spans="1:8" x14ac:dyDescent="0.25">
      <c r="A1896" s="2">
        <v>44313</v>
      </c>
      <c r="B1896" t="s">
        <v>67</v>
      </c>
      <c r="C1896">
        <v>-1105</v>
      </c>
      <c r="D1896" t="str">
        <f>VLOOKUP(B1896,Tabela_Auxiliar[],2,0)</f>
        <v>4. Despesas Operacionais</v>
      </c>
      <c r="E1896" t="str">
        <f>VLOOKUP(B1896,Tabela_Auxiliar[],4,0)</f>
        <v>Despesa com Vendas</v>
      </c>
      <c r="F1896" t="str">
        <f>VLOOKUP(B1896,Tabela_Auxiliar[],3,0)</f>
        <v>Saída</v>
      </c>
      <c r="G1896" t="str">
        <f>UPPER(TEXT(Tabela_DB[[#This Row],[DATA]],"mmm"))</f>
        <v>ABR</v>
      </c>
      <c r="H1896" t="str">
        <f>UPPER(TEXT(Tabela_DB[[#This Row],[DATA]],"aaaa"))</f>
        <v>2021</v>
      </c>
    </row>
    <row r="1897" spans="1:8" x14ac:dyDescent="0.25">
      <c r="A1897" s="2">
        <v>44313</v>
      </c>
      <c r="B1897" t="s">
        <v>66</v>
      </c>
      <c r="C1897">
        <v>-2207</v>
      </c>
      <c r="D1897" t="str">
        <f>VLOOKUP(B1897,Tabela_Auxiliar[],2,0)</f>
        <v>4. Despesas Operacionais</v>
      </c>
      <c r="E1897" t="str">
        <f>VLOOKUP(B1897,Tabela_Auxiliar[],4,0)</f>
        <v>Despesa com Vendas</v>
      </c>
      <c r="F1897" t="str">
        <f>VLOOKUP(B1897,Tabela_Auxiliar[],3,0)</f>
        <v>Saída</v>
      </c>
      <c r="G1897" t="str">
        <f>UPPER(TEXT(Tabela_DB[[#This Row],[DATA]],"mmm"))</f>
        <v>ABR</v>
      </c>
      <c r="H1897" t="str">
        <f>UPPER(TEXT(Tabela_DB[[#This Row],[DATA]],"aaaa"))</f>
        <v>2021</v>
      </c>
    </row>
    <row r="1898" spans="1:8" x14ac:dyDescent="0.25">
      <c r="A1898" s="2">
        <v>44313</v>
      </c>
      <c r="B1898" t="s">
        <v>111</v>
      </c>
      <c r="C1898">
        <v>-2352</v>
      </c>
      <c r="D1898" t="str">
        <f>VLOOKUP(B1898,Tabela_Auxiliar[],2,0)</f>
        <v>2. Deduções da Receita</v>
      </c>
      <c r="E1898" t="str">
        <f>VLOOKUP(B1898,Tabela_Auxiliar[],4,0)</f>
        <v>Imposto</v>
      </c>
      <c r="F1898" t="str">
        <f>VLOOKUP(B1898,Tabela_Auxiliar[],3,0)</f>
        <v>Saída</v>
      </c>
      <c r="G1898" t="str">
        <f>UPPER(TEXT(Tabela_DB[[#This Row],[DATA]],"mmm"))</f>
        <v>ABR</v>
      </c>
      <c r="H1898" t="str">
        <f>UPPER(TEXT(Tabela_DB[[#This Row],[DATA]],"aaaa"))</f>
        <v>2021</v>
      </c>
    </row>
    <row r="1899" spans="1:8" x14ac:dyDescent="0.25">
      <c r="A1899" s="2">
        <v>44313</v>
      </c>
      <c r="B1899" t="s">
        <v>38</v>
      </c>
      <c r="C1899">
        <v>-1966</v>
      </c>
      <c r="D1899" t="str">
        <f>VLOOKUP(B1899,Tabela_Auxiliar[],2,0)</f>
        <v>2. Deduções da Receita</v>
      </c>
      <c r="E1899" t="str">
        <f>VLOOKUP(B1899,Tabela_Auxiliar[],4,0)</f>
        <v>Deduções</v>
      </c>
      <c r="F1899" t="str">
        <f>VLOOKUP(B1899,Tabela_Auxiliar[],3,0)</f>
        <v>Saída</v>
      </c>
      <c r="G1899" t="str">
        <f>UPPER(TEXT(Tabela_DB[[#This Row],[DATA]],"mmm"))</f>
        <v>ABR</v>
      </c>
      <c r="H1899" t="str">
        <f>UPPER(TEXT(Tabela_DB[[#This Row],[DATA]],"aaaa"))</f>
        <v>2021</v>
      </c>
    </row>
    <row r="1900" spans="1:8" x14ac:dyDescent="0.25">
      <c r="A1900" s="2">
        <v>44313</v>
      </c>
      <c r="B1900" t="s">
        <v>38</v>
      </c>
      <c r="C1900">
        <v>-2330</v>
      </c>
      <c r="D1900" t="str">
        <f>VLOOKUP(B1900,Tabela_Auxiliar[],2,0)</f>
        <v>2. Deduções da Receita</v>
      </c>
      <c r="E1900" t="str">
        <f>VLOOKUP(B1900,Tabela_Auxiliar[],4,0)</f>
        <v>Deduções</v>
      </c>
      <c r="F1900" t="str">
        <f>VLOOKUP(B1900,Tabela_Auxiliar[],3,0)</f>
        <v>Saída</v>
      </c>
      <c r="G1900" t="str">
        <f>UPPER(TEXT(Tabela_DB[[#This Row],[DATA]],"mmm"))</f>
        <v>ABR</v>
      </c>
      <c r="H1900" t="str">
        <f>UPPER(TEXT(Tabela_DB[[#This Row],[DATA]],"aaaa"))</f>
        <v>2021</v>
      </c>
    </row>
    <row r="1901" spans="1:8" x14ac:dyDescent="0.25">
      <c r="A1901" s="2">
        <v>44313</v>
      </c>
      <c r="B1901" t="s">
        <v>111</v>
      </c>
      <c r="C1901">
        <v>-2211</v>
      </c>
      <c r="D1901" t="str">
        <f>VLOOKUP(B1901,Tabela_Auxiliar[],2,0)</f>
        <v>2. Deduções da Receita</v>
      </c>
      <c r="E1901" t="str">
        <f>VLOOKUP(B1901,Tabela_Auxiliar[],4,0)</f>
        <v>Imposto</v>
      </c>
      <c r="F1901" t="str">
        <f>VLOOKUP(B1901,Tabela_Auxiliar[],3,0)</f>
        <v>Saída</v>
      </c>
      <c r="G1901" t="str">
        <f>UPPER(TEXT(Tabela_DB[[#This Row],[DATA]],"mmm"))</f>
        <v>ABR</v>
      </c>
      <c r="H1901" t="str">
        <f>UPPER(TEXT(Tabela_DB[[#This Row],[DATA]],"aaaa"))</f>
        <v>2021</v>
      </c>
    </row>
    <row r="1902" spans="1:8" x14ac:dyDescent="0.25">
      <c r="A1902" s="2">
        <v>44314</v>
      </c>
      <c r="B1902" t="s">
        <v>4</v>
      </c>
      <c r="C1902">
        <v>11053</v>
      </c>
      <c r="D1902" t="str">
        <f>VLOOKUP(B1902,Tabela_Auxiliar[],2,0)</f>
        <v>1. Receita Operacional Bruta</v>
      </c>
      <c r="E1902" t="str">
        <f>VLOOKUP(B1902,Tabela_Auxiliar[],4,0)</f>
        <v>Receita Bruta</v>
      </c>
      <c r="F1902" t="str">
        <f>VLOOKUP(B1902,Tabela_Auxiliar[],3,0)</f>
        <v>Entrada</v>
      </c>
      <c r="G1902" t="str">
        <f>UPPER(TEXT(Tabela_DB[[#This Row],[DATA]],"mmm"))</f>
        <v>ABR</v>
      </c>
      <c r="H1902" t="str">
        <f>UPPER(TEXT(Tabela_DB[[#This Row],[DATA]],"aaaa"))</f>
        <v>2021</v>
      </c>
    </row>
    <row r="1903" spans="1:8" x14ac:dyDescent="0.25">
      <c r="A1903" s="2">
        <v>44314</v>
      </c>
      <c r="B1903" t="s">
        <v>38</v>
      </c>
      <c r="C1903">
        <v>-2004</v>
      </c>
      <c r="D1903" t="str">
        <f>VLOOKUP(B1903,Tabela_Auxiliar[],2,0)</f>
        <v>2. Deduções da Receita</v>
      </c>
      <c r="E1903" t="str">
        <f>VLOOKUP(B1903,Tabela_Auxiliar[],4,0)</f>
        <v>Deduções</v>
      </c>
      <c r="F1903" t="str">
        <f>VLOOKUP(B1903,Tabela_Auxiliar[],3,0)</f>
        <v>Saída</v>
      </c>
      <c r="G1903" t="str">
        <f>UPPER(TEXT(Tabela_DB[[#This Row],[DATA]],"mmm"))</f>
        <v>ABR</v>
      </c>
      <c r="H1903" t="str">
        <f>UPPER(TEXT(Tabela_DB[[#This Row],[DATA]],"aaaa"))</f>
        <v>2021</v>
      </c>
    </row>
    <row r="1904" spans="1:8" x14ac:dyDescent="0.25">
      <c r="A1904" s="2">
        <v>44314</v>
      </c>
      <c r="B1904" t="s">
        <v>63</v>
      </c>
      <c r="C1904">
        <v>-1593</v>
      </c>
      <c r="D1904" t="str">
        <f>VLOOKUP(B1904,Tabela_Auxiliar[],2,0)</f>
        <v>4. Despesas Operacionais</v>
      </c>
      <c r="E1904" t="str">
        <f>VLOOKUP(B1904,Tabela_Auxiliar[],4,0)</f>
        <v>Despesa Gerais</v>
      </c>
      <c r="F1904" t="str">
        <f>VLOOKUP(B1904,Tabela_Auxiliar[],3,0)</f>
        <v>Saída</v>
      </c>
      <c r="G1904" t="str">
        <f>UPPER(TEXT(Tabela_DB[[#This Row],[DATA]],"mmm"))</f>
        <v>ABR</v>
      </c>
      <c r="H1904" t="str">
        <f>UPPER(TEXT(Tabela_DB[[#This Row],[DATA]],"aaaa"))</f>
        <v>2021</v>
      </c>
    </row>
    <row r="1905" spans="1:8" x14ac:dyDescent="0.25">
      <c r="A1905" s="2">
        <v>44314</v>
      </c>
      <c r="B1905" t="s">
        <v>37</v>
      </c>
      <c r="C1905">
        <v>-3018</v>
      </c>
      <c r="D1905" t="str">
        <f>VLOOKUP(B1905,Tabela_Auxiliar[],2,0)</f>
        <v>3. Custos do Produto/Mercadoria/Serviço</v>
      </c>
      <c r="E1905" t="str">
        <f>VLOOKUP(B1905,Tabela_Auxiliar[],4,0)</f>
        <v>Despesas c/ Produto</v>
      </c>
      <c r="F1905" t="str">
        <f>VLOOKUP(B1905,Tabela_Auxiliar[],3,0)</f>
        <v>Saída</v>
      </c>
      <c r="G1905" t="str">
        <f>UPPER(TEXT(Tabela_DB[[#This Row],[DATA]],"mmm"))</f>
        <v>ABR</v>
      </c>
      <c r="H1905" t="str">
        <f>UPPER(TEXT(Tabela_DB[[#This Row],[DATA]],"aaaa"))</f>
        <v>2021</v>
      </c>
    </row>
    <row r="1906" spans="1:8" x14ac:dyDescent="0.25">
      <c r="A1906" s="2">
        <v>44314</v>
      </c>
      <c r="B1906" t="s">
        <v>4</v>
      </c>
      <c r="C1906">
        <v>11558</v>
      </c>
      <c r="D1906" t="str">
        <f>VLOOKUP(B1906,Tabela_Auxiliar[],2,0)</f>
        <v>1. Receita Operacional Bruta</v>
      </c>
      <c r="E1906" t="str">
        <f>VLOOKUP(B1906,Tabela_Auxiliar[],4,0)</f>
        <v>Receita Bruta</v>
      </c>
      <c r="F1906" t="str">
        <f>VLOOKUP(B1906,Tabela_Auxiliar[],3,0)</f>
        <v>Entrada</v>
      </c>
      <c r="G1906" t="str">
        <f>UPPER(TEXT(Tabela_DB[[#This Row],[DATA]],"mmm"))</f>
        <v>ABR</v>
      </c>
      <c r="H1906" t="str">
        <f>UPPER(TEXT(Tabela_DB[[#This Row],[DATA]],"aaaa"))</f>
        <v>2021</v>
      </c>
    </row>
    <row r="1907" spans="1:8" x14ac:dyDescent="0.25">
      <c r="A1907" s="2">
        <v>44314</v>
      </c>
      <c r="B1907" t="s">
        <v>60</v>
      </c>
      <c r="C1907">
        <v>-1527</v>
      </c>
      <c r="D1907" t="str">
        <f>VLOOKUP(B1907,Tabela_Auxiliar[],2,0)</f>
        <v>4. Despesas Operacionais</v>
      </c>
      <c r="E1907" t="str">
        <f>VLOOKUP(B1907,Tabela_Auxiliar[],4,0)</f>
        <v>Despesa de Depreciação</v>
      </c>
      <c r="F1907" t="str">
        <f>VLOOKUP(B1907,Tabela_Auxiliar[],3,0)</f>
        <v>Saída</v>
      </c>
      <c r="G1907" t="str">
        <f>UPPER(TEXT(Tabela_DB[[#This Row],[DATA]],"mmm"))</f>
        <v>ABR</v>
      </c>
      <c r="H1907" t="str">
        <f>UPPER(TEXT(Tabela_DB[[#This Row],[DATA]],"aaaa"))</f>
        <v>2021</v>
      </c>
    </row>
    <row r="1908" spans="1:8" x14ac:dyDescent="0.25">
      <c r="A1908" s="2">
        <v>44314</v>
      </c>
      <c r="B1908" t="s">
        <v>82</v>
      </c>
      <c r="C1908">
        <v>-2054</v>
      </c>
      <c r="D1908" t="str">
        <f>VLOOKUP(B1908,Tabela_Auxiliar[],2,0)</f>
        <v>4. Despesas Operacionais</v>
      </c>
      <c r="E1908" t="str">
        <f>VLOOKUP(B1908,Tabela_Auxiliar[],4,0)</f>
        <v>Despesa com Veículos</v>
      </c>
      <c r="F1908" t="str">
        <f>VLOOKUP(B1908,Tabela_Auxiliar[],3,0)</f>
        <v>Saída</v>
      </c>
      <c r="G1908" t="str">
        <f>UPPER(TEXT(Tabela_DB[[#This Row],[DATA]],"mmm"))</f>
        <v>ABR</v>
      </c>
      <c r="H1908" t="str">
        <f>UPPER(TEXT(Tabela_DB[[#This Row],[DATA]],"aaaa"))</f>
        <v>2021</v>
      </c>
    </row>
    <row r="1909" spans="1:8" x14ac:dyDescent="0.25">
      <c r="A1909" s="2">
        <v>44314</v>
      </c>
      <c r="B1909" t="s">
        <v>86</v>
      </c>
      <c r="C1909">
        <v>-1479</v>
      </c>
      <c r="D1909" t="str">
        <f>VLOOKUP(B1909,Tabela_Auxiliar[],2,0)</f>
        <v>4. Despesas Operacionais</v>
      </c>
      <c r="E1909" t="str">
        <f>VLOOKUP(B1909,Tabela_Auxiliar[],4,0)</f>
        <v>Despesa com Veículos</v>
      </c>
      <c r="F1909" t="str">
        <f>VLOOKUP(B1909,Tabela_Auxiliar[],3,0)</f>
        <v>Saída</v>
      </c>
      <c r="G1909" t="str">
        <f>UPPER(TEXT(Tabela_DB[[#This Row],[DATA]],"mmm"))</f>
        <v>ABR</v>
      </c>
      <c r="H1909" t="str">
        <f>UPPER(TEXT(Tabela_DB[[#This Row],[DATA]],"aaaa"))</f>
        <v>2021</v>
      </c>
    </row>
    <row r="1910" spans="1:8" x14ac:dyDescent="0.25">
      <c r="A1910" s="2">
        <v>44315</v>
      </c>
      <c r="B1910" t="s">
        <v>111</v>
      </c>
      <c r="C1910">
        <v>-1521</v>
      </c>
      <c r="D1910" t="str">
        <f>VLOOKUP(B1910,Tabela_Auxiliar[],2,0)</f>
        <v>2. Deduções da Receita</v>
      </c>
      <c r="E1910" t="str">
        <f>VLOOKUP(B1910,Tabela_Auxiliar[],4,0)</f>
        <v>Imposto</v>
      </c>
      <c r="F1910" t="str">
        <f>VLOOKUP(B1910,Tabela_Auxiliar[],3,0)</f>
        <v>Saída</v>
      </c>
      <c r="G1910" t="str">
        <f>UPPER(TEXT(Tabela_DB[[#This Row],[DATA]],"mmm"))</f>
        <v>ABR</v>
      </c>
      <c r="H1910" t="str">
        <f>UPPER(TEXT(Tabela_DB[[#This Row],[DATA]],"aaaa"))</f>
        <v>2021</v>
      </c>
    </row>
    <row r="1911" spans="1:8" x14ac:dyDescent="0.25">
      <c r="A1911" s="2">
        <v>44315</v>
      </c>
      <c r="B1911" t="s">
        <v>4</v>
      </c>
      <c r="C1911">
        <v>12074</v>
      </c>
      <c r="D1911" t="str">
        <f>VLOOKUP(B1911,Tabela_Auxiliar[],2,0)</f>
        <v>1. Receita Operacional Bruta</v>
      </c>
      <c r="E1911" t="str">
        <f>VLOOKUP(B1911,Tabela_Auxiliar[],4,0)</f>
        <v>Receita Bruta</v>
      </c>
      <c r="F1911" t="str">
        <f>VLOOKUP(B1911,Tabela_Auxiliar[],3,0)</f>
        <v>Entrada</v>
      </c>
      <c r="G1911" t="str">
        <f>UPPER(TEXT(Tabela_DB[[#This Row],[DATA]],"mmm"))</f>
        <v>ABR</v>
      </c>
      <c r="H1911" t="str">
        <f>UPPER(TEXT(Tabela_DB[[#This Row],[DATA]],"aaaa"))</f>
        <v>2021</v>
      </c>
    </row>
    <row r="1912" spans="1:8" x14ac:dyDescent="0.25">
      <c r="A1912" s="2">
        <v>44315</v>
      </c>
      <c r="B1912" t="s">
        <v>35</v>
      </c>
      <c r="C1912">
        <v>-2479</v>
      </c>
      <c r="D1912" t="str">
        <f>VLOOKUP(B1912,Tabela_Auxiliar[],2,0)</f>
        <v>2. Deduções da Receita</v>
      </c>
      <c r="E1912" t="str">
        <f>VLOOKUP(B1912,Tabela_Auxiliar[],4,0)</f>
        <v>Imposto</v>
      </c>
      <c r="F1912" t="str">
        <f>VLOOKUP(B1912,Tabela_Auxiliar[],3,0)</f>
        <v>Saída</v>
      </c>
      <c r="G1912" t="str">
        <f>UPPER(TEXT(Tabela_DB[[#This Row],[DATA]],"mmm"))</f>
        <v>ABR</v>
      </c>
      <c r="H1912" t="str">
        <f>UPPER(TEXT(Tabela_DB[[#This Row],[DATA]],"aaaa"))</f>
        <v>2021</v>
      </c>
    </row>
    <row r="1913" spans="1:8" x14ac:dyDescent="0.25">
      <c r="A1913" s="2">
        <v>44315</v>
      </c>
      <c r="B1913" t="s">
        <v>49</v>
      </c>
      <c r="C1913">
        <v>-1663</v>
      </c>
      <c r="D1913" t="str">
        <f>VLOOKUP(B1913,Tabela_Auxiliar[],2,0)</f>
        <v>4. Despesas Operacionais</v>
      </c>
      <c r="E1913" t="str">
        <f>VLOOKUP(B1913,Tabela_Auxiliar[],4,0)</f>
        <v>Despesa com Pessoal</v>
      </c>
      <c r="F1913" t="str">
        <f>VLOOKUP(B1913,Tabela_Auxiliar[],3,0)</f>
        <v>Saída</v>
      </c>
      <c r="G1913" t="str">
        <f>UPPER(TEXT(Tabela_DB[[#This Row],[DATA]],"mmm"))</f>
        <v>ABR</v>
      </c>
      <c r="H1913" t="str">
        <f>UPPER(TEXT(Tabela_DB[[#This Row],[DATA]],"aaaa"))</f>
        <v>2021</v>
      </c>
    </row>
    <row r="1914" spans="1:8" x14ac:dyDescent="0.25">
      <c r="A1914" s="2">
        <v>44315</v>
      </c>
      <c r="B1914" t="s">
        <v>3</v>
      </c>
      <c r="C1914">
        <v>14883</v>
      </c>
      <c r="D1914" t="str">
        <f>VLOOKUP(B1914,Tabela_Auxiliar[],2,0)</f>
        <v>1. Receita Operacional Bruta</v>
      </c>
      <c r="E1914" t="str">
        <f>VLOOKUP(B1914,Tabela_Auxiliar[],4,0)</f>
        <v>Receita Bruta</v>
      </c>
      <c r="F1914" t="str">
        <f>VLOOKUP(B1914,Tabela_Auxiliar[],3,0)</f>
        <v>Entrada</v>
      </c>
      <c r="G1914" t="str">
        <f>UPPER(TEXT(Tabela_DB[[#This Row],[DATA]],"mmm"))</f>
        <v>ABR</v>
      </c>
      <c r="H1914" t="str">
        <f>UPPER(TEXT(Tabela_DB[[#This Row],[DATA]],"aaaa"))</f>
        <v>2021</v>
      </c>
    </row>
    <row r="1915" spans="1:8" x14ac:dyDescent="0.25">
      <c r="A1915" s="2">
        <v>44315</v>
      </c>
      <c r="B1915" t="s">
        <v>55</v>
      </c>
      <c r="C1915">
        <v>-2210</v>
      </c>
      <c r="D1915" t="str">
        <f>VLOOKUP(B1915,Tabela_Auxiliar[],2,0)</f>
        <v>4. Despesas Operacionais</v>
      </c>
      <c r="E1915" t="str">
        <f>VLOOKUP(B1915,Tabela_Auxiliar[],4,0)</f>
        <v>Despesa com Pessoal</v>
      </c>
      <c r="F1915" t="str">
        <f>VLOOKUP(B1915,Tabela_Auxiliar[],3,0)</f>
        <v>Saída</v>
      </c>
      <c r="G1915" t="str">
        <f>UPPER(TEXT(Tabela_DB[[#This Row],[DATA]],"mmm"))</f>
        <v>ABR</v>
      </c>
      <c r="H1915" t="str">
        <f>UPPER(TEXT(Tabela_DB[[#This Row],[DATA]],"aaaa"))</f>
        <v>2021</v>
      </c>
    </row>
    <row r="1916" spans="1:8" x14ac:dyDescent="0.25">
      <c r="A1916" s="2">
        <v>44315</v>
      </c>
      <c r="B1916" t="s">
        <v>34</v>
      </c>
      <c r="C1916">
        <v>-1565</v>
      </c>
      <c r="D1916" t="str">
        <f>VLOOKUP(B1916,Tabela_Auxiliar[],2,0)</f>
        <v>2. Deduções da Receita</v>
      </c>
      <c r="E1916" t="str">
        <f>VLOOKUP(B1916,Tabela_Auxiliar[],4,0)</f>
        <v>Imposto</v>
      </c>
      <c r="F1916" t="str">
        <f>VLOOKUP(B1916,Tabela_Auxiliar[],3,0)</f>
        <v>Saída</v>
      </c>
      <c r="G1916" t="str">
        <f>UPPER(TEXT(Tabela_DB[[#This Row],[DATA]],"mmm"))</f>
        <v>ABR</v>
      </c>
      <c r="H1916" t="str">
        <f>UPPER(TEXT(Tabela_DB[[#This Row],[DATA]],"aaaa"))</f>
        <v>2021</v>
      </c>
    </row>
    <row r="1917" spans="1:8" x14ac:dyDescent="0.25">
      <c r="A1917" s="2">
        <v>44315</v>
      </c>
      <c r="B1917" t="s">
        <v>37</v>
      </c>
      <c r="C1917">
        <v>-2717</v>
      </c>
      <c r="D1917" t="str">
        <f>VLOOKUP(B1917,Tabela_Auxiliar[],2,0)</f>
        <v>3. Custos do Produto/Mercadoria/Serviço</v>
      </c>
      <c r="E1917" t="str">
        <f>VLOOKUP(B1917,Tabela_Auxiliar[],4,0)</f>
        <v>Despesas c/ Produto</v>
      </c>
      <c r="F1917" t="str">
        <f>VLOOKUP(B1917,Tabela_Auxiliar[],3,0)</f>
        <v>Saída</v>
      </c>
      <c r="G1917" t="str">
        <f>UPPER(TEXT(Tabela_DB[[#This Row],[DATA]],"mmm"))</f>
        <v>ABR</v>
      </c>
      <c r="H1917" t="str">
        <f>UPPER(TEXT(Tabela_DB[[#This Row],[DATA]],"aaaa"))</f>
        <v>2021</v>
      </c>
    </row>
    <row r="1918" spans="1:8" x14ac:dyDescent="0.25">
      <c r="A1918" s="2">
        <v>44315</v>
      </c>
      <c r="B1918" t="s">
        <v>3</v>
      </c>
      <c r="C1918">
        <v>11056</v>
      </c>
      <c r="D1918" t="str">
        <f>VLOOKUP(B1918,Tabela_Auxiliar[],2,0)</f>
        <v>1. Receita Operacional Bruta</v>
      </c>
      <c r="E1918" t="str">
        <f>VLOOKUP(B1918,Tabela_Auxiliar[],4,0)</f>
        <v>Receita Bruta</v>
      </c>
      <c r="F1918" t="str">
        <f>VLOOKUP(B1918,Tabela_Auxiliar[],3,0)</f>
        <v>Entrada</v>
      </c>
      <c r="G1918" t="str">
        <f>UPPER(TEXT(Tabela_DB[[#This Row],[DATA]],"mmm"))</f>
        <v>ABR</v>
      </c>
      <c r="H1918" t="str">
        <f>UPPER(TEXT(Tabela_DB[[#This Row],[DATA]],"aaaa"))</f>
        <v>2021</v>
      </c>
    </row>
    <row r="1919" spans="1:8" x14ac:dyDescent="0.25">
      <c r="A1919" s="2">
        <v>44315</v>
      </c>
      <c r="B1919" t="s">
        <v>86</v>
      </c>
      <c r="C1919">
        <v>-1332</v>
      </c>
      <c r="D1919" t="str">
        <f>VLOOKUP(B1919,Tabela_Auxiliar[],2,0)</f>
        <v>4. Despesas Operacionais</v>
      </c>
      <c r="E1919" t="str">
        <f>VLOOKUP(B1919,Tabela_Auxiliar[],4,0)</f>
        <v>Despesa com Veículos</v>
      </c>
      <c r="F1919" t="str">
        <f>VLOOKUP(B1919,Tabela_Auxiliar[],3,0)</f>
        <v>Saída</v>
      </c>
      <c r="G1919" t="str">
        <f>UPPER(TEXT(Tabela_DB[[#This Row],[DATA]],"mmm"))</f>
        <v>ABR</v>
      </c>
      <c r="H1919" t="str">
        <f>UPPER(TEXT(Tabela_DB[[#This Row],[DATA]],"aaaa"))</f>
        <v>2021</v>
      </c>
    </row>
    <row r="1920" spans="1:8" x14ac:dyDescent="0.25">
      <c r="A1920" s="2">
        <v>44315</v>
      </c>
      <c r="B1920" t="s">
        <v>37</v>
      </c>
      <c r="C1920">
        <v>-4258</v>
      </c>
      <c r="D1920" t="str">
        <f>VLOOKUP(B1920,Tabela_Auxiliar[],2,0)</f>
        <v>3. Custos do Produto/Mercadoria/Serviço</v>
      </c>
      <c r="E1920" t="str">
        <f>VLOOKUP(B1920,Tabela_Auxiliar[],4,0)</f>
        <v>Despesas c/ Produto</v>
      </c>
      <c r="F1920" t="str">
        <f>VLOOKUP(B1920,Tabela_Auxiliar[],3,0)</f>
        <v>Saída</v>
      </c>
      <c r="G1920" t="str">
        <f>UPPER(TEXT(Tabela_DB[[#This Row],[DATA]],"mmm"))</f>
        <v>ABR</v>
      </c>
      <c r="H1920" t="str">
        <f>UPPER(TEXT(Tabela_DB[[#This Row],[DATA]],"aaaa"))</f>
        <v>2021</v>
      </c>
    </row>
    <row r="1921" spans="1:8" x14ac:dyDescent="0.25">
      <c r="A1921" s="2">
        <v>44315</v>
      </c>
      <c r="B1921" t="s">
        <v>35</v>
      </c>
      <c r="C1921">
        <v>-1414</v>
      </c>
      <c r="D1921" t="str">
        <f>VLOOKUP(B1921,Tabela_Auxiliar[],2,0)</f>
        <v>2. Deduções da Receita</v>
      </c>
      <c r="E1921" t="str">
        <f>VLOOKUP(B1921,Tabela_Auxiliar[],4,0)</f>
        <v>Imposto</v>
      </c>
      <c r="F1921" t="str">
        <f>VLOOKUP(B1921,Tabela_Auxiliar[],3,0)</f>
        <v>Saída</v>
      </c>
      <c r="G1921" t="str">
        <f>UPPER(TEXT(Tabela_DB[[#This Row],[DATA]],"mmm"))</f>
        <v>ABR</v>
      </c>
      <c r="H1921" t="str">
        <f>UPPER(TEXT(Tabela_DB[[#This Row],[DATA]],"aaaa"))</f>
        <v>2021</v>
      </c>
    </row>
    <row r="1922" spans="1:8" x14ac:dyDescent="0.25">
      <c r="A1922" s="2">
        <v>44315</v>
      </c>
      <c r="B1922" t="s">
        <v>38</v>
      </c>
      <c r="C1922">
        <v>-1996</v>
      </c>
      <c r="D1922" t="str">
        <f>VLOOKUP(B1922,Tabela_Auxiliar[],2,0)</f>
        <v>2. Deduções da Receita</v>
      </c>
      <c r="E1922" t="str">
        <f>VLOOKUP(B1922,Tabela_Auxiliar[],4,0)</f>
        <v>Deduções</v>
      </c>
      <c r="F1922" t="str">
        <f>VLOOKUP(B1922,Tabela_Auxiliar[],3,0)</f>
        <v>Saída</v>
      </c>
      <c r="G1922" t="str">
        <f>UPPER(TEXT(Tabela_DB[[#This Row],[DATA]],"mmm"))</f>
        <v>ABR</v>
      </c>
      <c r="H1922" t="str">
        <f>UPPER(TEXT(Tabela_DB[[#This Row],[DATA]],"aaaa"))</f>
        <v>2021</v>
      </c>
    </row>
    <row r="1923" spans="1:8" x14ac:dyDescent="0.25">
      <c r="A1923" s="2">
        <v>44315</v>
      </c>
      <c r="B1923" t="s">
        <v>66</v>
      </c>
      <c r="C1923">
        <v>-1585</v>
      </c>
      <c r="D1923" t="str">
        <f>VLOOKUP(B1923,Tabela_Auxiliar[],2,0)</f>
        <v>4. Despesas Operacionais</v>
      </c>
      <c r="E1923" t="str">
        <f>VLOOKUP(B1923,Tabela_Auxiliar[],4,0)</f>
        <v>Despesa com Vendas</v>
      </c>
      <c r="F1923" t="str">
        <f>VLOOKUP(B1923,Tabela_Auxiliar[],3,0)</f>
        <v>Saída</v>
      </c>
      <c r="G1923" t="str">
        <f>UPPER(TEXT(Tabela_DB[[#This Row],[DATA]],"mmm"))</f>
        <v>ABR</v>
      </c>
      <c r="H1923" t="str">
        <f>UPPER(TEXT(Tabela_DB[[#This Row],[DATA]],"aaaa"))</f>
        <v>2021</v>
      </c>
    </row>
    <row r="1924" spans="1:8" x14ac:dyDescent="0.25">
      <c r="A1924" s="2">
        <v>44315</v>
      </c>
      <c r="B1924" t="s">
        <v>34</v>
      </c>
      <c r="C1924">
        <v>-1959</v>
      </c>
      <c r="D1924" t="str">
        <f>VLOOKUP(B1924,Tabela_Auxiliar[],2,0)</f>
        <v>2. Deduções da Receita</v>
      </c>
      <c r="E1924" t="str">
        <f>VLOOKUP(B1924,Tabela_Auxiliar[],4,0)</f>
        <v>Imposto</v>
      </c>
      <c r="F1924" t="str">
        <f>VLOOKUP(B1924,Tabela_Auxiliar[],3,0)</f>
        <v>Saída</v>
      </c>
      <c r="G1924" t="str">
        <f>UPPER(TEXT(Tabela_DB[[#This Row],[DATA]],"mmm"))</f>
        <v>ABR</v>
      </c>
      <c r="H1924" t="str">
        <f>UPPER(TEXT(Tabela_DB[[#This Row],[DATA]],"aaaa"))</f>
        <v>2021</v>
      </c>
    </row>
    <row r="1925" spans="1:8" x14ac:dyDescent="0.25">
      <c r="A1925" s="2">
        <v>44315</v>
      </c>
      <c r="B1925" t="s">
        <v>111</v>
      </c>
      <c r="C1925">
        <v>-1227</v>
      </c>
      <c r="D1925" t="str">
        <f>VLOOKUP(B1925,Tabela_Auxiliar[],2,0)</f>
        <v>2. Deduções da Receita</v>
      </c>
      <c r="E1925" t="str">
        <f>VLOOKUP(B1925,Tabela_Auxiliar[],4,0)</f>
        <v>Imposto</v>
      </c>
      <c r="F1925" t="str">
        <f>VLOOKUP(B1925,Tabela_Auxiliar[],3,0)</f>
        <v>Saída</v>
      </c>
      <c r="G1925" t="str">
        <f>UPPER(TEXT(Tabela_DB[[#This Row],[DATA]],"mmm"))</f>
        <v>ABR</v>
      </c>
      <c r="H1925" t="str">
        <f>UPPER(TEXT(Tabela_DB[[#This Row],[DATA]],"aaaa"))</f>
        <v>2021</v>
      </c>
    </row>
    <row r="1926" spans="1:8" x14ac:dyDescent="0.25">
      <c r="A1926" s="2">
        <v>44316</v>
      </c>
      <c r="B1926" t="s">
        <v>111</v>
      </c>
      <c r="C1926">
        <v>-1804</v>
      </c>
      <c r="D1926" t="str">
        <f>VLOOKUP(B1926,Tabela_Auxiliar[],2,0)</f>
        <v>2. Deduções da Receita</v>
      </c>
      <c r="E1926" t="str">
        <f>VLOOKUP(B1926,Tabela_Auxiliar[],4,0)</f>
        <v>Imposto</v>
      </c>
      <c r="F1926" t="str">
        <f>VLOOKUP(B1926,Tabela_Auxiliar[],3,0)</f>
        <v>Saída</v>
      </c>
      <c r="G1926" t="str">
        <f>UPPER(TEXT(Tabela_DB[[#This Row],[DATA]],"mmm"))</f>
        <v>ABR</v>
      </c>
      <c r="H1926" t="str">
        <f>UPPER(TEXT(Tabela_DB[[#This Row],[DATA]],"aaaa"))</f>
        <v>2021</v>
      </c>
    </row>
    <row r="1927" spans="1:8" x14ac:dyDescent="0.25">
      <c r="A1927" s="2">
        <v>44316</v>
      </c>
      <c r="B1927" t="s">
        <v>38</v>
      </c>
      <c r="C1927">
        <v>-1003</v>
      </c>
      <c r="D1927" t="str">
        <f>VLOOKUP(B1927,Tabela_Auxiliar[],2,0)</f>
        <v>2. Deduções da Receita</v>
      </c>
      <c r="E1927" t="str">
        <f>VLOOKUP(B1927,Tabela_Auxiliar[],4,0)</f>
        <v>Deduções</v>
      </c>
      <c r="F1927" t="str">
        <f>VLOOKUP(B1927,Tabela_Auxiliar[],3,0)</f>
        <v>Saída</v>
      </c>
      <c r="G1927" t="str">
        <f>UPPER(TEXT(Tabela_DB[[#This Row],[DATA]],"mmm"))</f>
        <v>ABR</v>
      </c>
      <c r="H1927" t="str">
        <f>UPPER(TEXT(Tabela_DB[[#This Row],[DATA]],"aaaa"))</f>
        <v>2021</v>
      </c>
    </row>
    <row r="1928" spans="1:8" x14ac:dyDescent="0.25">
      <c r="A1928" s="2">
        <v>44316</v>
      </c>
      <c r="B1928" t="s">
        <v>38</v>
      </c>
      <c r="C1928">
        <v>-1306</v>
      </c>
      <c r="D1928" t="str">
        <f>VLOOKUP(B1928,Tabela_Auxiliar[],2,0)</f>
        <v>2. Deduções da Receita</v>
      </c>
      <c r="E1928" t="str">
        <f>VLOOKUP(B1928,Tabela_Auxiliar[],4,0)</f>
        <v>Deduções</v>
      </c>
      <c r="F1928" t="str">
        <f>VLOOKUP(B1928,Tabela_Auxiliar[],3,0)</f>
        <v>Saída</v>
      </c>
      <c r="G1928" t="str">
        <f>UPPER(TEXT(Tabela_DB[[#This Row],[DATA]],"mmm"))</f>
        <v>ABR</v>
      </c>
      <c r="H1928" t="str">
        <f>UPPER(TEXT(Tabela_DB[[#This Row],[DATA]],"aaaa"))</f>
        <v>2021</v>
      </c>
    </row>
    <row r="1929" spans="1:8" x14ac:dyDescent="0.25">
      <c r="A1929" s="2">
        <v>44316</v>
      </c>
      <c r="B1929" t="s">
        <v>82</v>
      </c>
      <c r="C1929">
        <v>-1622</v>
      </c>
      <c r="D1929" t="str">
        <f>VLOOKUP(B1929,Tabela_Auxiliar[],2,0)</f>
        <v>4. Despesas Operacionais</v>
      </c>
      <c r="E1929" t="str">
        <f>VLOOKUP(B1929,Tabela_Auxiliar[],4,0)</f>
        <v>Despesa com Veículos</v>
      </c>
      <c r="F1929" t="str">
        <f>VLOOKUP(B1929,Tabela_Auxiliar[],3,0)</f>
        <v>Saída</v>
      </c>
      <c r="G1929" t="str">
        <f>UPPER(TEXT(Tabela_DB[[#This Row],[DATA]],"mmm"))</f>
        <v>ABR</v>
      </c>
      <c r="H1929" t="str">
        <f>UPPER(TEXT(Tabela_DB[[#This Row],[DATA]],"aaaa"))</f>
        <v>2021</v>
      </c>
    </row>
    <row r="1930" spans="1:8" x14ac:dyDescent="0.25">
      <c r="A1930" s="2">
        <v>44316</v>
      </c>
      <c r="B1930" t="s">
        <v>38</v>
      </c>
      <c r="C1930">
        <v>-1274</v>
      </c>
      <c r="D1930" t="str">
        <f>VLOOKUP(B1930,Tabela_Auxiliar[],2,0)</f>
        <v>2. Deduções da Receita</v>
      </c>
      <c r="E1930" t="str">
        <f>VLOOKUP(B1930,Tabela_Auxiliar[],4,0)</f>
        <v>Deduções</v>
      </c>
      <c r="F1930" t="str">
        <f>VLOOKUP(B1930,Tabela_Auxiliar[],3,0)</f>
        <v>Saída</v>
      </c>
      <c r="G1930" t="str">
        <f>UPPER(TEXT(Tabela_DB[[#This Row],[DATA]],"mmm"))</f>
        <v>ABR</v>
      </c>
      <c r="H1930" t="str">
        <f>UPPER(TEXT(Tabela_DB[[#This Row],[DATA]],"aaaa"))</f>
        <v>2021</v>
      </c>
    </row>
    <row r="1931" spans="1:8" x14ac:dyDescent="0.25">
      <c r="A1931" s="2">
        <v>44316</v>
      </c>
      <c r="B1931" t="s">
        <v>3</v>
      </c>
      <c r="C1931">
        <v>13890</v>
      </c>
      <c r="D1931" t="str">
        <f>VLOOKUP(B1931,Tabela_Auxiliar[],2,0)</f>
        <v>1. Receita Operacional Bruta</v>
      </c>
      <c r="E1931" t="str">
        <f>VLOOKUP(B1931,Tabela_Auxiliar[],4,0)</f>
        <v>Receita Bruta</v>
      </c>
      <c r="F1931" t="str">
        <f>VLOOKUP(B1931,Tabela_Auxiliar[],3,0)</f>
        <v>Entrada</v>
      </c>
      <c r="G1931" t="str">
        <f>UPPER(TEXT(Tabela_DB[[#This Row],[DATA]],"mmm"))</f>
        <v>ABR</v>
      </c>
      <c r="H1931" t="str">
        <f>UPPER(TEXT(Tabela_DB[[#This Row],[DATA]],"aaaa"))</f>
        <v>2021</v>
      </c>
    </row>
    <row r="1932" spans="1:8" x14ac:dyDescent="0.25">
      <c r="A1932" s="2">
        <v>44316</v>
      </c>
      <c r="B1932" t="s">
        <v>54</v>
      </c>
      <c r="C1932">
        <v>-1060</v>
      </c>
      <c r="D1932" t="str">
        <f>VLOOKUP(B1932,Tabela_Auxiliar[],2,0)</f>
        <v>4. Despesas Operacionais</v>
      </c>
      <c r="E1932" t="str">
        <f>VLOOKUP(B1932,Tabela_Auxiliar[],4,0)</f>
        <v>Despesa com Pessoal</v>
      </c>
      <c r="F1932" t="str">
        <f>VLOOKUP(B1932,Tabela_Auxiliar[],3,0)</f>
        <v>Saída</v>
      </c>
      <c r="G1932" t="str">
        <f>UPPER(TEXT(Tabela_DB[[#This Row],[DATA]],"mmm"))</f>
        <v>ABR</v>
      </c>
      <c r="H1932" t="str">
        <f>UPPER(TEXT(Tabela_DB[[#This Row],[DATA]],"aaaa"))</f>
        <v>2021</v>
      </c>
    </row>
    <row r="1933" spans="1:8" x14ac:dyDescent="0.25">
      <c r="A1933" s="2">
        <v>44316</v>
      </c>
      <c r="B1933" t="s">
        <v>73</v>
      </c>
      <c r="C1933">
        <v>-1477</v>
      </c>
      <c r="D1933" t="str">
        <f>VLOOKUP(B1933,Tabela_Auxiliar[],2,0)</f>
        <v>4. Despesas Operacionais</v>
      </c>
      <c r="E1933" t="str">
        <f>VLOOKUP(B1933,Tabela_Auxiliar[],4,0)</f>
        <v>Despesa com Ocupação</v>
      </c>
      <c r="F1933" t="str">
        <f>VLOOKUP(B1933,Tabela_Auxiliar[],3,0)</f>
        <v>Saída</v>
      </c>
      <c r="G1933" t="str">
        <f>UPPER(TEXT(Tabela_DB[[#This Row],[DATA]],"mmm"))</f>
        <v>ABR</v>
      </c>
      <c r="H1933" t="str">
        <f>UPPER(TEXT(Tabela_DB[[#This Row],[DATA]],"aaaa"))</f>
        <v>2021</v>
      </c>
    </row>
    <row r="1934" spans="1:8" x14ac:dyDescent="0.25">
      <c r="A1934" s="2">
        <v>44316</v>
      </c>
      <c r="B1934" t="s">
        <v>46</v>
      </c>
      <c r="C1934">
        <v>-2407</v>
      </c>
      <c r="D1934" t="str">
        <f>VLOOKUP(B1934,Tabela_Auxiliar[],2,0)</f>
        <v>4. Despesas Operacionais</v>
      </c>
      <c r="E1934" t="str">
        <f>VLOOKUP(B1934,Tabela_Auxiliar[],4,0)</f>
        <v>Despesa com Pessoal</v>
      </c>
      <c r="F1934" t="str">
        <f>VLOOKUP(B1934,Tabela_Auxiliar[],3,0)</f>
        <v>Saída</v>
      </c>
      <c r="G1934" t="str">
        <f>UPPER(TEXT(Tabela_DB[[#This Row],[DATA]],"mmm"))</f>
        <v>ABR</v>
      </c>
      <c r="H1934" t="str">
        <f>UPPER(TEXT(Tabela_DB[[#This Row],[DATA]],"aaaa"))</f>
        <v>2021</v>
      </c>
    </row>
    <row r="1935" spans="1:8" x14ac:dyDescent="0.25">
      <c r="A1935" s="2">
        <v>44316</v>
      </c>
      <c r="B1935" t="s">
        <v>4</v>
      </c>
      <c r="C1935">
        <v>10647</v>
      </c>
      <c r="D1935" t="str">
        <f>VLOOKUP(B1935,Tabela_Auxiliar[],2,0)</f>
        <v>1. Receita Operacional Bruta</v>
      </c>
      <c r="E1935" t="str">
        <f>VLOOKUP(B1935,Tabela_Auxiliar[],4,0)</f>
        <v>Receita Bruta</v>
      </c>
      <c r="F1935" t="str">
        <f>VLOOKUP(B1935,Tabela_Auxiliar[],3,0)</f>
        <v>Entrada</v>
      </c>
      <c r="G1935" t="str">
        <f>UPPER(TEXT(Tabela_DB[[#This Row],[DATA]],"mmm"))</f>
        <v>ABR</v>
      </c>
      <c r="H1935" t="str">
        <f>UPPER(TEXT(Tabela_DB[[#This Row],[DATA]],"aaaa"))</f>
        <v>2021</v>
      </c>
    </row>
    <row r="1936" spans="1:8" x14ac:dyDescent="0.25">
      <c r="A1936" s="2">
        <v>44316</v>
      </c>
      <c r="B1936" t="s">
        <v>34</v>
      </c>
      <c r="C1936">
        <v>-2202</v>
      </c>
      <c r="D1936" t="str">
        <f>VLOOKUP(B1936,Tabela_Auxiliar[],2,0)</f>
        <v>2. Deduções da Receita</v>
      </c>
      <c r="E1936" t="str">
        <f>VLOOKUP(B1936,Tabela_Auxiliar[],4,0)</f>
        <v>Imposto</v>
      </c>
      <c r="F1936" t="str">
        <f>VLOOKUP(B1936,Tabela_Auxiliar[],3,0)</f>
        <v>Saída</v>
      </c>
      <c r="G1936" t="str">
        <f>UPPER(TEXT(Tabela_DB[[#This Row],[DATA]],"mmm"))</f>
        <v>ABR</v>
      </c>
      <c r="H1936" t="str">
        <f>UPPER(TEXT(Tabela_DB[[#This Row],[DATA]],"aaaa"))</f>
        <v>2021</v>
      </c>
    </row>
    <row r="1937" spans="1:8" x14ac:dyDescent="0.25">
      <c r="A1937" s="2">
        <v>44316</v>
      </c>
      <c r="B1937" t="s">
        <v>38</v>
      </c>
      <c r="C1937">
        <v>-1255</v>
      </c>
      <c r="D1937" t="str">
        <f>VLOOKUP(B1937,Tabela_Auxiliar[],2,0)</f>
        <v>2. Deduções da Receita</v>
      </c>
      <c r="E1937" t="str">
        <f>VLOOKUP(B1937,Tabela_Auxiliar[],4,0)</f>
        <v>Deduções</v>
      </c>
      <c r="F1937" t="str">
        <f>VLOOKUP(B1937,Tabela_Auxiliar[],3,0)</f>
        <v>Saída</v>
      </c>
      <c r="G1937" t="str">
        <f>UPPER(TEXT(Tabela_DB[[#This Row],[DATA]],"mmm"))</f>
        <v>ABR</v>
      </c>
      <c r="H1937" t="str">
        <f>UPPER(TEXT(Tabela_DB[[#This Row],[DATA]],"aaaa"))</f>
        <v>2021</v>
      </c>
    </row>
    <row r="1938" spans="1:8" x14ac:dyDescent="0.25">
      <c r="A1938" s="2">
        <v>44316</v>
      </c>
      <c r="B1938" t="s">
        <v>4</v>
      </c>
      <c r="C1938">
        <v>10271</v>
      </c>
      <c r="D1938" t="str">
        <f>VLOOKUP(B1938,Tabela_Auxiliar[],2,0)</f>
        <v>1. Receita Operacional Bruta</v>
      </c>
      <c r="E1938" t="str">
        <f>VLOOKUP(B1938,Tabela_Auxiliar[],4,0)</f>
        <v>Receita Bruta</v>
      </c>
      <c r="F1938" t="str">
        <f>VLOOKUP(B1938,Tabela_Auxiliar[],3,0)</f>
        <v>Entrada</v>
      </c>
      <c r="G1938" t="str">
        <f>UPPER(TEXT(Tabela_DB[[#This Row],[DATA]],"mmm"))</f>
        <v>ABR</v>
      </c>
      <c r="H1938" t="str">
        <f>UPPER(TEXT(Tabela_DB[[#This Row],[DATA]],"aaaa"))</f>
        <v>2021</v>
      </c>
    </row>
    <row r="1939" spans="1:8" x14ac:dyDescent="0.25">
      <c r="A1939" s="2">
        <v>44316</v>
      </c>
      <c r="B1939" t="s">
        <v>37</v>
      </c>
      <c r="C1939">
        <v>-3328</v>
      </c>
      <c r="D1939" t="str">
        <f>VLOOKUP(B1939,Tabela_Auxiliar[],2,0)</f>
        <v>3. Custos do Produto/Mercadoria/Serviço</v>
      </c>
      <c r="E1939" t="str">
        <f>VLOOKUP(B1939,Tabela_Auxiliar[],4,0)</f>
        <v>Despesas c/ Produto</v>
      </c>
      <c r="F1939" t="str">
        <f>VLOOKUP(B1939,Tabela_Auxiliar[],3,0)</f>
        <v>Saída</v>
      </c>
      <c r="G1939" t="str">
        <f>UPPER(TEXT(Tabela_DB[[#This Row],[DATA]],"mmm"))</f>
        <v>ABR</v>
      </c>
      <c r="H1939" t="str">
        <f>UPPER(TEXT(Tabela_DB[[#This Row],[DATA]],"aaaa"))</f>
        <v>2021</v>
      </c>
    </row>
    <row r="1940" spans="1:8" x14ac:dyDescent="0.25">
      <c r="A1940" s="2">
        <v>44316</v>
      </c>
      <c r="B1940" t="s">
        <v>3</v>
      </c>
      <c r="C1940">
        <v>11627</v>
      </c>
      <c r="D1940" t="str">
        <f>VLOOKUP(B1940,Tabela_Auxiliar[],2,0)</f>
        <v>1. Receita Operacional Bruta</v>
      </c>
      <c r="E1940" t="str">
        <f>VLOOKUP(B1940,Tabela_Auxiliar[],4,0)</f>
        <v>Receita Bruta</v>
      </c>
      <c r="F1940" t="str">
        <f>VLOOKUP(B1940,Tabela_Auxiliar[],3,0)</f>
        <v>Entrada</v>
      </c>
      <c r="G1940" t="str">
        <f>UPPER(TEXT(Tabela_DB[[#This Row],[DATA]],"mmm"))</f>
        <v>ABR</v>
      </c>
      <c r="H1940" t="str">
        <f>UPPER(TEXT(Tabela_DB[[#This Row],[DATA]],"aaaa"))</f>
        <v>2021</v>
      </c>
    </row>
    <row r="1941" spans="1:8" x14ac:dyDescent="0.25">
      <c r="A1941" s="2">
        <v>44316</v>
      </c>
      <c r="B1941" t="s">
        <v>37</v>
      </c>
      <c r="C1941">
        <v>-4842</v>
      </c>
      <c r="D1941" t="str">
        <f>VLOOKUP(B1941,Tabela_Auxiliar[],2,0)</f>
        <v>3. Custos do Produto/Mercadoria/Serviço</v>
      </c>
      <c r="E1941" t="str">
        <f>VLOOKUP(B1941,Tabela_Auxiliar[],4,0)</f>
        <v>Despesas c/ Produto</v>
      </c>
      <c r="F1941" t="str">
        <f>VLOOKUP(B1941,Tabela_Auxiliar[],3,0)</f>
        <v>Saída</v>
      </c>
      <c r="G1941" t="str">
        <f>UPPER(TEXT(Tabela_DB[[#This Row],[DATA]],"mmm"))</f>
        <v>ABR</v>
      </c>
      <c r="H1941" t="str">
        <f>UPPER(TEXT(Tabela_DB[[#This Row],[DATA]],"aaaa"))</f>
        <v>2021</v>
      </c>
    </row>
    <row r="1942" spans="1:8" x14ac:dyDescent="0.25">
      <c r="A1942" s="2">
        <v>44316</v>
      </c>
      <c r="B1942" t="s">
        <v>34</v>
      </c>
      <c r="C1942">
        <v>-1461</v>
      </c>
      <c r="D1942" t="str">
        <f>VLOOKUP(B1942,Tabela_Auxiliar[],2,0)</f>
        <v>2. Deduções da Receita</v>
      </c>
      <c r="E1942" t="str">
        <f>VLOOKUP(B1942,Tabela_Auxiliar[],4,0)</f>
        <v>Imposto</v>
      </c>
      <c r="F1942" t="str">
        <f>VLOOKUP(B1942,Tabela_Auxiliar[],3,0)</f>
        <v>Saída</v>
      </c>
      <c r="G1942" t="str">
        <f>UPPER(TEXT(Tabela_DB[[#This Row],[DATA]],"mmm"))</f>
        <v>ABR</v>
      </c>
      <c r="H1942" t="str">
        <f>UPPER(TEXT(Tabela_DB[[#This Row],[DATA]],"aaaa"))</f>
        <v>2021</v>
      </c>
    </row>
    <row r="1943" spans="1:8" x14ac:dyDescent="0.25">
      <c r="A1943" s="2">
        <v>44316</v>
      </c>
      <c r="B1943" t="s">
        <v>4</v>
      </c>
      <c r="C1943">
        <v>13093</v>
      </c>
      <c r="D1943" t="str">
        <f>VLOOKUP(B1943,Tabela_Auxiliar[],2,0)</f>
        <v>1. Receita Operacional Bruta</v>
      </c>
      <c r="E1943" t="str">
        <f>VLOOKUP(B1943,Tabela_Auxiliar[],4,0)</f>
        <v>Receita Bruta</v>
      </c>
      <c r="F1943" t="str">
        <f>VLOOKUP(B1943,Tabela_Auxiliar[],3,0)</f>
        <v>Entrada</v>
      </c>
      <c r="G1943" t="str">
        <f>UPPER(TEXT(Tabela_DB[[#This Row],[DATA]],"mmm"))</f>
        <v>ABR</v>
      </c>
      <c r="H1943" t="str">
        <f>UPPER(TEXT(Tabela_DB[[#This Row],[DATA]],"aaaa"))</f>
        <v>2021</v>
      </c>
    </row>
    <row r="1944" spans="1:8" x14ac:dyDescent="0.25">
      <c r="A1944" s="2">
        <v>44317</v>
      </c>
      <c r="B1944" t="s">
        <v>42</v>
      </c>
      <c r="C1944">
        <v>-1970</v>
      </c>
      <c r="D1944" t="str">
        <f>VLOOKUP(B1944,Tabela_Auxiliar[],2,0)</f>
        <v>4. Despesas Operacionais</v>
      </c>
      <c r="E1944" t="str">
        <f>VLOOKUP(B1944,Tabela_Auxiliar[],4,0)</f>
        <v>Despesa com Pessoal</v>
      </c>
      <c r="F1944" t="str">
        <f>VLOOKUP(B1944,Tabela_Auxiliar[],3,0)</f>
        <v>Saída</v>
      </c>
      <c r="G1944" t="str">
        <f>UPPER(TEXT(Tabela_DB[[#This Row],[DATA]],"mmm"))</f>
        <v>MAI</v>
      </c>
      <c r="H1944" t="str">
        <f>UPPER(TEXT(Tabela_DB[[#This Row],[DATA]],"aaaa"))</f>
        <v>2021</v>
      </c>
    </row>
    <row r="1945" spans="1:8" x14ac:dyDescent="0.25">
      <c r="A1945" s="2">
        <v>44317</v>
      </c>
      <c r="B1945" t="s">
        <v>3</v>
      </c>
      <c r="C1945">
        <v>11661</v>
      </c>
      <c r="D1945" t="str">
        <f>VLOOKUP(B1945,Tabela_Auxiliar[],2,0)</f>
        <v>1. Receita Operacional Bruta</v>
      </c>
      <c r="E1945" t="str">
        <f>VLOOKUP(B1945,Tabela_Auxiliar[],4,0)</f>
        <v>Receita Bruta</v>
      </c>
      <c r="F1945" t="str">
        <f>VLOOKUP(B1945,Tabela_Auxiliar[],3,0)</f>
        <v>Entrada</v>
      </c>
      <c r="G1945" t="str">
        <f>UPPER(TEXT(Tabela_DB[[#This Row],[DATA]],"mmm"))</f>
        <v>MAI</v>
      </c>
      <c r="H1945" t="str">
        <f>UPPER(TEXT(Tabela_DB[[#This Row],[DATA]],"aaaa"))</f>
        <v>2021</v>
      </c>
    </row>
    <row r="1946" spans="1:8" x14ac:dyDescent="0.25">
      <c r="A1946" s="2">
        <v>44317</v>
      </c>
      <c r="B1946" t="s">
        <v>37</v>
      </c>
      <c r="C1946">
        <v>-4723</v>
      </c>
      <c r="D1946" t="str">
        <f>VLOOKUP(B1946,Tabela_Auxiliar[],2,0)</f>
        <v>3. Custos do Produto/Mercadoria/Serviço</v>
      </c>
      <c r="E1946" t="str">
        <f>VLOOKUP(B1946,Tabela_Auxiliar[],4,0)</f>
        <v>Despesas c/ Produto</v>
      </c>
      <c r="F1946" t="str">
        <f>VLOOKUP(B1946,Tabela_Auxiliar[],3,0)</f>
        <v>Saída</v>
      </c>
      <c r="G1946" t="str">
        <f>UPPER(TEXT(Tabela_DB[[#This Row],[DATA]],"mmm"))</f>
        <v>MAI</v>
      </c>
      <c r="H1946" t="str">
        <f>UPPER(TEXT(Tabela_DB[[#This Row],[DATA]],"aaaa"))</f>
        <v>2021</v>
      </c>
    </row>
    <row r="1947" spans="1:8" x14ac:dyDescent="0.25">
      <c r="A1947" s="2">
        <v>44317</v>
      </c>
      <c r="B1947" t="s">
        <v>37</v>
      </c>
      <c r="C1947">
        <v>-4552</v>
      </c>
      <c r="D1947" t="str">
        <f>VLOOKUP(B1947,Tabela_Auxiliar[],2,0)</f>
        <v>3. Custos do Produto/Mercadoria/Serviço</v>
      </c>
      <c r="E1947" t="str">
        <f>VLOOKUP(B1947,Tabela_Auxiliar[],4,0)</f>
        <v>Despesas c/ Produto</v>
      </c>
      <c r="F1947" t="str">
        <f>VLOOKUP(B1947,Tabela_Auxiliar[],3,0)</f>
        <v>Saída</v>
      </c>
      <c r="G1947" t="str">
        <f>UPPER(TEXT(Tabela_DB[[#This Row],[DATA]],"mmm"))</f>
        <v>MAI</v>
      </c>
      <c r="H1947" t="str">
        <f>UPPER(TEXT(Tabela_DB[[#This Row],[DATA]],"aaaa"))</f>
        <v>2021</v>
      </c>
    </row>
    <row r="1948" spans="1:8" x14ac:dyDescent="0.25">
      <c r="A1948" s="2">
        <v>44317</v>
      </c>
      <c r="B1948" t="s">
        <v>73</v>
      </c>
      <c r="C1948">
        <v>-1147</v>
      </c>
      <c r="D1948" t="str">
        <f>VLOOKUP(B1948,Tabela_Auxiliar[],2,0)</f>
        <v>4. Despesas Operacionais</v>
      </c>
      <c r="E1948" t="str">
        <f>VLOOKUP(B1948,Tabela_Auxiliar[],4,0)</f>
        <v>Despesa com Ocupação</v>
      </c>
      <c r="F1948" t="str">
        <f>VLOOKUP(B1948,Tabela_Auxiliar[],3,0)</f>
        <v>Saída</v>
      </c>
      <c r="G1948" t="str">
        <f>UPPER(TEXT(Tabela_DB[[#This Row],[DATA]],"mmm"))</f>
        <v>MAI</v>
      </c>
      <c r="H1948" t="str">
        <f>UPPER(TEXT(Tabela_DB[[#This Row],[DATA]],"aaaa"))</f>
        <v>2021</v>
      </c>
    </row>
    <row r="1949" spans="1:8" x14ac:dyDescent="0.25">
      <c r="A1949" s="2">
        <v>44317</v>
      </c>
      <c r="B1949" t="s">
        <v>111</v>
      </c>
      <c r="C1949">
        <v>-1781</v>
      </c>
      <c r="D1949" t="str">
        <f>VLOOKUP(B1949,Tabela_Auxiliar[],2,0)</f>
        <v>2. Deduções da Receita</v>
      </c>
      <c r="E1949" t="str">
        <f>VLOOKUP(B1949,Tabela_Auxiliar[],4,0)</f>
        <v>Imposto</v>
      </c>
      <c r="F1949" t="str">
        <f>VLOOKUP(B1949,Tabela_Auxiliar[],3,0)</f>
        <v>Saída</v>
      </c>
      <c r="G1949" t="str">
        <f>UPPER(TEXT(Tabela_DB[[#This Row],[DATA]],"mmm"))</f>
        <v>MAI</v>
      </c>
      <c r="H1949" t="str">
        <f>UPPER(TEXT(Tabela_DB[[#This Row],[DATA]],"aaaa"))</f>
        <v>2021</v>
      </c>
    </row>
    <row r="1950" spans="1:8" x14ac:dyDescent="0.25">
      <c r="A1950" s="2">
        <v>44317</v>
      </c>
      <c r="B1950" t="s">
        <v>37</v>
      </c>
      <c r="C1950">
        <v>-3436</v>
      </c>
      <c r="D1950" t="str">
        <f>VLOOKUP(B1950,Tabela_Auxiliar[],2,0)</f>
        <v>3. Custos do Produto/Mercadoria/Serviço</v>
      </c>
      <c r="E1950" t="str">
        <f>VLOOKUP(B1950,Tabela_Auxiliar[],4,0)</f>
        <v>Despesas c/ Produto</v>
      </c>
      <c r="F1950" t="str">
        <f>VLOOKUP(B1950,Tabela_Auxiliar[],3,0)</f>
        <v>Saída</v>
      </c>
      <c r="G1950" t="str">
        <f>UPPER(TEXT(Tabela_DB[[#This Row],[DATA]],"mmm"))</f>
        <v>MAI</v>
      </c>
      <c r="H1950" t="str">
        <f>UPPER(TEXT(Tabela_DB[[#This Row],[DATA]],"aaaa"))</f>
        <v>2021</v>
      </c>
    </row>
    <row r="1951" spans="1:8" x14ac:dyDescent="0.25">
      <c r="A1951" s="2">
        <v>44317</v>
      </c>
      <c r="B1951" t="s">
        <v>35</v>
      </c>
      <c r="C1951">
        <v>-1145</v>
      </c>
      <c r="D1951" t="str">
        <f>VLOOKUP(B1951,Tabela_Auxiliar[],2,0)</f>
        <v>2. Deduções da Receita</v>
      </c>
      <c r="E1951" t="str">
        <f>VLOOKUP(B1951,Tabela_Auxiliar[],4,0)</f>
        <v>Imposto</v>
      </c>
      <c r="F1951" t="str">
        <f>VLOOKUP(B1951,Tabela_Auxiliar[],3,0)</f>
        <v>Saída</v>
      </c>
      <c r="G1951" t="str">
        <f>UPPER(TEXT(Tabela_DB[[#This Row],[DATA]],"mmm"))</f>
        <v>MAI</v>
      </c>
      <c r="H1951" t="str">
        <f>UPPER(TEXT(Tabela_DB[[#This Row],[DATA]],"aaaa"))</f>
        <v>2021</v>
      </c>
    </row>
    <row r="1952" spans="1:8" x14ac:dyDescent="0.25">
      <c r="A1952" s="2">
        <v>44317</v>
      </c>
      <c r="B1952" t="s">
        <v>38</v>
      </c>
      <c r="C1952">
        <v>-1548</v>
      </c>
      <c r="D1952" t="str">
        <f>VLOOKUP(B1952,Tabela_Auxiliar[],2,0)</f>
        <v>2. Deduções da Receita</v>
      </c>
      <c r="E1952" t="str">
        <f>VLOOKUP(B1952,Tabela_Auxiliar[],4,0)</f>
        <v>Deduções</v>
      </c>
      <c r="F1952" t="str">
        <f>VLOOKUP(B1952,Tabela_Auxiliar[],3,0)</f>
        <v>Saída</v>
      </c>
      <c r="G1952" t="str">
        <f>UPPER(TEXT(Tabela_DB[[#This Row],[DATA]],"mmm"))</f>
        <v>MAI</v>
      </c>
      <c r="H1952" t="str">
        <f>UPPER(TEXT(Tabela_DB[[#This Row],[DATA]],"aaaa"))</f>
        <v>2021</v>
      </c>
    </row>
    <row r="1953" spans="1:8" x14ac:dyDescent="0.25">
      <c r="A1953" s="2">
        <v>44317</v>
      </c>
      <c r="B1953" t="s">
        <v>72</v>
      </c>
      <c r="C1953">
        <v>-1489</v>
      </c>
      <c r="D1953" t="str">
        <f>VLOOKUP(B1953,Tabela_Auxiliar[],2,0)</f>
        <v>4. Despesas Operacionais</v>
      </c>
      <c r="E1953" t="str">
        <f>VLOOKUP(B1953,Tabela_Auxiliar[],4,0)</f>
        <v>Despesa com Ocupação</v>
      </c>
      <c r="F1953" t="str">
        <f>VLOOKUP(B1953,Tabela_Auxiliar[],3,0)</f>
        <v>Saída</v>
      </c>
      <c r="G1953" t="str">
        <f>UPPER(TEXT(Tabela_DB[[#This Row],[DATA]],"mmm"))</f>
        <v>MAI</v>
      </c>
      <c r="H1953" t="str">
        <f>UPPER(TEXT(Tabela_DB[[#This Row],[DATA]],"aaaa"))</f>
        <v>2021</v>
      </c>
    </row>
    <row r="1954" spans="1:8" x14ac:dyDescent="0.25">
      <c r="A1954" s="2">
        <v>44317</v>
      </c>
      <c r="B1954" t="s">
        <v>111</v>
      </c>
      <c r="C1954">
        <v>-1591</v>
      </c>
      <c r="D1954" t="str">
        <f>VLOOKUP(B1954,Tabela_Auxiliar[],2,0)</f>
        <v>2. Deduções da Receita</v>
      </c>
      <c r="E1954" t="str">
        <f>VLOOKUP(B1954,Tabela_Auxiliar[],4,0)</f>
        <v>Imposto</v>
      </c>
      <c r="F1954" t="str">
        <f>VLOOKUP(B1954,Tabela_Auxiliar[],3,0)</f>
        <v>Saída</v>
      </c>
      <c r="G1954" t="str">
        <f>UPPER(TEXT(Tabela_DB[[#This Row],[DATA]],"mmm"))</f>
        <v>MAI</v>
      </c>
      <c r="H1954" t="str">
        <f>UPPER(TEXT(Tabela_DB[[#This Row],[DATA]],"aaaa"))</f>
        <v>2021</v>
      </c>
    </row>
    <row r="1955" spans="1:8" x14ac:dyDescent="0.25">
      <c r="A1955" s="2">
        <v>44317</v>
      </c>
      <c r="B1955" t="s">
        <v>111</v>
      </c>
      <c r="C1955">
        <v>-1535</v>
      </c>
      <c r="D1955" t="str">
        <f>VLOOKUP(B1955,Tabela_Auxiliar[],2,0)</f>
        <v>2. Deduções da Receita</v>
      </c>
      <c r="E1955" t="str">
        <f>VLOOKUP(B1955,Tabela_Auxiliar[],4,0)</f>
        <v>Imposto</v>
      </c>
      <c r="F1955" t="str">
        <f>VLOOKUP(B1955,Tabela_Auxiliar[],3,0)</f>
        <v>Saída</v>
      </c>
      <c r="G1955" t="str">
        <f>UPPER(TEXT(Tabela_DB[[#This Row],[DATA]],"mmm"))</f>
        <v>MAI</v>
      </c>
      <c r="H1955" t="str">
        <f>UPPER(TEXT(Tabela_DB[[#This Row],[DATA]],"aaaa"))</f>
        <v>2021</v>
      </c>
    </row>
    <row r="1956" spans="1:8" x14ac:dyDescent="0.25">
      <c r="A1956" s="2">
        <v>44318</v>
      </c>
      <c r="B1956" t="s">
        <v>4</v>
      </c>
      <c r="C1956">
        <v>14804</v>
      </c>
      <c r="D1956" t="str">
        <f>VLOOKUP(B1956,Tabela_Auxiliar[],2,0)</f>
        <v>1. Receita Operacional Bruta</v>
      </c>
      <c r="E1956" t="str">
        <f>VLOOKUP(B1956,Tabela_Auxiliar[],4,0)</f>
        <v>Receita Bruta</v>
      </c>
      <c r="F1956" t="str">
        <f>VLOOKUP(B1956,Tabela_Auxiliar[],3,0)</f>
        <v>Entrada</v>
      </c>
      <c r="G1956" t="str">
        <f>UPPER(TEXT(Tabela_DB[[#This Row],[DATA]],"mmm"))</f>
        <v>MAI</v>
      </c>
      <c r="H1956" t="str">
        <f>UPPER(TEXT(Tabela_DB[[#This Row],[DATA]],"aaaa"))</f>
        <v>2021</v>
      </c>
    </row>
    <row r="1957" spans="1:8" x14ac:dyDescent="0.25">
      <c r="A1957" s="2">
        <v>44318</v>
      </c>
      <c r="B1957" t="s">
        <v>111</v>
      </c>
      <c r="C1957">
        <v>-2080</v>
      </c>
      <c r="D1957" t="str">
        <f>VLOOKUP(B1957,Tabela_Auxiliar[],2,0)</f>
        <v>2. Deduções da Receita</v>
      </c>
      <c r="E1957" t="str">
        <f>VLOOKUP(B1957,Tabela_Auxiliar[],4,0)</f>
        <v>Imposto</v>
      </c>
      <c r="F1957" t="str">
        <f>VLOOKUP(B1957,Tabela_Auxiliar[],3,0)</f>
        <v>Saída</v>
      </c>
      <c r="G1957" t="str">
        <f>UPPER(TEXT(Tabela_DB[[#This Row],[DATA]],"mmm"))</f>
        <v>MAI</v>
      </c>
      <c r="H1957" t="str">
        <f>UPPER(TEXT(Tabela_DB[[#This Row],[DATA]],"aaaa"))</f>
        <v>2021</v>
      </c>
    </row>
    <row r="1958" spans="1:8" x14ac:dyDescent="0.25">
      <c r="A1958" s="2">
        <v>44318</v>
      </c>
      <c r="B1958" t="s">
        <v>50</v>
      </c>
      <c r="C1958">
        <v>-1079</v>
      </c>
      <c r="D1958" t="str">
        <f>VLOOKUP(B1958,Tabela_Auxiliar[],2,0)</f>
        <v>4. Despesas Operacionais</v>
      </c>
      <c r="E1958" t="str">
        <f>VLOOKUP(B1958,Tabela_Auxiliar[],4,0)</f>
        <v>Despesa com Pessoal</v>
      </c>
      <c r="F1958" t="str">
        <f>VLOOKUP(B1958,Tabela_Auxiliar[],3,0)</f>
        <v>Saída</v>
      </c>
      <c r="G1958" t="str">
        <f>UPPER(TEXT(Tabela_DB[[#This Row],[DATA]],"mmm"))</f>
        <v>MAI</v>
      </c>
      <c r="H1958" t="str">
        <f>UPPER(TEXT(Tabela_DB[[#This Row],[DATA]],"aaaa"))</f>
        <v>2021</v>
      </c>
    </row>
    <row r="1959" spans="1:8" x14ac:dyDescent="0.25">
      <c r="A1959" s="2">
        <v>44318</v>
      </c>
      <c r="B1959" t="s">
        <v>34</v>
      </c>
      <c r="C1959">
        <v>-1748</v>
      </c>
      <c r="D1959" t="str">
        <f>VLOOKUP(B1959,Tabela_Auxiliar[],2,0)</f>
        <v>2. Deduções da Receita</v>
      </c>
      <c r="E1959" t="str">
        <f>VLOOKUP(B1959,Tabela_Auxiliar[],4,0)</f>
        <v>Imposto</v>
      </c>
      <c r="F1959" t="str">
        <f>VLOOKUP(B1959,Tabela_Auxiliar[],3,0)</f>
        <v>Saída</v>
      </c>
      <c r="G1959" t="str">
        <f>UPPER(TEXT(Tabela_DB[[#This Row],[DATA]],"mmm"))</f>
        <v>MAI</v>
      </c>
      <c r="H1959" t="str">
        <f>UPPER(TEXT(Tabela_DB[[#This Row],[DATA]],"aaaa"))</f>
        <v>2021</v>
      </c>
    </row>
    <row r="1960" spans="1:8" x14ac:dyDescent="0.25">
      <c r="A1960" s="2">
        <v>44318</v>
      </c>
      <c r="B1960" t="s">
        <v>35</v>
      </c>
      <c r="C1960">
        <v>-1460</v>
      </c>
      <c r="D1960" t="str">
        <f>VLOOKUP(B1960,Tabela_Auxiliar[],2,0)</f>
        <v>2. Deduções da Receita</v>
      </c>
      <c r="E1960" t="str">
        <f>VLOOKUP(B1960,Tabela_Auxiliar[],4,0)</f>
        <v>Imposto</v>
      </c>
      <c r="F1960" t="str">
        <f>VLOOKUP(B1960,Tabela_Auxiliar[],3,0)</f>
        <v>Saída</v>
      </c>
      <c r="G1960" t="str">
        <f>UPPER(TEXT(Tabela_DB[[#This Row],[DATA]],"mmm"))</f>
        <v>MAI</v>
      </c>
      <c r="H1960" t="str">
        <f>UPPER(TEXT(Tabela_DB[[#This Row],[DATA]],"aaaa"))</f>
        <v>2021</v>
      </c>
    </row>
    <row r="1961" spans="1:8" x14ac:dyDescent="0.25">
      <c r="A1961" s="2">
        <v>44318</v>
      </c>
      <c r="B1961" t="s">
        <v>3</v>
      </c>
      <c r="C1961">
        <v>12389</v>
      </c>
      <c r="D1961" t="str">
        <f>VLOOKUP(B1961,Tabela_Auxiliar[],2,0)</f>
        <v>1. Receita Operacional Bruta</v>
      </c>
      <c r="E1961" t="str">
        <f>VLOOKUP(B1961,Tabela_Auxiliar[],4,0)</f>
        <v>Receita Bruta</v>
      </c>
      <c r="F1961" t="str">
        <f>VLOOKUP(B1961,Tabela_Auxiliar[],3,0)</f>
        <v>Entrada</v>
      </c>
      <c r="G1961" t="str">
        <f>UPPER(TEXT(Tabela_DB[[#This Row],[DATA]],"mmm"))</f>
        <v>MAI</v>
      </c>
      <c r="H1961" t="str">
        <f>UPPER(TEXT(Tabela_DB[[#This Row],[DATA]],"aaaa"))</f>
        <v>2021</v>
      </c>
    </row>
    <row r="1962" spans="1:8" x14ac:dyDescent="0.25">
      <c r="A1962" s="2">
        <v>44318</v>
      </c>
      <c r="B1962" t="s">
        <v>82</v>
      </c>
      <c r="C1962">
        <v>-1755</v>
      </c>
      <c r="D1962" t="str">
        <f>VLOOKUP(B1962,Tabela_Auxiliar[],2,0)</f>
        <v>4. Despesas Operacionais</v>
      </c>
      <c r="E1962" t="str">
        <f>VLOOKUP(B1962,Tabela_Auxiliar[],4,0)</f>
        <v>Despesa com Veículos</v>
      </c>
      <c r="F1962" t="str">
        <f>VLOOKUP(B1962,Tabela_Auxiliar[],3,0)</f>
        <v>Saída</v>
      </c>
      <c r="G1962" t="str">
        <f>UPPER(TEXT(Tabela_DB[[#This Row],[DATA]],"mmm"))</f>
        <v>MAI</v>
      </c>
      <c r="H1962" t="str">
        <f>UPPER(TEXT(Tabela_DB[[#This Row],[DATA]],"aaaa"))</f>
        <v>2021</v>
      </c>
    </row>
    <row r="1963" spans="1:8" x14ac:dyDescent="0.25">
      <c r="A1963" s="2">
        <v>44318</v>
      </c>
      <c r="B1963" t="s">
        <v>61</v>
      </c>
      <c r="C1963">
        <v>-2360</v>
      </c>
      <c r="D1963" t="str">
        <f>VLOOKUP(B1963,Tabela_Auxiliar[],2,0)</f>
        <v>4. Despesas Operacionais</v>
      </c>
      <c r="E1963" t="str">
        <f>VLOOKUP(B1963,Tabela_Auxiliar[],4,0)</f>
        <v>Despesa de Depreciação</v>
      </c>
      <c r="F1963" t="str">
        <f>VLOOKUP(B1963,Tabela_Auxiliar[],3,0)</f>
        <v>Saída</v>
      </c>
      <c r="G1963" t="str">
        <f>UPPER(TEXT(Tabela_DB[[#This Row],[DATA]],"mmm"))</f>
        <v>MAI</v>
      </c>
      <c r="H1963" t="str">
        <f>UPPER(TEXT(Tabela_DB[[#This Row],[DATA]],"aaaa"))</f>
        <v>2021</v>
      </c>
    </row>
    <row r="1964" spans="1:8" x14ac:dyDescent="0.25">
      <c r="A1964" s="2">
        <v>44318</v>
      </c>
      <c r="B1964" t="s">
        <v>62</v>
      </c>
      <c r="C1964">
        <v>-1911</v>
      </c>
      <c r="D1964" t="str">
        <f>VLOOKUP(B1964,Tabela_Auxiliar[],2,0)</f>
        <v>4. Despesas Operacionais</v>
      </c>
      <c r="E1964" t="str">
        <f>VLOOKUP(B1964,Tabela_Auxiliar[],4,0)</f>
        <v>Despesa Gerais</v>
      </c>
      <c r="F1964" t="str">
        <f>VLOOKUP(B1964,Tabela_Auxiliar[],3,0)</f>
        <v>Saída</v>
      </c>
      <c r="G1964" t="str">
        <f>UPPER(TEXT(Tabela_DB[[#This Row],[DATA]],"mmm"))</f>
        <v>MAI</v>
      </c>
      <c r="H1964" t="str">
        <f>UPPER(TEXT(Tabela_DB[[#This Row],[DATA]],"aaaa"))</f>
        <v>2021</v>
      </c>
    </row>
    <row r="1965" spans="1:8" x14ac:dyDescent="0.25">
      <c r="A1965" s="2">
        <v>44318</v>
      </c>
      <c r="B1965" t="s">
        <v>3</v>
      </c>
      <c r="C1965">
        <v>10410</v>
      </c>
      <c r="D1965" t="str">
        <f>VLOOKUP(B1965,Tabela_Auxiliar[],2,0)</f>
        <v>1. Receita Operacional Bruta</v>
      </c>
      <c r="E1965" t="str">
        <f>VLOOKUP(B1965,Tabela_Auxiliar[],4,0)</f>
        <v>Receita Bruta</v>
      </c>
      <c r="F1965" t="str">
        <f>VLOOKUP(B1965,Tabela_Auxiliar[],3,0)</f>
        <v>Entrada</v>
      </c>
      <c r="G1965" t="str">
        <f>UPPER(TEXT(Tabela_DB[[#This Row],[DATA]],"mmm"))</f>
        <v>MAI</v>
      </c>
      <c r="H1965" t="str">
        <f>UPPER(TEXT(Tabela_DB[[#This Row],[DATA]],"aaaa"))</f>
        <v>2021</v>
      </c>
    </row>
    <row r="1966" spans="1:8" x14ac:dyDescent="0.25">
      <c r="A1966" s="2">
        <v>44318</v>
      </c>
      <c r="B1966" t="s">
        <v>35</v>
      </c>
      <c r="C1966">
        <v>-1055</v>
      </c>
      <c r="D1966" t="str">
        <f>VLOOKUP(B1966,Tabela_Auxiliar[],2,0)</f>
        <v>2. Deduções da Receita</v>
      </c>
      <c r="E1966" t="str">
        <f>VLOOKUP(B1966,Tabela_Auxiliar[],4,0)</f>
        <v>Imposto</v>
      </c>
      <c r="F1966" t="str">
        <f>VLOOKUP(B1966,Tabela_Auxiliar[],3,0)</f>
        <v>Saída</v>
      </c>
      <c r="G1966" t="str">
        <f>UPPER(TEXT(Tabela_DB[[#This Row],[DATA]],"mmm"))</f>
        <v>MAI</v>
      </c>
      <c r="H1966" t="str">
        <f>UPPER(TEXT(Tabela_DB[[#This Row],[DATA]],"aaaa"))</f>
        <v>2021</v>
      </c>
    </row>
    <row r="1967" spans="1:8" x14ac:dyDescent="0.25">
      <c r="A1967" s="2">
        <v>44318</v>
      </c>
      <c r="B1967" t="s">
        <v>34</v>
      </c>
      <c r="C1967">
        <v>-1502</v>
      </c>
      <c r="D1967" t="str">
        <f>VLOOKUP(B1967,Tabela_Auxiliar[],2,0)</f>
        <v>2. Deduções da Receita</v>
      </c>
      <c r="E1967" t="str">
        <f>VLOOKUP(B1967,Tabela_Auxiliar[],4,0)</f>
        <v>Imposto</v>
      </c>
      <c r="F1967" t="str">
        <f>VLOOKUP(B1967,Tabela_Auxiliar[],3,0)</f>
        <v>Saída</v>
      </c>
      <c r="G1967" t="str">
        <f>UPPER(TEXT(Tabela_DB[[#This Row],[DATA]],"mmm"))</f>
        <v>MAI</v>
      </c>
      <c r="H1967" t="str">
        <f>UPPER(TEXT(Tabela_DB[[#This Row],[DATA]],"aaaa"))</f>
        <v>2021</v>
      </c>
    </row>
    <row r="1968" spans="1:8" x14ac:dyDescent="0.25">
      <c r="A1968" s="2">
        <v>44319</v>
      </c>
      <c r="B1968" t="s">
        <v>65</v>
      </c>
      <c r="C1968">
        <v>-2491</v>
      </c>
      <c r="D1968" t="str">
        <f>VLOOKUP(B1968,Tabela_Auxiliar[],2,0)</f>
        <v>4. Despesas Operacionais</v>
      </c>
      <c r="E1968" t="str">
        <f>VLOOKUP(B1968,Tabela_Auxiliar[],4,0)</f>
        <v>Despesa Gerais</v>
      </c>
      <c r="F1968" t="str">
        <f>VLOOKUP(B1968,Tabela_Auxiliar[],3,0)</f>
        <v>Saída</v>
      </c>
      <c r="G1968" t="str">
        <f>UPPER(TEXT(Tabela_DB[[#This Row],[DATA]],"mmm"))</f>
        <v>MAI</v>
      </c>
      <c r="H1968" t="str">
        <f>UPPER(TEXT(Tabela_DB[[#This Row],[DATA]],"aaaa"))</f>
        <v>2021</v>
      </c>
    </row>
    <row r="1969" spans="1:8" x14ac:dyDescent="0.25">
      <c r="A1969" s="2">
        <v>44319</v>
      </c>
      <c r="B1969" t="s">
        <v>76</v>
      </c>
      <c r="C1969">
        <v>-1262</v>
      </c>
      <c r="D1969" t="str">
        <f>VLOOKUP(B1969,Tabela_Auxiliar[],2,0)</f>
        <v>4. Despesas Operacionais</v>
      </c>
      <c r="E1969" t="str">
        <f>VLOOKUP(B1969,Tabela_Auxiliar[],4,0)</f>
        <v>Serviços Contratados</v>
      </c>
      <c r="F1969" t="str">
        <f>VLOOKUP(B1969,Tabela_Auxiliar[],3,0)</f>
        <v>Saída</v>
      </c>
      <c r="G1969" t="str">
        <f>UPPER(TEXT(Tabela_DB[[#This Row],[DATA]],"mmm"))</f>
        <v>MAI</v>
      </c>
      <c r="H1969" t="str">
        <f>UPPER(TEXT(Tabela_DB[[#This Row],[DATA]],"aaaa"))</f>
        <v>2021</v>
      </c>
    </row>
    <row r="1970" spans="1:8" x14ac:dyDescent="0.25">
      <c r="A1970" s="2">
        <v>44319</v>
      </c>
      <c r="B1970" t="s">
        <v>70</v>
      </c>
      <c r="C1970">
        <v>-1193</v>
      </c>
      <c r="D1970" t="str">
        <f>VLOOKUP(B1970,Tabela_Auxiliar[],2,0)</f>
        <v>4. Despesas Operacionais</v>
      </c>
      <c r="E1970" t="str">
        <f>VLOOKUP(B1970,Tabela_Auxiliar[],4,0)</f>
        <v>Despesa com Ocupação</v>
      </c>
      <c r="F1970" t="str">
        <f>VLOOKUP(B1970,Tabela_Auxiliar[],3,0)</f>
        <v>Saída</v>
      </c>
      <c r="G1970" t="str">
        <f>UPPER(TEXT(Tabela_DB[[#This Row],[DATA]],"mmm"))</f>
        <v>MAI</v>
      </c>
      <c r="H1970" t="str">
        <f>UPPER(TEXT(Tabela_DB[[#This Row],[DATA]],"aaaa"))</f>
        <v>2021</v>
      </c>
    </row>
    <row r="1971" spans="1:8" x14ac:dyDescent="0.25">
      <c r="A1971" s="2">
        <v>44319</v>
      </c>
      <c r="B1971" t="s">
        <v>111</v>
      </c>
      <c r="C1971">
        <v>-1869</v>
      </c>
      <c r="D1971" t="str">
        <f>VLOOKUP(B1971,Tabela_Auxiliar[],2,0)</f>
        <v>2. Deduções da Receita</v>
      </c>
      <c r="E1971" t="str">
        <f>VLOOKUP(B1971,Tabela_Auxiliar[],4,0)</f>
        <v>Imposto</v>
      </c>
      <c r="F1971" t="str">
        <f>VLOOKUP(B1971,Tabela_Auxiliar[],3,0)</f>
        <v>Saída</v>
      </c>
      <c r="G1971" t="str">
        <f>UPPER(TEXT(Tabela_DB[[#This Row],[DATA]],"mmm"))</f>
        <v>MAI</v>
      </c>
      <c r="H1971" t="str">
        <f>UPPER(TEXT(Tabela_DB[[#This Row],[DATA]],"aaaa"))</f>
        <v>2021</v>
      </c>
    </row>
    <row r="1972" spans="1:8" x14ac:dyDescent="0.25">
      <c r="A1972" s="2">
        <v>44319</v>
      </c>
      <c r="B1972" t="s">
        <v>43</v>
      </c>
      <c r="C1972">
        <v>-2083</v>
      </c>
      <c r="D1972" t="str">
        <f>VLOOKUP(B1972,Tabela_Auxiliar[],2,0)</f>
        <v>4. Despesas Operacionais</v>
      </c>
      <c r="E1972" t="str">
        <f>VLOOKUP(B1972,Tabela_Auxiliar[],4,0)</f>
        <v>Despesa com Pessoal</v>
      </c>
      <c r="F1972" t="str">
        <f>VLOOKUP(B1972,Tabela_Auxiliar[],3,0)</f>
        <v>Saída</v>
      </c>
      <c r="G1972" t="str">
        <f>UPPER(TEXT(Tabela_DB[[#This Row],[DATA]],"mmm"))</f>
        <v>MAI</v>
      </c>
      <c r="H1972" t="str">
        <f>UPPER(TEXT(Tabela_DB[[#This Row],[DATA]],"aaaa"))</f>
        <v>2021</v>
      </c>
    </row>
    <row r="1973" spans="1:8" x14ac:dyDescent="0.25">
      <c r="A1973" s="2">
        <v>44319</v>
      </c>
      <c r="B1973" t="s">
        <v>35</v>
      </c>
      <c r="C1973">
        <v>-2218</v>
      </c>
      <c r="D1973" t="str">
        <f>VLOOKUP(B1973,Tabela_Auxiliar[],2,0)</f>
        <v>2. Deduções da Receita</v>
      </c>
      <c r="E1973" t="str">
        <f>VLOOKUP(B1973,Tabela_Auxiliar[],4,0)</f>
        <v>Imposto</v>
      </c>
      <c r="F1973" t="str">
        <f>VLOOKUP(B1973,Tabela_Auxiliar[],3,0)</f>
        <v>Saída</v>
      </c>
      <c r="G1973" t="str">
        <f>UPPER(TEXT(Tabela_DB[[#This Row],[DATA]],"mmm"))</f>
        <v>MAI</v>
      </c>
      <c r="H1973" t="str">
        <f>UPPER(TEXT(Tabela_DB[[#This Row],[DATA]],"aaaa"))</f>
        <v>2021</v>
      </c>
    </row>
    <row r="1974" spans="1:8" x14ac:dyDescent="0.25">
      <c r="A1974" s="2">
        <v>44319</v>
      </c>
      <c r="B1974" t="s">
        <v>38</v>
      </c>
      <c r="C1974">
        <v>-2135</v>
      </c>
      <c r="D1974" t="str">
        <f>VLOOKUP(B1974,Tabela_Auxiliar[],2,0)</f>
        <v>2. Deduções da Receita</v>
      </c>
      <c r="E1974" t="str">
        <f>VLOOKUP(B1974,Tabela_Auxiliar[],4,0)</f>
        <v>Deduções</v>
      </c>
      <c r="F1974" t="str">
        <f>VLOOKUP(B1974,Tabela_Auxiliar[],3,0)</f>
        <v>Saída</v>
      </c>
      <c r="G1974" t="str">
        <f>UPPER(TEXT(Tabela_DB[[#This Row],[DATA]],"mmm"))</f>
        <v>MAI</v>
      </c>
      <c r="H1974" t="str">
        <f>UPPER(TEXT(Tabela_DB[[#This Row],[DATA]],"aaaa"))</f>
        <v>2021</v>
      </c>
    </row>
    <row r="1975" spans="1:8" x14ac:dyDescent="0.25">
      <c r="A1975" s="2">
        <v>44319</v>
      </c>
      <c r="B1975" t="s">
        <v>38</v>
      </c>
      <c r="C1975">
        <v>-2191</v>
      </c>
      <c r="D1975" t="str">
        <f>VLOOKUP(B1975,Tabela_Auxiliar[],2,0)</f>
        <v>2. Deduções da Receita</v>
      </c>
      <c r="E1975" t="str">
        <f>VLOOKUP(B1975,Tabela_Auxiliar[],4,0)</f>
        <v>Deduções</v>
      </c>
      <c r="F1975" t="str">
        <f>VLOOKUP(B1975,Tabela_Auxiliar[],3,0)</f>
        <v>Saída</v>
      </c>
      <c r="G1975" t="str">
        <f>UPPER(TEXT(Tabela_DB[[#This Row],[DATA]],"mmm"))</f>
        <v>MAI</v>
      </c>
      <c r="H1975" t="str">
        <f>UPPER(TEXT(Tabela_DB[[#This Row],[DATA]],"aaaa"))</f>
        <v>2021</v>
      </c>
    </row>
    <row r="1976" spans="1:8" x14ac:dyDescent="0.25">
      <c r="A1976" s="2">
        <v>44319</v>
      </c>
      <c r="B1976" t="s">
        <v>44</v>
      </c>
      <c r="C1976">
        <v>-1902</v>
      </c>
      <c r="D1976" t="str">
        <f>VLOOKUP(B1976,Tabela_Auxiliar[],2,0)</f>
        <v>4. Despesas Operacionais</v>
      </c>
      <c r="E1976" t="str">
        <f>VLOOKUP(B1976,Tabela_Auxiliar[],4,0)</f>
        <v>Despesa com Pessoal</v>
      </c>
      <c r="F1976" t="str">
        <f>VLOOKUP(B1976,Tabela_Auxiliar[],3,0)</f>
        <v>Saída</v>
      </c>
      <c r="G1976" t="str">
        <f>UPPER(TEXT(Tabela_DB[[#This Row],[DATA]],"mmm"))</f>
        <v>MAI</v>
      </c>
      <c r="H1976" t="str">
        <f>UPPER(TEXT(Tabela_DB[[#This Row],[DATA]],"aaaa"))</f>
        <v>2021</v>
      </c>
    </row>
    <row r="1977" spans="1:8" x14ac:dyDescent="0.25">
      <c r="A1977" s="2">
        <v>44319</v>
      </c>
      <c r="B1977" t="s">
        <v>37</v>
      </c>
      <c r="C1977">
        <v>-4239</v>
      </c>
      <c r="D1977" t="str">
        <f>VLOOKUP(B1977,Tabela_Auxiliar[],2,0)</f>
        <v>3. Custos do Produto/Mercadoria/Serviço</v>
      </c>
      <c r="E1977" t="str">
        <f>VLOOKUP(B1977,Tabela_Auxiliar[],4,0)</f>
        <v>Despesas c/ Produto</v>
      </c>
      <c r="F1977" t="str">
        <f>VLOOKUP(B1977,Tabela_Auxiliar[],3,0)</f>
        <v>Saída</v>
      </c>
      <c r="G1977" t="str">
        <f>UPPER(TEXT(Tabela_DB[[#This Row],[DATA]],"mmm"))</f>
        <v>MAI</v>
      </c>
      <c r="H1977" t="str">
        <f>UPPER(TEXT(Tabela_DB[[#This Row],[DATA]],"aaaa"))</f>
        <v>2021</v>
      </c>
    </row>
    <row r="1978" spans="1:8" x14ac:dyDescent="0.25">
      <c r="A1978" s="2">
        <v>44319</v>
      </c>
      <c r="B1978" t="s">
        <v>4</v>
      </c>
      <c r="C1978">
        <v>10343</v>
      </c>
      <c r="D1978" t="str">
        <f>VLOOKUP(B1978,Tabela_Auxiliar[],2,0)</f>
        <v>1. Receita Operacional Bruta</v>
      </c>
      <c r="E1978" t="str">
        <f>VLOOKUP(B1978,Tabela_Auxiliar[],4,0)</f>
        <v>Receita Bruta</v>
      </c>
      <c r="F1978" t="str">
        <f>VLOOKUP(B1978,Tabela_Auxiliar[],3,0)</f>
        <v>Entrada</v>
      </c>
      <c r="G1978" t="str">
        <f>UPPER(TEXT(Tabela_DB[[#This Row],[DATA]],"mmm"))</f>
        <v>MAI</v>
      </c>
      <c r="H1978" t="str">
        <f>UPPER(TEXT(Tabela_DB[[#This Row],[DATA]],"aaaa"))</f>
        <v>2021</v>
      </c>
    </row>
    <row r="1979" spans="1:8" x14ac:dyDescent="0.25">
      <c r="A1979" s="2">
        <v>44319</v>
      </c>
      <c r="B1979" t="s">
        <v>34</v>
      </c>
      <c r="C1979">
        <v>-2172</v>
      </c>
      <c r="D1979" t="str">
        <f>VLOOKUP(B1979,Tabela_Auxiliar[],2,0)</f>
        <v>2. Deduções da Receita</v>
      </c>
      <c r="E1979" t="str">
        <f>VLOOKUP(B1979,Tabela_Auxiliar[],4,0)</f>
        <v>Imposto</v>
      </c>
      <c r="F1979" t="str">
        <f>VLOOKUP(B1979,Tabela_Auxiliar[],3,0)</f>
        <v>Saída</v>
      </c>
      <c r="G1979" t="str">
        <f>UPPER(TEXT(Tabela_DB[[#This Row],[DATA]],"mmm"))</f>
        <v>MAI</v>
      </c>
      <c r="H1979" t="str">
        <f>UPPER(TEXT(Tabela_DB[[#This Row],[DATA]],"aaaa"))</f>
        <v>2021</v>
      </c>
    </row>
    <row r="1980" spans="1:8" x14ac:dyDescent="0.25">
      <c r="A1980" s="2">
        <v>44319</v>
      </c>
      <c r="B1980" t="s">
        <v>35</v>
      </c>
      <c r="C1980">
        <v>-1498</v>
      </c>
      <c r="D1980" t="str">
        <f>VLOOKUP(B1980,Tabela_Auxiliar[],2,0)</f>
        <v>2. Deduções da Receita</v>
      </c>
      <c r="E1980" t="str">
        <f>VLOOKUP(B1980,Tabela_Auxiliar[],4,0)</f>
        <v>Imposto</v>
      </c>
      <c r="F1980" t="str">
        <f>VLOOKUP(B1980,Tabela_Auxiliar[],3,0)</f>
        <v>Saída</v>
      </c>
      <c r="G1980" t="str">
        <f>UPPER(TEXT(Tabela_DB[[#This Row],[DATA]],"mmm"))</f>
        <v>MAI</v>
      </c>
      <c r="H1980" t="str">
        <f>UPPER(TEXT(Tabela_DB[[#This Row],[DATA]],"aaaa"))</f>
        <v>2021</v>
      </c>
    </row>
    <row r="1981" spans="1:8" x14ac:dyDescent="0.25">
      <c r="A1981" s="2">
        <v>44319</v>
      </c>
      <c r="B1981" t="s">
        <v>38</v>
      </c>
      <c r="C1981">
        <v>-1216</v>
      </c>
      <c r="D1981" t="str">
        <f>VLOOKUP(B1981,Tabela_Auxiliar[],2,0)</f>
        <v>2. Deduções da Receita</v>
      </c>
      <c r="E1981" t="str">
        <f>VLOOKUP(B1981,Tabela_Auxiliar[],4,0)</f>
        <v>Deduções</v>
      </c>
      <c r="F1981" t="str">
        <f>VLOOKUP(B1981,Tabela_Auxiliar[],3,0)</f>
        <v>Saída</v>
      </c>
      <c r="G1981" t="str">
        <f>UPPER(TEXT(Tabela_DB[[#This Row],[DATA]],"mmm"))</f>
        <v>MAI</v>
      </c>
      <c r="H1981" t="str">
        <f>UPPER(TEXT(Tabela_DB[[#This Row],[DATA]],"aaaa"))</f>
        <v>2021</v>
      </c>
    </row>
    <row r="1982" spans="1:8" x14ac:dyDescent="0.25">
      <c r="A1982" s="2">
        <v>44319</v>
      </c>
      <c r="B1982" t="s">
        <v>4</v>
      </c>
      <c r="C1982">
        <v>13603</v>
      </c>
      <c r="D1982" t="str">
        <f>VLOOKUP(B1982,Tabela_Auxiliar[],2,0)</f>
        <v>1. Receita Operacional Bruta</v>
      </c>
      <c r="E1982" t="str">
        <f>VLOOKUP(B1982,Tabela_Auxiliar[],4,0)</f>
        <v>Receita Bruta</v>
      </c>
      <c r="F1982" t="str">
        <f>VLOOKUP(B1982,Tabela_Auxiliar[],3,0)</f>
        <v>Entrada</v>
      </c>
      <c r="G1982" t="str">
        <f>UPPER(TEXT(Tabela_DB[[#This Row],[DATA]],"mmm"))</f>
        <v>MAI</v>
      </c>
      <c r="H1982" t="str">
        <f>UPPER(TEXT(Tabela_DB[[#This Row],[DATA]],"aaaa"))</f>
        <v>2021</v>
      </c>
    </row>
    <row r="1983" spans="1:8" x14ac:dyDescent="0.25">
      <c r="A1983" s="2">
        <v>44319</v>
      </c>
      <c r="B1983" t="s">
        <v>54</v>
      </c>
      <c r="C1983">
        <v>-1564</v>
      </c>
      <c r="D1983" t="str">
        <f>VLOOKUP(B1983,Tabela_Auxiliar[],2,0)</f>
        <v>4. Despesas Operacionais</v>
      </c>
      <c r="E1983" t="str">
        <f>VLOOKUP(B1983,Tabela_Auxiliar[],4,0)</f>
        <v>Despesa com Pessoal</v>
      </c>
      <c r="F1983" t="str">
        <f>VLOOKUP(B1983,Tabela_Auxiliar[],3,0)</f>
        <v>Saída</v>
      </c>
      <c r="G1983" t="str">
        <f>UPPER(TEXT(Tabela_DB[[#This Row],[DATA]],"mmm"))</f>
        <v>MAI</v>
      </c>
      <c r="H1983" t="str">
        <f>UPPER(TEXT(Tabela_DB[[#This Row],[DATA]],"aaaa"))</f>
        <v>2021</v>
      </c>
    </row>
    <row r="1984" spans="1:8" x14ac:dyDescent="0.25">
      <c r="A1984" s="2">
        <v>44319</v>
      </c>
      <c r="B1984" t="s">
        <v>66</v>
      </c>
      <c r="C1984">
        <v>-1992</v>
      </c>
      <c r="D1984" t="str">
        <f>VLOOKUP(B1984,Tabela_Auxiliar[],2,0)</f>
        <v>4. Despesas Operacionais</v>
      </c>
      <c r="E1984" t="str">
        <f>VLOOKUP(B1984,Tabela_Auxiliar[],4,0)</f>
        <v>Despesa com Vendas</v>
      </c>
      <c r="F1984" t="str">
        <f>VLOOKUP(B1984,Tabela_Auxiliar[],3,0)</f>
        <v>Saída</v>
      </c>
      <c r="G1984" t="str">
        <f>UPPER(TEXT(Tabela_DB[[#This Row],[DATA]],"mmm"))</f>
        <v>MAI</v>
      </c>
      <c r="H1984" t="str">
        <f>UPPER(TEXT(Tabela_DB[[#This Row],[DATA]],"aaaa"))</f>
        <v>2021</v>
      </c>
    </row>
    <row r="1985" spans="1:8" x14ac:dyDescent="0.25">
      <c r="A1985" s="2">
        <v>44319</v>
      </c>
      <c r="B1985" t="s">
        <v>33</v>
      </c>
      <c r="C1985">
        <v>-1635</v>
      </c>
      <c r="D1985" t="str">
        <f>VLOOKUP(B1985,Tabela_Auxiliar[],2,0)</f>
        <v>4. Despesas Operacionais</v>
      </c>
      <c r="E1985" t="str">
        <f>VLOOKUP(B1985,Tabela_Auxiliar[],4,0)</f>
        <v>Despesa com Vendas</v>
      </c>
      <c r="F1985" t="str">
        <f>VLOOKUP(B1985,Tabela_Auxiliar[],3,0)</f>
        <v>Saída</v>
      </c>
      <c r="G1985" t="str">
        <f>UPPER(TEXT(Tabela_DB[[#This Row],[DATA]],"mmm"))</f>
        <v>MAI</v>
      </c>
      <c r="H1985" t="str">
        <f>UPPER(TEXT(Tabela_DB[[#This Row],[DATA]],"aaaa"))</f>
        <v>2021</v>
      </c>
    </row>
    <row r="1986" spans="1:8" x14ac:dyDescent="0.25">
      <c r="A1986" s="2">
        <v>44320</v>
      </c>
      <c r="B1986" t="s">
        <v>44</v>
      </c>
      <c r="C1986">
        <v>-2038</v>
      </c>
      <c r="D1986" t="str">
        <f>VLOOKUP(B1986,Tabela_Auxiliar[],2,0)</f>
        <v>4. Despesas Operacionais</v>
      </c>
      <c r="E1986" t="str">
        <f>VLOOKUP(B1986,Tabela_Auxiliar[],4,0)</f>
        <v>Despesa com Pessoal</v>
      </c>
      <c r="F1986" t="str">
        <f>VLOOKUP(B1986,Tabela_Auxiliar[],3,0)</f>
        <v>Saída</v>
      </c>
      <c r="G1986" t="str">
        <f>UPPER(TEXT(Tabela_DB[[#This Row],[DATA]],"mmm"))</f>
        <v>MAI</v>
      </c>
      <c r="H1986" t="str">
        <f>UPPER(TEXT(Tabela_DB[[#This Row],[DATA]],"aaaa"))</f>
        <v>2021</v>
      </c>
    </row>
    <row r="1987" spans="1:8" x14ac:dyDescent="0.25">
      <c r="A1987" s="2">
        <v>44320</v>
      </c>
      <c r="B1987" t="s">
        <v>4</v>
      </c>
      <c r="C1987">
        <v>14809</v>
      </c>
      <c r="D1987" t="str">
        <f>VLOOKUP(B1987,Tabela_Auxiliar[],2,0)</f>
        <v>1. Receita Operacional Bruta</v>
      </c>
      <c r="E1987" t="str">
        <f>VLOOKUP(B1987,Tabela_Auxiliar[],4,0)</f>
        <v>Receita Bruta</v>
      </c>
      <c r="F1987" t="str">
        <f>VLOOKUP(B1987,Tabela_Auxiliar[],3,0)</f>
        <v>Entrada</v>
      </c>
      <c r="G1987" t="str">
        <f>UPPER(TEXT(Tabela_DB[[#This Row],[DATA]],"mmm"))</f>
        <v>MAI</v>
      </c>
      <c r="H1987" t="str">
        <f>UPPER(TEXT(Tabela_DB[[#This Row],[DATA]],"aaaa"))</f>
        <v>2021</v>
      </c>
    </row>
    <row r="1988" spans="1:8" x14ac:dyDescent="0.25">
      <c r="A1988" s="2">
        <v>44320</v>
      </c>
      <c r="B1988" t="s">
        <v>3</v>
      </c>
      <c r="C1988">
        <v>14278</v>
      </c>
      <c r="D1988" t="str">
        <f>VLOOKUP(B1988,Tabela_Auxiliar[],2,0)</f>
        <v>1. Receita Operacional Bruta</v>
      </c>
      <c r="E1988" t="str">
        <f>VLOOKUP(B1988,Tabela_Auxiliar[],4,0)</f>
        <v>Receita Bruta</v>
      </c>
      <c r="F1988" t="str">
        <f>VLOOKUP(B1988,Tabela_Auxiliar[],3,0)</f>
        <v>Entrada</v>
      </c>
      <c r="G1988" t="str">
        <f>UPPER(TEXT(Tabela_DB[[#This Row],[DATA]],"mmm"))</f>
        <v>MAI</v>
      </c>
      <c r="H1988" t="str">
        <f>UPPER(TEXT(Tabela_DB[[#This Row],[DATA]],"aaaa"))</f>
        <v>2021</v>
      </c>
    </row>
    <row r="1989" spans="1:8" x14ac:dyDescent="0.25">
      <c r="A1989" s="2">
        <v>44320</v>
      </c>
      <c r="B1989" t="s">
        <v>64</v>
      </c>
      <c r="C1989">
        <v>-1625</v>
      </c>
      <c r="D1989" t="str">
        <f>VLOOKUP(B1989,Tabela_Auxiliar[],2,0)</f>
        <v>4. Despesas Operacionais</v>
      </c>
      <c r="E1989" t="str">
        <f>VLOOKUP(B1989,Tabela_Auxiliar[],4,0)</f>
        <v>Despesa Gerais</v>
      </c>
      <c r="F1989" t="str">
        <f>VLOOKUP(B1989,Tabela_Auxiliar[],3,0)</f>
        <v>Saída</v>
      </c>
      <c r="G1989" t="str">
        <f>UPPER(TEXT(Tabela_DB[[#This Row],[DATA]],"mmm"))</f>
        <v>MAI</v>
      </c>
      <c r="H1989" t="str">
        <f>UPPER(TEXT(Tabela_DB[[#This Row],[DATA]],"aaaa"))</f>
        <v>2021</v>
      </c>
    </row>
    <row r="1990" spans="1:8" x14ac:dyDescent="0.25">
      <c r="A1990" s="2">
        <v>44320</v>
      </c>
      <c r="B1990" t="s">
        <v>69</v>
      </c>
      <c r="C1990">
        <v>-1549</v>
      </c>
      <c r="D1990" t="str">
        <f>VLOOKUP(B1990,Tabela_Auxiliar[],2,0)</f>
        <v>4. Despesas Operacionais</v>
      </c>
      <c r="E1990" t="str">
        <f>VLOOKUP(B1990,Tabela_Auxiliar[],4,0)</f>
        <v>Despesa com Ocupação</v>
      </c>
      <c r="F1990" t="str">
        <f>VLOOKUP(B1990,Tabela_Auxiliar[],3,0)</f>
        <v>Saída</v>
      </c>
      <c r="G1990" t="str">
        <f>UPPER(TEXT(Tabela_DB[[#This Row],[DATA]],"mmm"))</f>
        <v>MAI</v>
      </c>
      <c r="H1990" t="str">
        <f>UPPER(TEXT(Tabela_DB[[#This Row],[DATA]],"aaaa"))</f>
        <v>2021</v>
      </c>
    </row>
    <row r="1991" spans="1:8" x14ac:dyDescent="0.25">
      <c r="A1991" s="2">
        <v>44320</v>
      </c>
      <c r="B1991" t="s">
        <v>37</v>
      </c>
      <c r="C1991">
        <v>-3896</v>
      </c>
      <c r="D1991" t="str">
        <f>VLOOKUP(B1991,Tabela_Auxiliar[],2,0)</f>
        <v>3. Custos do Produto/Mercadoria/Serviço</v>
      </c>
      <c r="E1991" t="str">
        <f>VLOOKUP(B1991,Tabela_Auxiliar[],4,0)</f>
        <v>Despesas c/ Produto</v>
      </c>
      <c r="F1991" t="str">
        <f>VLOOKUP(B1991,Tabela_Auxiliar[],3,0)</f>
        <v>Saída</v>
      </c>
      <c r="G1991" t="str">
        <f>UPPER(TEXT(Tabela_DB[[#This Row],[DATA]],"mmm"))</f>
        <v>MAI</v>
      </c>
      <c r="H1991" t="str">
        <f>UPPER(TEXT(Tabela_DB[[#This Row],[DATA]],"aaaa"))</f>
        <v>2021</v>
      </c>
    </row>
    <row r="1992" spans="1:8" x14ac:dyDescent="0.25">
      <c r="A1992" s="2">
        <v>44320</v>
      </c>
      <c r="B1992" t="s">
        <v>52</v>
      </c>
      <c r="C1992">
        <v>-1818</v>
      </c>
      <c r="D1992" t="str">
        <f>VLOOKUP(B1992,Tabela_Auxiliar[],2,0)</f>
        <v>4. Despesas Operacionais</v>
      </c>
      <c r="E1992" t="str">
        <f>VLOOKUP(B1992,Tabela_Auxiliar[],4,0)</f>
        <v>Despesa com Pessoal</v>
      </c>
      <c r="F1992" t="str">
        <f>VLOOKUP(B1992,Tabela_Auxiliar[],3,0)</f>
        <v>Saída</v>
      </c>
      <c r="G1992" t="str">
        <f>UPPER(TEXT(Tabela_DB[[#This Row],[DATA]],"mmm"))</f>
        <v>MAI</v>
      </c>
      <c r="H1992" t="str">
        <f>UPPER(TEXT(Tabela_DB[[#This Row],[DATA]],"aaaa"))</f>
        <v>2021</v>
      </c>
    </row>
    <row r="1993" spans="1:8" x14ac:dyDescent="0.25">
      <c r="A1993" s="2">
        <v>44320</v>
      </c>
      <c r="B1993" t="s">
        <v>37</v>
      </c>
      <c r="C1993">
        <v>-3815</v>
      </c>
      <c r="D1993" t="str">
        <f>VLOOKUP(B1993,Tabela_Auxiliar[],2,0)</f>
        <v>3. Custos do Produto/Mercadoria/Serviço</v>
      </c>
      <c r="E1993" t="str">
        <f>VLOOKUP(B1993,Tabela_Auxiliar[],4,0)</f>
        <v>Despesas c/ Produto</v>
      </c>
      <c r="F1993" t="str">
        <f>VLOOKUP(B1993,Tabela_Auxiliar[],3,0)</f>
        <v>Saída</v>
      </c>
      <c r="G1993" t="str">
        <f>UPPER(TEXT(Tabela_DB[[#This Row],[DATA]],"mmm"))</f>
        <v>MAI</v>
      </c>
      <c r="H1993" t="str">
        <f>UPPER(TEXT(Tabela_DB[[#This Row],[DATA]],"aaaa"))</f>
        <v>2021</v>
      </c>
    </row>
    <row r="1994" spans="1:8" x14ac:dyDescent="0.25">
      <c r="A1994" s="2">
        <v>44320</v>
      </c>
      <c r="B1994" t="s">
        <v>35</v>
      </c>
      <c r="C1994">
        <v>-2489</v>
      </c>
      <c r="D1994" t="str">
        <f>VLOOKUP(B1994,Tabela_Auxiliar[],2,0)</f>
        <v>2. Deduções da Receita</v>
      </c>
      <c r="E1994" t="str">
        <f>VLOOKUP(B1994,Tabela_Auxiliar[],4,0)</f>
        <v>Imposto</v>
      </c>
      <c r="F1994" t="str">
        <f>VLOOKUP(B1994,Tabela_Auxiliar[],3,0)</f>
        <v>Saída</v>
      </c>
      <c r="G1994" t="str">
        <f>UPPER(TEXT(Tabela_DB[[#This Row],[DATA]],"mmm"))</f>
        <v>MAI</v>
      </c>
      <c r="H1994" t="str">
        <f>UPPER(TEXT(Tabela_DB[[#This Row],[DATA]],"aaaa"))</f>
        <v>2021</v>
      </c>
    </row>
    <row r="1995" spans="1:8" x14ac:dyDescent="0.25">
      <c r="A1995" s="2">
        <v>44320</v>
      </c>
      <c r="B1995" t="s">
        <v>49</v>
      </c>
      <c r="C1995">
        <v>-1951</v>
      </c>
      <c r="D1995" t="str">
        <f>VLOOKUP(B1995,Tabela_Auxiliar[],2,0)</f>
        <v>4. Despesas Operacionais</v>
      </c>
      <c r="E1995" t="str">
        <f>VLOOKUP(B1995,Tabela_Auxiliar[],4,0)</f>
        <v>Despesa com Pessoal</v>
      </c>
      <c r="F1995" t="str">
        <f>VLOOKUP(B1995,Tabela_Auxiliar[],3,0)</f>
        <v>Saída</v>
      </c>
      <c r="G1995" t="str">
        <f>UPPER(TEXT(Tabela_DB[[#This Row],[DATA]],"mmm"))</f>
        <v>MAI</v>
      </c>
      <c r="H1995" t="str">
        <f>UPPER(TEXT(Tabela_DB[[#This Row],[DATA]],"aaaa"))</f>
        <v>2021</v>
      </c>
    </row>
    <row r="1996" spans="1:8" x14ac:dyDescent="0.25">
      <c r="A1996" s="2">
        <v>44320</v>
      </c>
      <c r="B1996" t="s">
        <v>46</v>
      </c>
      <c r="C1996">
        <v>-1772</v>
      </c>
      <c r="D1996" t="str">
        <f>VLOOKUP(B1996,Tabela_Auxiliar[],2,0)</f>
        <v>4. Despesas Operacionais</v>
      </c>
      <c r="E1996" t="str">
        <f>VLOOKUP(B1996,Tabela_Auxiliar[],4,0)</f>
        <v>Despesa com Pessoal</v>
      </c>
      <c r="F1996" t="str">
        <f>VLOOKUP(B1996,Tabela_Auxiliar[],3,0)</f>
        <v>Saída</v>
      </c>
      <c r="G1996" t="str">
        <f>UPPER(TEXT(Tabela_DB[[#This Row],[DATA]],"mmm"))</f>
        <v>MAI</v>
      </c>
      <c r="H1996" t="str">
        <f>UPPER(TEXT(Tabela_DB[[#This Row],[DATA]],"aaaa"))</f>
        <v>2021</v>
      </c>
    </row>
    <row r="1997" spans="1:8" x14ac:dyDescent="0.25">
      <c r="A1997" s="2">
        <v>44320</v>
      </c>
      <c r="B1997" t="s">
        <v>111</v>
      </c>
      <c r="C1997">
        <v>-1126</v>
      </c>
      <c r="D1997" t="str">
        <f>VLOOKUP(B1997,Tabela_Auxiliar[],2,0)</f>
        <v>2. Deduções da Receita</v>
      </c>
      <c r="E1997" t="str">
        <f>VLOOKUP(B1997,Tabela_Auxiliar[],4,0)</f>
        <v>Imposto</v>
      </c>
      <c r="F1997" t="str">
        <f>VLOOKUP(B1997,Tabela_Auxiliar[],3,0)</f>
        <v>Saída</v>
      </c>
      <c r="G1997" t="str">
        <f>UPPER(TEXT(Tabela_DB[[#This Row],[DATA]],"mmm"))</f>
        <v>MAI</v>
      </c>
      <c r="H1997" t="str">
        <f>UPPER(TEXT(Tabela_DB[[#This Row],[DATA]],"aaaa"))</f>
        <v>2021</v>
      </c>
    </row>
    <row r="1998" spans="1:8" x14ac:dyDescent="0.25">
      <c r="A1998" s="2">
        <v>44320</v>
      </c>
      <c r="B1998" t="s">
        <v>53</v>
      </c>
      <c r="C1998">
        <v>-1147</v>
      </c>
      <c r="D1998" t="str">
        <f>VLOOKUP(B1998,Tabela_Auxiliar[],2,0)</f>
        <v>4. Despesas Operacionais</v>
      </c>
      <c r="E1998" t="str">
        <f>VLOOKUP(B1998,Tabela_Auxiliar[],4,0)</f>
        <v>Despesa com Pessoal</v>
      </c>
      <c r="F1998" t="str">
        <f>VLOOKUP(B1998,Tabela_Auxiliar[],3,0)</f>
        <v>Saída</v>
      </c>
      <c r="G1998" t="str">
        <f>UPPER(TEXT(Tabela_DB[[#This Row],[DATA]],"mmm"))</f>
        <v>MAI</v>
      </c>
      <c r="H1998" t="str">
        <f>UPPER(TEXT(Tabela_DB[[#This Row],[DATA]],"aaaa"))</f>
        <v>2021</v>
      </c>
    </row>
    <row r="1999" spans="1:8" x14ac:dyDescent="0.25">
      <c r="A1999" s="2">
        <v>44320</v>
      </c>
      <c r="B1999" t="s">
        <v>34</v>
      </c>
      <c r="C1999">
        <v>-2042</v>
      </c>
      <c r="D1999" t="str">
        <f>VLOOKUP(B1999,Tabela_Auxiliar[],2,0)</f>
        <v>2. Deduções da Receita</v>
      </c>
      <c r="E1999" t="str">
        <f>VLOOKUP(B1999,Tabela_Auxiliar[],4,0)</f>
        <v>Imposto</v>
      </c>
      <c r="F1999" t="str">
        <f>VLOOKUP(B1999,Tabela_Auxiliar[],3,0)</f>
        <v>Saída</v>
      </c>
      <c r="G1999" t="str">
        <f>UPPER(TEXT(Tabela_DB[[#This Row],[DATA]],"mmm"))</f>
        <v>MAI</v>
      </c>
      <c r="H1999" t="str">
        <f>UPPER(TEXT(Tabela_DB[[#This Row],[DATA]],"aaaa"))</f>
        <v>2021</v>
      </c>
    </row>
    <row r="2000" spans="1:8" x14ac:dyDescent="0.25">
      <c r="A2000" s="2">
        <v>44321</v>
      </c>
      <c r="B2000" t="s">
        <v>76</v>
      </c>
      <c r="C2000">
        <v>-1413</v>
      </c>
      <c r="D2000" t="str">
        <f>VLOOKUP(B2000,Tabela_Auxiliar[],2,0)</f>
        <v>4. Despesas Operacionais</v>
      </c>
      <c r="E2000" t="str">
        <f>VLOOKUP(B2000,Tabela_Auxiliar[],4,0)</f>
        <v>Serviços Contratados</v>
      </c>
      <c r="F2000" t="str">
        <f>VLOOKUP(B2000,Tabela_Auxiliar[],3,0)</f>
        <v>Saída</v>
      </c>
      <c r="G2000" t="str">
        <f>UPPER(TEXT(Tabela_DB[[#This Row],[DATA]],"mmm"))</f>
        <v>MAI</v>
      </c>
      <c r="H2000" t="str">
        <f>UPPER(TEXT(Tabela_DB[[#This Row],[DATA]],"aaaa"))</f>
        <v>2021</v>
      </c>
    </row>
    <row r="2001" spans="1:8" x14ac:dyDescent="0.25">
      <c r="A2001" s="2">
        <v>44321</v>
      </c>
      <c r="B2001" t="s">
        <v>81</v>
      </c>
      <c r="C2001">
        <v>-1856</v>
      </c>
      <c r="D2001" t="str">
        <f>VLOOKUP(B2001,Tabela_Auxiliar[],2,0)</f>
        <v>4. Despesas Operacionais</v>
      </c>
      <c r="E2001" t="str">
        <f>VLOOKUP(B2001,Tabela_Auxiliar[],4,0)</f>
        <v>Serviços Contratados</v>
      </c>
      <c r="F2001" t="str">
        <f>VLOOKUP(B2001,Tabela_Auxiliar[],3,0)</f>
        <v>Saída</v>
      </c>
      <c r="G2001" t="str">
        <f>UPPER(TEXT(Tabela_DB[[#This Row],[DATA]],"mmm"))</f>
        <v>MAI</v>
      </c>
      <c r="H2001" t="str">
        <f>UPPER(TEXT(Tabela_DB[[#This Row],[DATA]],"aaaa"))</f>
        <v>2021</v>
      </c>
    </row>
    <row r="2002" spans="1:8" x14ac:dyDescent="0.25">
      <c r="A2002" s="2">
        <v>44321</v>
      </c>
      <c r="B2002" t="s">
        <v>70</v>
      </c>
      <c r="C2002">
        <v>-1618</v>
      </c>
      <c r="D2002" t="str">
        <f>VLOOKUP(B2002,Tabela_Auxiliar[],2,0)</f>
        <v>4. Despesas Operacionais</v>
      </c>
      <c r="E2002" t="str">
        <f>VLOOKUP(B2002,Tabela_Auxiliar[],4,0)</f>
        <v>Despesa com Ocupação</v>
      </c>
      <c r="F2002" t="str">
        <f>VLOOKUP(B2002,Tabela_Auxiliar[],3,0)</f>
        <v>Saída</v>
      </c>
      <c r="G2002" t="str">
        <f>UPPER(TEXT(Tabela_DB[[#This Row],[DATA]],"mmm"))</f>
        <v>MAI</v>
      </c>
      <c r="H2002" t="str">
        <f>UPPER(TEXT(Tabela_DB[[#This Row],[DATA]],"aaaa"))</f>
        <v>2021</v>
      </c>
    </row>
    <row r="2003" spans="1:8" x14ac:dyDescent="0.25">
      <c r="A2003" s="2">
        <v>44321</v>
      </c>
      <c r="B2003" t="s">
        <v>86</v>
      </c>
      <c r="C2003">
        <v>-1734</v>
      </c>
      <c r="D2003" t="str">
        <f>VLOOKUP(B2003,Tabela_Auxiliar[],2,0)</f>
        <v>4. Despesas Operacionais</v>
      </c>
      <c r="E2003" t="str">
        <f>VLOOKUP(B2003,Tabela_Auxiliar[],4,0)</f>
        <v>Despesa com Veículos</v>
      </c>
      <c r="F2003" t="str">
        <f>VLOOKUP(B2003,Tabela_Auxiliar[],3,0)</f>
        <v>Saída</v>
      </c>
      <c r="G2003" t="str">
        <f>UPPER(TEXT(Tabela_DB[[#This Row],[DATA]],"mmm"))</f>
        <v>MAI</v>
      </c>
      <c r="H2003" t="str">
        <f>UPPER(TEXT(Tabela_DB[[#This Row],[DATA]],"aaaa"))</f>
        <v>2021</v>
      </c>
    </row>
    <row r="2004" spans="1:8" x14ac:dyDescent="0.25">
      <c r="A2004" s="2">
        <v>44321</v>
      </c>
      <c r="B2004" t="s">
        <v>60</v>
      </c>
      <c r="C2004">
        <v>-1535</v>
      </c>
      <c r="D2004" t="str">
        <f>VLOOKUP(B2004,Tabela_Auxiliar[],2,0)</f>
        <v>4. Despesas Operacionais</v>
      </c>
      <c r="E2004" t="str">
        <f>VLOOKUP(B2004,Tabela_Auxiliar[],4,0)</f>
        <v>Despesa de Depreciação</v>
      </c>
      <c r="F2004" t="str">
        <f>VLOOKUP(B2004,Tabela_Auxiliar[],3,0)</f>
        <v>Saída</v>
      </c>
      <c r="G2004" t="str">
        <f>UPPER(TEXT(Tabela_DB[[#This Row],[DATA]],"mmm"))</f>
        <v>MAI</v>
      </c>
      <c r="H2004" t="str">
        <f>UPPER(TEXT(Tabela_DB[[#This Row],[DATA]],"aaaa"))</f>
        <v>2021</v>
      </c>
    </row>
    <row r="2005" spans="1:8" x14ac:dyDescent="0.25">
      <c r="A2005" s="2">
        <v>44321</v>
      </c>
      <c r="B2005" t="s">
        <v>111</v>
      </c>
      <c r="C2005">
        <v>-1847</v>
      </c>
      <c r="D2005" t="str">
        <f>VLOOKUP(B2005,Tabela_Auxiliar[],2,0)</f>
        <v>2. Deduções da Receita</v>
      </c>
      <c r="E2005" t="str">
        <f>VLOOKUP(B2005,Tabela_Auxiliar[],4,0)</f>
        <v>Imposto</v>
      </c>
      <c r="F2005" t="str">
        <f>VLOOKUP(B2005,Tabela_Auxiliar[],3,0)</f>
        <v>Saída</v>
      </c>
      <c r="G2005" t="str">
        <f>UPPER(TEXT(Tabela_DB[[#This Row],[DATA]],"mmm"))</f>
        <v>MAI</v>
      </c>
      <c r="H2005" t="str">
        <f>UPPER(TEXT(Tabela_DB[[#This Row],[DATA]],"aaaa"))</f>
        <v>2021</v>
      </c>
    </row>
    <row r="2006" spans="1:8" x14ac:dyDescent="0.25">
      <c r="A2006" s="2">
        <v>44321</v>
      </c>
      <c r="B2006" t="s">
        <v>35</v>
      </c>
      <c r="C2006">
        <v>-1603</v>
      </c>
      <c r="D2006" t="str">
        <f>VLOOKUP(B2006,Tabela_Auxiliar[],2,0)</f>
        <v>2. Deduções da Receita</v>
      </c>
      <c r="E2006" t="str">
        <f>VLOOKUP(B2006,Tabela_Auxiliar[],4,0)</f>
        <v>Imposto</v>
      </c>
      <c r="F2006" t="str">
        <f>VLOOKUP(B2006,Tabela_Auxiliar[],3,0)</f>
        <v>Saída</v>
      </c>
      <c r="G2006" t="str">
        <f>UPPER(TEXT(Tabela_DB[[#This Row],[DATA]],"mmm"))</f>
        <v>MAI</v>
      </c>
      <c r="H2006" t="str">
        <f>UPPER(TEXT(Tabela_DB[[#This Row],[DATA]],"aaaa"))</f>
        <v>2021</v>
      </c>
    </row>
    <row r="2007" spans="1:8" x14ac:dyDescent="0.25">
      <c r="A2007" s="2">
        <v>44321</v>
      </c>
      <c r="B2007" t="s">
        <v>37</v>
      </c>
      <c r="C2007">
        <v>-3505</v>
      </c>
      <c r="D2007" t="str">
        <f>VLOOKUP(B2007,Tabela_Auxiliar[],2,0)</f>
        <v>3. Custos do Produto/Mercadoria/Serviço</v>
      </c>
      <c r="E2007" t="str">
        <f>VLOOKUP(B2007,Tabela_Auxiliar[],4,0)</f>
        <v>Despesas c/ Produto</v>
      </c>
      <c r="F2007" t="str">
        <f>VLOOKUP(B2007,Tabela_Auxiliar[],3,0)</f>
        <v>Saída</v>
      </c>
      <c r="G2007" t="str">
        <f>UPPER(TEXT(Tabela_DB[[#This Row],[DATA]],"mmm"))</f>
        <v>MAI</v>
      </c>
      <c r="H2007" t="str">
        <f>UPPER(TEXT(Tabela_DB[[#This Row],[DATA]],"aaaa"))</f>
        <v>2021</v>
      </c>
    </row>
    <row r="2008" spans="1:8" x14ac:dyDescent="0.25">
      <c r="A2008" s="2">
        <v>44321</v>
      </c>
      <c r="B2008" t="s">
        <v>4</v>
      </c>
      <c r="C2008">
        <v>10824</v>
      </c>
      <c r="D2008" t="str">
        <f>VLOOKUP(B2008,Tabela_Auxiliar[],2,0)</f>
        <v>1. Receita Operacional Bruta</v>
      </c>
      <c r="E2008" t="str">
        <f>VLOOKUP(B2008,Tabela_Auxiliar[],4,0)</f>
        <v>Receita Bruta</v>
      </c>
      <c r="F2008" t="str">
        <f>VLOOKUP(B2008,Tabela_Auxiliar[],3,0)</f>
        <v>Entrada</v>
      </c>
      <c r="G2008" t="str">
        <f>UPPER(TEXT(Tabela_DB[[#This Row],[DATA]],"mmm"))</f>
        <v>MAI</v>
      </c>
      <c r="H2008" t="str">
        <f>UPPER(TEXT(Tabela_DB[[#This Row],[DATA]],"aaaa"))</f>
        <v>2021</v>
      </c>
    </row>
    <row r="2009" spans="1:8" x14ac:dyDescent="0.25">
      <c r="A2009" s="2">
        <v>44321</v>
      </c>
      <c r="B2009" t="s">
        <v>4</v>
      </c>
      <c r="C2009">
        <v>12740</v>
      </c>
      <c r="D2009" t="str">
        <f>VLOOKUP(B2009,Tabela_Auxiliar[],2,0)</f>
        <v>1. Receita Operacional Bruta</v>
      </c>
      <c r="E2009" t="str">
        <f>VLOOKUP(B2009,Tabela_Auxiliar[],4,0)</f>
        <v>Receita Bruta</v>
      </c>
      <c r="F2009" t="str">
        <f>VLOOKUP(B2009,Tabela_Auxiliar[],3,0)</f>
        <v>Entrada</v>
      </c>
      <c r="G2009" t="str">
        <f>UPPER(TEXT(Tabela_DB[[#This Row],[DATA]],"mmm"))</f>
        <v>MAI</v>
      </c>
      <c r="H2009" t="str">
        <f>UPPER(TEXT(Tabela_DB[[#This Row],[DATA]],"aaaa"))</f>
        <v>2021</v>
      </c>
    </row>
    <row r="2010" spans="1:8" x14ac:dyDescent="0.25">
      <c r="A2010" s="2">
        <v>44321</v>
      </c>
      <c r="B2010" t="s">
        <v>38</v>
      </c>
      <c r="C2010">
        <v>-1702</v>
      </c>
      <c r="D2010" t="str">
        <f>VLOOKUP(B2010,Tabela_Auxiliar[],2,0)</f>
        <v>2. Deduções da Receita</v>
      </c>
      <c r="E2010" t="str">
        <f>VLOOKUP(B2010,Tabela_Auxiliar[],4,0)</f>
        <v>Deduções</v>
      </c>
      <c r="F2010" t="str">
        <f>VLOOKUP(B2010,Tabela_Auxiliar[],3,0)</f>
        <v>Saída</v>
      </c>
      <c r="G2010" t="str">
        <f>UPPER(TEXT(Tabela_DB[[#This Row],[DATA]],"mmm"))</f>
        <v>MAI</v>
      </c>
      <c r="H2010" t="str">
        <f>UPPER(TEXT(Tabela_DB[[#This Row],[DATA]],"aaaa"))</f>
        <v>2021</v>
      </c>
    </row>
    <row r="2011" spans="1:8" x14ac:dyDescent="0.25">
      <c r="A2011" s="2">
        <v>44321</v>
      </c>
      <c r="B2011" t="s">
        <v>37</v>
      </c>
      <c r="C2011">
        <v>-3019</v>
      </c>
      <c r="D2011" t="str">
        <f>VLOOKUP(B2011,Tabela_Auxiliar[],2,0)</f>
        <v>3. Custos do Produto/Mercadoria/Serviço</v>
      </c>
      <c r="E2011" t="str">
        <f>VLOOKUP(B2011,Tabela_Auxiliar[],4,0)</f>
        <v>Despesas c/ Produto</v>
      </c>
      <c r="F2011" t="str">
        <f>VLOOKUP(B2011,Tabela_Auxiliar[],3,0)</f>
        <v>Saída</v>
      </c>
      <c r="G2011" t="str">
        <f>UPPER(TEXT(Tabela_DB[[#This Row],[DATA]],"mmm"))</f>
        <v>MAI</v>
      </c>
      <c r="H2011" t="str">
        <f>UPPER(TEXT(Tabela_DB[[#This Row],[DATA]],"aaaa"))</f>
        <v>2021</v>
      </c>
    </row>
    <row r="2012" spans="1:8" x14ac:dyDescent="0.25">
      <c r="A2012" s="2">
        <v>44322</v>
      </c>
      <c r="B2012" t="s">
        <v>4</v>
      </c>
      <c r="C2012">
        <v>11242</v>
      </c>
      <c r="D2012" t="str">
        <f>VLOOKUP(B2012,Tabela_Auxiliar[],2,0)</f>
        <v>1. Receita Operacional Bruta</v>
      </c>
      <c r="E2012" t="str">
        <f>VLOOKUP(B2012,Tabela_Auxiliar[],4,0)</f>
        <v>Receita Bruta</v>
      </c>
      <c r="F2012" t="str">
        <f>VLOOKUP(B2012,Tabela_Auxiliar[],3,0)</f>
        <v>Entrada</v>
      </c>
      <c r="G2012" t="str">
        <f>UPPER(TEXT(Tabela_DB[[#This Row],[DATA]],"mmm"))</f>
        <v>MAI</v>
      </c>
      <c r="H2012" t="str">
        <f>UPPER(TEXT(Tabela_DB[[#This Row],[DATA]],"aaaa"))</f>
        <v>2021</v>
      </c>
    </row>
    <row r="2013" spans="1:8" x14ac:dyDescent="0.25">
      <c r="A2013" s="2">
        <v>44322</v>
      </c>
      <c r="B2013" t="s">
        <v>82</v>
      </c>
      <c r="C2013">
        <v>-2311</v>
      </c>
      <c r="D2013" t="str">
        <f>VLOOKUP(B2013,Tabela_Auxiliar[],2,0)</f>
        <v>4. Despesas Operacionais</v>
      </c>
      <c r="E2013" t="str">
        <f>VLOOKUP(B2013,Tabela_Auxiliar[],4,0)</f>
        <v>Despesa com Veículos</v>
      </c>
      <c r="F2013" t="str">
        <f>VLOOKUP(B2013,Tabela_Auxiliar[],3,0)</f>
        <v>Saída</v>
      </c>
      <c r="G2013" t="str">
        <f>UPPER(TEXT(Tabela_DB[[#This Row],[DATA]],"mmm"))</f>
        <v>MAI</v>
      </c>
      <c r="H2013" t="str">
        <f>UPPER(TEXT(Tabela_DB[[#This Row],[DATA]],"aaaa"))</f>
        <v>2021</v>
      </c>
    </row>
    <row r="2014" spans="1:8" x14ac:dyDescent="0.25">
      <c r="A2014" s="2">
        <v>44322</v>
      </c>
      <c r="B2014" t="s">
        <v>48</v>
      </c>
      <c r="C2014">
        <v>-2359</v>
      </c>
      <c r="D2014" t="str">
        <f>VLOOKUP(B2014,Tabela_Auxiliar[],2,0)</f>
        <v>4. Despesas Operacionais</v>
      </c>
      <c r="E2014" t="str">
        <f>VLOOKUP(B2014,Tabela_Auxiliar[],4,0)</f>
        <v>Despesa com Pessoal</v>
      </c>
      <c r="F2014" t="str">
        <f>VLOOKUP(B2014,Tabela_Auxiliar[],3,0)</f>
        <v>Saída</v>
      </c>
      <c r="G2014" t="str">
        <f>UPPER(TEXT(Tabela_DB[[#This Row],[DATA]],"mmm"))</f>
        <v>MAI</v>
      </c>
      <c r="H2014" t="str">
        <f>UPPER(TEXT(Tabela_DB[[#This Row],[DATA]],"aaaa"))</f>
        <v>2021</v>
      </c>
    </row>
    <row r="2015" spans="1:8" x14ac:dyDescent="0.25">
      <c r="A2015" s="2">
        <v>44322</v>
      </c>
      <c r="B2015" t="s">
        <v>3</v>
      </c>
      <c r="C2015">
        <v>13982</v>
      </c>
      <c r="D2015" t="str">
        <f>VLOOKUP(B2015,Tabela_Auxiliar[],2,0)</f>
        <v>1. Receita Operacional Bruta</v>
      </c>
      <c r="E2015" t="str">
        <f>VLOOKUP(B2015,Tabela_Auxiliar[],4,0)</f>
        <v>Receita Bruta</v>
      </c>
      <c r="F2015" t="str">
        <f>VLOOKUP(B2015,Tabela_Auxiliar[],3,0)</f>
        <v>Entrada</v>
      </c>
      <c r="G2015" t="str">
        <f>UPPER(TEXT(Tabela_DB[[#This Row],[DATA]],"mmm"))</f>
        <v>MAI</v>
      </c>
      <c r="H2015" t="str">
        <f>UPPER(TEXT(Tabela_DB[[#This Row],[DATA]],"aaaa"))</f>
        <v>2021</v>
      </c>
    </row>
    <row r="2016" spans="1:8" x14ac:dyDescent="0.25">
      <c r="A2016" s="2">
        <v>44322</v>
      </c>
      <c r="B2016" t="s">
        <v>34</v>
      </c>
      <c r="C2016">
        <v>-1926</v>
      </c>
      <c r="D2016" t="str">
        <f>VLOOKUP(B2016,Tabela_Auxiliar[],2,0)</f>
        <v>2. Deduções da Receita</v>
      </c>
      <c r="E2016" t="str">
        <f>VLOOKUP(B2016,Tabela_Auxiliar[],4,0)</f>
        <v>Imposto</v>
      </c>
      <c r="F2016" t="str">
        <f>VLOOKUP(B2016,Tabela_Auxiliar[],3,0)</f>
        <v>Saída</v>
      </c>
      <c r="G2016" t="str">
        <f>UPPER(TEXT(Tabela_DB[[#This Row],[DATA]],"mmm"))</f>
        <v>MAI</v>
      </c>
      <c r="H2016" t="str">
        <f>UPPER(TEXT(Tabela_DB[[#This Row],[DATA]],"aaaa"))</f>
        <v>2021</v>
      </c>
    </row>
    <row r="2017" spans="1:8" x14ac:dyDescent="0.25">
      <c r="A2017" s="2">
        <v>44322</v>
      </c>
      <c r="B2017" t="s">
        <v>37</v>
      </c>
      <c r="C2017">
        <v>-2757</v>
      </c>
      <c r="D2017" t="str">
        <f>VLOOKUP(B2017,Tabela_Auxiliar[],2,0)</f>
        <v>3. Custos do Produto/Mercadoria/Serviço</v>
      </c>
      <c r="E2017" t="str">
        <f>VLOOKUP(B2017,Tabela_Auxiliar[],4,0)</f>
        <v>Despesas c/ Produto</v>
      </c>
      <c r="F2017" t="str">
        <f>VLOOKUP(B2017,Tabela_Auxiliar[],3,0)</f>
        <v>Saída</v>
      </c>
      <c r="G2017" t="str">
        <f>UPPER(TEXT(Tabela_DB[[#This Row],[DATA]],"mmm"))</f>
        <v>MAI</v>
      </c>
      <c r="H2017" t="str">
        <f>UPPER(TEXT(Tabela_DB[[#This Row],[DATA]],"aaaa"))</f>
        <v>2021</v>
      </c>
    </row>
    <row r="2018" spans="1:8" x14ac:dyDescent="0.25">
      <c r="A2018" s="2">
        <v>44322</v>
      </c>
      <c r="B2018" t="s">
        <v>70</v>
      </c>
      <c r="C2018">
        <v>-1976</v>
      </c>
      <c r="D2018" t="str">
        <f>VLOOKUP(B2018,Tabela_Auxiliar[],2,0)</f>
        <v>4. Despesas Operacionais</v>
      </c>
      <c r="E2018" t="str">
        <f>VLOOKUP(B2018,Tabela_Auxiliar[],4,0)</f>
        <v>Despesa com Ocupação</v>
      </c>
      <c r="F2018" t="str">
        <f>VLOOKUP(B2018,Tabela_Auxiliar[],3,0)</f>
        <v>Saída</v>
      </c>
      <c r="G2018" t="str">
        <f>UPPER(TEXT(Tabela_DB[[#This Row],[DATA]],"mmm"))</f>
        <v>MAI</v>
      </c>
      <c r="H2018" t="str">
        <f>UPPER(TEXT(Tabela_DB[[#This Row],[DATA]],"aaaa"))</f>
        <v>2021</v>
      </c>
    </row>
    <row r="2019" spans="1:8" x14ac:dyDescent="0.25">
      <c r="A2019" s="2">
        <v>44322</v>
      </c>
      <c r="B2019" t="s">
        <v>3</v>
      </c>
      <c r="C2019">
        <v>12371</v>
      </c>
      <c r="D2019" t="str">
        <f>VLOOKUP(B2019,Tabela_Auxiliar[],2,0)</f>
        <v>1. Receita Operacional Bruta</v>
      </c>
      <c r="E2019" t="str">
        <f>VLOOKUP(B2019,Tabela_Auxiliar[],4,0)</f>
        <v>Receita Bruta</v>
      </c>
      <c r="F2019" t="str">
        <f>VLOOKUP(B2019,Tabela_Auxiliar[],3,0)</f>
        <v>Entrada</v>
      </c>
      <c r="G2019" t="str">
        <f>UPPER(TEXT(Tabela_DB[[#This Row],[DATA]],"mmm"))</f>
        <v>MAI</v>
      </c>
      <c r="H2019" t="str">
        <f>UPPER(TEXT(Tabela_DB[[#This Row],[DATA]],"aaaa"))</f>
        <v>2021</v>
      </c>
    </row>
    <row r="2020" spans="1:8" x14ac:dyDescent="0.25">
      <c r="A2020" s="2">
        <v>44322</v>
      </c>
      <c r="B2020" t="s">
        <v>37</v>
      </c>
      <c r="C2020">
        <v>-4515</v>
      </c>
      <c r="D2020" t="str">
        <f>VLOOKUP(B2020,Tabela_Auxiliar[],2,0)</f>
        <v>3. Custos do Produto/Mercadoria/Serviço</v>
      </c>
      <c r="E2020" t="str">
        <f>VLOOKUP(B2020,Tabela_Auxiliar[],4,0)</f>
        <v>Despesas c/ Produto</v>
      </c>
      <c r="F2020" t="str">
        <f>VLOOKUP(B2020,Tabela_Auxiliar[],3,0)</f>
        <v>Saída</v>
      </c>
      <c r="G2020" t="str">
        <f>UPPER(TEXT(Tabela_DB[[#This Row],[DATA]],"mmm"))</f>
        <v>MAI</v>
      </c>
      <c r="H2020" t="str">
        <f>UPPER(TEXT(Tabela_DB[[#This Row],[DATA]],"aaaa"))</f>
        <v>2021</v>
      </c>
    </row>
    <row r="2021" spans="1:8" x14ac:dyDescent="0.25">
      <c r="A2021" s="2">
        <v>44322</v>
      </c>
      <c r="B2021" t="s">
        <v>3</v>
      </c>
      <c r="C2021">
        <v>11265</v>
      </c>
      <c r="D2021" t="str">
        <f>VLOOKUP(B2021,Tabela_Auxiliar[],2,0)</f>
        <v>1. Receita Operacional Bruta</v>
      </c>
      <c r="E2021" t="str">
        <f>VLOOKUP(B2021,Tabela_Auxiliar[],4,0)</f>
        <v>Receita Bruta</v>
      </c>
      <c r="F2021" t="str">
        <f>VLOOKUP(B2021,Tabela_Auxiliar[],3,0)</f>
        <v>Entrada</v>
      </c>
      <c r="G2021" t="str">
        <f>UPPER(TEXT(Tabela_DB[[#This Row],[DATA]],"mmm"))</f>
        <v>MAI</v>
      </c>
      <c r="H2021" t="str">
        <f>UPPER(TEXT(Tabela_DB[[#This Row],[DATA]],"aaaa"))</f>
        <v>2021</v>
      </c>
    </row>
    <row r="2022" spans="1:8" x14ac:dyDescent="0.25">
      <c r="A2022" s="2">
        <v>44323</v>
      </c>
      <c r="B2022" t="s">
        <v>4</v>
      </c>
      <c r="C2022">
        <v>11803</v>
      </c>
      <c r="D2022" t="str">
        <f>VLOOKUP(B2022,Tabela_Auxiliar[],2,0)</f>
        <v>1. Receita Operacional Bruta</v>
      </c>
      <c r="E2022" t="str">
        <f>VLOOKUP(B2022,Tabela_Auxiliar[],4,0)</f>
        <v>Receita Bruta</v>
      </c>
      <c r="F2022" t="str">
        <f>VLOOKUP(B2022,Tabela_Auxiliar[],3,0)</f>
        <v>Entrada</v>
      </c>
      <c r="G2022" t="str">
        <f>UPPER(TEXT(Tabela_DB[[#This Row],[DATA]],"mmm"))</f>
        <v>MAI</v>
      </c>
      <c r="H2022" t="str">
        <f>UPPER(TEXT(Tabela_DB[[#This Row],[DATA]],"aaaa"))</f>
        <v>2021</v>
      </c>
    </row>
    <row r="2023" spans="1:8" x14ac:dyDescent="0.25">
      <c r="A2023" s="2">
        <v>44323</v>
      </c>
      <c r="B2023" t="s">
        <v>34</v>
      </c>
      <c r="C2023">
        <v>-1504</v>
      </c>
      <c r="D2023" t="str">
        <f>VLOOKUP(B2023,Tabela_Auxiliar[],2,0)</f>
        <v>2. Deduções da Receita</v>
      </c>
      <c r="E2023" t="str">
        <f>VLOOKUP(B2023,Tabela_Auxiliar[],4,0)</f>
        <v>Imposto</v>
      </c>
      <c r="F2023" t="str">
        <f>VLOOKUP(B2023,Tabela_Auxiliar[],3,0)</f>
        <v>Saída</v>
      </c>
      <c r="G2023" t="str">
        <f>UPPER(TEXT(Tabela_DB[[#This Row],[DATA]],"mmm"))</f>
        <v>MAI</v>
      </c>
      <c r="H2023" t="str">
        <f>UPPER(TEXT(Tabela_DB[[#This Row],[DATA]],"aaaa"))</f>
        <v>2021</v>
      </c>
    </row>
    <row r="2024" spans="1:8" x14ac:dyDescent="0.25">
      <c r="A2024" s="2">
        <v>44323</v>
      </c>
      <c r="B2024" t="s">
        <v>38</v>
      </c>
      <c r="C2024">
        <v>-2273</v>
      </c>
      <c r="D2024" t="str">
        <f>VLOOKUP(B2024,Tabela_Auxiliar[],2,0)</f>
        <v>2. Deduções da Receita</v>
      </c>
      <c r="E2024" t="str">
        <f>VLOOKUP(B2024,Tabela_Auxiliar[],4,0)</f>
        <v>Deduções</v>
      </c>
      <c r="F2024" t="str">
        <f>VLOOKUP(B2024,Tabela_Auxiliar[],3,0)</f>
        <v>Saída</v>
      </c>
      <c r="G2024" t="str">
        <f>UPPER(TEXT(Tabela_DB[[#This Row],[DATA]],"mmm"))</f>
        <v>MAI</v>
      </c>
      <c r="H2024" t="str">
        <f>UPPER(TEXT(Tabela_DB[[#This Row],[DATA]],"aaaa"))</f>
        <v>2021</v>
      </c>
    </row>
    <row r="2025" spans="1:8" x14ac:dyDescent="0.25">
      <c r="A2025" s="2">
        <v>44323</v>
      </c>
      <c r="B2025" t="s">
        <v>76</v>
      </c>
      <c r="C2025">
        <v>-2430</v>
      </c>
      <c r="D2025" t="str">
        <f>VLOOKUP(B2025,Tabela_Auxiliar[],2,0)</f>
        <v>4. Despesas Operacionais</v>
      </c>
      <c r="E2025" t="str">
        <f>VLOOKUP(B2025,Tabela_Auxiliar[],4,0)</f>
        <v>Serviços Contratados</v>
      </c>
      <c r="F2025" t="str">
        <f>VLOOKUP(B2025,Tabela_Auxiliar[],3,0)</f>
        <v>Saída</v>
      </c>
      <c r="G2025" t="str">
        <f>UPPER(TEXT(Tabela_DB[[#This Row],[DATA]],"mmm"))</f>
        <v>MAI</v>
      </c>
      <c r="H2025" t="str">
        <f>UPPER(TEXT(Tabela_DB[[#This Row],[DATA]],"aaaa"))</f>
        <v>2021</v>
      </c>
    </row>
    <row r="2026" spans="1:8" x14ac:dyDescent="0.25">
      <c r="A2026" s="2">
        <v>44323</v>
      </c>
      <c r="B2026" t="s">
        <v>34</v>
      </c>
      <c r="C2026">
        <v>-2111</v>
      </c>
      <c r="D2026" t="str">
        <f>VLOOKUP(B2026,Tabela_Auxiliar[],2,0)</f>
        <v>2. Deduções da Receita</v>
      </c>
      <c r="E2026" t="str">
        <f>VLOOKUP(B2026,Tabela_Auxiliar[],4,0)</f>
        <v>Imposto</v>
      </c>
      <c r="F2026" t="str">
        <f>VLOOKUP(B2026,Tabela_Auxiliar[],3,0)</f>
        <v>Saída</v>
      </c>
      <c r="G2026" t="str">
        <f>UPPER(TEXT(Tabela_DB[[#This Row],[DATA]],"mmm"))</f>
        <v>MAI</v>
      </c>
      <c r="H2026" t="str">
        <f>UPPER(TEXT(Tabela_DB[[#This Row],[DATA]],"aaaa"))</f>
        <v>2021</v>
      </c>
    </row>
    <row r="2027" spans="1:8" x14ac:dyDescent="0.25">
      <c r="A2027" s="2">
        <v>44323</v>
      </c>
      <c r="B2027" t="s">
        <v>3</v>
      </c>
      <c r="C2027">
        <v>14224</v>
      </c>
      <c r="D2027" t="str">
        <f>VLOOKUP(B2027,Tabela_Auxiliar[],2,0)</f>
        <v>1. Receita Operacional Bruta</v>
      </c>
      <c r="E2027" t="str">
        <f>VLOOKUP(B2027,Tabela_Auxiliar[],4,0)</f>
        <v>Receita Bruta</v>
      </c>
      <c r="F2027" t="str">
        <f>VLOOKUP(B2027,Tabela_Auxiliar[],3,0)</f>
        <v>Entrada</v>
      </c>
      <c r="G2027" t="str">
        <f>UPPER(TEXT(Tabela_DB[[#This Row],[DATA]],"mmm"))</f>
        <v>MAI</v>
      </c>
      <c r="H2027" t="str">
        <f>UPPER(TEXT(Tabela_DB[[#This Row],[DATA]],"aaaa"))</f>
        <v>2021</v>
      </c>
    </row>
    <row r="2028" spans="1:8" x14ac:dyDescent="0.25">
      <c r="A2028" s="2">
        <v>44323</v>
      </c>
      <c r="B2028" t="s">
        <v>35</v>
      </c>
      <c r="C2028">
        <v>-1839</v>
      </c>
      <c r="D2028" t="str">
        <f>VLOOKUP(B2028,Tabela_Auxiliar[],2,0)</f>
        <v>2. Deduções da Receita</v>
      </c>
      <c r="E2028" t="str">
        <f>VLOOKUP(B2028,Tabela_Auxiliar[],4,0)</f>
        <v>Imposto</v>
      </c>
      <c r="F2028" t="str">
        <f>VLOOKUP(B2028,Tabela_Auxiliar[],3,0)</f>
        <v>Saída</v>
      </c>
      <c r="G2028" t="str">
        <f>UPPER(TEXT(Tabela_DB[[#This Row],[DATA]],"mmm"))</f>
        <v>MAI</v>
      </c>
      <c r="H2028" t="str">
        <f>UPPER(TEXT(Tabela_DB[[#This Row],[DATA]],"aaaa"))</f>
        <v>2021</v>
      </c>
    </row>
    <row r="2029" spans="1:8" x14ac:dyDescent="0.25">
      <c r="A2029" s="2">
        <v>44323</v>
      </c>
      <c r="B2029" t="s">
        <v>68</v>
      </c>
      <c r="C2029">
        <v>-2283</v>
      </c>
      <c r="D2029" t="str">
        <f>VLOOKUP(B2029,Tabela_Auxiliar[],2,0)</f>
        <v>4. Despesas Operacionais</v>
      </c>
      <c r="E2029" t="str">
        <f>VLOOKUP(B2029,Tabela_Auxiliar[],4,0)</f>
        <v>Despesa com Ocupação</v>
      </c>
      <c r="F2029" t="str">
        <f>VLOOKUP(B2029,Tabela_Auxiliar[],3,0)</f>
        <v>Saída</v>
      </c>
      <c r="G2029" t="str">
        <f>UPPER(TEXT(Tabela_DB[[#This Row],[DATA]],"mmm"))</f>
        <v>MAI</v>
      </c>
      <c r="H2029" t="str">
        <f>UPPER(TEXT(Tabela_DB[[#This Row],[DATA]],"aaaa"))</f>
        <v>2021</v>
      </c>
    </row>
    <row r="2030" spans="1:8" x14ac:dyDescent="0.25">
      <c r="A2030" s="2">
        <v>44323</v>
      </c>
      <c r="B2030" t="s">
        <v>53</v>
      </c>
      <c r="C2030">
        <v>-1113</v>
      </c>
      <c r="D2030" t="str">
        <f>VLOOKUP(B2030,Tabela_Auxiliar[],2,0)</f>
        <v>4. Despesas Operacionais</v>
      </c>
      <c r="E2030" t="str">
        <f>VLOOKUP(B2030,Tabela_Auxiliar[],4,0)</f>
        <v>Despesa com Pessoal</v>
      </c>
      <c r="F2030" t="str">
        <f>VLOOKUP(B2030,Tabela_Auxiliar[],3,0)</f>
        <v>Saída</v>
      </c>
      <c r="G2030" t="str">
        <f>UPPER(TEXT(Tabela_DB[[#This Row],[DATA]],"mmm"))</f>
        <v>MAI</v>
      </c>
      <c r="H2030" t="str">
        <f>UPPER(TEXT(Tabela_DB[[#This Row],[DATA]],"aaaa"))</f>
        <v>2021</v>
      </c>
    </row>
    <row r="2031" spans="1:8" x14ac:dyDescent="0.25">
      <c r="A2031" s="2">
        <v>44323</v>
      </c>
      <c r="B2031" t="s">
        <v>38</v>
      </c>
      <c r="C2031">
        <v>-1373</v>
      </c>
      <c r="D2031" t="str">
        <f>VLOOKUP(B2031,Tabela_Auxiliar[],2,0)</f>
        <v>2. Deduções da Receita</v>
      </c>
      <c r="E2031" t="str">
        <f>VLOOKUP(B2031,Tabela_Auxiliar[],4,0)</f>
        <v>Deduções</v>
      </c>
      <c r="F2031" t="str">
        <f>VLOOKUP(B2031,Tabela_Auxiliar[],3,0)</f>
        <v>Saída</v>
      </c>
      <c r="G2031" t="str">
        <f>UPPER(TEXT(Tabela_DB[[#This Row],[DATA]],"mmm"))</f>
        <v>MAI</v>
      </c>
      <c r="H2031" t="str">
        <f>UPPER(TEXT(Tabela_DB[[#This Row],[DATA]],"aaaa"))</f>
        <v>2021</v>
      </c>
    </row>
    <row r="2032" spans="1:8" x14ac:dyDescent="0.25">
      <c r="A2032" s="2">
        <v>44323</v>
      </c>
      <c r="B2032" t="s">
        <v>111</v>
      </c>
      <c r="C2032">
        <v>-1579</v>
      </c>
      <c r="D2032" t="str">
        <f>VLOOKUP(B2032,Tabela_Auxiliar[],2,0)</f>
        <v>2. Deduções da Receita</v>
      </c>
      <c r="E2032" t="str">
        <f>VLOOKUP(B2032,Tabela_Auxiliar[],4,0)</f>
        <v>Imposto</v>
      </c>
      <c r="F2032" t="str">
        <f>VLOOKUP(B2032,Tabela_Auxiliar[],3,0)</f>
        <v>Saída</v>
      </c>
      <c r="G2032" t="str">
        <f>UPPER(TEXT(Tabela_DB[[#This Row],[DATA]],"mmm"))</f>
        <v>MAI</v>
      </c>
      <c r="H2032" t="str">
        <f>UPPER(TEXT(Tabela_DB[[#This Row],[DATA]],"aaaa"))</f>
        <v>2021</v>
      </c>
    </row>
    <row r="2033" spans="1:8" x14ac:dyDescent="0.25">
      <c r="A2033" s="2">
        <v>44323</v>
      </c>
      <c r="B2033" t="s">
        <v>35</v>
      </c>
      <c r="C2033">
        <v>-2436</v>
      </c>
      <c r="D2033" t="str">
        <f>VLOOKUP(B2033,Tabela_Auxiliar[],2,0)</f>
        <v>2. Deduções da Receita</v>
      </c>
      <c r="E2033" t="str">
        <f>VLOOKUP(B2033,Tabela_Auxiliar[],4,0)</f>
        <v>Imposto</v>
      </c>
      <c r="F2033" t="str">
        <f>VLOOKUP(B2033,Tabela_Auxiliar[],3,0)</f>
        <v>Saída</v>
      </c>
      <c r="G2033" t="str">
        <f>UPPER(TEXT(Tabela_DB[[#This Row],[DATA]],"mmm"))</f>
        <v>MAI</v>
      </c>
      <c r="H2033" t="str">
        <f>UPPER(TEXT(Tabela_DB[[#This Row],[DATA]],"aaaa"))</f>
        <v>2021</v>
      </c>
    </row>
    <row r="2034" spans="1:8" x14ac:dyDescent="0.25">
      <c r="A2034" s="2">
        <v>44324</v>
      </c>
      <c r="B2034" t="s">
        <v>4</v>
      </c>
      <c r="C2034">
        <v>13991</v>
      </c>
      <c r="D2034" t="str">
        <f>VLOOKUP(B2034,Tabela_Auxiliar[],2,0)</f>
        <v>1. Receita Operacional Bruta</v>
      </c>
      <c r="E2034" t="str">
        <f>VLOOKUP(B2034,Tabela_Auxiliar[],4,0)</f>
        <v>Receita Bruta</v>
      </c>
      <c r="F2034" t="str">
        <f>VLOOKUP(B2034,Tabela_Auxiliar[],3,0)</f>
        <v>Entrada</v>
      </c>
      <c r="G2034" t="str">
        <f>UPPER(TEXT(Tabela_DB[[#This Row],[DATA]],"mmm"))</f>
        <v>MAI</v>
      </c>
      <c r="H2034" t="str">
        <f>UPPER(TEXT(Tabela_DB[[#This Row],[DATA]],"aaaa"))</f>
        <v>2021</v>
      </c>
    </row>
    <row r="2035" spans="1:8" x14ac:dyDescent="0.25">
      <c r="A2035" s="2">
        <v>44324</v>
      </c>
      <c r="B2035" t="s">
        <v>76</v>
      </c>
      <c r="C2035">
        <v>-2058</v>
      </c>
      <c r="D2035" t="str">
        <f>VLOOKUP(B2035,Tabela_Auxiliar[],2,0)</f>
        <v>4. Despesas Operacionais</v>
      </c>
      <c r="E2035" t="str">
        <f>VLOOKUP(B2035,Tabela_Auxiliar[],4,0)</f>
        <v>Serviços Contratados</v>
      </c>
      <c r="F2035" t="str">
        <f>VLOOKUP(B2035,Tabela_Auxiliar[],3,0)</f>
        <v>Saída</v>
      </c>
      <c r="G2035" t="str">
        <f>UPPER(TEXT(Tabela_DB[[#This Row],[DATA]],"mmm"))</f>
        <v>MAI</v>
      </c>
      <c r="H2035" t="str">
        <f>UPPER(TEXT(Tabela_DB[[#This Row],[DATA]],"aaaa"))</f>
        <v>2021</v>
      </c>
    </row>
    <row r="2036" spans="1:8" x14ac:dyDescent="0.25">
      <c r="A2036" s="2">
        <v>44324</v>
      </c>
      <c r="B2036" t="s">
        <v>4</v>
      </c>
      <c r="C2036">
        <v>12222</v>
      </c>
      <c r="D2036" t="str">
        <f>VLOOKUP(B2036,Tabela_Auxiliar[],2,0)</f>
        <v>1. Receita Operacional Bruta</v>
      </c>
      <c r="E2036" t="str">
        <f>VLOOKUP(B2036,Tabela_Auxiliar[],4,0)</f>
        <v>Receita Bruta</v>
      </c>
      <c r="F2036" t="str">
        <f>VLOOKUP(B2036,Tabela_Auxiliar[],3,0)</f>
        <v>Entrada</v>
      </c>
      <c r="G2036" t="str">
        <f>UPPER(TEXT(Tabela_DB[[#This Row],[DATA]],"mmm"))</f>
        <v>MAI</v>
      </c>
      <c r="H2036" t="str">
        <f>UPPER(TEXT(Tabela_DB[[#This Row],[DATA]],"aaaa"))</f>
        <v>2021</v>
      </c>
    </row>
    <row r="2037" spans="1:8" x14ac:dyDescent="0.25">
      <c r="A2037" s="2">
        <v>44324</v>
      </c>
      <c r="B2037" t="s">
        <v>101</v>
      </c>
      <c r="C2037">
        <v>-1421</v>
      </c>
      <c r="D2037" t="str">
        <f>VLOOKUP(B2037,Tabela_Auxiliar[],2,0)</f>
        <v>5. Resultado Financeiro</v>
      </c>
      <c r="E2037" t="str">
        <f>VLOOKUP(B2037,Tabela_Auxiliar[],4,0)</f>
        <v>Despesa Financeira</v>
      </c>
      <c r="F2037" t="str">
        <f>VLOOKUP(B2037,Tabela_Auxiliar[],3,0)</f>
        <v>Saída</v>
      </c>
      <c r="G2037" t="str">
        <f>UPPER(TEXT(Tabela_DB[[#This Row],[DATA]],"mmm"))</f>
        <v>MAI</v>
      </c>
      <c r="H2037" t="str">
        <f>UPPER(TEXT(Tabela_DB[[#This Row],[DATA]],"aaaa"))</f>
        <v>2021</v>
      </c>
    </row>
    <row r="2038" spans="1:8" x14ac:dyDescent="0.25">
      <c r="A2038" s="2">
        <v>44324</v>
      </c>
      <c r="B2038" t="s">
        <v>84</v>
      </c>
      <c r="C2038">
        <v>-1607</v>
      </c>
      <c r="D2038" t="str">
        <f>VLOOKUP(B2038,Tabela_Auxiliar[],2,0)</f>
        <v>4. Despesas Operacionais</v>
      </c>
      <c r="E2038" t="str">
        <f>VLOOKUP(B2038,Tabela_Auxiliar[],4,0)</f>
        <v>Despesa com Veículos</v>
      </c>
      <c r="F2038" t="str">
        <f>VLOOKUP(B2038,Tabela_Auxiliar[],3,0)</f>
        <v>Saída</v>
      </c>
      <c r="G2038" t="str">
        <f>UPPER(TEXT(Tabela_DB[[#This Row],[DATA]],"mmm"))</f>
        <v>MAI</v>
      </c>
      <c r="H2038" t="str">
        <f>UPPER(TEXT(Tabela_DB[[#This Row],[DATA]],"aaaa"))</f>
        <v>2021</v>
      </c>
    </row>
    <row r="2039" spans="1:8" x14ac:dyDescent="0.25">
      <c r="A2039" s="2">
        <v>44324</v>
      </c>
      <c r="B2039" t="s">
        <v>49</v>
      </c>
      <c r="C2039">
        <v>-1792</v>
      </c>
      <c r="D2039" t="str">
        <f>VLOOKUP(B2039,Tabela_Auxiliar[],2,0)</f>
        <v>4. Despesas Operacionais</v>
      </c>
      <c r="E2039" t="str">
        <f>VLOOKUP(B2039,Tabela_Auxiliar[],4,0)</f>
        <v>Despesa com Pessoal</v>
      </c>
      <c r="F2039" t="str">
        <f>VLOOKUP(B2039,Tabela_Auxiliar[],3,0)</f>
        <v>Saída</v>
      </c>
      <c r="G2039" t="str">
        <f>UPPER(TEXT(Tabela_DB[[#This Row],[DATA]],"mmm"))</f>
        <v>MAI</v>
      </c>
      <c r="H2039" t="str">
        <f>UPPER(TEXT(Tabela_DB[[#This Row],[DATA]],"aaaa"))</f>
        <v>2021</v>
      </c>
    </row>
    <row r="2040" spans="1:8" x14ac:dyDescent="0.25">
      <c r="A2040" s="2">
        <v>44324</v>
      </c>
      <c r="B2040" t="s">
        <v>37</v>
      </c>
      <c r="C2040">
        <v>-3905</v>
      </c>
      <c r="D2040" t="str">
        <f>VLOOKUP(B2040,Tabela_Auxiliar[],2,0)</f>
        <v>3. Custos do Produto/Mercadoria/Serviço</v>
      </c>
      <c r="E2040" t="str">
        <f>VLOOKUP(B2040,Tabela_Auxiliar[],4,0)</f>
        <v>Despesas c/ Produto</v>
      </c>
      <c r="F2040" t="str">
        <f>VLOOKUP(B2040,Tabela_Auxiliar[],3,0)</f>
        <v>Saída</v>
      </c>
      <c r="G2040" t="str">
        <f>UPPER(TEXT(Tabela_DB[[#This Row],[DATA]],"mmm"))</f>
        <v>MAI</v>
      </c>
      <c r="H2040" t="str">
        <f>UPPER(TEXT(Tabela_DB[[#This Row],[DATA]],"aaaa"))</f>
        <v>2021</v>
      </c>
    </row>
    <row r="2041" spans="1:8" x14ac:dyDescent="0.25">
      <c r="A2041" s="2">
        <v>44324</v>
      </c>
      <c r="B2041" t="s">
        <v>66</v>
      </c>
      <c r="C2041">
        <v>-1426</v>
      </c>
      <c r="D2041" t="str">
        <f>VLOOKUP(B2041,Tabela_Auxiliar[],2,0)</f>
        <v>4. Despesas Operacionais</v>
      </c>
      <c r="E2041" t="str">
        <f>VLOOKUP(B2041,Tabela_Auxiliar[],4,0)</f>
        <v>Despesa com Vendas</v>
      </c>
      <c r="F2041" t="str">
        <f>VLOOKUP(B2041,Tabela_Auxiliar[],3,0)</f>
        <v>Saída</v>
      </c>
      <c r="G2041" t="str">
        <f>UPPER(TEXT(Tabela_DB[[#This Row],[DATA]],"mmm"))</f>
        <v>MAI</v>
      </c>
      <c r="H2041" t="str">
        <f>UPPER(TEXT(Tabela_DB[[#This Row],[DATA]],"aaaa"))</f>
        <v>2021</v>
      </c>
    </row>
    <row r="2042" spans="1:8" x14ac:dyDescent="0.25">
      <c r="A2042" s="2">
        <v>44324</v>
      </c>
      <c r="B2042" t="s">
        <v>86</v>
      </c>
      <c r="C2042">
        <v>-2070</v>
      </c>
      <c r="D2042" t="str">
        <f>VLOOKUP(B2042,Tabela_Auxiliar[],2,0)</f>
        <v>4. Despesas Operacionais</v>
      </c>
      <c r="E2042" t="str">
        <f>VLOOKUP(B2042,Tabela_Auxiliar[],4,0)</f>
        <v>Despesa com Veículos</v>
      </c>
      <c r="F2042" t="str">
        <f>VLOOKUP(B2042,Tabela_Auxiliar[],3,0)</f>
        <v>Saída</v>
      </c>
      <c r="G2042" t="str">
        <f>UPPER(TEXT(Tabela_DB[[#This Row],[DATA]],"mmm"))</f>
        <v>MAI</v>
      </c>
      <c r="H2042" t="str">
        <f>UPPER(TEXT(Tabela_DB[[#This Row],[DATA]],"aaaa"))</f>
        <v>2021</v>
      </c>
    </row>
    <row r="2043" spans="1:8" x14ac:dyDescent="0.25">
      <c r="A2043" s="2">
        <v>44324</v>
      </c>
      <c r="B2043" t="s">
        <v>53</v>
      </c>
      <c r="C2043">
        <v>-1374</v>
      </c>
      <c r="D2043" t="str">
        <f>VLOOKUP(B2043,Tabela_Auxiliar[],2,0)</f>
        <v>4. Despesas Operacionais</v>
      </c>
      <c r="E2043" t="str">
        <f>VLOOKUP(B2043,Tabela_Auxiliar[],4,0)</f>
        <v>Despesa com Pessoal</v>
      </c>
      <c r="F2043" t="str">
        <f>VLOOKUP(B2043,Tabela_Auxiliar[],3,0)</f>
        <v>Saída</v>
      </c>
      <c r="G2043" t="str">
        <f>UPPER(TEXT(Tabela_DB[[#This Row],[DATA]],"mmm"))</f>
        <v>MAI</v>
      </c>
      <c r="H2043" t="str">
        <f>UPPER(TEXT(Tabela_DB[[#This Row],[DATA]],"aaaa"))</f>
        <v>2021</v>
      </c>
    </row>
    <row r="2044" spans="1:8" x14ac:dyDescent="0.25">
      <c r="A2044" s="2">
        <v>44324</v>
      </c>
      <c r="B2044" t="s">
        <v>40</v>
      </c>
      <c r="C2044">
        <v>-2252</v>
      </c>
      <c r="D2044" t="str">
        <f>VLOOKUP(B2044,Tabela_Auxiliar[],2,0)</f>
        <v>4. Despesas Operacionais</v>
      </c>
      <c r="E2044" t="str">
        <f>VLOOKUP(B2044,Tabela_Auxiliar[],4,0)</f>
        <v>Despesa com Pessoal</v>
      </c>
      <c r="F2044" t="str">
        <f>VLOOKUP(B2044,Tabela_Auxiliar[],3,0)</f>
        <v>Saída</v>
      </c>
      <c r="G2044" t="str">
        <f>UPPER(TEXT(Tabela_DB[[#This Row],[DATA]],"mmm"))</f>
        <v>MAI</v>
      </c>
      <c r="H2044" t="str">
        <f>UPPER(TEXT(Tabela_DB[[#This Row],[DATA]],"aaaa"))</f>
        <v>2021</v>
      </c>
    </row>
    <row r="2045" spans="1:8" x14ac:dyDescent="0.25">
      <c r="A2045" s="2">
        <v>44324</v>
      </c>
      <c r="B2045" t="s">
        <v>3</v>
      </c>
      <c r="C2045">
        <v>12253</v>
      </c>
      <c r="D2045" t="str">
        <f>VLOOKUP(B2045,Tabela_Auxiliar[],2,0)</f>
        <v>1. Receita Operacional Bruta</v>
      </c>
      <c r="E2045" t="str">
        <f>VLOOKUP(B2045,Tabela_Auxiliar[],4,0)</f>
        <v>Receita Bruta</v>
      </c>
      <c r="F2045" t="str">
        <f>VLOOKUP(B2045,Tabela_Auxiliar[],3,0)</f>
        <v>Entrada</v>
      </c>
      <c r="G2045" t="str">
        <f>UPPER(TEXT(Tabela_DB[[#This Row],[DATA]],"mmm"))</f>
        <v>MAI</v>
      </c>
      <c r="H2045" t="str">
        <f>UPPER(TEXT(Tabela_DB[[#This Row],[DATA]],"aaaa"))</f>
        <v>2021</v>
      </c>
    </row>
    <row r="2046" spans="1:8" x14ac:dyDescent="0.25">
      <c r="A2046" s="2">
        <v>44324</v>
      </c>
      <c r="B2046" t="s">
        <v>111</v>
      </c>
      <c r="C2046">
        <v>-1226</v>
      </c>
      <c r="D2046" t="str">
        <f>VLOOKUP(B2046,Tabela_Auxiliar[],2,0)</f>
        <v>2. Deduções da Receita</v>
      </c>
      <c r="E2046" t="str">
        <f>VLOOKUP(B2046,Tabela_Auxiliar[],4,0)</f>
        <v>Imposto</v>
      </c>
      <c r="F2046" t="str">
        <f>VLOOKUP(B2046,Tabela_Auxiliar[],3,0)</f>
        <v>Saída</v>
      </c>
      <c r="G2046" t="str">
        <f>UPPER(TEXT(Tabela_DB[[#This Row],[DATA]],"mmm"))</f>
        <v>MAI</v>
      </c>
      <c r="H2046" t="str">
        <f>UPPER(TEXT(Tabela_DB[[#This Row],[DATA]],"aaaa"))</f>
        <v>2021</v>
      </c>
    </row>
    <row r="2047" spans="1:8" x14ac:dyDescent="0.25">
      <c r="A2047" s="2">
        <v>44324</v>
      </c>
      <c r="B2047" t="s">
        <v>111</v>
      </c>
      <c r="C2047">
        <v>-2068</v>
      </c>
      <c r="D2047" t="str">
        <f>VLOOKUP(B2047,Tabela_Auxiliar[],2,0)</f>
        <v>2. Deduções da Receita</v>
      </c>
      <c r="E2047" t="str">
        <f>VLOOKUP(B2047,Tabela_Auxiliar[],4,0)</f>
        <v>Imposto</v>
      </c>
      <c r="F2047" t="str">
        <f>VLOOKUP(B2047,Tabela_Auxiliar[],3,0)</f>
        <v>Saída</v>
      </c>
      <c r="G2047" t="str">
        <f>UPPER(TEXT(Tabela_DB[[#This Row],[DATA]],"mmm"))</f>
        <v>MAI</v>
      </c>
      <c r="H2047" t="str">
        <f>UPPER(TEXT(Tabela_DB[[#This Row],[DATA]],"aaaa"))</f>
        <v>2021</v>
      </c>
    </row>
    <row r="2048" spans="1:8" x14ac:dyDescent="0.25">
      <c r="A2048" s="2">
        <v>44324</v>
      </c>
      <c r="B2048" t="s">
        <v>64</v>
      </c>
      <c r="C2048">
        <v>-1236</v>
      </c>
      <c r="D2048" t="str">
        <f>VLOOKUP(B2048,Tabela_Auxiliar[],2,0)</f>
        <v>4. Despesas Operacionais</v>
      </c>
      <c r="E2048" t="str">
        <f>VLOOKUP(B2048,Tabela_Auxiliar[],4,0)</f>
        <v>Despesa Gerais</v>
      </c>
      <c r="F2048" t="str">
        <f>VLOOKUP(B2048,Tabela_Auxiliar[],3,0)</f>
        <v>Saída</v>
      </c>
      <c r="G2048" t="str">
        <f>UPPER(TEXT(Tabela_DB[[#This Row],[DATA]],"mmm"))</f>
        <v>MAI</v>
      </c>
      <c r="H2048" t="str">
        <f>UPPER(TEXT(Tabela_DB[[#This Row],[DATA]],"aaaa"))</f>
        <v>2021</v>
      </c>
    </row>
    <row r="2049" spans="1:8" x14ac:dyDescent="0.25">
      <c r="A2049" s="2">
        <v>44324</v>
      </c>
      <c r="B2049" t="s">
        <v>4</v>
      </c>
      <c r="C2049">
        <v>12621</v>
      </c>
      <c r="D2049" t="str">
        <f>VLOOKUP(B2049,Tabela_Auxiliar[],2,0)</f>
        <v>1. Receita Operacional Bruta</v>
      </c>
      <c r="E2049" t="str">
        <f>VLOOKUP(B2049,Tabela_Auxiliar[],4,0)</f>
        <v>Receita Bruta</v>
      </c>
      <c r="F2049" t="str">
        <f>VLOOKUP(B2049,Tabela_Auxiliar[],3,0)</f>
        <v>Entrada</v>
      </c>
      <c r="G2049" t="str">
        <f>UPPER(TEXT(Tabela_DB[[#This Row],[DATA]],"mmm"))</f>
        <v>MAI</v>
      </c>
      <c r="H2049" t="str">
        <f>UPPER(TEXT(Tabela_DB[[#This Row],[DATA]],"aaaa"))</f>
        <v>2021</v>
      </c>
    </row>
    <row r="2050" spans="1:8" x14ac:dyDescent="0.25">
      <c r="A2050" s="2">
        <v>44324</v>
      </c>
      <c r="B2050" t="s">
        <v>3</v>
      </c>
      <c r="C2050">
        <v>11379</v>
      </c>
      <c r="D2050" t="str">
        <f>VLOOKUP(B2050,Tabela_Auxiliar[],2,0)</f>
        <v>1. Receita Operacional Bruta</v>
      </c>
      <c r="E2050" t="str">
        <f>VLOOKUP(B2050,Tabela_Auxiliar[],4,0)</f>
        <v>Receita Bruta</v>
      </c>
      <c r="F2050" t="str">
        <f>VLOOKUP(B2050,Tabela_Auxiliar[],3,0)</f>
        <v>Entrada</v>
      </c>
      <c r="G2050" t="str">
        <f>UPPER(TEXT(Tabela_DB[[#This Row],[DATA]],"mmm"))</f>
        <v>MAI</v>
      </c>
      <c r="H2050" t="str">
        <f>UPPER(TEXT(Tabela_DB[[#This Row],[DATA]],"aaaa"))</f>
        <v>2021</v>
      </c>
    </row>
    <row r="2051" spans="1:8" x14ac:dyDescent="0.25">
      <c r="A2051" s="2">
        <v>44324</v>
      </c>
      <c r="B2051" t="s">
        <v>35</v>
      </c>
      <c r="C2051">
        <v>-1594</v>
      </c>
      <c r="D2051" t="str">
        <f>VLOOKUP(B2051,Tabela_Auxiliar[],2,0)</f>
        <v>2. Deduções da Receita</v>
      </c>
      <c r="E2051" t="str">
        <f>VLOOKUP(B2051,Tabela_Auxiliar[],4,0)</f>
        <v>Imposto</v>
      </c>
      <c r="F2051" t="str">
        <f>VLOOKUP(B2051,Tabela_Auxiliar[],3,0)</f>
        <v>Saída</v>
      </c>
      <c r="G2051" t="str">
        <f>UPPER(TEXT(Tabela_DB[[#This Row],[DATA]],"mmm"))</f>
        <v>MAI</v>
      </c>
      <c r="H2051" t="str">
        <f>UPPER(TEXT(Tabela_DB[[#This Row],[DATA]],"aaaa"))</f>
        <v>2021</v>
      </c>
    </row>
    <row r="2052" spans="1:8" x14ac:dyDescent="0.25">
      <c r="A2052" s="2">
        <v>44325</v>
      </c>
      <c r="B2052" t="s">
        <v>111</v>
      </c>
      <c r="C2052">
        <v>-1626</v>
      </c>
      <c r="D2052" t="str">
        <f>VLOOKUP(B2052,Tabela_Auxiliar[],2,0)</f>
        <v>2. Deduções da Receita</v>
      </c>
      <c r="E2052" t="str">
        <f>VLOOKUP(B2052,Tabela_Auxiliar[],4,0)</f>
        <v>Imposto</v>
      </c>
      <c r="F2052" t="str">
        <f>VLOOKUP(B2052,Tabela_Auxiliar[],3,0)</f>
        <v>Saída</v>
      </c>
      <c r="G2052" t="str">
        <f>UPPER(TEXT(Tabela_DB[[#This Row],[DATA]],"mmm"))</f>
        <v>MAI</v>
      </c>
      <c r="H2052" t="str">
        <f>UPPER(TEXT(Tabela_DB[[#This Row],[DATA]],"aaaa"))</f>
        <v>2021</v>
      </c>
    </row>
    <row r="2053" spans="1:8" x14ac:dyDescent="0.25">
      <c r="A2053" s="2">
        <v>44325</v>
      </c>
      <c r="B2053" t="s">
        <v>35</v>
      </c>
      <c r="C2053">
        <v>-1126</v>
      </c>
      <c r="D2053" t="str">
        <f>VLOOKUP(B2053,Tabela_Auxiliar[],2,0)</f>
        <v>2. Deduções da Receita</v>
      </c>
      <c r="E2053" t="str">
        <f>VLOOKUP(B2053,Tabela_Auxiliar[],4,0)</f>
        <v>Imposto</v>
      </c>
      <c r="F2053" t="str">
        <f>VLOOKUP(B2053,Tabela_Auxiliar[],3,0)</f>
        <v>Saída</v>
      </c>
      <c r="G2053" t="str">
        <f>UPPER(TEXT(Tabela_DB[[#This Row],[DATA]],"mmm"))</f>
        <v>MAI</v>
      </c>
      <c r="H2053" t="str">
        <f>UPPER(TEXT(Tabela_DB[[#This Row],[DATA]],"aaaa"))</f>
        <v>2021</v>
      </c>
    </row>
    <row r="2054" spans="1:8" x14ac:dyDescent="0.25">
      <c r="A2054" s="2">
        <v>44325</v>
      </c>
      <c r="B2054" t="s">
        <v>35</v>
      </c>
      <c r="C2054">
        <v>-1512</v>
      </c>
      <c r="D2054" t="str">
        <f>VLOOKUP(B2054,Tabela_Auxiliar[],2,0)</f>
        <v>2. Deduções da Receita</v>
      </c>
      <c r="E2054" t="str">
        <f>VLOOKUP(B2054,Tabela_Auxiliar[],4,0)</f>
        <v>Imposto</v>
      </c>
      <c r="F2054" t="str">
        <f>VLOOKUP(B2054,Tabela_Auxiliar[],3,0)</f>
        <v>Saída</v>
      </c>
      <c r="G2054" t="str">
        <f>UPPER(TEXT(Tabela_DB[[#This Row],[DATA]],"mmm"))</f>
        <v>MAI</v>
      </c>
      <c r="H2054" t="str">
        <f>UPPER(TEXT(Tabela_DB[[#This Row],[DATA]],"aaaa"))</f>
        <v>2021</v>
      </c>
    </row>
    <row r="2055" spans="1:8" x14ac:dyDescent="0.25">
      <c r="A2055" s="2">
        <v>44325</v>
      </c>
      <c r="B2055" t="s">
        <v>4</v>
      </c>
      <c r="C2055">
        <v>14654</v>
      </c>
      <c r="D2055" t="str">
        <f>VLOOKUP(B2055,Tabela_Auxiliar[],2,0)</f>
        <v>1. Receita Operacional Bruta</v>
      </c>
      <c r="E2055" t="str">
        <f>VLOOKUP(B2055,Tabela_Auxiliar[],4,0)</f>
        <v>Receita Bruta</v>
      </c>
      <c r="F2055" t="str">
        <f>VLOOKUP(B2055,Tabela_Auxiliar[],3,0)</f>
        <v>Entrada</v>
      </c>
      <c r="G2055" t="str">
        <f>UPPER(TEXT(Tabela_DB[[#This Row],[DATA]],"mmm"))</f>
        <v>MAI</v>
      </c>
      <c r="H2055" t="str">
        <f>UPPER(TEXT(Tabela_DB[[#This Row],[DATA]],"aaaa"))</f>
        <v>2021</v>
      </c>
    </row>
    <row r="2056" spans="1:8" x14ac:dyDescent="0.25">
      <c r="A2056" s="2">
        <v>44325</v>
      </c>
      <c r="B2056" t="s">
        <v>56</v>
      </c>
      <c r="C2056">
        <v>-1502</v>
      </c>
      <c r="D2056" t="str">
        <f>VLOOKUP(B2056,Tabela_Auxiliar[],2,0)</f>
        <v>4. Despesas Operacionais</v>
      </c>
      <c r="E2056" t="str">
        <f>VLOOKUP(B2056,Tabela_Auxiliar[],4,0)</f>
        <v>Despesa com Pessoal</v>
      </c>
      <c r="F2056" t="str">
        <f>VLOOKUP(B2056,Tabela_Auxiliar[],3,0)</f>
        <v>Saída</v>
      </c>
      <c r="G2056" t="str">
        <f>UPPER(TEXT(Tabela_DB[[#This Row],[DATA]],"mmm"))</f>
        <v>MAI</v>
      </c>
      <c r="H2056" t="str">
        <f>UPPER(TEXT(Tabela_DB[[#This Row],[DATA]],"aaaa"))</f>
        <v>2021</v>
      </c>
    </row>
    <row r="2057" spans="1:8" x14ac:dyDescent="0.25">
      <c r="A2057" s="2">
        <v>44325</v>
      </c>
      <c r="B2057" t="s">
        <v>82</v>
      </c>
      <c r="C2057">
        <v>-1332</v>
      </c>
      <c r="D2057" t="str">
        <f>VLOOKUP(B2057,Tabela_Auxiliar[],2,0)</f>
        <v>4. Despesas Operacionais</v>
      </c>
      <c r="E2057" t="str">
        <f>VLOOKUP(B2057,Tabela_Auxiliar[],4,0)</f>
        <v>Despesa com Veículos</v>
      </c>
      <c r="F2057" t="str">
        <f>VLOOKUP(B2057,Tabela_Auxiliar[],3,0)</f>
        <v>Saída</v>
      </c>
      <c r="G2057" t="str">
        <f>UPPER(TEXT(Tabela_DB[[#This Row],[DATA]],"mmm"))</f>
        <v>MAI</v>
      </c>
      <c r="H2057" t="str">
        <f>UPPER(TEXT(Tabela_DB[[#This Row],[DATA]],"aaaa"))</f>
        <v>2021</v>
      </c>
    </row>
    <row r="2058" spans="1:8" x14ac:dyDescent="0.25">
      <c r="A2058" s="2">
        <v>44325</v>
      </c>
      <c r="B2058" t="s">
        <v>4</v>
      </c>
      <c r="C2058">
        <v>13078</v>
      </c>
      <c r="D2058" t="str">
        <f>VLOOKUP(B2058,Tabela_Auxiliar[],2,0)</f>
        <v>1. Receita Operacional Bruta</v>
      </c>
      <c r="E2058" t="str">
        <f>VLOOKUP(B2058,Tabela_Auxiliar[],4,0)</f>
        <v>Receita Bruta</v>
      </c>
      <c r="F2058" t="str">
        <f>VLOOKUP(B2058,Tabela_Auxiliar[],3,0)</f>
        <v>Entrada</v>
      </c>
      <c r="G2058" t="str">
        <f>UPPER(TEXT(Tabela_DB[[#This Row],[DATA]],"mmm"))</f>
        <v>MAI</v>
      </c>
      <c r="H2058" t="str">
        <f>UPPER(TEXT(Tabela_DB[[#This Row],[DATA]],"aaaa"))</f>
        <v>2021</v>
      </c>
    </row>
    <row r="2059" spans="1:8" x14ac:dyDescent="0.25">
      <c r="A2059" s="2">
        <v>44325</v>
      </c>
      <c r="B2059" t="s">
        <v>69</v>
      </c>
      <c r="C2059">
        <v>-1454</v>
      </c>
      <c r="D2059" t="str">
        <f>VLOOKUP(B2059,Tabela_Auxiliar[],2,0)</f>
        <v>4. Despesas Operacionais</v>
      </c>
      <c r="E2059" t="str">
        <f>VLOOKUP(B2059,Tabela_Auxiliar[],4,0)</f>
        <v>Despesa com Ocupação</v>
      </c>
      <c r="F2059" t="str">
        <f>VLOOKUP(B2059,Tabela_Auxiliar[],3,0)</f>
        <v>Saída</v>
      </c>
      <c r="G2059" t="str">
        <f>UPPER(TEXT(Tabela_DB[[#This Row],[DATA]],"mmm"))</f>
        <v>MAI</v>
      </c>
      <c r="H2059" t="str">
        <f>UPPER(TEXT(Tabela_DB[[#This Row],[DATA]],"aaaa"))</f>
        <v>2021</v>
      </c>
    </row>
    <row r="2060" spans="1:8" x14ac:dyDescent="0.25">
      <c r="A2060" s="2">
        <v>44325</v>
      </c>
      <c r="B2060" t="s">
        <v>75</v>
      </c>
      <c r="C2060">
        <v>-1837</v>
      </c>
      <c r="D2060" t="str">
        <f>VLOOKUP(B2060,Tabela_Auxiliar[],2,0)</f>
        <v>4. Despesas Operacionais</v>
      </c>
      <c r="E2060" t="str">
        <f>VLOOKUP(B2060,Tabela_Auxiliar[],4,0)</f>
        <v>Serviços Contratados</v>
      </c>
      <c r="F2060" t="str">
        <f>VLOOKUP(B2060,Tabela_Auxiliar[],3,0)</f>
        <v>Saída</v>
      </c>
      <c r="G2060" t="str">
        <f>UPPER(TEXT(Tabela_DB[[#This Row],[DATA]],"mmm"))</f>
        <v>MAI</v>
      </c>
      <c r="H2060" t="str">
        <f>UPPER(TEXT(Tabela_DB[[#This Row],[DATA]],"aaaa"))</f>
        <v>2021</v>
      </c>
    </row>
    <row r="2061" spans="1:8" x14ac:dyDescent="0.25">
      <c r="A2061" s="2">
        <v>44325</v>
      </c>
      <c r="B2061" t="s">
        <v>34</v>
      </c>
      <c r="C2061">
        <v>-1490</v>
      </c>
      <c r="D2061" t="str">
        <f>VLOOKUP(B2061,Tabela_Auxiliar[],2,0)</f>
        <v>2. Deduções da Receita</v>
      </c>
      <c r="E2061" t="str">
        <f>VLOOKUP(B2061,Tabela_Auxiliar[],4,0)</f>
        <v>Imposto</v>
      </c>
      <c r="F2061" t="str">
        <f>VLOOKUP(B2061,Tabela_Auxiliar[],3,0)</f>
        <v>Saída</v>
      </c>
      <c r="G2061" t="str">
        <f>UPPER(TEXT(Tabela_DB[[#This Row],[DATA]],"mmm"))</f>
        <v>MAI</v>
      </c>
      <c r="H2061" t="str">
        <f>UPPER(TEXT(Tabela_DB[[#This Row],[DATA]],"aaaa"))</f>
        <v>2021</v>
      </c>
    </row>
    <row r="2062" spans="1:8" x14ac:dyDescent="0.25">
      <c r="A2062" s="2">
        <v>44325</v>
      </c>
      <c r="B2062" t="s">
        <v>74</v>
      </c>
      <c r="C2062">
        <v>-1533</v>
      </c>
      <c r="D2062" t="str">
        <f>VLOOKUP(B2062,Tabela_Auxiliar[],2,0)</f>
        <v>4. Despesas Operacionais</v>
      </c>
      <c r="E2062" t="str">
        <f>VLOOKUP(B2062,Tabela_Auxiliar[],4,0)</f>
        <v>Serviços Contratados</v>
      </c>
      <c r="F2062" t="str">
        <f>VLOOKUP(B2062,Tabela_Auxiliar[],3,0)</f>
        <v>Saída</v>
      </c>
      <c r="G2062" t="str">
        <f>UPPER(TEXT(Tabela_DB[[#This Row],[DATA]],"mmm"))</f>
        <v>MAI</v>
      </c>
      <c r="H2062" t="str">
        <f>UPPER(TEXT(Tabela_DB[[#This Row],[DATA]],"aaaa"))</f>
        <v>2021</v>
      </c>
    </row>
    <row r="2063" spans="1:8" x14ac:dyDescent="0.25">
      <c r="A2063" s="2">
        <v>44325</v>
      </c>
      <c r="B2063" t="s">
        <v>63</v>
      </c>
      <c r="C2063">
        <v>-1617</v>
      </c>
      <c r="D2063" t="str">
        <f>VLOOKUP(B2063,Tabela_Auxiliar[],2,0)</f>
        <v>4. Despesas Operacionais</v>
      </c>
      <c r="E2063" t="str">
        <f>VLOOKUP(B2063,Tabela_Auxiliar[],4,0)</f>
        <v>Despesa Gerais</v>
      </c>
      <c r="F2063" t="str">
        <f>VLOOKUP(B2063,Tabela_Auxiliar[],3,0)</f>
        <v>Saída</v>
      </c>
      <c r="G2063" t="str">
        <f>UPPER(TEXT(Tabela_DB[[#This Row],[DATA]],"mmm"))</f>
        <v>MAI</v>
      </c>
      <c r="H2063" t="str">
        <f>UPPER(TEXT(Tabela_DB[[#This Row],[DATA]],"aaaa"))</f>
        <v>2021</v>
      </c>
    </row>
    <row r="2064" spans="1:8" x14ac:dyDescent="0.25">
      <c r="A2064" s="2">
        <v>44326</v>
      </c>
      <c r="B2064" t="s">
        <v>88</v>
      </c>
      <c r="C2064">
        <v>-2074</v>
      </c>
      <c r="D2064" t="str">
        <f>VLOOKUP(B2064,Tabela_Auxiliar[],2,0)</f>
        <v>4. Despesas Operacionais</v>
      </c>
      <c r="E2064" t="str">
        <f>VLOOKUP(B2064,Tabela_Auxiliar[],4,0)</f>
        <v>Despesa Tributária</v>
      </c>
      <c r="F2064" t="str">
        <f>VLOOKUP(B2064,Tabela_Auxiliar[],3,0)</f>
        <v>Saída</v>
      </c>
      <c r="G2064" t="str">
        <f>UPPER(TEXT(Tabela_DB[[#This Row],[DATA]],"mmm"))</f>
        <v>MAI</v>
      </c>
      <c r="H2064" t="str">
        <f>UPPER(TEXT(Tabela_DB[[#This Row],[DATA]],"aaaa"))</f>
        <v>2021</v>
      </c>
    </row>
    <row r="2065" spans="1:8" x14ac:dyDescent="0.25">
      <c r="A2065" s="2">
        <v>44326</v>
      </c>
      <c r="B2065" t="s">
        <v>38</v>
      </c>
      <c r="C2065">
        <v>-2277</v>
      </c>
      <c r="D2065" t="str">
        <f>VLOOKUP(B2065,Tabela_Auxiliar[],2,0)</f>
        <v>2. Deduções da Receita</v>
      </c>
      <c r="E2065" t="str">
        <f>VLOOKUP(B2065,Tabela_Auxiliar[],4,0)</f>
        <v>Deduções</v>
      </c>
      <c r="F2065" t="str">
        <f>VLOOKUP(B2065,Tabela_Auxiliar[],3,0)</f>
        <v>Saída</v>
      </c>
      <c r="G2065" t="str">
        <f>UPPER(TEXT(Tabela_DB[[#This Row],[DATA]],"mmm"))</f>
        <v>MAI</v>
      </c>
      <c r="H2065" t="str">
        <f>UPPER(TEXT(Tabela_DB[[#This Row],[DATA]],"aaaa"))</f>
        <v>2021</v>
      </c>
    </row>
    <row r="2066" spans="1:8" x14ac:dyDescent="0.25">
      <c r="A2066" s="2">
        <v>44326</v>
      </c>
      <c r="B2066" t="s">
        <v>80</v>
      </c>
      <c r="C2066">
        <v>-2279</v>
      </c>
      <c r="D2066" t="str">
        <f>VLOOKUP(B2066,Tabela_Auxiliar[],2,0)</f>
        <v>4. Despesas Operacionais</v>
      </c>
      <c r="E2066" t="str">
        <f>VLOOKUP(B2066,Tabela_Auxiliar[],4,0)</f>
        <v>Serviços Contratados</v>
      </c>
      <c r="F2066" t="str">
        <f>VLOOKUP(B2066,Tabela_Auxiliar[],3,0)</f>
        <v>Saída</v>
      </c>
      <c r="G2066" t="str">
        <f>UPPER(TEXT(Tabela_DB[[#This Row],[DATA]],"mmm"))</f>
        <v>MAI</v>
      </c>
      <c r="H2066" t="str">
        <f>UPPER(TEXT(Tabela_DB[[#This Row],[DATA]],"aaaa"))</f>
        <v>2021</v>
      </c>
    </row>
    <row r="2067" spans="1:8" x14ac:dyDescent="0.25">
      <c r="A2067" s="2">
        <v>44326</v>
      </c>
      <c r="B2067" t="s">
        <v>4</v>
      </c>
      <c r="C2067">
        <v>14687</v>
      </c>
      <c r="D2067" t="str">
        <f>VLOOKUP(B2067,Tabela_Auxiliar[],2,0)</f>
        <v>1. Receita Operacional Bruta</v>
      </c>
      <c r="E2067" t="str">
        <f>VLOOKUP(B2067,Tabela_Auxiliar[],4,0)</f>
        <v>Receita Bruta</v>
      </c>
      <c r="F2067" t="str">
        <f>VLOOKUP(B2067,Tabela_Auxiliar[],3,0)</f>
        <v>Entrada</v>
      </c>
      <c r="G2067" t="str">
        <f>UPPER(TEXT(Tabela_DB[[#This Row],[DATA]],"mmm"))</f>
        <v>MAI</v>
      </c>
      <c r="H2067" t="str">
        <f>UPPER(TEXT(Tabela_DB[[#This Row],[DATA]],"aaaa"))</f>
        <v>2021</v>
      </c>
    </row>
    <row r="2068" spans="1:8" x14ac:dyDescent="0.25">
      <c r="A2068" s="2">
        <v>44326</v>
      </c>
      <c r="B2068" t="s">
        <v>111</v>
      </c>
      <c r="C2068">
        <v>-2300</v>
      </c>
      <c r="D2068" t="str">
        <f>VLOOKUP(B2068,Tabela_Auxiliar[],2,0)</f>
        <v>2. Deduções da Receita</v>
      </c>
      <c r="E2068" t="str">
        <f>VLOOKUP(B2068,Tabela_Auxiliar[],4,0)</f>
        <v>Imposto</v>
      </c>
      <c r="F2068" t="str">
        <f>VLOOKUP(B2068,Tabela_Auxiliar[],3,0)</f>
        <v>Saída</v>
      </c>
      <c r="G2068" t="str">
        <f>UPPER(TEXT(Tabela_DB[[#This Row],[DATA]],"mmm"))</f>
        <v>MAI</v>
      </c>
      <c r="H2068" t="str">
        <f>UPPER(TEXT(Tabela_DB[[#This Row],[DATA]],"aaaa"))</f>
        <v>2021</v>
      </c>
    </row>
    <row r="2069" spans="1:8" x14ac:dyDescent="0.25">
      <c r="A2069" s="2">
        <v>44326</v>
      </c>
      <c r="B2069" t="s">
        <v>3</v>
      </c>
      <c r="C2069">
        <v>12900</v>
      </c>
      <c r="D2069" t="str">
        <f>VLOOKUP(B2069,Tabela_Auxiliar[],2,0)</f>
        <v>1. Receita Operacional Bruta</v>
      </c>
      <c r="E2069" t="str">
        <f>VLOOKUP(B2069,Tabela_Auxiliar[],4,0)</f>
        <v>Receita Bruta</v>
      </c>
      <c r="F2069" t="str">
        <f>VLOOKUP(B2069,Tabela_Auxiliar[],3,0)</f>
        <v>Entrada</v>
      </c>
      <c r="G2069" t="str">
        <f>UPPER(TEXT(Tabela_DB[[#This Row],[DATA]],"mmm"))</f>
        <v>MAI</v>
      </c>
      <c r="H2069" t="str">
        <f>UPPER(TEXT(Tabela_DB[[#This Row],[DATA]],"aaaa"))</f>
        <v>2021</v>
      </c>
    </row>
    <row r="2070" spans="1:8" x14ac:dyDescent="0.25">
      <c r="A2070" s="2">
        <v>44326</v>
      </c>
      <c r="B2070" t="s">
        <v>111</v>
      </c>
      <c r="C2070">
        <v>-1470</v>
      </c>
      <c r="D2070" t="str">
        <f>VLOOKUP(B2070,Tabela_Auxiliar[],2,0)</f>
        <v>2. Deduções da Receita</v>
      </c>
      <c r="E2070" t="str">
        <f>VLOOKUP(B2070,Tabela_Auxiliar[],4,0)</f>
        <v>Imposto</v>
      </c>
      <c r="F2070" t="str">
        <f>VLOOKUP(B2070,Tabela_Auxiliar[],3,0)</f>
        <v>Saída</v>
      </c>
      <c r="G2070" t="str">
        <f>UPPER(TEXT(Tabela_DB[[#This Row],[DATA]],"mmm"))</f>
        <v>MAI</v>
      </c>
      <c r="H2070" t="str">
        <f>UPPER(TEXT(Tabela_DB[[#This Row],[DATA]],"aaaa"))</f>
        <v>2021</v>
      </c>
    </row>
    <row r="2071" spans="1:8" x14ac:dyDescent="0.25">
      <c r="A2071" s="2">
        <v>44326</v>
      </c>
      <c r="B2071" t="s">
        <v>3</v>
      </c>
      <c r="C2071">
        <v>11923</v>
      </c>
      <c r="D2071" t="str">
        <f>VLOOKUP(B2071,Tabela_Auxiliar[],2,0)</f>
        <v>1. Receita Operacional Bruta</v>
      </c>
      <c r="E2071" t="str">
        <f>VLOOKUP(B2071,Tabela_Auxiliar[],4,0)</f>
        <v>Receita Bruta</v>
      </c>
      <c r="F2071" t="str">
        <f>VLOOKUP(B2071,Tabela_Auxiliar[],3,0)</f>
        <v>Entrada</v>
      </c>
      <c r="G2071" t="str">
        <f>UPPER(TEXT(Tabela_DB[[#This Row],[DATA]],"mmm"))</f>
        <v>MAI</v>
      </c>
      <c r="H2071" t="str">
        <f>UPPER(TEXT(Tabela_DB[[#This Row],[DATA]],"aaaa"))</f>
        <v>2021</v>
      </c>
    </row>
    <row r="2072" spans="1:8" x14ac:dyDescent="0.25">
      <c r="A2072" s="2">
        <v>44326</v>
      </c>
      <c r="B2072" t="s">
        <v>3</v>
      </c>
      <c r="C2072">
        <v>11490</v>
      </c>
      <c r="D2072" t="str">
        <f>VLOOKUP(B2072,Tabela_Auxiliar[],2,0)</f>
        <v>1. Receita Operacional Bruta</v>
      </c>
      <c r="E2072" t="str">
        <f>VLOOKUP(B2072,Tabela_Auxiliar[],4,0)</f>
        <v>Receita Bruta</v>
      </c>
      <c r="F2072" t="str">
        <f>VLOOKUP(B2072,Tabela_Auxiliar[],3,0)</f>
        <v>Entrada</v>
      </c>
      <c r="G2072" t="str">
        <f>UPPER(TEXT(Tabela_DB[[#This Row],[DATA]],"mmm"))</f>
        <v>MAI</v>
      </c>
      <c r="H2072" t="str">
        <f>UPPER(TEXT(Tabela_DB[[#This Row],[DATA]],"aaaa"))</f>
        <v>2021</v>
      </c>
    </row>
    <row r="2073" spans="1:8" x14ac:dyDescent="0.25">
      <c r="A2073" s="2">
        <v>44326</v>
      </c>
      <c r="B2073" t="s">
        <v>62</v>
      </c>
      <c r="C2073">
        <v>-2419</v>
      </c>
      <c r="D2073" t="str">
        <f>VLOOKUP(B2073,Tabela_Auxiliar[],2,0)</f>
        <v>4. Despesas Operacionais</v>
      </c>
      <c r="E2073" t="str">
        <f>VLOOKUP(B2073,Tabela_Auxiliar[],4,0)</f>
        <v>Despesa Gerais</v>
      </c>
      <c r="F2073" t="str">
        <f>VLOOKUP(B2073,Tabela_Auxiliar[],3,0)</f>
        <v>Saída</v>
      </c>
      <c r="G2073" t="str">
        <f>UPPER(TEXT(Tabela_DB[[#This Row],[DATA]],"mmm"))</f>
        <v>MAI</v>
      </c>
      <c r="H2073" t="str">
        <f>UPPER(TEXT(Tabela_DB[[#This Row],[DATA]],"aaaa"))</f>
        <v>2021</v>
      </c>
    </row>
    <row r="2074" spans="1:8" x14ac:dyDescent="0.25">
      <c r="A2074" s="2">
        <v>44326</v>
      </c>
      <c r="B2074" t="s">
        <v>4</v>
      </c>
      <c r="C2074">
        <v>13812</v>
      </c>
      <c r="D2074" t="str">
        <f>VLOOKUP(B2074,Tabela_Auxiliar[],2,0)</f>
        <v>1. Receita Operacional Bruta</v>
      </c>
      <c r="E2074" t="str">
        <f>VLOOKUP(B2074,Tabela_Auxiliar[],4,0)</f>
        <v>Receita Bruta</v>
      </c>
      <c r="F2074" t="str">
        <f>VLOOKUP(B2074,Tabela_Auxiliar[],3,0)</f>
        <v>Entrada</v>
      </c>
      <c r="G2074" t="str">
        <f>UPPER(TEXT(Tabela_DB[[#This Row],[DATA]],"mmm"))</f>
        <v>MAI</v>
      </c>
      <c r="H2074" t="str">
        <f>UPPER(TEXT(Tabela_DB[[#This Row],[DATA]],"aaaa"))</f>
        <v>2021</v>
      </c>
    </row>
    <row r="2075" spans="1:8" x14ac:dyDescent="0.25">
      <c r="A2075" s="2">
        <v>44326</v>
      </c>
      <c r="B2075" t="s">
        <v>68</v>
      </c>
      <c r="C2075">
        <v>-1537</v>
      </c>
      <c r="D2075" t="str">
        <f>VLOOKUP(B2075,Tabela_Auxiliar[],2,0)</f>
        <v>4. Despesas Operacionais</v>
      </c>
      <c r="E2075" t="str">
        <f>VLOOKUP(B2075,Tabela_Auxiliar[],4,0)</f>
        <v>Despesa com Ocupação</v>
      </c>
      <c r="F2075" t="str">
        <f>VLOOKUP(B2075,Tabela_Auxiliar[],3,0)</f>
        <v>Saída</v>
      </c>
      <c r="G2075" t="str">
        <f>UPPER(TEXT(Tabela_DB[[#This Row],[DATA]],"mmm"))</f>
        <v>MAI</v>
      </c>
      <c r="H2075" t="str">
        <f>UPPER(TEXT(Tabela_DB[[#This Row],[DATA]],"aaaa"))</f>
        <v>2021</v>
      </c>
    </row>
    <row r="2076" spans="1:8" x14ac:dyDescent="0.25">
      <c r="A2076" s="2">
        <v>44326</v>
      </c>
      <c r="B2076" t="s">
        <v>56</v>
      </c>
      <c r="C2076">
        <v>-1017</v>
      </c>
      <c r="D2076" t="str">
        <f>VLOOKUP(B2076,Tabela_Auxiliar[],2,0)</f>
        <v>4. Despesas Operacionais</v>
      </c>
      <c r="E2076" t="str">
        <f>VLOOKUP(B2076,Tabela_Auxiliar[],4,0)</f>
        <v>Despesa com Pessoal</v>
      </c>
      <c r="F2076" t="str">
        <f>VLOOKUP(B2076,Tabela_Auxiliar[],3,0)</f>
        <v>Saída</v>
      </c>
      <c r="G2076" t="str">
        <f>UPPER(TEXT(Tabela_DB[[#This Row],[DATA]],"mmm"))</f>
        <v>MAI</v>
      </c>
      <c r="H2076" t="str">
        <f>UPPER(TEXT(Tabela_DB[[#This Row],[DATA]],"aaaa"))</f>
        <v>2021</v>
      </c>
    </row>
    <row r="2077" spans="1:8" x14ac:dyDescent="0.25">
      <c r="A2077" s="2">
        <v>44326</v>
      </c>
      <c r="B2077" t="s">
        <v>35</v>
      </c>
      <c r="C2077">
        <v>-1215</v>
      </c>
      <c r="D2077" t="str">
        <f>VLOOKUP(B2077,Tabela_Auxiliar[],2,0)</f>
        <v>2. Deduções da Receita</v>
      </c>
      <c r="E2077" t="str">
        <f>VLOOKUP(B2077,Tabela_Auxiliar[],4,0)</f>
        <v>Imposto</v>
      </c>
      <c r="F2077" t="str">
        <f>VLOOKUP(B2077,Tabela_Auxiliar[],3,0)</f>
        <v>Saída</v>
      </c>
      <c r="G2077" t="str">
        <f>UPPER(TEXT(Tabela_DB[[#This Row],[DATA]],"mmm"))</f>
        <v>MAI</v>
      </c>
      <c r="H2077" t="str">
        <f>UPPER(TEXT(Tabela_DB[[#This Row],[DATA]],"aaaa"))</f>
        <v>2021</v>
      </c>
    </row>
    <row r="2078" spans="1:8" x14ac:dyDescent="0.25">
      <c r="A2078" s="2">
        <v>44327</v>
      </c>
      <c r="B2078" t="s">
        <v>35</v>
      </c>
      <c r="C2078">
        <v>-1890</v>
      </c>
      <c r="D2078" t="str">
        <f>VLOOKUP(B2078,Tabela_Auxiliar[],2,0)</f>
        <v>2. Deduções da Receita</v>
      </c>
      <c r="E2078" t="str">
        <f>VLOOKUP(B2078,Tabela_Auxiliar[],4,0)</f>
        <v>Imposto</v>
      </c>
      <c r="F2078" t="str">
        <f>VLOOKUP(B2078,Tabela_Auxiliar[],3,0)</f>
        <v>Saída</v>
      </c>
      <c r="G2078" t="str">
        <f>UPPER(TEXT(Tabela_DB[[#This Row],[DATA]],"mmm"))</f>
        <v>MAI</v>
      </c>
      <c r="H2078" t="str">
        <f>UPPER(TEXT(Tabela_DB[[#This Row],[DATA]],"aaaa"))</f>
        <v>2021</v>
      </c>
    </row>
    <row r="2079" spans="1:8" x14ac:dyDescent="0.25">
      <c r="A2079" s="2">
        <v>44327</v>
      </c>
      <c r="B2079" t="s">
        <v>35</v>
      </c>
      <c r="C2079">
        <v>-1946</v>
      </c>
      <c r="D2079" t="str">
        <f>VLOOKUP(B2079,Tabela_Auxiliar[],2,0)</f>
        <v>2. Deduções da Receita</v>
      </c>
      <c r="E2079" t="str">
        <f>VLOOKUP(B2079,Tabela_Auxiliar[],4,0)</f>
        <v>Imposto</v>
      </c>
      <c r="F2079" t="str">
        <f>VLOOKUP(B2079,Tabela_Auxiliar[],3,0)</f>
        <v>Saída</v>
      </c>
      <c r="G2079" t="str">
        <f>UPPER(TEXT(Tabela_DB[[#This Row],[DATA]],"mmm"))</f>
        <v>MAI</v>
      </c>
      <c r="H2079" t="str">
        <f>UPPER(TEXT(Tabela_DB[[#This Row],[DATA]],"aaaa"))</f>
        <v>2021</v>
      </c>
    </row>
    <row r="2080" spans="1:8" x14ac:dyDescent="0.25">
      <c r="A2080" s="2">
        <v>44327</v>
      </c>
      <c r="B2080" t="s">
        <v>38</v>
      </c>
      <c r="C2080">
        <v>-1091</v>
      </c>
      <c r="D2080" t="str">
        <f>VLOOKUP(B2080,Tabela_Auxiliar[],2,0)</f>
        <v>2. Deduções da Receita</v>
      </c>
      <c r="E2080" t="str">
        <f>VLOOKUP(B2080,Tabela_Auxiliar[],4,0)</f>
        <v>Deduções</v>
      </c>
      <c r="F2080" t="str">
        <f>VLOOKUP(B2080,Tabela_Auxiliar[],3,0)</f>
        <v>Saída</v>
      </c>
      <c r="G2080" t="str">
        <f>UPPER(TEXT(Tabela_DB[[#This Row],[DATA]],"mmm"))</f>
        <v>MAI</v>
      </c>
      <c r="H2080" t="str">
        <f>UPPER(TEXT(Tabela_DB[[#This Row],[DATA]],"aaaa"))</f>
        <v>2021</v>
      </c>
    </row>
    <row r="2081" spans="1:8" x14ac:dyDescent="0.25">
      <c r="A2081" s="2">
        <v>44327</v>
      </c>
      <c r="B2081" t="s">
        <v>38</v>
      </c>
      <c r="C2081">
        <v>-1507</v>
      </c>
      <c r="D2081" t="str">
        <f>VLOOKUP(B2081,Tabela_Auxiliar[],2,0)</f>
        <v>2. Deduções da Receita</v>
      </c>
      <c r="E2081" t="str">
        <f>VLOOKUP(B2081,Tabela_Auxiliar[],4,0)</f>
        <v>Deduções</v>
      </c>
      <c r="F2081" t="str">
        <f>VLOOKUP(B2081,Tabela_Auxiliar[],3,0)</f>
        <v>Saída</v>
      </c>
      <c r="G2081" t="str">
        <f>UPPER(TEXT(Tabela_DB[[#This Row],[DATA]],"mmm"))</f>
        <v>MAI</v>
      </c>
      <c r="H2081" t="str">
        <f>UPPER(TEXT(Tabela_DB[[#This Row],[DATA]],"aaaa"))</f>
        <v>2021</v>
      </c>
    </row>
    <row r="2082" spans="1:8" x14ac:dyDescent="0.25">
      <c r="A2082" s="2">
        <v>44327</v>
      </c>
      <c r="B2082" t="s">
        <v>4</v>
      </c>
      <c r="C2082">
        <v>12910</v>
      </c>
      <c r="D2082" t="str">
        <f>VLOOKUP(B2082,Tabela_Auxiliar[],2,0)</f>
        <v>1. Receita Operacional Bruta</v>
      </c>
      <c r="E2082" t="str">
        <f>VLOOKUP(B2082,Tabela_Auxiliar[],4,0)</f>
        <v>Receita Bruta</v>
      </c>
      <c r="F2082" t="str">
        <f>VLOOKUP(B2082,Tabela_Auxiliar[],3,0)</f>
        <v>Entrada</v>
      </c>
      <c r="G2082" t="str">
        <f>UPPER(TEXT(Tabela_DB[[#This Row],[DATA]],"mmm"))</f>
        <v>MAI</v>
      </c>
      <c r="H2082" t="str">
        <f>UPPER(TEXT(Tabela_DB[[#This Row],[DATA]],"aaaa"))</f>
        <v>2021</v>
      </c>
    </row>
    <row r="2083" spans="1:8" x14ac:dyDescent="0.25">
      <c r="A2083" s="2">
        <v>44327</v>
      </c>
      <c r="B2083" t="s">
        <v>46</v>
      </c>
      <c r="C2083">
        <v>-2269</v>
      </c>
      <c r="D2083" t="str">
        <f>VLOOKUP(B2083,Tabela_Auxiliar[],2,0)</f>
        <v>4. Despesas Operacionais</v>
      </c>
      <c r="E2083" t="str">
        <f>VLOOKUP(B2083,Tabela_Auxiliar[],4,0)</f>
        <v>Despesa com Pessoal</v>
      </c>
      <c r="F2083" t="str">
        <f>VLOOKUP(B2083,Tabela_Auxiliar[],3,0)</f>
        <v>Saída</v>
      </c>
      <c r="G2083" t="str">
        <f>UPPER(TEXT(Tabela_DB[[#This Row],[DATA]],"mmm"))</f>
        <v>MAI</v>
      </c>
      <c r="H2083" t="str">
        <f>UPPER(TEXT(Tabela_DB[[#This Row],[DATA]],"aaaa"))</f>
        <v>2021</v>
      </c>
    </row>
    <row r="2084" spans="1:8" x14ac:dyDescent="0.25">
      <c r="A2084" s="2">
        <v>44327</v>
      </c>
      <c r="B2084" t="s">
        <v>111</v>
      </c>
      <c r="C2084">
        <v>-2190</v>
      </c>
      <c r="D2084" t="str">
        <f>VLOOKUP(B2084,Tabela_Auxiliar[],2,0)</f>
        <v>2. Deduções da Receita</v>
      </c>
      <c r="E2084" t="str">
        <f>VLOOKUP(B2084,Tabela_Auxiliar[],4,0)</f>
        <v>Imposto</v>
      </c>
      <c r="F2084" t="str">
        <f>VLOOKUP(B2084,Tabela_Auxiliar[],3,0)</f>
        <v>Saída</v>
      </c>
      <c r="G2084" t="str">
        <f>UPPER(TEXT(Tabela_DB[[#This Row],[DATA]],"mmm"))</f>
        <v>MAI</v>
      </c>
      <c r="H2084" t="str">
        <f>UPPER(TEXT(Tabela_DB[[#This Row],[DATA]],"aaaa"))</f>
        <v>2021</v>
      </c>
    </row>
    <row r="2085" spans="1:8" x14ac:dyDescent="0.25">
      <c r="A2085" s="2">
        <v>44327</v>
      </c>
      <c r="B2085" t="s">
        <v>58</v>
      </c>
      <c r="C2085">
        <v>-1812</v>
      </c>
      <c r="D2085" t="str">
        <f>VLOOKUP(B2085,Tabela_Auxiliar[],2,0)</f>
        <v>4. Despesas Operacionais</v>
      </c>
      <c r="E2085" t="str">
        <f>VLOOKUP(B2085,Tabela_Auxiliar[],4,0)</f>
        <v>Despesa de Depreciação</v>
      </c>
      <c r="F2085" t="str">
        <f>VLOOKUP(B2085,Tabela_Auxiliar[],3,0)</f>
        <v>Saída</v>
      </c>
      <c r="G2085" t="str">
        <f>UPPER(TEXT(Tabela_DB[[#This Row],[DATA]],"mmm"))</f>
        <v>MAI</v>
      </c>
      <c r="H2085" t="str">
        <f>UPPER(TEXT(Tabela_DB[[#This Row],[DATA]],"aaaa"))</f>
        <v>2021</v>
      </c>
    </row>
    <row r="2086" spans="1:8" x14ac:dyDescent="0.25">
      <c r="A2086" s="2">
        <v>44327</v>
      </c>
      <c r="B2086" t="s">
        <v>54</v>
      </c>
      <c r="C2086">
        <v>-2111</v>
      </c>
      <c r="D2086" t="str">
        <f>VLOOKUP(B2086,Tabela_Auxiliar[],2,0)</f>
        <v>4. Despesas Operacionais</v>
      </c>
      <c r="E2086" t="str">
        <f>VLOOKUP(B2086,Tabela_Auxiliar[],4,0)</f>
        <v>Despesa com Pessoal</v>
      </c>
      <c r="F2086" t="str">
        <f>VLOOKUP(B2086,Tabela_Auxiliar[],3,0)</f>
        <v>Saída</v>
      </c>
      <c r="G2086" t="str">
        <f>UPPER(TEXT(Tabela_DB[[#This Row],[DATA]],"mmm"))</f>
        <v>MAI</v>
      </c>
      <c r="H2086" t="str">
        <f>UPPER(TEXT(Tabela_DB[[#This Row],[DATA]],"aaaa"))</f>
        <v>2021</v>
      </c>
    </row>
    <row r="2087" spans="1:8" x14ac:dyDescent="0.25">
      <c r="A2087" s="2">
        <v>44327</v>
      </c>
      <c r="B2087" t="s">
        <v>4</v>
      </c>
      <c r="C2087">
        <v>12136</v>
      </c>
      <c r="D2087" t="str">
        <f>VLOOKUP(B2087,Tabela_Auxiliar[],2,0)</f>
        <v>1. Receita Operacional Bruta</v>
      </c>
      <c r="E2087" t="str">
        <f>VLOOKUP(B2087,Tabela_Auxiliar[],4,0)</f>
        <v>Receita Bruta</v>
      </c>
      <c r="F2087" t="str">
        <f>VLOOKUP(B2087,Tabela_Auxiliar[],3,0)</f>
        <v>Entrada</v>
      </c>
      <c r="G2087" t="str">
        <f>UPPER(TEXT(Tabela_DB[[#This Row],[DATA]],"mmm"))</f>
        <v>MAI</v>
      </c>
      <c r="H2087" t="str">
        <f>UPPER(TEXT(Tabela_DB[[#This Row],[DATA]],"aaaa"))</f>
        <v>2021</v>
      </c>
    </row>
    <row r="2088" spans="1:8" x14ac:dyDescent="0.25">
      <c r="A2088" s="2">
        <v>44327</v>
      </c>
      <c r="B2088" t="s">
        <v>4</v>
      </c>
      <c r="C2088">
        <v>14131</v>
      </c>
      <c r="D2088" t="str">
        <f>VLOOKUP(B2088,Tabela_Auxiliar[],2,0)</f>
        <v>1. Receita Operacional Bruta</v>
      </c>
      <c r="E2088" t="str">
        <f>VLOOKUP(B2088,Tabela_Auxiliar[],4,0)</f>
        <v>Receita Bruta</v>
      </c>
      <c r="F2088" t="str">
        <f>VLOOKUP(B2088,Tabela_Auxiliar[],3,0)</f>
        <v>Entrada</v>
      </c>
      <c r="G2088" t="str">
        <f>UPPER(TEXT(Tabela_DB[[#This Row],[DATA]],"mmm"))</f>
        <v>MAI</v>
      </c>
      <c r="H2088" t="str">
        <f>UPPER(TEXT(Tabela_DB[[#This Row],[DATA]],"aaaa"))</f>
        <v>2021</v>
      </c>
    </row>
    <row r="2089" spans="1:8" x14ac:dyDescent="0.25">
      <c r="A2089" s="2">
        <v>44327</v>
      </c>
      <c r="B2089" t="s">
        <v>34</v>
      </c>
      <c r="C2089">
        <v>-2220</v>
      </c>
      <c r="D2089" t="str">
        <f>VLOOKUP(B2089,Tabela_Auxiliar[],2,0)</f>
        <v>2. Deduções da Receita</v>
      </c>
      <c r="E2089" t="str">
        <f>VLOOKUP(B2089,Tabela_Auxiliar[],4,0)</f>
        <v>Imposto</v>
      </c>
      <c r="F2089" t="str">
        <f>VLOOKUP(B2089,Tabela_Auxiliar[],3,0)</f>
        <v>Saída</v>
      </c>
      <c r="G2089" t="str">
        <f>UPPER(TEXT(Tabela_DB[[#This Row],[DATA]],"mmm"))</f>
        <v>MAI</v>
      </c>
      <c r="H2089" t="str">
        <f>UPPER(TEXT(Tabela_DB[[#This Row],[DATA]],"aaaa"))</f>
        <v>2021</v>
      </c>
    </row>
    <row r="2090" spans="1:8" x14ac:dyDescent="0.25">
      <c r="A2090" s="2">
        <v>44327</v>
      </c>
      <c r="B2090" t="s">
        <v>4</v>
      </c>
      <c r="C2090">
        <v>13940</v>
      </c>
      <c r="D2090" t="str">
        <f>VLOOKUP(B2090,Tabela_Auxiliar[],2,0)</f>
        <v>1. Receita Operacional Bruta</v>
      </c>
      <c r="E2090" t="str">
        <f>VLOOKUP(B2090,Tabela_Auxiliar[],4,0)</f>
        <v>Receita Bruta</v>
      </c>
      <c r="F2090" t="str">
        <f>VLOOKUP(B2090,Tabela_Auxiliar[],3,0)</f>
        <v>Entrada</v>
      </c>
      <c r="G2090" t="str">
        <f>UPPER(TEXT(Tabela_DB[[#This Row],[DATA]],"mmm"))</f>
        <v>MAI</v>
      </c>
      <c r="H2090" t="str">
        <f>UPPER(TEXT(Tabela_DB[[#This Row],[DATA]],"aaaa"))</f>
        <v>2021</v>
      </c>
    </row>
    <row r="2091" spans="1:8" x14ac:dyDescent="0.25">
      <c r="A2091" s="2">
        <v>44327</v>
      </c>
      <c r="B2091" t="s">
        <v>35</v>
      </c>
      <c r="C2091">
        <v>-1036</v>
      </c>
      <c r="D2091" t="str">
        <f>VLOOKUP(B2091,Tabela_Auxiliar[],2,0)</f>
        <v>2. Deduções da Receita</v>
      </c>
      <c r="E2091" t="str">
        <f>VLOOKUP(B2091,Tabela_Auxiliar[],4,0)</f>
        <v>Imposto</v>
      </c>
      <c r="F2091" t="str">
        <f>VLOOKUP(B2091,Tabela_Auxiliar[],3,0)</f>
        <v>Saída</v>
      </c>
      <c r="G2091" t="str">
        <f>UPPER(TEXT(Tabela_DB[[#This Row],[DATA]],"mmm"))</f>
        <v>MAI</v>
      </c>
      <c r="H2091" t="str">
        <f>UPPER(TEXT(Tabela_DB[[#This Row],[DATA]],"aaaa"))</f>
        <v>2021</v>
      </c>
    </row>
    <row r="2092" spans="1:8" x14ac:dyDescent="0.25">
      <c r="A2092" s="2">
        <v>44327</v>
      </c>
      <c r="B2092" t="s">
        <v>63</v>
      </c>
      <c r="C2092">
        <v>-2032</v>
      </c>
      <c r="D2092" t="str">
        <f>VLOOKUP(B2092,Tabela_Auxiliar[],2,0)</f>
        <v>4. Despesas Operacionais</v>
      </c>
      <c r="E2092" t="str">
        <f>VLOOKUP(B2092,Tabela_Auxiliar[],4,0)</f>
        <v>Despesa Gerais</v>
      </c>
      <c r="F2092" t="str">
        <f>VLOOKUP(B2092,Tabela_Auxiliar[],3,0)</f>
        <v>Saída</v>
      </c>
      <c r="G2092" t="str">
        <f>UPPER(TEXT(Tabela_DB[[#This Row],[DATA]],"mmm"))</f>
        <v>MAI</v>
      </c>
      <c r="H2092" t="str">
        <f>UPPER(TEXT(Tabela_DB[[#This Row],[DATA]],"aaaa"))</f>
        <v>2021</v>
      </c>
    </row>
    <row r="2093" spans="1:8" x14ac:dyDescent="0.25">
      <c r="A2093" s="2">
        <v>44327</v>
      </c>
      <c r="B2093" t="s">
        <v>3</v>
      </c>
      <c r="C2093">
        <v>13175</v>
      </c>
      <c r="D2093" t="str">
        <f>VLOOKUP(B2093,Tabela_Auxiliar[],2,0)</f>
        <v>1. Receita Operacional Bruta</v>
      </c>
      <c r="E2093" t="str">
        <f>VLOOKUP(B2093,Tabela_Auxiliar[],4,0)</f>
        <v>Receita Bruta</v>
      </c>
      <c r="F2093" t="str">
        <f>VLOOKUP(B2093,Tabela_Auxiliar[],3,0)</f>
        <v>Entrada</v>
      </c>
      <c r="G2093" t="str">
        <f>UPPER(TEXT(Tabela_DB[[#This Row],[DATA]],"mmm"))</f>
        <v>MAI</v>
      </c>
      <c r="H2093" t="str">
        <f>UPPER(TEXT(Tabela_DB[[#This Row],[DATA]],"aaaa"))</f>
        <v>2021</v>
      </c>
    </row>
    <row r="2094" spans="1:8" x14ac:dyDescent="0.25">
      <c r="A2094" s="2">
        <v>44327</v>
      </c>
      <c r="B2094" t="s">
        <v>38</v>
      </c>
      <c r="C2094">
        <v>-2096</v>
      </c>
      <c r="D2094" t="str">
        <f>VLOOKUP(B2094,Tabela_Auxiliar[],2,0)</f>
        <v>2. Deduções da Receita</v>
      </c>
      <c r="E2094" t="str">
        <f>VLOOKUP(B2094,Tabela_Auxiliar[],4,0)</f>
        <v>Deduções</v>
      </c>
      <c r="F2094" t="str">
        <f>VLOOKUP(B2094,Tabela_Auxiliar[],3,0)</f>
        <v>Saída</v>
      </c>
      <c r="G2094" t="str">
        <f>UPPER(TEXT(Tabela_DB[[#This Row],[DATA]],"mmm"))</f>
        <v>MAI</v>
      </c>
      <c r="H2094" t="str">
        <f>UPPER(TEXT(Tabela_DB[[#This Row],[DATA]],"aaaa"))</f>
        <v>2021</v>
      </c>
    </row>
    <row r="2095" spans="1:8" x14ac:dyDescent="0.25">
      <c r="A2095" s="2">
        <v>44327</v>
      </c>
      <c r="B2095" t="s">
        <v>66</v>
      </c>
      <c r="C2095">
        <v>-1135</v>
      </c>
      <c r="D2095" t="str">
        <f>VLOOKUP(B2095,Tabela_Auxiliar[],2,0)</f>
        <v>4. Despesas Operacionais</v>
      </c>
      <c r="E2095" t="str">
        <f>VLOOKUP(B2095,Tabela_Auxiliar[],4,0)</f>
        <v>Despesa com Vendas</v>
      </c>
      <c r="F2095" t="str">
        <f>VLOOKUP(B2095,Tabela_Auxiliar[],3,0)</f>
        <v>Saída</v>
      </c>
      <c r="G2095" t="str">
        <f>UPPER(TEXT(Tabela_DB[[#This Row],[DATA]],"mmm"))</f>
        <v>MAI</v>
      </c>
      <c r="H2095" t="str">
        <f>UPPER(TEXT(Tabela_DB[[#This Row],[DATA]],"aaaa"))</f>
        <v>2021</v>
      </c>
    </row>
    <row r="2096" spans="1:8" x14ac:dyDescent="0.25">
      <c r="A2096" s="2">
        <v>44327</v>
      </c>
      <c r="B2096" t="s">
        <v>3</v>
      </c>
      <c r="C2096">
        <v>13022</v>
      </c>
      <c r="D2096" t="str">
        <f>VLOOKUP(B2096,Tabela_Auxiliar[],2,0)</f>
        <v>1. Receita Operacional Bruta</v>
      </c>
      <c r="E2096" t="str">
        <f>VLOOKUP(B2096,Tabela_Auxiliar[],4,0)</f>
        <v>Receita Bruta</v>
      </c>
      <c r="F2096" t="str">
        <f>VLOOKUP(B2096,Tabela_Auxiliar[],3,0)</f>
        <v>Entrada</v>
      </c>
      <c r="G2096" t="str">
        <f>UPPER(TEXT(Tabela_DB[[#This Row],[DATA]],"mmm"))</f>
        <v>MAI</v>
      </c>
      <c r="H2096" t="str">
        <f>UPPER(TEXT(Tabela_DB[[#This Row],[DATA]],"aaaa"))</f>
        <v>2021</v>
      </c>
    </row>
    <row r="2097" spans="1:8" x14ac:dyDescent="0.25">
      <c r="A2097" s="2">
        <v>44327</v>
      </c>
      <c r="B2097" t="s">
        <v>34</v>
      </c>
      <c r="C2097">
        <v>-2097</v>
      </c>
      <c r="D2097" t="str">
        <f>VLOOKUP(B2097,Tabela_Auxiliar[],2,0)</f>
        <v>2. Deduções da Receita</v>
      </c>
      <c r="E2097" t="str">
        <f>VLOOKUP(B2097,Tabela_Auxiliar[],4,0)</f>
        <v>Imposto</v>
      </c>
      <c r="F2097" t="str">
        <f>VLOOKUP(B2097,Tabela_Auxiliar[],3,0)</f>
        <v>Saída</v>
      </c>
      <c r="G2097" t="str">
        <f>UPPER(TEXT(Tabela_DB[[#This Row],[DATA]],"mmm"))</f>
        <v>MAI</v>
      </c>
      <c r="H2097" t="str">
        <f>UPPER(TEXT(Tabela_DB[[#This Row],[DATA]],"aaaa"))</f>
        <v>2021</v>
      </c>
    </row>
    <row r="2098" spans="1:8" x14ac:dyDescent="0.25">
      <c r="A2098" s="2">
        <v>44328</v>
      </c>
      <c r="B2098" t="s">
        <v>38</v>
      </c>
      <c r="C2098">
        <v>-1450</v>
      </c>
      <c r="D2098" t="str">
        <f>VLOOKUP(B2098,Tabela_Auxiliar[],2,0)</f>
        <v>2. Deduções da Receita</v>
      </c>
      <c r="E2098" t="str">
        <f>VLOOKUP(B2098,Tabela_Auxiliar[],4,0)</f>
        <v>Deduções</v>
      </c>
      <c r="F2098" t="str">
        <f>VLOOKUP(B2098,Tabela_Auxiliar[],3,0)</f>
        <v>Saída</v>
      </c>
      <c r="G2098" t="str">
        <f>UPPER(TEXT(Tabela_DB[[#This Row],[DATA]],"mmm"))</f>
        <v>MAI</v>
      </c>
      <c r="H2098" t="str">
        <f>UPPER(TEXT(Tabela_DB[[#This Row],[DATA]],"aaaa"))</f>
        <v>2021</v>
      </c>
    </row>
    <row r="2099" spans="1:8" x14ac:dyDescent="0.25">
      <c r="A2099" s="2">
        <v>44328</v>
      </c>
      <c r="B2099" t="s">
        <v>65</v>
      </c>
      <c r="C2099">
        <v>-2118</v>
      </c>
      <c r="D2099" t="str">
        <f>VLOOKUP(B2099,Tabela_Auxiliar[],2,0)</f>
        <v>4. Despesas Operacionais</v>
      </c>
      <c r="E2099" t="str">
        <f>VLOOKUP(B2099,Tabela_Auxiliar[],4,0)</f>
        <v>Despesa Gerais</v>
      </c>
      <c r="F2099" t="str">
        <f>VLOOKUP(B2099,Tabela_Auxiliar[],3,0)</f>
        <v>Saída</v>
      </c>
      <c r="G2099" t="str">
        <f>UPPER(TEXT(Tabela_DB[[#This Row],[DATA]],"mmm"))</f>
        <v>MAI</v>
      </c>
      <c r="H2099" t="str">
        <f>UPPER(TEXT(Tabela_DB[[#This Row],[DATA]],"aaaa"))</f>
        <v>2021</v>
      </c>
    </row>
    <row r="2100" spans="1:8" x14ac:dyDescent="0.25">
      <c r="A2100" s="2">
        <v>44328</v>
      </c>
      <c r="B2100" t="s">
        <v>61</v>
      </c>
      <c r="C2100">
        <v>-1686</v>
      </c>
      <c r="D2100" t="str">
        <f>VLOOKUP(B2100,Tabela_Auxiliar[],2,0)</f>
        <v>4. Despesas Operacionais</v>
      </c>
      <c r="E2100" t="str">
        <f>VLOOKUP(B2100,Tabela_Auxiliar[],4,0)</f>
        <v>Despesa de Depreciação</v>
      </c>
      <c r="F2100" t="str">
        <f>VLOOKUP(B2100,Tabela_Auxiliar[],3,0)</f>
        <v>Saída</v>
      </c>
      <c r="G2100" t="str">
        <f>UPPER(TEXT(Tabela_DB[[#This Row],[DATA]],"mmm"))</f>
        <v>MAI</v>
      </c>
      <c r="H2100" t="str">
        <f>UPPER(TEXT(Tabela_DB[[#This Row],[DATA]],"aaaa"))</f>
        <v>2021</v>
      </c>
    </row>
    <row r="2101" spans="1:8" x14ac:dyDescent="0.25">
      <c r="A2101" s="2">
        <v>44328</v>
      </c>
      <c r="B2101" t="s">
        <v>38</v>
      </c>
      <c r="C2101">
        <v>-1023</v>
      </c>
      <c r="D2101" t="str">
        <f>VLOOKUP(B2101,Tabela_Auxiliar[],2,0)</f>
        <v>2. Deduções da Receita</v>
      </c>
      <c r="E2101" t="str">
        <f>VLOOKUP(B2101,Tabela_Auxiliar[],4,0)</f>
        <v>Deduções</v>
      </c>
      <c r="F2101" t="str">
        <f>VLOOKUP(B2101,Tabela_Auxiliar[],3,0)</f>
        <v>Saída</v>
      </c>
      <c r="G2101" t="str">
        <f>UPPER(TEXT(Tabela_DB[[#This Row],[DATA]],"mmm"))</f>
        <v>MAI</v>
      </c>
      <c r="H2101" t="str">
        <f>UPPER(TEXT(Tabela_DB[[#This Row],[DATA]],"aaaa"))</f>
        <v>2021</v>
      </c>
    </row>
    <row r="2102" spans="1:8" x14ac:dyDescent="0.25">
      <c r="A2102" s="2">
        <v>44328</v>
      </c>
      <c r="B2102" t="s">
        <v>57</v>
      </c>
      <c r="C2102">
        <v>-1424</v>
      </c>
      <c r="D2102" t="str">
        <f>VLOOKUP(B2102,Tabela_Auxiliar[],2,0)</f>
        <v>4. Despesas Operacionais</v>
      </c>
      <c r="E2102" t="str">
        <f>VLOOKUP(B2102,Tabela_Auxiliar[],4,0)</f>
        <v>Despesa com Pessoal</v>
      </c>
      <c r="F2102" t="str">
        <f>VLOOKUP(B2102,Tabela_Auxiliar[],3,0)</f>
        <v>Saída</v>
      </c>
      <c r="G2102" t="str">
        <f>UPPER(TEXT(Tabela_DB[[#This Row],[DATA]],"mmm"))</f>
        <v>MAI</v>
      </c>
      <c r="H2102" t="str">
        <f>UPPER(TEXT(Tabela_DB[[#This Row],[DATA]],"aaaa"))</f>
        <v>2021</v>
      </c>
    </row>
    <row r="2103" spans="1:8" x14ac:dyDescent="0.25">
      <c r="A2103" s="2">
        <v>44328</v>
      </c>
      <c r="B2103" t="s">
        <v>111</v>
      </c>
      <c r="C2103">
        <v>-2160</v>
      </c>
      <c r="D2103" t="str">
        <f>VLOOKUP(B2103,Tabela_Auxiliar[],2,0)</f>
        <v>2. Deduções da Receita</v>
      </c>
      <c r="E2103" t="str">
        <f>VLOOKUP(B2103,Tabela_Auxiliar[],4,0)</f>
        <v>Imposto</v>
      </c>
      <c r="F2103" t="str">
        <f>VLOOKUP(B2103,Tabela_Auxiliar[],3,0)</f>
        <v>Saída</v>
      </c>
      <c r="G2103" t="str">
        <f>UPPER(TEXT(Tabela_DB[[#This Row],[DATA]],"mmm"))</f>
        <v>MAI</v>
      </c>
      <c r="H2103" t="str">
        <f>UPPER(TEXT(Tabela_DB[[#This Row],[DATA]],"aaaa"))</f>
        <v>2021</v>
      </c>
    </row>
    <row r="2104" spans="1:8" x14ac:dyDescent="0.25">
      <c r="A2104" s="2">
        <v>44328</v>
      </c>
      <c r="B2104" t="s">
        <v>69</v>
      </c>
      <c r="C2104">
        <v>-1831</v>
      </c>
      <c r="D2104" t="str">
        <f>VLOOKUP(B2104,Tabela_Auxiliar[],2,0)</f>
        <v>4. Despesas Operacionais</v>
      </c>
      <c r="E2104" t="str">
        <f>VLOOKUP(B2104,Tabela_Auxiliar[],4,0)</f>
        <v>Despesa com Ocupação</v>
      </c>
      <c r="F2104" t="str">
        <f>VLOOKUP(B2104,Tabela_Auxiliar[],3,0)</f>
        <v>Saída</v>
      </c>
      <c r="G2104" t="str">
        <f>UPPER(TEXT(Tabela_DB[[#This Row],[DATA]],"mmm"))</f>
        <v>MAI</v>
      </c>
      <c r="H2104" t="str">
        <f>UPPER(TEXT(Tabela_DB[[#This Row],[DATA]],"aaaa"))</f>
        <v>2021</v>
      </c>
    </row>
    <row r="2105" spans="1:8" x14ac:dyDescent="0.25">
      <c r="A2105" s="2">
        <v>44328</v>
      </c>
      <c r="B2105" t="s">
        <v>111</v>
      </c>
      <c r="C2105">
        <v>-1546</v>
      </c>
      <c r="D2105" t="str">
        <f>VLOOKUP(B2105,Tabela_Auxiliar[],2,0)</f>
        <v>2. Deduções da Receita</v>
      </c>
      <c r="E2105" t="str">
        <f>VLOOKUP(B2105,Tabela_Auxiliar[],4,0)</f>
        <v>Imposto</v>
      </c>
      <c r="F2105" t="str">
        <f>VLOOKUP(B2105,Tabela_Auxiliar[],3,0)</f>
        <v>Saída</v>
      </c>
      <c r="G2105" t="str">
        <f>UPPER(TEXT(Tabela_DB[[#This Row],[DATA]],"mmm"))</f>
        <v>MAI</v>
      </c>
      <c r="H2105" t="str">
        <f>UPPER(TEXT(Tabela_DB[[#This Row],[DATA]],"aaaa"))</f>
        <v>2021</v>
      </c>
    </row>
    <row r="2106" spans="1:8" x14ac:dyDescent="0.25">
      <c r="A2106" s="2">
        <v>44328</v>
      </c>
      <c r="B2106" t="s">
        <v>38</v>
      </c>
      <c r="C2106">
        <v>-1496</v>
      </c>
      <c r="D2106" t="str">
        <f>VLOOKUP(B2106,Tabela_Auxiliar[],2,0)</f>
        <v>2. Deduções da Receita</v>
      </c>
      <c r="E2106" t="str">
        <f>VLOOKUP(B2106,Tabela_Auxiliar[],4,0)</f>
        <v>Deduções</v>
      </c>
      <c r="F2106" t="str">
        <f>VLOOKUP(B2106,Tabela_Auxiliar[],3,0)</f>
        <v>Saída</v>
      </c>
      <c r="G2106" t="str">
        <f>UPPER(TEXT(Tabela_DB[[#This Row],[DATA]],"mmm"))</f>
        <v>MAI</v>
      </c>
      <c r="H2106" t="str">
        <f>UPPER(TEXT(Tabela_DB[[#This Row],[DATA]],"aaaa"))</f>
        <v>2021</v>
      </c>
    </row>
    <row r="2107" spans="1:8" x14ac:dyDescent="0.25">
      <c r="A2107" s="2">
        <v>44328</v>
      </c>
      <c r="B2107" t="s">
        <v>90</v>
      </c>
      <c r="C2107">
        <v>-1458</v>
      </c>
      <c r="D2107" t="str">
        <f>VLOOKUP(B2107,Tabela_Auxiliar[],2,0)</f>
        <v>4. Despesas Operacionais</v>
      </c>
      <c r="E2107" t="str">
        <f>VLOOKUP(B2107,Tabela_Auxiliar[],4,0)</f>
        <v>Despesa Tributária</v>
      </c>
      <c r="F2107" t="str">
        <f>VLOOKUP(B2107,Tabela_Auxiliar[],3,0)</f>
        <v>Saída</v>
      </c>
      <c r="G2107" t="str">
        <f>UPPER(TEXT(Tabela_DB[[#This Row],[DATA]],"mmm"))</f>
        <v>MAI</v>
      </c>
      <c r="H2107" t="str">
        <f>UPPER(TEXT(Tabela_DB[[#This Row],[DATA]],"aaaa"))</f>
        <v>2021</v>
      </c>
    </row>
    <row r="2108" spans="1:8" x14ac:dyDescent="0.25">
      <c r="A2108" s="2">
        <v>44328</v>
      </c>
      <c r="B2108" t="s">
        <v>38</v>
      </c>
      <c r="C2108">
        <v>-1635</v>
      </c>
      <c r="D2108" t="str">
        <f>VLOOKUP(B2108,Tabela_Auxiliar[],2,0)</f>
        <v>2. Deduções da Receita</v>
      </c>
      <c r="E2108" t="str">
        <f>VLOOKUP(B2108,Tabela_Auxiliar[],4,0)</f>
        <v>Deduções</v>
      </c>
      <c r="F2108" t="str">
        <f>VLOOKUP(B2108,Tabela_Auxiliar[],3,0)</f>
        <v>Saída</v>
      </c>
      <c r="G2108" t="str">
        <f>UPPER(TEXT(Tabela_DB[[#This Row],[DATA]],"mmm"))</f>
        <v>MAI</v>
      </c>
      <c r="H2108" t="str">
        <f>UPPER(TEXT(Tabela_DB[[#This Row],[DATA]],"aaaa"))</f>
        <v>2021</v>
      </c>
    </row>
    <row r="2109" spans="1:8" x14ac:dyDescent="0.25">
      <c r="A2109" s="2">
        <v>44328</v>
      </c>
      <c r="B2109" t="s">
        <v>37</v>
      </c>
      <c r="C2109">
        <v>-4353</v>
      </c>
      <c r="D2109" t="str">
        <f>VLOOKUP(B2109,Tabela_Auxiliar[],2,0)</f>
        <v>3. Custos do Produto/Mercadoria/Serviço</v>
      </c>
      <c r="E2109" t="str">
        <f>VLOOKUP(B2109,Tabela_Auxiliar[],4,0)</f>
        <v>Despesas c/ Produto</v>
      </c>
      <c r="F2109" t="str">
        <f>VLOOKUP(B2109,Tabela_Auxiliar[],3,0)</f>
        <v>Saída</v>
      </c>
      <c r="G2109" t="str">
        <f>UPPER(TEXT(Tabela_DB[[#This Row],[DATA]],"mmm"))</f>
        <v>MAI</v>
      </c>
      <c r="H2109" t="str">
        <f>UPPER(TEXT(Tabela_DB[[#This Row],[DATA]],"aaaa"))</f>
        <v>2021</v>
      </c>
    </row>
    <row r="2110" spans="1:8" x14ac:dyDescent="0.25">
      <c r="A2110" s="2">
        <v>44328</v>
      </c>
      <c r="B2110" t="s">
        <v>35</v>
      </c>
      <c r="C2110">
        <v>-1180</v>
      </c>
      <c r="D2110" t="str">
        <f>VLOOKUP(B2110,Tabela_Auxiliar[],2,0)</f>
        <v>2. Deduções da Receita</v>
      </c>
      <c r="E2110" t="str">
        <f>VLOOKUP(B2110,Tabela_Auxiliar[],4,0)</f>
        <v>Imposto</v>
      </c>
      <c r="F2110" t="str">
        <f>VLOOKUP(B2110,Tabela_Auxiliar[],3,0)</f>
        <v>Saída</v>
      </c>
      <c r="G2110" t="str">
        <f>UPPER(TEXT(Tabela_DB[[#This Row],[DATA]],"mmm"))</f>
        <v>MAI</v>
      </c>
      <c r="H2110" t="str">
        <f>UPPER(TEXT(Tabela_DB[[#This Row],[DATA]],"aaaa"))</f>
        <v>2021</v>
      </c>
    </row>
    <row r="2111" spans="1:8" x14ac:dyDescent="0.25">
      <c r="A2111" s="2">
        <v>44328</v>
      </c>
      <c r="B2111" t="s">
        <v>59</v>
      </c>
      <c r="C2111">
        <v>-2188</v>
      </c>
      <c r="D2111" t="str">
        <f>VLOOKUP(B2111,Tabela_Auxiliar[],2,0)</f>
        <v>4. Despesas Operacionais</v>
      </c>
      <c r="E2111" t="str">
        <f>VLOOKUP(B2111,Tabela_Auxiliar[],4,0)</f>
        <v>Despesa de Depreciação</v>
      </c>
      <c r="F2111" t="str">
        <f>VLOOKUP(B2111,Tabela_Auxiliar[],3,0)</f>
        <v>Saída</v>
      </c>
      <c r="G2111" t="str">
        <f>UPPER(TEXT(Tabela_DB[[#This Row],[DATA]],"mmm"))</f>
        <v>MAI</v>
      </c>
      <c r="H2111" t="str">
        <f>UPPER(TEXT(Tabela_DB[[#This Row],[DATA]],"aaaa"))</f>
        <v>2021</v>
      </c>
    </row>
    <row r="2112" spans="1:8" x14ac:dyDescent="0.25">
      <c r="A2112" s="2">
        <v>44328</v>
      </c>
      <c r="B2112" t="s">
        <v>4</v>
      </c>
      <c r="C2112">
        <v>11437</v>
      </c>
      <c r="D2112" t="str">
        <f>VLOOKUP(B2112,Tabela_Auxiliar[],2,0)</f>
        <v>1. Receita Operacional Bruta</v>
      </c>
      <c r="E2112" t="str">
        <f>VLOOKUP(B2112,Tabela_Auxiliar[],4,0)</f>
        <v>Receita Bruta</v>
      </c>
      <c r="F2112" t="str">
        <f>VLOOKUP(B2112,Tabela_Auxiliar[],3,0)</f>
        <v>Entrada</v>
      </c>
      <c r="G2112" t="str">
        <f>UPPER(TEXT(Tabela_DB[[#This Row],[DATA]],"mmm"))</f>
        <v>MAI</v>
      </c>
      <c r="H2112" t="str">
        <f>UPPER(TEXT(Tabela_DB[[#This Row],[DATA]],"aaaa"))</f>
        <v>2021</v>
      </c>
    </row>
    <row r="2113" spans="1:8" x14ac:dyDescent="0.25">
      <c r="A2113" s="2">
        <v>44328</v>
      </c>
      <c r="B2113" t="s">
        <v>4</v>
      </c>
      <c r="C2113">
        <v>10919</v>
      </c>
      <c r="D2113" t="str">
        <f>VLOOKUP(B2113,Tabela_Auxiliar[],2,0)</f>
        <v>1. Receita Operacional Bruta</v>
      </c>
      <c r="E2113" t="str">
        <f>VLOOKUP(B2113,Tabela_Auxiliar[],4,0)</f>
        <v>Receita Bruta</v>
      </c>
      <c r="F2113" t="str">
        <f>VLOOKUP(B2113,Tabela_Auxiliar[],3,0)</f>
        <v>Entrada</v>
      </c>
      <c r="G2113" t="str">
        <f>UPPER(TEXT(Tabela_DB[[#This Row],[DATA]],"mmm"))</f>
        <v>MAI</v>
      </c>
      <c r="H2113" t="str">
        <f>UPPER(TEXT(Tabela_DB[[#This Row],[DATA]],"aaaa"))</f>
        <v>2021</v>
      </c>
    </row>
    <row r="2114" spans="1:8" x14ac:dyDescent="0.25">
      <c r="A2114" s="2">
        <v>44329</v>
      </c>
      <c r="B2114" t="s">
        <v>111</v>
      </c>
      <c r="C2114">
        <v>-2312</v>
      </c>
      <c r="D2114" t="str">
        <f>VLOOKUP(B2114,Tabela_Auxiliar[],2,0)</f>
        <v>2. Deduções da Receita</v>
      </c>
      <c r="E2114" t="str">
        <f>VLOOKUP(B2114,Tabela_Auxiliar[],4,0)</f>
        <v>Imposto</v>
      </c>
      <c r="F2114" t="str">
        <f>VLOOKUP(B2114,Tabela_Auxiliar[],3,0)</f>
        <v>Saída</v>
      </c>
      <c r="G2114" t="str">
        <f>UPPER(TEXT(Tabela_DB[[#This Row],[DATA]],"mmm"))</f>
        <v>MAI</v>
      </c>
      <c r="H2114" t="str">
        <f>UPPER(TEXT(Tabela_DB[[#This Row],[DATA]],"aaaa"))</f>
        <v>2021</v>
      </c>
    </row>
    <row r="2115" spans="1:8" x14ac:dyDescent="0.25">
      <c r="A2115" s="2">
        <v>44329</v>
      </c>
      <c r="B2115" t="s">
        <v>34</v>
      </c>
      <c r="C2115">
        <v>-1932</v>
      </c>
      <c r="D2115" t="str">
        <f>VLOOKUP(B2115,Tabela_Auxiliar[],2,0)</f>
        <v>2. Deduções da Receita</v>
      </c>
      <c r="E2115" t="str">
        <f>VLOOKUP(B2115,Tabela_Auxiliar[],4,0)</f>
        <v>Imposto</v>
      </c>
      <c r="F2115" t="str">
        <f>VLOOKUP(B2115,Tabela_Auxiliar[],3,0)</f>
        <v>Saída</v>
      </c>
      <c r="G2115" t="str">
        <f>UPPER(TEXT(Tabela_DB[[#This Row],[DATA]],"mmm"))</f>
        <v>MAI</v>
      </c>
      <c r="H2115" t="str">
        <f>UPPER(TEXT(Tabela_DB[[#This Row],[DATA]],"aaaa"))</f>
        <v>2021</v>
      </c>
    </row>
    <row r="2116" spans="1:8" x14ac:dyDescent="0.25">
      <c r="A2116" s="2">
        <v>44329</v>
      </c>
      <c r="B2116" t="s">
        <v>111</v>
      </c>
      <c r="C2116">
        <v>-1199</v>
      </c>
      <c r="D2116" t="str">
        <f>VLOOKUP(B2116,Tabela_Auxiliar[],2,0)</f>
        <v>2. Deduções da Receita</v>
      </c>
      <c r="E2116" t="str">
        <f>VLOOKUP(B2116,Tabela_Auxiliar[],4,0)</f>
        <v>Imposto</v>
      </c>
      <c r="F2116" t="str">
        <f>VLOOKUP(B2116,Tabela_Auxiliar[],3,0)</f>
        <v>Saída</v>
      </c>
      <c r="G2116" t="str">
        <f>UPPER(TEXT(Tabela_DB[[#This Row],[DATA]],"mmm"))</f>
        <v>MAI</v>
      </c>
      <c r="H2116" t="str">
        <f>UPPER(TEXT(Tabela_DB[[#This Row],[DATA]],"aaaa"))</f>
        <v>2021</v>
      </c>
    </row>
    <row r="2117" spans="1:8" x14ac:dyDescent="0.25">
      <c r="A2117" s="2">
        <v>44329</v>
      </c>
      <c r="B2117" t="s">
        <v>101</v>
      </c>
      <c r="C2117">
        <v>-2442</v>
      </c>
      <c r="D2117" t="str">
        <f>VLOOKUP(B2117,Tabela_Auxiliar[],2,0)</f>
        <v>5. Resultado Financeiro</v>
      </c>
      <c r="E2117" t="str">
        <f>VLOOKUP(B2117,Tabela_Auxiliar[],4,0)</f>
        <v>Despesa Financeira</v>
      </c>
      <c r="F2117" t="str">
        <f>VLOOKUP(B2117,Tabela_Auxiliar[],3,0)</f>
        <v>Saída</v>
      </c>
      <c r="G2117" t="str">
        <f>UPPER(TEXT(Tabela_DB[[#This Row],[DATA]],"mmm"))</f>
        <v>MAI</v>
      </c>
      <c r="H2117" t="str">
        <f>UPPER(TEXT(Tabela_DB[[#This Row],[DATA]],"aaaa"))</f>
        <v>2021</v>
      </c>
    </row>
    <row r="2118" spans="1:8" x14ac:dyDescent="0.25">
      <c r="A2118" s="2">
        <v>44329</v>
      </c>
      <c r="B2118" t="s">
        <v>3</v>
      </c>
      <c r="C2118">
        <v>13566</v>
      </c>
      <c r="D2118" t="str">
        <f>VLOOKUP(B2118,Tabela_Auxiliar[],2,0)</f>
        <v>1. Receita Operacional Bruta</v>
      </c>
      <c r="E2118" t="str">
        <f>VLOOKUP(B2118,Tabela_Auxiliar[],4,0)</f>
        <v>Receita Bruta</v>
      </c>
      <c r="F2118" t="str">
        <f>VLOOKUP(B2118,Tabela_Auxiliar[],3,0)</f>
        <v>Entrada</v>
      </c>
      <c r="G2118" t="str">
        <f>UPPER(TEXT(Tabela_DB[[#This Row],[DATA]],"mmm"))</f>
        <v>MAI</v>
      </c>
      <c r="H2118" t="str">
        <f>UPPER(TEXT(Tabela_DB[[#This Row],[DATA]],"aaaa"))</f>
        <v>2021</v>
      </c>
    </row>
    <row r="2119" spans="1:8" x14ac:dyDescent="0.25">
      <c r="A2119" s="2">
        <v>44329</v>
      </c>
      <c r="B2119" t="s">
        <v>4</v>
      </c>
      <c r="C2119">
        <v>13921</v>
      </c>
      <c r="D2119" t="str">
        <f>VLOOKUP(B2119,Tabela_Auxiliar[],2,0)</f>
        <v>1. Receita Operacional Bruta</v>
      </c>
      <c r="E2119" t="str">
        <f>VLOOKUP(B2119,Tabela_Auxiliar[],4,0)</f>
        <v>Receita Bruta</v>
      </c>
      <c r="F2119" t="str">
        <f>VLOOKUP(B2119,Tabela_Auxiliar[],3,0)</f>
        <v>Entrada</v>
      </c>
      <c r="G2119" t="str">
        <f>UPPER(TEXT(Tabela_DB[[#This Row],[DATA]],"mmm"))</f>
        <v>MAI</v>
      </c>
      <c r="H2119" t="str">
        <f>UPPER(TEXT(Tabela_DB[[#This Row],[DATA]],"aaaa"))</f>
        <v>2021</v>
      </c>
    </row>
    <row r="2120" spans="1:8" x14ac:dyDescent="0.25">
      <c r="A2120" s="2">
        <v>44329</v>
      </c>
      <c r="B2120" t="s">
        <v>53</v>
      </c>
      <c r="C2120">
        <v>-1452</v>
      </c>
      <c r="D2120" t="str">
        <f>VLOOKUP(B2120,Tabela_Auxiliar[],2,0)</f>
        <v>4. Despesas Operacionais</v>
      </c>
      <c r="E2120" t="str">
        <f>VLOOKUP(B2120,Tabela_Auxiliar[],4,0)</f>
        <v>Despesa com Pessoal</v>
      </c>
      <c r="F2120" t="str">
        <f>VLOOKUP(B2120,Tabela_Auxiliar[],3,0)</f>
        <v>Saída</v>
      </c>
      <c r="G2120" t="str">
        <f>UPPER(TEXT(Tabela_DB[[#This Row],[DATA]],"mmm"))</f>
        <v>MAI</v>
      </c>
      <c r="H2120" t="str">
        <f>UPPER(TEXT(Tabela_DB[[#This Row],[DATA]],"aaaa"))</f>
        <v>2021</v>
      </c>
    </row>
    <row r="2121" spans="1:8" x14ac:dyDescent="0.25">
      <c r="A2121" s="2">
        <v>44329</v>
      </c>
      <c r="B2121" t="s">
        <v>50</v>
      </c>
      <c r="C2121">
        <v>-1818</v>
      </c>
      <c r="D2121" t="str">
        <f>VLOOKUP(B2121,Tabela_Auxiliar[],2,0)</f>
        <v>4. Despesas Operacionais</v>
      </c>
      <c r="E2121" t="str">
        <f>VLOOKUP(B2121,Tabela_Auxiliar[],4,0)</f>
        <v>Despesa com Pessoal</v>
      </c>
      <c r="F2121" t="str">
        <f>VLOOKUP(B2121,Tabela_Auxiliar[],3,0)</f>
        <v>Saída</v>
      </c>
      <c r="G2121" t="str">
        <f>UPPER(TEXT(Tabela_DB[[#This Row],[DATA]],"mmm"))</f>
        <v>MAI</v>
      </c>
      <c r="H2121" t="str">
        <f>UPPER(TEXT(Tabela_DB[[#This Row],[DATA]],"aaaa"))</f>
        <v>2021</v>
      </c>
    </row>
    <row r="2122" spans="1:8" x14ac:dyDescent="0.25">
      <c r="A2122" s="2">
        <v>44329</v>
      </c>
      <c r="B2122" t="s">
        <v>34</v>
      </c>
      <c r="C2122">
        <v>-2085</v>
      </c>
      <c r="D2122" t="str">
        <f>VLOOKUP(B2122,Tabela_Auxiliar[],2,0)</f>
        <v>2. Deduções da Receita</v>
      </c>
      <c r="E2122" t="str">
        <f>VLOOKUP(B2122,Tabela_Auxiliar[],4,0)</f>
        <v>Imposto</v>
      </c>
      <c r="F2122" t="str">
        <f>VLOOKUP(B2122,Tabela_Auxiliar[],3,0)</f>
        <v>Saída</v>
      </c>
      <c r="G2122" t="str">
        <f>UPPER(TEXT(Tabela_DB[[#This Row],[DATA]],"mmm"))</f>
        <v>MAI</v>
      </c>
      <c r="H2122" t="str">
        <f>UPPER(TEXT(Tabela_DB[[#This Row],[DATA]],"aaaa"))</f>
        <v>2021</v>
      </c>
    </row>
    <row r="2123" spans="1:8" x14ac:dyDescent="0.25">
      <c r="A2123" s="2">
        <v>44329</v>
      </c>
      <c r="B2123" t="s">
        <v>3</v>
      </c>
      <c r="C2123">
        <v>11484</v>
      </c>
      <c r="D2123" t="str">
        <f>VLOOKUP(B2123,Tabela_Auxiliar[],2,0)</f>
        <v>1. Receita Operacional Bruta</v>
      </c>
      <c r="E2123" t="str">
        <f>VLOOKUP(B2123,Tabela_Auxiliar[],4,0)</f>
        <v>Receita Bruta</v>
      </c>
      <c r="F2123" t="str">
        <f>VLOOKUP(B2123,Tabela_Auxiliar[],3,0)</f>
        <v>Entrada</v>
      </c>
      <c r="G2123" t="str">
        <f>UPPER(TEXT(Tabela_DB[[#This Row],[DATA]],"mmm"))</f>
        <v>MAI</v>
      </c>
      <c r="H2123" t="str">
        <f>UPPER(TEXT(Tabela_DB[[#This Row],[DATA]],"aaaa"))</f>
        <v>2021</v>
      </c>
    </row>
    <row r="2124" spans="1:8" x14ac:dyDescent="0.25">
      <c r="A2124" s="2">
        <v>44330</v>
      </c>
      <c r="B2124" t="s">
        <v>111</v>
      </c>
      <c r="C2124">
        <v>-2320</v>
      </c>
      <c r="D2124" t="str">
        <f>VLOOKUP(B2124,Tabela_Auxiliar[],2,0)</f>
        <v>2. Deduções da Receita</v>
      </c>
      <c r="E2124" t="str">
        <f>VLOOKUP(B2124,Tabela_Auxiliar[],4,0)</f>
        <v>Imposto</v>
      </c>
      <c r="F2124" t="str">
        <f>VLOOKUP(B2124,Tabela_Auxiliar[],3,0)</f>
        <v>Saída</v>
      </c>
      <c r="G2124" t="str">
        <f>UPPER(TEXT(Tabela_DB[[#This Row],[DATA]],"mmm"))</f>
        <v>MAI</v>
      </c>
      <c r="H2124" t="str">
        <f>UPPER(TEXT(Tabela_DB[[#This Row],[DATA]],"aaaa"))</f>
        <v>2021</v>
      </c>
    </row>
    <row r="2125" spans="1:8" x14ac:dyDescent="0.25">
      <c r="A2125" s="2">
        <v>44330</v>
      </c>
      <c r="B2125" t="s">
        <v>34</v>
      </c>
      <c r="C2125">
        <v>-1539</v>
      </c>
      <c r="D2125" t="str">
        <f>VLOOKUP(B2125,Tabela_Auxiliar[],2,0)</f>
        <v>2. Deduções da Receita</v>
      </c>
      <c r="E2125" t="str">
        <f>VLOOKUP(B2125,Tabela_Auxiliar[],4,0)</f>
        <v>Imposto</v>
      </c>
      <c r="F2125" t="str">
        <f>VLOOKUP(B2125,Tabela_Auxiliar[],3,0)</f>
        <v>Saída</v>
      </c>
      <c r="G2125" t="str">
        <f>UPPER(TEXT(Tabela_DB[[#This Row],[DATA]],"mmm"))</f>
        <v>MAI</v>
      </c>
      <c r="H2125" t="str">
        <f>UPPER(TEXT(Tabela_DB[[#This Row],[DATA]],"aaaa"))</f>
        <v>2021</v>
      </c>
    </row>
    <row r="2126" spans="1:8" x14ac:dyDescent="0.25">
      <c r="A2126" s="2">
        <v>44330</v>
      </c>
      <c r="B2126" t="s">
        <v>3</v>
      </c>
      <c r="C2126">
        <v>14804</v>
      </c>
      <c r="D2126" t="str">
        <f>VLOOKUP(B2126,Tabela_Auxiliar[],2,0)</f>
        <v>1. Receita Operacional Bruta</v>
      </c>
      <c r="E2126" t="str">
        <f>VLOOKUP(B2126,Tabela_Auxiliar[],4,0)</f>
        <v>Receita Bruta</v>
      </c>
      <c r="F2126" t="str">
        <f>VLOOKUP(B2126,Tabela_Auxiliar[],3,0)</f>
        <v>Entrada</v>
      </c>
      <c r="G2126" t="str">
        <f>UPPER(TEXT(Tabela_DB[[#This Row],[DATA]],"mmm"))</f>
        <v>MAI</v>
      </c>
      <c r="H2126" t="str">
        <f>UPPER(TEXT(Tabela_DB[[#This Row],[DATA]],"aaaa"))</f>
        <v>2021</v>
      </c>
    </row>
    <row r="2127" spans="1:8" x14ac:dyDescent="0.25">
      <c r="A2127" s="2">
        <v>44330</v>
      </c>
      <c r="B2127" t="s">
        <v>34</v>
      </c>
      <c r="C2127">
        <v>-2410</v>
      </c>
      <c r="D2127" t="str">
        <f>VLOOKUP(B2127,Tabela_Auxiliar[],2,0)</f>
        <v>2. Deduções da Receita</v>
      </c>
      <c r="E2127" t="str">
        <f>VLOOKUP(B2127,Tabela_Auxiliar[],4,0)</f>
        <v>Imposto</v>
      </c>
      <c r="F2127" t="str">
        <f>VLOOKUP(B2127,Tabela_Auxiliar[],3,0)</f>
        <v>Saída</v>
      </c>
      <c r="G2127" t="str">
        <f>UPPER(TEXT(Tabela_DB[[#This Row],[DATA]],"mmm"))</f>
        <v>MAI</v>
      </c>
      <c r="H2127" t="str">
        <f>UPPER(TEXT(Tabela_DB[[#This Row],[DATA]],"aaaa"))</f>
        <v>2021</v>
      </c>
    </row>
    <row r="2128" spans="1:8" x14ac:dyDescent="0.25">
      <c r="A2128" s="2">
        <v>44330</v>
      </c>
      <c r="B2128" t="s">
        <v>89</v>
      </c>
      <c r="C2128">
        <v>-1772</v>
      </c>
      <c r="D2128" t="str">
        <f>VLOOKUP(B2128,Tabela_Auxiliar[],2,0)</f>
        <v>4. Despesas Operacionais</v>
      </c>
      <c r="E2128" t="str">
        <f>VLOOKUP(B2128,Tabela_Auxiliar[],4,0)</f>
        <v>Despesa Tributária</v>
      </c>
      <c r="F2128" t="str">
        <f>VLOOKUP(B2128,Tabela_Auxiliar[],3,0)</f>
        <v>Saída</v>
      </c>
      <c r="G2128" t="str">
        <f>UPPER(TEXT(Tabela_DB[[#This Row],[DATA]],"mmm"))</f>
        <v>MAI</v>
      </c>
      <c r="H2128" t="str">
        <f>UPPER(TEXT(Tabela_DB[[#This Row],[DATA]],"aaaa"))</f>
        <v>2021</v>
      </c>
    </row>
    <row r="2129" spans="1:8" x14ac:dyDescent="0.25">
      <c r="A2129" s="2">
        <v>44330</v>
      </c>
      <c r="B2129" t="s">
        <v>38</v>
      </c>
      <c r="C2129">
        <v>-1272</v>
      </c>
      <c r="D2129" t="str">
        <f>VLOOKUP(B2129,Tabela_Auxiliar[],2,0)</f>
        <v>2. Deduções da Receita</v>
      </c>
      <c r="E2129" t="str">
        <f>VLOOKUP(B2129,Tabela_Auxiliar[],4,0)</f>
        <v>Deduções</v>
      </c>
      <c r="F2129" t="str">
        <f>VLOOKUP(B2129,Tabela_Auxiliar[],3,0)</f>
        <v>Saída</v>
      </c>
      <c r="G2129" t="str">
        <f>UPPER(TEXT(Tabela_DB[[#This Row],[DATA]],"mmm"))</f>
        <v>MAI</v>
      </c>
      <c r="H2129" t="str">
        <f>UPPER(TEXT(Tabela_DB[[#This Row],[DATA]],"aaaa"))</f>
        <v>2021</v>
      </c>
    </row>
    <row r="2130" spans="1:8" x14ac:dyDescent="0.25">
      <c r="A2130" s="2">
        <v>44330</v>
      </c>
      <c r="B2130" t="s">
        <v>90</v>
      </c>
      <c r="C2130">
        <v>-1872</v>
      </c>
      <c r="D2130" t="str">
        <f>VLOOKUP(B2130,Tabela_Auxiliar[],2,0)</f>
        <v>4. Despesas Operacionais</v>
      </c>
      <c r="E2130" t="str">
        <f>VLOOKUP(B2130,Tabela_Auxiliar[],4,0)</f>
        <v>Despesa Tributária</v>
      </c>
      <c r="F2130" t="str">
        <f>VLOOKUP(B2130,Tabela_Auxiliar[],3,0)</f>
        <v>Saída</v>
      </c>
      <c r="G2130" t="str">
        <f>UPPER(TEXT(Tabela_DB[[#This Row],[DATA]],"mmm"))</f>
        <v>MAI</v>
      </c>
      <c r="H2130" t="str">
        <f>UPPER(TEXT(Tabela_DB[[#This Row],[DATA]],"aaaa"))</f>
        <v>2021</v>
      </c>
    </row>
    <row r="2131" spans="1:8" x14ac:dyDescent="0.25">
      <c r="A2131" s="2">
        <v>44330</v>
      </c>
      <c r="B2131" t="s">
        <v>34</v>
      </c>
      <c r="C2131">
        <v>-1999</v>
      </c>
      <c r="D2131" t="str">
        <f>VLOOKUP(B2131,Tabela_Auxiliar[],2,0)</f>
        <v>2. Deduções da Receita</v>
      </c>
      <c r="E2131" t="str">
        <f>VLOOKUP(B2131,Tabela_Auxiliar[],4,0)</f>
        <v>Imposto</v>
      </c>
      <c r="F2131" t="str">
        <f>VLOOKUP(B2131,Tabela_Auxiliar[],3,0)</f>
        <v>Saída</v>
      </c>
      <c r="G2131" t="str">
        <f>UPPER(TEXT(Tabela_DB[[#This Row],[DATA]],"mmm"))</f>
        <v>MAI</v>
      </c>
      <c r="H2131" t="str">
        <f>UPPER(TEXT(Tabela_DB[[#This Row],[DATA]],"aaaa"))</f>
        <v>2021</v>
      </c>
    </row>
    <row r="2132" spans="1:8" x14ac:dyDescent="0.25">
      <c r="A2132" s="2">
        <v>44330</v>
      </c>
      <c r="B2132" t="s">
        <v>82</v>
      </c>
      <c r="C2132">
        <v>-1660</v>
      </c>
      <c r="D2132" t="str">
        <f>VLOOKUP(B2132,Tabela_Auxiliar[],2,0)</f>
        <v>4. Despesas Operacionais</v>
      </c>
      <c r="E2132" t="str">
        <f>VLOOKUP(B2132,Tabela_Auxiliar[],4,0)</f>
        <v>Despesa com Veículos</v>
      </c>
      <c r="F2132" t="str">
        <f>VLOOKUP(B2132,Tabela_Auxiliar[],3,0)</f>
        <v>Saída</v>
      </c>
      <c r="G2132" t="str">
        <f>UPPER(TEXT(Tabela_DB[[#This Row],[DATA]],"mmm"))</f>
        <v>MAI</v>
      </c>
      <c r="H2132" t="str">
        <f>UPPER(TEXT(Tabela_DB[[#This Row],[DATA]],"aaaa"))</f>
        <v>2021</v>
      </c>
    </row>
    <row r="2133" spans="1:8" x14ac:dyDescent="0.25">
      <c r="A2133" s="2">
        <v>44330</v>
      </c>
      <c r="B2133" t="s">
        <v>67</v>
      </c>
      <c r="C2133">
        <v>-2465</v>
      </c>
      <c r="D2133" t="str">
        <f>VLOOKUP(B2133,Tabela_Auxiliar[],2,0)</f>
        <v>4. Despesas Operacionais</v>
      </c>
      <c r="E2133" t="str">
        <f>VLOOKUP(B2133,Tabela_Auxiliar[],4,0)</f>
        <v>Despesa com Vendas</v>
      </c>
      <c r="F2133" t="str">
        <f>VLOOKUP(B2133,Tabela_Auxiliar[],3,0)</f>
        <v>Saída</v>
      </c>
      <c r="G2133" t="str">
        <f>UPPER(TEXT(Tabela_DB[[#This Row],[DATA]],"mmm"))</f>
        <v>MAI</v>
      </c>
      <c r="H2133" t="str">
        <f>UPPER(TEXT(Tabela_DB[[#This Row],[DATA]],"aaaa"))</f>
        <v>2021</v>
      </c>
    </row>
    <row r="2134" spans="1:8" x14ac:dyDescent="0.25">
      <c r="A2134" s="2">
        <v>44330</v>
      </c>
      <c r="B2134" t="s">
        <v>3</v>
      </c>
      <c r="C2134">
        <v>11329</v>
      </c>
      <c r="D2134" t="str">
        <f>VLOOKUP(B2134,Tabela_Auxiliar[],2,0)</f>
        <v>1. Receita Operacional Bruta</v>
      </c>
      <c r="E2134" t="str">
        <f>VLOOKUP(B2134,Tabela_Auxiliar[],4,0)</f>
        <v>Receita Bruta</v>
      </c>
      <c r="F2134" t="str">
        <f>VLOOKUP(B2134,Tabela_Auxiliar[],3,0)</f>
        <v>Entrada</v>
      </c>
      <c r="G2134" t="str">
        <f>UPPER(TEXT(Tabela_DB[[#This Row],[DATA]],"mmm"))</f>
        <v>MAI</v>
      </c>
      <c r="H2134" t="str">
        <f>UPPER(TEXT(Tabela_DB[[#This Row],[DATA]],"aaaa"))</f>
        <v>2021</v>
      </c>
    </row>
    <row r="2135" spans="1:8" x14ac:dyDescent="0.25">
      <c r="A2135" s="2">
        <v>44330</v>
      </c>
      <c r="B2135" t="s">
        <v>111</v>
      </c>
      <c r="C2135">
        <v>-2114</v>
      </c>
      <c r="D2135" t="str">
        <f>VLOOKUP(B2135,Tabela_Auxiliar[],2,0)</f>
        <v>2. Deduções da Receita</v>
      </c>
      <c r="E2135" t="str">
        <f>VLOOKUP(B2135,Tabela_Auxiliar[],4,0)</f>
        <v>Imposto</v>
      </c>
      <c r="F2135" t="str">
        <f>VLOOKUP(B2135,Tabela_Auxiliar[],3,0)</f>
        <v>Saída</v>
      </c>
      <c r="G2135" t="str">
        <f>UPPER(TEXT(Tabela_DB[[#This Row],[DATA]],"mmm"))</f>
        <v>MAI</v>
      </c>
      <c r="H2135" t="str">
        <f>UPPER(TEXT(Tabela_DB[[#This Row],[DATA]],"aaaa"))</f>
        <v>2021</v>
      </c>
    </row>
    <row r="2136" spans="1:8" x14ac:dyDescent="0.25">
      <c r="A2136" s="2">
        <v>44330</v>
      </c>
      <c r="B2136" t="s">
        <v>38</v>
      </c>
      <c r="C2136">
        <v>-1053</v>
      </c>
      <c r="D2136" t="str">
        <f>VLOOKUP(B2136,Tabela_Auxiliar[],2,0)</f>
        <v>2. Deduções da Receita</v>
      </c>
      <c r="E2136" t="str">
        <f>VLOOKUP(B2136,Tabela_Auxiliar[],4,0)</f>
        <v>Deduções</v>
      </c>
      <c r="F2136" t="str">
        <f>VLOOKUP(B2136,Tabela_Auxiliar[],3,0)</f>
        <v>Saída</v>
      </c>
      <c r="G2136" t="str">
        <f>UPPER(TEXT(Tabela_DB[[#This Row],[DATA]],"mmm"))</f>
        <v>MAI</v>
      </c>
      <c r="H2136" t="str">
        <f>UPPER(TEXT(Tabela_DB[[#This Row],[DATA]],"aaaa"))</f>
        <v>2021</v>
      </c>
    </row>
    <row r="2137" spans="1:8" x14ac:dyDescent="0.25">
      <c r="A2137" s="2">
        <v>44330</v>
      </c>
      <c r="B2137" t="s">
        <v>37</v>
      </c>
      <c r="C2137">
        <v>-3518</v>
      </c>
      <c r="D2137" t="str">
        <f>VLOOKUP(B2137,Tabela_Auxiliar[],2,0)</f>
        <v>3. Custos do Produto/Mercadoria/Serviço</v>
      </c>
      <c r="E2137" t="str">
        <f>VLOOKUP(B2137,Tabela_Auxiliar[],4,0)</f>
        <v>Despesas c/ Produto</v>
      </c>
      <c r="F2137" t="str">
        <f>VLOOKUP(B2137,Tabela_Auxiliar[],3,0)</f>
        <v>Saída</v>
      </c>
      <c r="G2137" t="str">
        <f>UPPER(TEXT(Tabela_DB[[#This Row],[DATA]],"mmm"))</f>
        <v>MAI</v>
      </c>
      <c r="H2137" t="str">
        <f>UPPER(TEXT(Tabela_DB[[#This Row],[DATA]],"aaaa"))</f>
        <v>2021</v>
      </c>
    </row>
    <row r="2138" spans="1:8" x14ac:dyDescent="0.25">
      <c r="A2138" s="2">
        <v>44331</v>
      </c>
      <c r="B2138" t="s">
        <v>86</v>
      </c>
      <c r="C2138">
        <v>-2125</v>
      </c>
      <c r="D2138" t="str">
        <f>VLOOKUP(B2138,Tabela_Auxiliar[],2,0)</f>
        <v>4. Despesas Operacionais</v>
      </c>
      <c r="E2138" t="str">
        <f>VLOOKUP(B2138,Tabela_Auxiliar[],4,0)</f>
        <v>Despesa com Veículos</v>
      </c>
      <c r="F2138" t="str">
        <f>VLOOKUP(B2138,Tabela_Auxiliar[],3,0)</f>
        <v>Saída</v>
      </c>
      <c r="G2138" t="str">
        <f>UPPER(TEXT(Tabela_DB[[#This Row],[DATA]],"mmm"))</f>
        <v>MAI</v>
      </c>
      <c r="H2138" t="str">
        <f>UPPER(TEXT(Tabela_DB[[#This Row],[DATA]],"aaaa"))</f>
        <v>2021</v>
      </c>
    </row>
    <row r="2139" spans="1:8" x14ac:dyDescent="0.25">
      <c r="A2139" s="2">
        <v>44331</v>
      </c>
      <c r="B2139" t="s">
        <v>38</v>
      </c>
      <c r="C2139">
        <v>-1438</v>
      </c>
      <c r="D2139" t="str">
        <f>VLOOKUP(B2139,Tabela_Auxiliar[],2,0)</f>
        <v>2. Deduções da Receita</v>
      </c>
      <c r="E2139" t="str">
        <f>VLOOKUP(B2139,Tabela_Auxiliar[],4,0)</f>
        <v>Deduções</v>
      </c>
      <c r="F2139" t="str">
        <f>VLOOKUP(B2139,Tabela_Auxiliar[],3,0)</f>
        <v>Saída</v>
      </c>
      <c r="G2139" t="str">
        <f>UPPER(TEXT(Tabela_DB[[#This Row],[DATA]],"mmm"))</f>
        <v>MAI</v>
      </c>
      <c r="H2139" t="str">
        <f>UPPER(TEXT(Tabela_DB[[#This Row],[DATA]],"aaaa"))</f>
        <v>2021</v>
      </c>
    </row>
    <row r="2140" spans="1:8" x14ac:dyDescent="0.25">
      <c r="A2140" s="2">
        <v>44331</v>
      </c>
      <c r="B2140" t="s">
        <v>68</v>
      </c>
      <c r="C2140">
        <v>-1690</v>
      </c>
      <c r="D2140" t="str">
        <f>VLOOKUP(B2140,Tabela_Auxiliar[],2,0)</f>
        <v>4. Despesas Operacionais</v>
      </c>
      <c r="E2140" t="str">
        <f>VLOOKUP(B2140,Tabela_Auxiliar[],4,0)</f>
        <v>Despesa com Ocupação</v>
      </c>
      <c r="F2140" t="str">
        <f>VLOOKUP(B2140,Tabela_Auxiliar[],3,0)</f>
        <v>Saída</v>
      </c>
      <c r="G2140" t="str">
        <f>UPPER(TEXT(Tabela_DB[[#This Row],[DATA]],"mmm"))</f>
        <v>MAI</v>
      </c>
      <c r="H2140" t="str">
        <f>UPPER(TEXT(Tabela_DB[[#This Row],[DATA]],"aaaa"))</f>
        <v>2021</v>
      </c>
    </row>
    <row r="2141" spans="1:8" x14ac:dyDescent="0.25">
      <c r="A2141" s="2">
        <v>44331</v>
      </c>
      <c r="B2141" t="s">
        <v>3</v>
      </c>
      <c r="C2141">
        <v>14267</v>
      </c>
      <c r="D2141" t="str">
        <f>VLOOKUP(B2141,Tabela_Auxiliar[],2,0)</f>
        <v>1. Receita Operacional Bruta</v>
      </c>
      <c r="E2141" t="str">
        <f>VLOOKUP(B2141,Tabela_Auxiliar[],4,0)</f>
        <v>Receita Bruta</v>
      </c>
      <c r="F2141" t="str">
        <f>VLOOKUP(B2141,Tabela_Auxiliar[],3,0)</f>
        <v>Entrada</v>
      </c>
      <c r="G2141" t="str">
        <f>UPPER(TEXT(Tabela_DB[[#This Row],[DATA]],"mmm"))</f>
        <v>MAI</v>
      </c>
      <c r="H2141" t="str">
        <f>UPPER(TEXT(Tabela_DB[[#This Row],[DATA]],"aaaa"))</f>
        <v>2021</v>
      </c>
    </row>
    <row r="2142" spans="1:8" x14ac:dyDescent="0.25">
      <c r="A2142" s="2">
        <v>44331</v>
      </c>
      <c r="B2142" t="s">
        <v>34</v>
      </c>
      <c r="C2142">
        <v>-1126</v>
      </c>
      <c r="D2142" t="str">
        <f>VLOOKUP(B2142,Tabela_Auxiliar[],2,0)</f>
        <v>2. Deduções da Receita</v>
      </c>
      <c r="E2142" t="str">
        <f>VLOOKUP(B2142,Tabela_Auxiliar[],4,0)</f>
        <v>Imposto</v>
      </c>
      <c r="F2142" t="str">
        <f>VLOOKUP(B2142,Tabela_Auxiliar[],3,0)</f>
        <v>Saída</v>
      </c>
      <c r="G2142" t="str">
        <f>UPPER(TEXT(Tabela_DB[[#This Row],[DATA]],"mmm"))</f>
        <v>MAI</v>
      </c>
      <c r="H2142" t="str">
        <f>UPPER(TEXT(Tabela_DB[[#This Row],[DATA]],"aaaa"))</f>
        <v>2021</v>
      </c>
    </row>
    <row r="2143" spans="1:8" x14ac:dyDescent="0.25">
      <c r="A2143" s="2">
        <v>44331</v>
      </c>
      <c r="B2143" t="s">
        <v>3</v>
      </c>
      <c r="C2143">
        <v>13784</v>
      </c>
      <c r="D2143" t="str">
        <f>VLOOKUP(B2143,Tabela_Auxiliar[],2,0)</f>
        <v>1. Receita Operacional Bruta</v>
      </c>
      <c r="E2143" t="str">
        <f>VLOOKUP(B2143,Tabela_Auxiliar[],4,0)</f>
        <v>Receita Bruta</v>
      </c>
      <c r="F2143" t="str">
        <f>VLOOKUP(B2143,Tabela_Auxiliar[],3,0)</f>
        <v>Entrada</v>
      </c>
      <c r="G2143" t="str">
        <f>UPPER(TEXT(Tabela_DB[[#This Row],[DATA]],"mmm"))</f>
        <v>MAI</v>
      </c>
      <c r="H2143" t="str">
        <f>UPPER(TEXT(Tabela_DB[[#This Row],[DATA]],"aaaa"))</f>
        <v>2021</v>
      </c>
    </row>
    <row r="2144" spans="1:8" x14ac:dyDescent="0.25">
      <c r="A2144" s="2">
        <v>44331</v>
      </c>
      <c r="B2144" t="s">
        <v>102</v>
      </c>
      <c r="C2144">
        <v>-2140</v>
      </c>
      <c r="D2144" t="str">
        <f>VLOOKUP(B2144,Tabela_Auxiliar[],2,0)</f>
        <v>6. Resultado após o Resultado Financeiro</v>
      </c>
      <c r="E2144" t="str">
        <f>VLOOKUP(B2144,Tabela_Auxiliar[],4,0)</f>
        <v>EBTIDA</v>
      </c>
      <c r="F2144" t="str">
        <f>VLOOKUP(B2144,Tabela_Auxiliar[],3,0)</f>
        <v>Saída</v>
      </c>
      <c r="G2144" t="str">
        <f>UPPER(TEXT(Tabela_DB[[#This Row],[DATA]],"mmm"))</f>
        <v>MAI</v>
      </c>
      <c r="H2144" t="str">
        <f>UPPER(TEXT(Tabela_DB[[#This Row],[DATA]],"aaaa"))</f>
        <v>2021</v>
      </c>
    </row>
    <row r="2145" spans="1:8" x14ac:dyDescent="0.25">
      <c r="A2145" s="2">
        <v>44331</v>
      </c>
      <c r="B2145" t="s">
        <v>56</v>
      </c>
      <c r="C2145">
        <v>-2480</v>
      </c>
      <c r="D2145" t="str">
        <f>VLOOKUP(B2145,Tabela_Auxiliar[],2,0)</f>
        <v>4. Despesas Operacionais</v>
      </c>
      <c r="E2145" t="str">
        <f>VLOOKUP(B2145,Tabela_Auxiliar[],4,0)</f>
        <v>Despesa com Pessoal</v>
      </c>
      <c r="F2145" t="str">
        <f>VLOOKUP(B2145,Tabela_Auxiliar[],3,0)</f>
        <v>Saída</v>
      </c>
      <c r="G2145" t="str">
        <f>UPPER(TEXT(Tabela_DB[[#This Row],[DATA]],"mmm"))</f>
        <v>MAI</v>
      </c>
      <c r="H2145" t="str">
        <f>UPPER(TEXT(Tabela_DB[[#This Row],[DATA]],"aaaa"))</f>
        <v>2021</v>
      </c>
    </row>
    <row r="2146" spans="1:8" x14ac:dyDescent="0.25">
      <c r="A2146" s="2">
        <v>44331</v>
      </c>
      <c r="B2146" t="s">
        <v>37</v>
      </c>
      <c r="C2146">
        <v>-2546</v>
      </c>
      <c r="D2146" t="str">
        <f>VLOOKUP(B2146,Tabela_Auxiliar[],2,0)</f>
        <v>3. Custos do Produto/Mercadoria/Serviço</v>
      </c>
      <c r="E2146" t="str">
        <f>VLOOKUP(B2146,Tabela_Auxiliar[],4,0)</f>
        <v>Despesas c/ Produto</v>
      </c>
      <c r="F2146" t="str">
        <f>VLOOKUP(B2146,Tabela_Auxiliar[],3,0)</f>
        <v>Saída</v>
      </c>
      <c r="G2146" t="str">
        <f>UPPER(TEXT(Tabela_DB[[#This Row],[DATA]],"mmm"))</f>
        <v>MAI</v>
      </c>
      <c r="H2146" t="str">
        <f>UPPER(TEXT(Tabela_DB[[#This Row],[DATA]],"aaaa"))</f>
        <v>2021</v>
      </c>
    </row>
    <row r="2147" spans="1:8" x14ac:dyDescent="0.25">
      <c r="A2147" s="2">
        <v>44331</v>
      </c>
      <c r="B2147" t="s">
        <v>77</v>
      </c>
      <c r="C2147">
        <v>-1753</v>
      </c>
      <c r="D2147" t="str">
        <f>VLOOKUP(B2147,Tabela_Auxiliar[],2,0)</f>
        <v>4. Despesas Operacionais</v>
      </c>
      <c r="E2147" t="str">
        <f>VLOOKUP(B2147,Tabela_Auxiliar[],4,0)</f>
        <v>Serviços Contratados</v>
      </c>
      <c r="F2147" t="str">
        <f>VLOOKUP(B2147,Tabela_Auxiliar[],3,0)</f>
        <v>Saída</v>
      </c>
      <c r="G2147" t="str">
        <f>UPPER(TEXT(Tabela_DB[[#This Row],[DATA]],"mmm"))</f>
        <v>MAI</v>
      </c>
      <c r="H2147" t="str">
        <f>UPPER(TEXT(Tabela_DB[[#This Row],[DATA]],"aaaa"))</f>
        <v>2021</v>
      </c>
    </row>
    <row r="2148" spans="1:8" x14ac:dyDescent="0.25">
      <c r="A2148" s="2">
        <v>44331</v>
      </c>
      <c r="B2148" t="s">
        <v>38</v>
      </c>
      <c r="C2148">
        <v>-1190</v>
      </c>
      <c r="D2148" t="str">
        <f>VLOOKUP(B2148,Tabela_Auxiliar[],2,0)</f>
        <v>2. Deduções da Receita</v>
      </c>
      <c r="E2148" t="str">
        <f>VLOOKUP(B2148,Tabela_Auxiliar[],4,0)</f>
        <v>Deduções</v>
      </c>
      <c r="F2148" t="str">
        <f>VLOOKUP(B2148,Tabela_Auxiliar[],3,0)</f>
        <v>Saída</v>
      </c>
      <c r="G2148" t="str">
        <f>UPPER(TEXT(Tabela_DB[[#This Row],[DATA]],"mmm"))</f>
        <v>MAI</v>
      </c>
      <c r="H2148" t="str">
        <f>UPPER(TEXT(Tabela_DB[[#This Row],[DATA]],"aaaa"))</f>
        <v>2021</v>
      </c>
    </row>
    <row r="2149" spans="1:8" x14ac:dyDescent="0.25">
      <c r="A2149" s="2">
        <v>44331</v>
      </c>
      <c r="B2149" t="s">
        <v>111</v>
      </c>
      <c r="C2149">
        <v>-2470</v>
      </c>
      <c r="D2149" t="str">
        <f>VLOOKUP(B2149,Tabela_Auxiliar[],2,0)</f>
        <v>2. Deduções da Receita</v>
      </c>
      <c r="E2149" t="str">
        <f>VLOOKUP(B2149,Tabela_Auxiliar[],4,0)</f>
        <v>Imposto</v>
      </c>
      <c r="F2149" t="str">
        <f>VLOOKUP(B2149,Tabela_Auxiliar[],3,0)</f>
        <v>Saída</v>
      </c>
      <c r="G2149" t="str">
        <f>UPPER(TEXT(Tabela_DB[[#This Row],[DATA]],"mmm"))</f>
        <v>MAI</v>
      </c>
      <c r="H2149" t="str">
        <f>UPPER(TEXT(Tabela_DB[[#This Row],[DATA]],"aaaa"))</f>
        <v>2021</v>
      </c>
    </row>
    <row r="2150" spans="1:8" x14ac:dyDescent="0.25">
      <c r="A2150" s="2">
        <v>44332</v>
      </c>
      <c r="B2150" t="s">
        <v>45</v>
      </c>
      <c r="C2150">
        <v>-1548</v>
      </c>
      <c r="D2150" t="str">
        <f>VLOOKUP(B2150,Tabela_Auxiliar[],2,0)</f>
        <v>4. Despesas Operacionais</v>
      </c>
      <c r="E2150" t="str">
        <f>VLOOKUP(B2150,Tabela_Auxiliar[],4,0)</f>
        <v>Despesa com Pessoal</v>
      </c>
      <c r="F2150" t="str">
        <f>VLOOKUP(B2150,Tabela_Auxiliar[],3,0)</f>
        <v>Saída</v>
      </c>
      <c r="G2150" t="str">
        <f>UPPER(TEXT(Tabela_DB[[#This Row],[DATA]],"mmm"))</f>
        <v>MAI</v>
      </c>
      <c r="H2150" t="str">
        <f>UPPER(TEXT(Tabela_DB[[#This Row],[DATA]],"aaaa"))</f>
        <v>2021</v>
      </c>
    </row>
    <row r="2151" spans="1:8" x14ac:dyDescent="0.25">
      <c r="A2151" s="2">
        <v>44332</v>
      </c>
      <c r="B2151" t="s">
        <v>34</v>
      </c>
      <c r="C2151">
        <v>-1120</v>
      </c>
      <c r="D2151" t="str">
        <f>VLOOKUP(B2151,Tabela_Auxiliar[],2,0)</f>
        <v>2. Deduções da Receita</v>
      </c>
      <c r="E2151" t="str">
        <f>VLOOKUP(B2151,Tabela_Auxiliar[],4,0)</f>
        <v>Imposto</v>
      </c>
      <c r="F2151" t="str">
        <f>VLOOKUP(B2151,Tabela_Auxiliar[],3,0)</f>
        <v>Saída</v>
      </c>
      <c r="G2151" t="str">
        <f>UPPER(TEXT(Tabela_DB[[#This Row],[DATA]],"mmm"))</f>
        <v>MAI</v>
      </c>
      <c r="H2151" t="str">
        <f>UPPER(TEXT(Tabela_DB[[#This Row],[DATA]],"aaaa"))</f>
        <v>2021</v>
      </c>
    </row>
    <row r="2152" spans="1:8" x14ac:dyDescent="0.25">
      <c r="A2152" s="2">
        <v>44332</v>
      </c>
      <c r="B2152" t="s">
        <v>38</v>
      </c>
      <c r="C2152">
        <v>-2234</v>
      </c>
      <c r="D2152" t="str">
        <f>VLOOKUP(B2152,Tabela_Auxiliar[],2,0)</f>
        <v>2. Deduções da Receita</v>
      </c>
      <c r="E2152" t="str">
        <f>VLOOKUP(B2152,Tabela_Auxiliar[],4,0)</f>
        <v>Deduções</v>
      </c>
      <c r="F2152" t="str">
        <f>VLOOKUP(B2152,Tabela_Auxiliar[],3,0)</f>
        <v>Saída</v>
      </c>
      <c r="G2152" t="str">
        <f>UPPER(TEXT(Tabela_DB[[#This Row],[DATA]],"mmm"))</f>
        <v>MAI</v>
      </c>
      <c r="H2152" t="str">
        <f>UPPER(TEXT(Tabela_DB[[#This Row],[DATA]],"aaaa"))</f>
        <v>2021</v>
      </c>
    </row>
    <row r="2153" spans="1:8" x14ac:dyDescent="0.25">
      <c r="A2153" s="2">
        <v>44332</v>
      </c>
      <c r="B2153" t="s">
        <v>38</v>
      </c>
      <c r="C2153">
        <v>-1045</v>
      </c>
      <c r="D2153" t="str">
        <f>VLOOKUP(B2153,Tabela_Auxiliar[],2,0)</f>
        <v>2. Deduções da Receita</v>
      </c>
      <c r="E2153" t="str">
        <f>VLOOKUP(B2153,Tabela_Auxiliar[],4,0)</f>
        <v>Deduções</v>
      </c>
      <c r="F2153" t="str">
        <f>VLOOKUP(B2153,Tabela_Auxiliar[],3,0)</f>
        <v>Saída</v>
      </c>
      <c r="G2153" t="str">
        <f>UPPER(TEXT(Tabela_DB[[#This Row],[DATA]],"mmm"))</f>
        <v>MAI</v>
      </c>
      <c r="H2153" t="str">
        <f>UPPER(TEXT(Tabela_DB[[#This Row],[DATA]],"aaaa"))</f>
        <v>2021</v>
      </c>
    </row>
    <row r="2154" spans="1:8" x14ac:dyDescent="0.25">
      <c r="A2154" s="2">
        <v>44332</v>
      </c>
      <c r="B2154" t="s">
        <v>111</v>
      </c>
      <c r="C2154">
        <v>-2422</v>
      </c>
      <c r="D2154" t="str">
        <f>VLOOKUP(B2154,Tabela_Auxiliar[],2,0)</f>
        <v>2. Deduções da Receita</v>
      </c>
      <c r="E2154" t="str">
        <f>VLOOKUP(B2154,Tabela_Auxiliar[],4,0)</f>
        <v>Imposto</v>
      </c>
      <c r="F2154" t="str">
        <f>VLOOKUP(B2154,Tabela_Auxiliar[],3,0)</f>
        <v>Saída</v>
      </c>
      <c r="G2154" t="str">
        <f>UPPER(TEXT(Tabela_DB[[#This Row],[DATA]],"mmm"))</f>
        <v>MAI</v>
      </c>
      <c r="H2154" t="str">
        <f>UPPER(TEXT(Tabela_DB[[#This Row],[DATA]],"aaaa"))</f>
        <v>2021</v>
      </c>
    </row>
    <row r="2155" spans="1:8" x14ac:dyDescent="0.25">
      <c r="A2155" s="2">
        <v>44332</v>
      </c>
      <c r="B2155" t="s">
        <v>3</v>
      </c>
      <c r="C2155">
        <v>10868</v>
      </c>
      <c r="D2155" t="str">
        <f>VLOOKUP(B2155,Tabela_Auxiliar[],2,0)</f>
        <v>1. Receita Operacional Bruta</v>
      </c>
      <c r="E2155" t="str">
        <f>VLOOKUP(B2155,Tabela_Auxiliar[],4,0)</f>
        <v>Receita Bruta</v>
      </c>
      <c r="F2155" t="str">
        <f>VLOOKUP(B2155,Tabela_Auxiliar[],3,0)</f>
        <v>Entrada</v>
      </c>
      <c r="G2155" t="str">
        <f>UPPER(TEXT(Tabela_DB[[#This Row],[DATA]],"mmm"))</f>
        <v>MAI</v>
      </c>
      <c r="H2155" t="str">
        <f>UPPER(TEXT(Tabela_DB[[#This Row],[DATA]],"aaaa"))</f>
        <v>2021</v>
      </c>
    </row>
    <row r="2156" spans="1:8" x14ac:dyDescent="0.25">
      <c r="A2156" s="2">
        <v>44332</v>
      </c>
      <c r="B2156" t="s">
        <v>38</v>
      </c>
      <c r="C2156">
        <v>-2469</v>
      </c>
      <c r="D2156" t="str">
        <f>VLOOKUP(B2156,Tabela_Auxiliar[],2,0)</f>
        <v>2. Deduções da Receita</v>
      </c>
      <c r="E2156" t="str">
        <f>VLOOKUP(B2156,Tabela_Auxiliar[],4,0)</f>
        <v>Deduções</v>
      </c>
      <c r="F2156" t="str">
        <f>VLOOKUP(B2156,Tabela_Auxiliar[],3,0)</f>
        <v>Saída</v>
      </c>
      <c r="G2156" t="str">
        <f>UPPER(TEXT(Tabela_DB[[#This Row],[DATA]],"mmm"))</f>
        <v>MAI</v>
      </c>
      <c r="H2156" t="str">
        <f>UPPER(TEXT(Tabela_DB[[#This Row],[DATA]],"aaaa"))</f>
        <v>2021</v>
      </c>
    </row>
    <row r="2157" spans="1:8" x14ac:dyDescent="0.25">
      <c r="A2157" s="2">
        <v>44332</v>
      </c>
      <c r="B2157" t="s">
        <v>77</v>
      </c>
      <c r="C2157">
        <v>-2307</v>
      </c>
      <c r="D2157" t="str">
        <f>VLOOKUP(B2157,Tabela_Auxiliar[],2,0)</f>
        <v>4. Despesas Operacionais</v>
      </c>
      <c r="E2157" t="str">
        <f>VLOOKUP(B2157,Tabela_Auxiliar[],4,0)</f>
        <v>Serviços Contratados</v>
      </c>
      <c r="F2157" t="str">
        <f>VLOOKUP(B2157,Tabela_Auxiliar[],3,0)</f>
        <v>Saída</v>
      </c>
      <c r="G2157" t="str">
        <f>UPPER(TEXT(Tabela_DB[[#This Row],[DATA]],"mmm"))</f>
        <v>MAI</v>
      </c>
      <c r="H2157" t="str">
        <f>UPPER(TEXT(Tabela_DB[[#This Row],[DATA]],"aaaa"))</f>
        <v>2021</v>
      </c>
    </row>
    <row r="2158" spans="1:8" x14ac:dyDescent="0.25">
      <c r="A2158" s="2">
        <v>44332</v>
      </c>
      <c r="B2158" t="s">
        <v>3</v>
      </c>
      <c r="C2158">
        <v>13349</v>
      </c>
      <c r="D2158" t="str">
        <f>VLOOKUP(B2158,Tabela_Auxiliar[],2,0)</f>
        <v>1. Receita Operacional Bruta</v>
      </c>
      <c r="E2158" t="str">
        <f>VLOOKUP(B2158,Tabela_Auxiliar[],4,0)</f>
        <v>Receita Bruta</v>
      </c>
      <c r="F2158" t="str">
        <f>VLOOKUP(B2158,Tabela_Auxiliar[],3,0)</f>
        <v>Entrada</v>
      </c>
      <c r="G2158" t="str">
        <f>UPPER(TEXT(Tabela_DB[[#This Row],[DATA]],"mmm"))</f>
        <v>MAI</v>
      </c>
      <c r="H2158" t="str">
        <f>UPPER(TEXT(Tabela_DB[[#This Row],[DATA]],"aaaa"))</f>
        <v>2021</v>
      </c>
    </row>
    <row r="2159" spans="1:8" x14ac:dyDescent="0.25">
      <c r="A2159" s="2">
        <v>44332</v>
      </c>
      <c r="B2159" t="s">
        <v>37</v>
      </c>
      <c r="C2159">
        <v>-4623</v>
      </c>
      <c r="D2159" t="str">
        <f>VLOOKUP(B2159,Tabela_Auxiliar[],2,0)</f>
        <v>3. Custos do Produto/Mercadoria/Serviço</v>
      </c>
      <c r="E2159" t="str">
        <f>VLOOKUP(B2159,Tabela_Auxiliar[],4,0)</f>
        <v>Despesas c/ Produto</v>
      </c>
      <c r="F2159" t="str">
        <f>VLOOKUP(B2159,Tabela_Auxiliar[],3,0)</f>
        <v>Saída</v>
      </c>
      <c r="G2159" t="str">
        <f>UPPER(TEXT(Tabela_DB[[#This Row],[DATA]],"mmm"))</f>
        <v>MAI</v>
      </c>
      <c r="H2159" t="str">
        <f>UPPER(TEXT(Tabela_DB[[#This Row],[DATA]],"aaaa"))</f>
        <v>2021</v>
      </c>
    </row>
    <row r="2160" spans="1:8" x14ac:dyDescent="0.25">
      <c r="A2160" s="2">
        <v>44332</v>
      </c>
      <c r="B2160" t="s">
        <v>3</v>
      </c>
      <c r="C2160">
        <v>10716</v>
      </c>
      <c r="D2160" t="str">
        <f>VLOOKUP(B2160,Tabela_Auxiliar[],2,0)</f>
        <v>1. Receita Operacional Bruta</v>
      </c>
      <c r="E2160" t="str">
        <f>VLOOKUP(B2160,Tabela_Auxiliar[],4,0)</f>
        <v>Receita Bruta</v>
      </c>
      <c r="F2160" t="str">
        <f>VLOOKUP(B2160,Tabela_Auxiliar[],3,0)</f>
        <v>Entrada</v>
      </c>
      <c r="G2160" t="str">
        <f>UPPER(TEXT(Tabela_DB[[#This Row],[DATA]],"mmm"))</f>
        <v>MAI</v>
      </c>
      <c r="H2160" t="str">
        <f>UPPER(TEXT(Tabela_DB[[#This Row],[DATA]],"aaaa"))</f>
        <v>2021</v>
      </c>
    </row>
    <row r="2161" spans="1:8" x14ac:dyDescent="0.25">
      <c r="A2161" s="2">
        <v>44332</v>
      </c>
      <c r="B2161" t="s">
        <v>46</v>
      </c>
      <c r="C2161">
        <v>-1607</v>
      </c>
      <c r="D2161" t="str">
        <f>VLOOKUP(B2161,Tabela_Auxiliar[],2,0)</f>
        <v>4. Despesas Operacionais</v>
      </c>
      <c r="E2161" t="str">
        <f>VLOOKUP(B2161,Tabela_Auxiliar[],4,0)</f>
        <v>Despesa com Pessoal</v>
      </c>
      <c r="F2161" t="str">
        <f>VLOOKUP(B2161,Tabela_Auxiliar[],3,0)</f>
        <v>Saída</v>
      </c>
      <c r="G2161" t="str">
        <f>UPPER(TEXT(Tabela_DB[[#This Row],[DATA]],"mmm"))</f>
        <v>MAI</v>
      </c>
      <c r="H2161" t="str">
        <f>UPPER(TEXT(Tabela_DB[[#This Row],[DATA]],"aaaa"))</f>
        <v>2021</v>
      </c>
    </row>
    <row r="2162" spans="1:8" x14ac:dyDescent="0.25">
      <c r="A2162" s="2">
        <v>44333</v>
      </c>
      <c r="B2162" t="s">
        <v>37</v>
      </c>
      <c r="C2162">
        <v>-2751</v>
      </c>
      <c r="D2162" t="str">
        <f>VLOOKUP(B2162,Tabela_Auxiliar[],2,0)</f>
        <v>3. Custos do Produto/Mercadoria/Serviço</v>
      </c>
      <c r="E2162" t="str">
        <f>VLOOKUP(B2162,Tabela_Auxiliar[],4,0)</f>
        <v>Despesas c/ Produto</v>
      </c>
      <c r="F2162" t="str">
        <f>VLOOKUP(B2162,Tabela_Auxiliar[],3,0)</f>
        <v>Saída</v>
      </c>
      <c r="G2162" t="str">
        <f>UPPER(TEXT(Tabela_DB[[#This Row],[DATA]],"mmm"))</f>
        <v>MAI</v>
      </c>
      <c r="H2162" t="str">
        <f>UPPER(TEXT(Tabela_DB[[#This Row],[DATA]],"aaaa"))</f>
        <v>2021</v>
      </c>
    </row>
    <row r="2163" spans="1:8" x14ac:dyDescent="0.25">
      <c r="A2163" s="2">
        <v>44333</v>
      </c>
      <c r="B2163" t="s">
        <v>4</v>
      </c>
      <c r="C2163">
        <v>14265</v>
      </c>
      <c r="D2163" t="str">
        <f>VLOOKUP(B2163,Tabela_Auxiliar[],2,0)</f>
        <v>1. Receita Operacional Bruta</v>
      </c>
      <c r="E2163" t="str">
        <f>VLOOKUP(B2163,Tabela_Auxiliar[],4,0)</f>
        <v>Receita Bruta</v>
      </c>
      <c r="F2163" t="str">
        <f>VLOOKUP(B2163,Tabela_Auxiliar[],3,0)</f>
        <v>Entrada</v>
      </c>
      <c r="G2163" t="str">
        <f>UPPER(TEXT(Tabela_DB[[#This Row],[DATA]],"mmm"))</f>
        <v>MAI</v>
      </c>
      <c r="H2163" t="str">
        <f>UPPER(TEXT(Tabela_DB[[#This Row],[DATA]],"aaaa"))</f>
        <v>2021</v>
      </c>
    </row>
    <row r="2164" spans="1:8" x14ac:dyDescent="0.25">
      <c r="A2164" s="2">
        <v>44333</v>
      </c>
      <c r="B2164" t="s">
        <v>38</v>
      </c>
      <c r="C2164">
        <v>-1071</v>
      </c>
      <c r="D2164" t="str">
        <f>VLOOKUP(B2164,Tabela_Auxiliar[],2,0)</f>
        <v>2. Deduções da Receita</v>
      </c>
      <c r="E2164" t="str">
        <f>VLOOKUP(B2164,Tabela_Auxiliar[],4,0)</f>
        <v>Deduções</v>
      </c>
      <c r="F2164" t="str">
        <f>VLOOKUP(B2164,Tabela_Auxiliar[],3,0)</f>
        <v>Saída</v>
      </c>
      <c r="G2164" t="str">
        <f>UPPER(TEXT(Tabela_DB[[#This Row],[DATA]],"mmm"))</f>
        <v>MAI</v>
      </c>
      <c r="H2164" t="str">
        <f>UPPER(TEXT(Tabela_DB[[#This Row],[DATA]],"aaaa"))</f>
        <v>2021</v>
      </c>
    </row>
    <row r="2165" spans="1:8" x14ac:dyDescent="0.25">
      <c r="A2165" s="2">
        <v>44333</v>
      </c>
      <c r="B2165" t="s">
        <v>63</v>
      </c>
      <c r="C2165">
        <v>-2014</v>
      </c>
      <c r="D2165" t="str">
        <f>VLOOKUP(B2165,Tabela_Auxiliar[],2,0)</f>
        <v>4. Despesas Operacionais</v>
      </c>
      <c r="E2165" t="str">
        <f>VLOOKUP(B2165,Tabela_Auxiliar[],4,0)</f>
        <v>Despesa Gerais</v>
      </c>
      <c r="F2165" t="str">
        <f>VLOOKUP(B2165,Tabela_Auxiliar[],3,0)</f>
        <v>Saída</v>
      </c>
      <c r="G2165" t="str">
        <f>UPPER(TEXT(Tabela_DB[[#This Row],[DATA]],"mmm"))</f>
        <v>MAI</v>
      </c>
      <c r="H2165" t="str">
        <f>UPPER(TEXT(Tabela_DB[[#This Row],[DATA]],"aaaa"))</f>
        <v>2021</v>
      </c>
    </row>
    <row r="2166" spans="1:8" x14ac:dyDescent="0.25">
      <c r="A2166" s="2">
        <v>44333</v>
      </c>
      <c r="B2166" t="s">
        <v>34</v>
      </c>
      <c r="C2166">
        <v>-2180</v>
      </c>
      <c r="D2166" t="str">
        <f>VLOOKUP(B2166,Tabela_Auxiliar[],2,0)</f>
        <v>2. Deduções da Receita</v>
      </c>
      <c r="E2166" t="str">
        <f>VLOOKUP(B2166,Tabela_Auxiliar[],4,0)</f>
        <v>Imposto</v>
      </c>
      <c r="F2166" t="str">
        <f>VLOOKUP(B2166,Tabela_Auxiliar[],3,0)</f>
        <v>Saída</v>
      </c>
      <c r="G2166" t="str">
        <f>UPPER(TEXT(Tabela_DB[[#This Row],[DATA]],"mmm"))</f>
        <v>MAI</v>
      </c>
      <c r="H2166" t="str">
        <f>UPPER(TEXT(Tabela_DB[[#This Row],[DATA]],"aaaa"))</f>
        <v>2021</v>
      </c>
    </row>
    <row r="2167" spans="1:8" x14ac:dyDescent="0.25">
      <c r="A2167" s="2">
        <v>44333</v>
      </c>
      <c r="B2167" t="s">
        <v>38</v>
      </c>
      <c r="C2167">
        <v>-2459</v>
      </c>
      <c r="D2167" t="str">
        <f>VLOOKUP(B2167,Tabela_Auxiliar[],2,0)</f>
        <v>2. Deduções da Receita</v>
      </c>
      <c r="E2167" t="str">
        <f>VLOOKUP(B2167,Tabela_Auxiliar[],4,0)</f>
        <v>Deduções</v>
      </c>
      <c r="F2167" t="str">
        <f>VLOOKUP(B2167,Tabela_Auxiliar[],3,0)</f>
        <v>Saída</v>
      </c>
      <c r="G2167" t="str">
        <f>UPPER(TEXT(Tabela_DB[[#This Row],[DATA]],"mmm"))</f>
        <v>MAI</v>
      </c>
      <c r="H2167" t="str">
        <f>UPPER(TEXT(Tabela_DB[[#This Row],[DATA]],"aaaa"))</f>
        <v>2021</v>
      </c>
    </row>
    <row r="2168" spans="1:8" x14ac:dyDescent="0.25">
      <c r="A2168" s="2">
        <v>44334</v>
      </c>
      <c r="B2168" t="s">
        <v>111</v>
      </c>
      <c r="C2168">
        <v>-2247</v>
      </c>
      <c r="D2168" t="str">
        <f>VLOOKUP(B2168,Tabela_Auxiliar[],2,0)</f>
        <v>2. Deduções da Receita</v>
      </c>
      <c r="E2168" t="str">
        <f>VLOOKUP(B2168,Tabela_Auxiliar[],4,0)</f>
        <v>Imposto</v>
      </c>
      <c r="F2168" t="str">
        <f>VLOOKUP(B2168,Tabela_Auxiliar[],3,0)</f>
        <v>Saída</v>
      </c>
      <c r="G2168" t="str">
        <f>UPPER(TEXT(Tabela_DB[[#This Row],[DATA]],"mmm"))</f>
        <v>MAI</v>
      </c>
      <c r="H2168" t="str">
        <f>UPPER(TEXT(Tabela_DB[[#This Row],[DATA]],"aaaa"))</f>
        <v>2021</v>
      </c>
    </row>
    <row r="2169" spans="1:8" x14ac:dyDescent="0.25">
      <c r="A2169" s="2">
        <v>44334</v>
      </c>
      <c r="B2169" t="s">
        <v>35</v>
      </c>
      <c r="C2169">
        <v>-2121</v>
      </c>
      <c r="D2169" t="str">
        <f>VLOOKUP(B2169,Tabela_Auxiliar[],2,0)</f>
        <v>2. Deduções da Receita</v>
      </c>
      <c r="E2169" t="str">
        <f>VLOOKUP(B2169,Tabela_Auxiliar[],4,0)</f>
        <v>Imposto</v>
      </c>
      <c r="F2169" t="str">
        <f>VLOOKUP(B2169,Tabela_Auxiliar[],3,0)</f>
        <v>Saída</v>
      </c>
      <c r="G2169" t="str">
        <f>UPPER(TEXT(Tabela_DB[[#This Row],[DATA]],"mmm"))</f>
        <v>MAI</v>
      </c>
      <c r="H2169" t="str">
        <f>UPPER(TEXT(Tabela_DB[[#This Row],[DATA]],"aaaa"))</f>
        <v>2021</v>
      </c>
    </row>
    <row r="2170" spans="1:8" x14ac:dyDescent="0.25">
      <c r="A2170" s="2">
        <v>44334</v>
      </c>
      <c r="B2170" t="s">
        <v>64</v>
      </c>
      <c r="C2170">
        <v>-1717</v>
      </c>
      <c r="D2170" t="str">
        <f>VLOOKUP(B2170,Tabela_Auxiliar[],2,0)</f>
        <v>4. Despesas Operacionais</v>
      </c>
      <c r="E2170" t="str">
        <f>VLOOKUP(B2170,Tabela_Auxiliar[],4,0)</f>
        <v>Despesa Gerais</v>
      </c>
      <c r="F2170" t="str">
        <f>VLOOKUP(B2170,Tabela_Auxiliar[],3,0)</f>
        <v>Saída</v>
      </c>
      <c r="G2170" t="str">
        <f>UPPER(TEXT(Tabela_DB[[#This Row],[DATA]],"mmm"))</f>
        <v>MAI</v>
      </c>
      <c r="H2170" t="str">
        <f>UPPER(TEXT(Tabela_DB[[#This Row],[DATA]],"aaaa"))</f>
        <v>2021</v>
      </c>
    </row>
    <row r="2171" spans="1:8" x14ac:dyDescent="0.25">
      <c r="A2171" s="2">
        <v>44334</v>
      </c>
      <c r="B2171" t="s">
        <v>8</v>
      </c>
      <c r="C2171">
        <v>-1959</v>
      </c>
      <c r="D2171" t="str">
        <f>VLOOKUP(B2171,Tabela_Auxiliar[],2,0)</f>
        <v>4. Despesas Operacionais</v>
      </c>
      <c r="E2171" t="str">
        <f>VLOOKUP(B2171,Tabela_Auxiliar[],4,0)</f>
        <v>Despesa com Pessoal</v>
      </c>
      <c r="F2171" t="str">
        <f>VLOOKUP(B2171,Tabela_Auxiliar[],3,0)</f>
        <v>Saída</v>
      </c>
      <c r="G2171" t="str">
        <f>UPPER(TEXT(Tabela_DB[[#This Row],[DATA]],"mmm"))</f>
        <v>MAI</v>
      </c>
      <c r="H2171" t="str">
        <f>UPPER(TEXT(Tabela_DB[[#This Row],[DATA]],"aaaa"))</f>
        <v>2021</v>
      </c>
    </row>
    <row r="2172" spans="1:8" x14ac:dyDescent="0.25">
      <c r="A2172" s="2">
        <v>44334</v>
      </c>
      <c r="B2172" t="s">
        <v>38</v>
      </c>
      <c r="C2172">
        <v>-1742</v>
      </c>
      <c r="D2172" t="str">
        <f>VLOOKUP(B2172,Tabela_Auxiliar[],2,0)</f>
        <v>2. Deduções da Receita</v>
      </c>
      <c r="E2172" t="str">
        <f>VLOOKUP(B2172,Tabela_Auxiliar[],4,0)</f>
        <v>Deduções</v>
      </c>
      <c r="F2172" t="str">
        <f>VLOOKUP(B2172,Tabela_Auxiliar[],3,0)</f>
        <v>Saída</v>
      </c>
      <c r="G2172" t="str">
        <f>UPPER(TEXT(Tabela_DB[[#This Row],[DATA]],"mmm"))</f>
        <v>MAI</v>
      </c>
      <c r="H2172" t="str">
        <f>UPPER(TEXT(Tabela_DB[[#This Row],[DATA]],"aaaa"))</f>
        <v>2021</v>
      </c>
    </row>
    <row r="2173" spans="1:8" x14ac:dyDescent="0.25">
      <c r="A2173" s="2">
        <v>44334</v>
      </c>
      <c r="B2173" t="s">
        <v>111</v>
      </c>
      <c r="C2173">
        <v>-1183</v>
      </c>
      <c r="D2173" t="str">
        <f>VLOOKUP(B2173,Tabela_Auxiliar[],2,0)</f>
        <v>2. Deduções da Receita</v>
      </c>
      <c r="E2173" t="str">
        <f>VLOOKUP(B2173,Tabela_Auxiliar[],4,0)</f>
        <v>Imposto</v>
      </c>
      <c r="F2173" t="str">
        <f>VLOOKUP(B2173,Tabela_Auxiliar[],3,0)</f>
        <v>Saída</v>
      </c>
      <c r="G2173" t="str">
        <f>UPPER(TEXT(Tabela_DB[[#This Row],[DATA]],"mmm"))</f>
        <v>MAI</v>
      </c>
      <c r="H2173" t="str">
        <f>UPPER(TEXT(Tabela_DB[[#This Row],[DATA]],"aaaa"))</f>
        <v>2021</v>
      </c>
    </row>
    <row r="2174" spans="1:8" x14ac:dyDescent="0.25">
      <c r="A2174" s="2">
        <v>44334</v>
      </c>
      <c r="B2174" t="s">
        <v>111</v>
      </c>
      <c r="C2174">
        <v>-1292</v>
      </c>
      <c r="D2174" t="str">
        <f>VLOOKUP(B2174,Tabela_Auxiliar[],2,0)</f>
        <v>2. Deduções da Receita</v>
      </c>
      <c r="E2174" t="str">
        <f>VLOOKUP(B2174,Tabela_Auxiliar[],4,0)</f>
        <v>Imposto</v>
      </c>
      <c r="F2174" t="str">
        <f>VLOOKUP(B2174,Tabela_Auxiliar[],3,0)</f>
        <v>Saída</v>
      </c>
      <c r="G2174" t="str">
        <f>UPPER(TEXT(Tabela_DB[[#This Row],[DATA]],"mmm"))</f>
        <v>MAI</v>
      </c>
      <c r="H2174" t="str">
        <f>UPPER(TEXT(Tabela_DB[[#This Row],[DATA]],"aaaa"))</f>
        <v>2021</v>
      </c>
    </row>
    <row r="2175" spans="1:8" x14ac:dyDescent="0.25">
      <c r="A2175" s="2">
        <v>44334</v>
      </c>
      <c r="B2175" t="s">
        <v>61</v>
      </c>
      <c r="C2175">
        <v>-1360</v>
      </c>
      <c r="D2175" t="str">
        <f>VLOOKUP(B2175,Tabela_Auxiliar[],2,0)</f>
        <v>4. Despesas Operacionais</v>
      </c>
      <c r="E2175" t="str">
        <f>VLOOKUP(B2175,Tabela_Auxiliar[],4,0)</f>
        <v>Despesa de Depreciação</v>
      </c>
      <c r="F2175" t="str">
        <f>VLOOKUP(B2175,Tabela_Auxiliar[],3,0)</f>
        <v>Saída</v>
      </c>
      <c r="G2175" t="str">
        <f>UPPER(TEXT(Tabela_DB[[#This Row],[DATA]],"mmm"))</f>
        <v>MAI</v>
      </c>
      <c r="H2175" t="str">
        <f>UPPER(TEXT(Tabela_DB[[#This Row],[DATA]],"aaaa"))</f>
        <v>2021</v>
      </c>
    </row>
    <row r="2176" spans="1:8" x14ac:dyDescent="0.25">
      <c r="A2176" s="2">
        <v>44334</v>
      </c>
      <c r="B2176" t="s">
        <v>4</v>
      </c>
      <c r="C2176">
        <v>10215</v>
      </c>
      <c r="D2176" t="str">
        <f>VLOOKUP(B2176,Tabela_Auxiliar[],2,0)</f>
        <v>1. Receita Operacional Bruta</v>
      </c>
      <c r="E2176" t="str">
        <f>VLOOKUP(B2176,Tabela_Auxiliar[],4,0)</f>
        <v>Receita Bruta</v>
      </c>
      <c r="F2176" t="str">
        <f>VLOOKUP(B2176,Tabela_Auxiliar[],3,0)</f>
        <v>Entrada</v>
      </c>
      <c r="G2176" t="str">
        <f>UPPER(TEXT(Tabela_DB[[#This Row],[DATA]],"mmm"))</f>
        <v>MAI</v>
      </c>
      <c r="H2176" t="str">
        <f>UPPER(TEXT(Tabela_DB[[#This Row],[DATA]],"aaaa"))</f>
        <v>2021</v>
      </c>
    </row>
    <row r="2177" spans="1:8" x14ac:dyDescent="0.25">
      <c r="A2177" s="2">
        <v>44334</v>
      </c>
      <c r="B2177" t="s">
        <v>34</v>
      </c>
      <c r="C2177">
        <v>-2175</v>
      </c>
      <c r="D2177" t="str">
        <f>VLOOKUP(B2177,Tabela_Auxiliar[],2,0)</f>
        <v>2. Deduções da Receita</v>
      </c>
      <c r="E2177" t="str">
        <f>VLOOKUP(B2177,Tabela_Auxiliar[],4,0)</f>
        <v>Imposto</v>
      </c>
      <c r="F2177" t="str">
        <f>VLOOKUP(B2177,Tabela_Auxiliar[],3,0)</f>
        <v>Saída</v>
      </c>
      <c r="G2177" t="str">
        <f>UPPER(TEXT(Tabela_DB[[#This Row],[DATA]],"mmm"))</f>
        <v>MAI</v>
      </c>
      <c r="H2177" t="str">
        <f>UPPER(TEXT(Tabela_DB[[#This Row],[DATA]],"aaaa"))</f>
        <v>2021</v>
      </c>
    </row>
    <row r="2178" spans="1:8" x14ac:dyDescent="0.25">
      <c r="A2178" s="2">
        <v>44334</v>
      </c>
      <c r="B2178" t="s">
        <v>38</v>
      </c>
      <c r="C2178">
        <v>-1900</v>
      </c>
      <c r="D2178" t="str">
        <f>VLOOKUP(B2178,Tabela_Auxiliar[],2,0)</f>
        <v>2. Deduções da Receita</v>
      </c>
      <c r="E2178" t="str">
        <f>VLOOKUP(B2178,Tabela_Auxiliar[],4,0)</f>
        <v>Deduções</v>
      </c>
      <c r="F2178" t="str">
        <f>VLOOKUP(B2178,Tabela_Auxiliar[],3,0)</f>
        <v>Saída</v>
      </c>
      <c r="G2178" t="str">
        <f>UPPER(TEXT(Tabela_DB[[#This Row],[DATA]],"mmm"))</f>
        <v>MAI</v>
      </c>
      <c r="H2178" t="str">
        <f>UPPER(TEXT(Tabela_DB[[#This Row],[DATA]],"aaaa"))</f>
        <v>2021</v>
      </c>
    </row>
    <row r="2179" spans="1:8" x14ac:dyDescent="0.25">
      <c r="A2179" s="2">
        <v>44334</v>
      </c>
      <c r="B2179" t="s">
        <v>34</v>
      </c>
      <c r="C2179">
        <v>-1656</v>
      </c>
      <c r="D2179" t="str">
        <f>VLOOKUP(B2179,Tabela_Auxiliar[],2,0)</f>
        <v>2. Deduções da Receita</v>
      </c>
      <c r="E2179" t="str">
        <f>VLOOKUP(B2179,Tabela_Auxiliar[],4,0)</f>
        <v>Imposto</v>
      </c>
      <c r="F2179" t="str">
        <f>VLOOKUP(B2179,Tabela_Auxiliar[],3,0)</f>
        <v>Saída</v>
      </c>
      <c r="G2179" t="str">
        <f>UPPER(TEXT(Tabela_DB[[#This Row],[DATA]],"mmm"))</f>
        <v>MAI</v>
      </c>
      <c r="H2179" t="str">
        <f>UPPER(TEXT(Tabela_DB[[#This Row],[DATA]],"aaaa"))</f>
        <v>2021</v>
      </c>
    </row>
    <row r="2180" spans="1:8" x14ac:dyDescent="0.25">
      <c r="A2180" s="2">
        <v>44335</v>
      </c>
      <c r="B2180" t="s">
        <v>35</v>
      </c>
      <c r="C2180">
        <v>-1796</v>
      </c>
      <c r="D2180" t="str">
        <f>VLOOKUP(B2180,Tabela_Auxiliar[],2,0)</f>
        <v>2. Deduções da Receita</v>
      </c>
      <c r="E2180" t="str">
        <f>VLOOKUP(B2180,Tabela_Auxiliar[],4,0)</f>
        <v>Imposto</v>
      </c>
      <c r="F2180" t="str">
        <f>VLOOKUP(B2180,Tabela_Auxiliar[],3,0)</f>
        <v>Saída</v>
      </c>
      <c r="G2180" t="str">
        <f>UPPER(TEXT(Tabela_DB[[#This Row],[DATA]],"mmm"))</f>
        <v>MAI</v>
      </c>
      <c r="H2180" t="str">
        <f>UPPER(TEXT(Tabela_DB[[#This Row],[DATA]],"aaaa"))</f>
        <v>2021</v>
      </c>
    </row>
    <row r="2181" spans="1:8" x14ac:dyDescent="0.25">
      <c r="A2181" s="2">
        <v>44335</v>
      </c>
      <c r="B2181" t="s">
        <v>35</v>
      </c>
      <c r="C2181">
        <v>-2208</v>
      </c>
      <c r="D2181" t="str">
        <f>VLOOKUP(B2181,Tabela_Auxiliar[],2,0)</f>
        <v>2. Deduções da Receita</v>
      </c>
      <c r="E2181" t="str">
        <f>VLOOKUP(B2181,Tabela_Auxiliar[],4,0)</f>
        <v>Imposto</v>
      </c>
      <c r="F2181" t="str">
        <f>VLOOKUP(B2181,Tabela_Auxiliar[],3,0)</f>
        <v>Saída</v>
      </c>
      <c r="G2181" t="str">
        <f>UPPER(TEXT(Tabela_DB[[#This Row],[DATA]],"mmm"))</f>
        <v>MAI</v>
      </c>
      <c r="H2181" t="str">
        <f>UPPER(TEXT(Tabela_DB[[#This Row],[DATA]],"aaaa"))</f>
        <v>2021</v>
      </c>
    </row>
    <row r="2182" spans="1:8" x14ac:dyDescent="0.25">
      <c r="A2182" s="2">
        <v>44335</v>
      </c>
      <c r="B2182" t="s">
        <v>70</v>
      </c>
      <c r="C2182">
        <v>-1516</v>
      </c>
      <c r="D2182" t="str">
        <f>VLOOKUP(B2182,Tabela_Auxiliar[],2,0)</f>
        <v>4. Despesas Operacionais</v>
      </c>
      <c r="E2182" t="str">
        <f>VLOOKUP(B2182,Tabela_Auxiliar[],4,0)</f>
        <v>Despesa com Ocupação</v>
      </c>
      <c r="F2182" t="str">
        <f>VLOOKUP(B2182,Tabela_Auxiliar[],3,0)</f>
        <v>Saída</v>
      </c>
      <c r="G2182" t="str">
        <f>UPPER(TEXT(Tabela_DB[[#This Row],[DATA]],"mmm"))</f>
        <v>MAI</v>
      </c>
      <c r="H2182" t="str">
        <f>UPPER(TEXT(Tabela_DB[[#This Row],[DATA]],"aaaa"))</f>
        <v>2021</v>
      </c>
    </row>
    <row r="2183" spans="1:8" x14ac:dyDescent="0.25">
      <c r="A2183" s="2">
        <v>44335</v>
      </c>
      <c r="B2183" t="s">
        <v>111</v>
      </c>
      <c r="C2183">
        <v>-2227</v>
      </c>
      <c r="D2183" t="str">
        <f>VLOOKUP(B2183,Tabela_Auxiliar[],2,0)</f>
        <v>2. Deduções da Receita</v>
      </c>
      <c r="E2183" t="str">
        <f>VLOOKUP(B2183,Tabela_Auxiliar[],4,0)</f>
        <v>Imposto</v>
      </c>
      <c r="F2183" t="str">
        <f>VLOOKUP(B2183,Tabela_Auxiliar[],3,0)</f>
        <v>Saída</v>
      </c>
      <c r="G2183" t="str">
        <f>UPPER(TEXT(Tabela_DB[[#This Row],[DATA]],"mmm"))</f>
        <v>MAI</v>
      </c>
      <c r="H2183" t="str">
        <f>UPPER(TEXT(Tabela_DB[[#This Row],[DATA]],"aaaa"))</f>
        <v>2021</v>
      </c>
    </row>
    <row r="2184" spans="1:8" x14ac:dyDescent="0.25">
      <c r="A2184" s="2">
        <v>44335</v>
      </c>
      <c r="B2184" t="s">
        <v>3</v>
      </c>
      <c r="C2184">
        <v>10685</v>
      </c>
      <c r="D2184" t="str">
        <f>VLOOKUP(B2184,Tabela_Auxiliar[],2,0)</f>
        <v>1. Receita Operacional Bruta</v>
      </c>
      <c r="E2184" t="str">
        <f>VLOOKUP(B2184,Tabela_Auxiliar[],4,0)</f>
        <v>Receita Bruta</v>
      </c>
      <c r="F2184" t="str">
        <f>VLOOKUP(B2184,Tabela_Auxiliar[],3,0)</f>
        <v>Entrada</v>
      </c>
      <c r="G2184" t="str">
        <f>UPPER(TEXT(Tabela_DB[[#This Row],[DATA]],"mmm"))</f>
        <v>MAI</v>
      </c>
      <c r="H2184" t="str">
        <f>UPPER(TEXT(Tabela_DB[[#This Row],[DATA]],"aaaa"))</f>
        <v>2021</v>
      </c>
    </row>
    <row r="2185" spans="1:8" x14ac:dyDescent="0.25">
      <c r="A2185" s="2">
        <v>44335</v>
      </c>
      <c r="B2185" t="s">
        <v>67</v>
      </c>
      <c r="C2185">
        <v>-2087</v>
      </c>
      <c r="D2185" t="str">
        <f>VLOOKUP(B2185,Tabela_Auxiliar[],2,0)</f>
        <v>4. Despesas Operacionais</v>
      </c>
      <c r="E2185" t="str">
        <f>VLOOKUP(B2185,Tabela_Auxiliar[],4,0)</f>
        <v>Despesa com Vendas</v>
      </c>
      <c r="F2185" t="str">
        <f>VLOOKUP(B2185,Tabela_Auxiliar[],3,0)</f>
        <v>Saída</v>
      </c>
      <c r="G2185" t="str">
        <f>UPPER(TEXT(Tabela_DB[[#This Row],[DATA]],"mmm"))</f>
        <v>MAI</v>
      </c>
      <c r="H2185" t="str">
        <f>UPPER(TEXT(Tabela_DB[[#This Row],[DATA]],"aaaa"))</f>
        <v>2021</v>
      </c>
    </row>
    <row r="2186" spans="1:8" x14ac:dyDescent="0.25">
      <c r="A2186" s="2">
        <v>44335</v>
      </c>
      <c r="B2186" t="s">
        <v>4</v>
      </c>
      <c r="C2186">
        <v>12925</v>
      </c>
      <c r="D2186" t="str">
        <f>VLOOKUP(B2186,Tabela_Auxiliar[],2,0)</f>
        <v>1. Receita Operacional Bruta</v>
      </c>
      <c r="E2186" t="str">
        <f>VLOOKUP(B2186,Tabela_Auxiliar[],4,0)</f>
        <v>Receita Bruta</v>
      </c>
      <c r="F2186" t="str">
        <f>VLOOKUP(B2186,Tabela_Auxiliar[],3,0)</f>
        <v>Entrada</v>
      </c>
      <c r="G2186" t="str">
        <f>UPPER(TEXT(Tabela_DB[[#This Row],[DATA]],"mmm"))</f>
        <v>MAI</v>
      </c>
      <c r="H2186" t="str">
        <f>UPPER(TEXT(Tabela_DB[[#This Row],[DATA]],"aaaa"))</f>
        <v>2021</v>
      </c>
    </row>
    <row r="2187" spans="1:8" x14ac:dyDescent="0.25">
      <c r="A2187" s="2">
        <v>44335</v>
      </c>
      <c r="B2187" t="s">
        <v>37</v>
      </c>
      <c r="C2187">
        <v>-3163</v>
      </c>
      <c r="D2187" t="str">
        <f>VLOOKUP(B2187,Tabela_Auxiliar[],2,0)</f>
        <v>3. Custos do Produto/Mercadoria/Serviço</v>
      </c>
      <c r="E2187" t="str">
        <f>VLOOKUP(B2187,Tabela_Auxiliar[],4,0)</f>
        <v>Despesas c/ Produto</v>
      </c>
      <c r="F2187" t="str">
        <f>VLOOKUP(B2187,Tabela_Auxiliar[],3,0)</f>
        <v>Saída</v>
      </c>
      <c r="G2187" t="str">
        <f>UPPER(TEXT(Tabela_DB[[#This Row],[DATA]],"mmm"))</f>
        <v>MAI</v>
      </c>
      <c r="H2187" t="str">
        <f>UPPER(TEXT(Tabela_DB[[#This Row],[DATA]],"aaaa"))</f>
        <v>2021</v>
      </c>
    </row>
    <row r="2188" spans="1:8" x14ac:dyDescent="0.25">
      <c r="A2188" s="2">
        <v>44335</v>
      </c>
      <c r="B2188" t="s">
        <v>45</v>
      </c>
      <c r="C2188">
        <v>-1888</v>
      </c>
      <c r="D2188" t="str">
        <f>VLOOKUP(B2188,Tabela_Auxiliar[],2,0)</f>
        <v>4. Despesas Operacionais</v>
      </c>
      <c r="E2188" t="str">
        <f>VLOOKUP(B2188,Tabela_Auxiliar[],4,0)</f>
        <v>Despesa com Pessoal</v>
      </c>
      <c r="F2188" t="str">
        <f>VLOOKUP(B2188,Tabela_Auxiliar[],3,0)</f>
        <v>Saída</v>
      </c>
      <c r="G2188" t="str">
        <f>UPPER(TEXT(Tabela_DB[[#This Row],[DATA]],"mmm"))</f>
        <v>MAI</v>
      </c>
      <c r="H2188" t="str">
        <f>UPPER(TEXT(Tabela_DB[[#This Row],[DATA]],"aaaa"))</f>
        <v>2021</v>
      </c>
    </row>
    <row r="2189" spans="1:8" x14ac:dyDescent="0.25">
      <c r="A2189" s="2">
        <v>44335</v>
      </c>
      <c r="B2189" t="s">
        <v>3</v>
      </c>
      <c r="C2189">
        <v>11304</v>
      </c>
      <c r="D2189" t="str">
        <f>VLOOKUP(B2189,Tabela_Auxiliar[],2,0)</f>
        <v>1. Receita Operacional Bruta</v>
      </c>
      <c r="E2189" t="str">
        <f>VLOOKUP(B2189,Tabela_Auxiliar[],4,0)</f>
        <v>Receita Bruta</v>
      </c>
      <c r="F2189" t="str">
        <f>VLOOKUP(B2189,Tabela_Auxiliar[],3,0)</f>
        <v>Entrada</v>
      </c>
      <c r="G2189" t="str">
        <f>UPPER(TEXT(Tabela_DB[[#This Row],[DATA]],"mmm"))</f>
        <v>MAI</v>
      </c>
      <c r="H2189" t="str">
        <f>UPPER(TEXT(Tabela_DB[[#This Row],[DATA]],"aaaa"))</f>
        <v>2021</v>
      </c>
    </row>
    <row r="2190" spans="1:8" x14ac:dyDescent="0.25">
      <c r="A2190" s="2">
        <v>44335</v>
      </c>
      <c r="B2190" t="s">
        <v>4</v>
      </c>
      <c r="C2190">
        <v>11163</v>
      </c>
      <c r="D2190" t="str">
        <f>VLOOKUP(B2190,Tabela_Auxiliar[],2,0)</f>
        <v>1. Receita Operacional Bruta</v>
      </c>
      <c r="E2190" t="str">
        <f>VLOOKUP(B2190,Tabela_Auxiliar[],4,0)</f>
        <v>Receita Bruta</v>
      </c>
      <c r="F2190" t="str">
        <f>VLOOKUP(B2190,Tabela_Auxiliar[],3,0)</f>
        <v>Entrada</v>
      </c>
      <c r="G2190" t="str">
        <f>UPPER(TEXT(Tabela_DB[[#This Row],[DATA]],"mmm"))</f>
        <v>MAI</v>
      </c>
      <c r="H2190" t="str">
        <f>UPPER(TEXT(Tabela_DB[[#This Row],[DATA]],"aaaa"))</f>
        <v>2021</v>
      </c>
    </row>
    <row r="2191" spans="1:8" x14ac:dyDescent="0.25">
      <c r="A2191" s="2">
        <v>44335</v>
      </c>
      <c r="B2191" t="s">
        <v>37</v>
      </c>
      <c r="C2191">
        <v>-4907</v>
      </c>
      <c r="D2191" t="str">
        <f>VLOOKUP(B2191,Tabela_Auxiliar[],2,0)</f>
        <v>3. Custos do Produto/Mercadoria/Serviço</v>
      </c>
      <c r="E2191" t="str">
        <f>VLOOKUP(B2191,Tabela_Auxiliar[],4,0)</f>
        <v>Despesas c/ Produto</v>
      </c>
      <c r="F2191" t="str">
        <f>VLOOKUP(B2191,Tabela_Auxiliar[],3,0)</f>
        <v>Saída</v>
      </c>
      <c r="G2191" t="str">
        <f>UPPER(TEXT(Tabela_DB[[#This Row],[DATA]],"mmm"))</f>
        <v>MAI</v>
      </c>
      <c r="H2191" t="str">
        <f>UPPER(TEXT(Tabela_DB[[#This Row],[DATA]],"aaaa"))</f>
        <v>2021</v>
      </c>
    </row>
    <row r="2192" spans="1:8" x14ac:dyDescent="0.25">
      <c r="A2192" s="2">
        <v>44335</v>
      </c>
      <c r="B2192" t="s">
        <v>111</v>
      </c>
      <c r="C2192">
        <v>-1792</v>
      </c>
      <c r="D2192" t="str">
        <f>VLOOKUP(B2192,Tabela_Auxiliar[],2,0)</f>
        <v>2. Deduções da Receita</v>
      </c>
      <c r="E2192" t="str">
        <f>VLOOKUP(B2192,Tabela_Auxiliar[],4,0)</f>
        <v>Imposto</v>
      </c>
      <c r="F2192" t="str">
        <f>VLOOKUP(B2192,Tabela_Auxiliar[],3,0)</f>
        <v>Saída</v>
      </c>
      <c r="G2192" t="str">
        <f>UPPER(TEXT(Tabela_DB[[#This Row],[DATA]],"mmm"))</f>
        <v>MAI</v>
      </c>
      <c r="H2192" t="str">
        <f>UPPER(TEXT(Tabela_DB[[#This Row],[DATA]],"aaaa"))</f>
        <v>2021</v>
      </c>
    </row>
    <row r="2193" spans="1:8" x14ac:dyDescent="0.25">
      <c r="A2193" s="2">
        <v>44335</v>
      </c>
      <c r="B2193" t="s">
        <v>4</v>
      </c>
      <c r="C2193">
        <v>12255</v>
      </c>
      <c r="D2193" t="str">
        <f>VLOOKUP(B2193,Tabela_Auxiliar[],2,0)</f>
        <v>1. Receita Operacional Bruta</v>
      </c>
      <c r="E2193" t="str">
        <f>VLOOKUP(B2193,Tabela_Auxiliar[],4,0)</f>
        <v>Receita Bruta</v>
      </c>
      <c r="F2193" t="str">
        <f>VLOOKUP(B2193,Tabela_Auxiliar[],3,0)</f>
        <v>Entrada</v>
      </c>
      <c r="G2193" t="str">
        <f>UPPER(TEXT(Tabela_DB[[#This Row],[DATA]],"mmm"))</f>
        <v>MAI</v>
      </c>
      <c r="H2193" t="str">
        <f>UPPER(TEXT(Tabela_DB[[#This Row],[DATA]],"aaaa"))</f>
        <v>2021</v>
      </c>
    </row>
    <row r="2194" spans="1:8" x14ac:dyDescent="0.25">
      <c r="A2194" s="2">
        <v>44335</v>
      </c>
      <c r="B2194" t="s">
        <v>37</v>
      </c>
      <c r="C2194">
        <v>-4775</v>
      </c>
      <c r="D2194" t="str">
        <f>VLOOKUP(B2194,Tabela_Auxiliar[],2,0)</f>
        <v>3. Custos do Produto/Mercadoria/Serviço</v>
      </c>
      <c r="E2194" t="str">
        <f>VLOOKUP(B2194,Tabela_Auxiliar[],4,0)</f>
        <v>Despesas c/ Produto</v>
      </c>
      <c r="F2194" t="str">
        <f>VLOOKUP(B2194,Tabela_Auxiliar[],3,0)</f>
        <v>Saída</v>
      </c>
      <c r="G2194" t="str">
        <f>UPPER(TEXT(Tabela_DB[[#This Row],[DATA]],"mmm"))</f>
        <v>MAI</v>
      </c>
      <c r="H2194" t="str">
        <f>UPPER(TEXT(Tabela_DB[[#This Row],[DATA]],"aaaa"))</f>
        <v>2021</v>
      </c>
    </row>
    <row r="2195" spans="1:8" x14ac:dyDescent="0.25">
      <c r="A2195" s="2">
        <v>44335</v>
      </c>
      <c r="B2195" t="s">
        <v>37</v>
      </c>
      <c r="C2195">
        <v>-3980</v>
      </c>
      <c r="D2195" t="str">
        <f>VLOOKUP(B2195,Tabela_Auxiliar[],2,0)</f>
        <v>3. Custos do Produto/Mercadoria/Serviço</v>
      </c>
      <c r="E2195" t="str">
        <f>VLOOKUP(B2195,Tabela_Auxiliar[],4,0)</f>
        <v>Despesas c/ Produto</v>
      </c>
      <c r="F2195" t="str">
        <f>VLOOKUP(B2195,Tabela_Auxiliar[],3,0)</f>
        <v>Saída</v>
      </c>
      <c r="G2195" t="str">
        <f>UPPER(TEXT(Tabela_DB[[#This Row],[DATA]],"mmm"))</f>
        <v>MAI</v>
      </c>
      <c r="H2195" t="str">
        <f>UPPER(TEXT(Tabela_DB[[#This Row],[DATA]],"aaaa"))</f>
        <v>2021</v>
      </c>
    </row>
    <row r="2196" spans="1:8" x14ac:dyDescent="0.25">
      <c r="A2196" s="2">
        <v>44336</v>
      </c>
      <c r="B2196" t="s">
        <v>37</v>
      </c>
      <c r="C2196">
        <v>-3212</v>
      </c>
      <c r="D2196" t="str">
        <f>VLOOKUP(B2196,Tabela_Auxiliar[],2,0)</f>
        <v>3. Custos do Produto/Mercadoria/Serviço</v>
      </c>
      <c r="E2196" t="str">
        <f>VLOOKUP(B2196,Tabela_Auxiliar[],4,0)</f>
        <v>Despesas c/ Produto</v>
      </c>
      <c r="F2196" t="str">
        <f>VLOOKUP(B2196,Tabela_Auxiliar[],3,0)</f>
        <v>Saída</v>
      </c>
      <c r="G2196" t="str">
        <f>UPPER(TEXT(Tabela_DB[[#This Row],[DATA]],"mmm"))</f>
        <v>MAI</v>
      </c>
      <c r="H2196" t="str">
        <f>UPPER(TEXT(Tabela_DB[[#This Row],[DATA]],"aaaa"))</f>
        <v>2021</v>
      </c>
    </row>
    <row r="2197" spans="1:8" x14ac:dyDescent="0.25">
      <c r="A2197" s="2">
        <v>44336</v>
      </c>
      <c r="B2197" t="s">
        <v>37</v>
      </c>
      <c r="C2197">
        <v>-3152</v>
      </c>
      <c r="D2197" t="str">
        <f>VLOOKUP(B2197,Tabela_Auxiliar[],2,0)</f>
        <v>3. Custos do Produto/Mercadoria/Serviço</v>
      </c>
      <c r="E2197" t="str">
        <f>VLOOKUP(B2197,Tabela_Auxiliar[],4,0)</f>
        <v>Despesas c/ Produto</v>
      </c>
      <c r="F2197" t="str">
        <f>VLOOKUP(B2197,Tabela_Auxiliar[],3,0)</f>
        <v>Saída</v>
      </c>
      <c r="G2197" t="str">
        <f>UPPER(TEXT(Tabela_DB[[#This Row],[DATA]],"mmm"))</f>
        <v>MAI</v>
      </c>
      <c r="H2197" t="str">
        <f>UPPER(TEXT(Tabela_DB[[#This Row],[DATA]],"aaaa"))</f>
        <v>2021</v>
      </c>
    </row>
    <row r="2198" spans="1:8" x14ac:dyDescent="0.25">
      <c r="A2198" s="2">
        <v>44336</v>
      </c>
      <c r="B2198" t="s">
        <v>3</v>
      </c>
      <c r="C2198">
        <v>14920</v>
      </c>
      <c r="D2198" t="str">
        <f>VLOOKUP(B2198,Tabela_Auxiliar[],2,0)</f>
        <v>1. Receita Operacional Bruta</v>
      </c>
      <c r="E2198" t="str">
        <f>VLOOKUP(B2198,Tabela_Auxiliar[],4,0)</f>
        <v>Receita Bruta</v>
      </c>
      <c r="F2198" t="str">
        <f>VLOOKUP(B2198,Tabela_Auxiliar[],3,0)</f>
        <v>Entrada</v>
      </c>
      <c r="G2198" t="str">
        <f>UPPER(TEXT(Tabela_DB[[#This Row],[DATA]],"mmm"))</f>
        <v>MAI</v>
      </c>
      <c r="H2198" t="str">
        <f>UPPER(TEXT(Tabela_DB[[#This Row],[DATA]],"aaaa"))</f>
        <v>2021</v>
      </c>
    </row>
    <row r="2199" spans="1:8" x14ac:dyDescent="0.25">
      <c r="A2199" s="2">
        <v>44336</v>
      </c>
      <c r="B2199" t="s">
        <v>48</v>
      </c>
      <c r="C2199">
        <v>-1548</v>
      </c>
      <c r="D2199" t="str">
        <f>VLOOKUP(B2199,Tabela_Auxiliar[],2,0)</f>
        <v>4. Despesas Operacionais</v>
      </c>
      <c r="E2199" t="str">
        <f>VLOOKUP(B2199,Tabela_Auxiliar[],4,0)</f>
        <v>Despesa com Pessoal</v>
      </c>
      <c r="F2199" t="str">
        <f>VLOOKUP(B2199,Tabela_Auxiliar[],3,0)</f>
        <v>Saída</v>
      </c>
      <c r="G2199" t="str">
        <f>UPPER(TEXT(Tabela_DB[[#This Row],[DATA]],"mmm"))</f>
        <v>MAI</v>
      </c>
      <c r="H2199" t="str">
        <f>UPPER(TEXT(Tabela_DB[[#This Row],[DATA]],"aaaa"))</f>
        <v>2021</v>
      </c>
    </row>
    <row r="2200" spans="1:8" x14ac:dyDescent="0.25">
      <c r="A2200" s="2">
        <v>44336</v>
      </c>
      <c r="B2200" t="s">
        <v>111</v>
      </c>
      <c r="C2200">
        <v>-2481</v>
      </c>
      <c r="D2200" t="str">
        <f>VLOOKUP(B2200,Tabela_Auxiliar[],2,0)</f>
        <v>2. Deduções da Receita</v>
      </c>
      <c r="E2200" t="str">
        <f>VLOOKUP(B2200,Tabela_Auxiliar[],4,0)</f>
        <v>Imposto</v>
      </c>
      <c r="F2200" t="str">
        <f>VLOOKUP(B2200,Tabela_Auxiliar[],3,0)</f>
        <v>Saída</v>
      </c>
      <c r="G2200" t="str">
        <f>UPPER(TEXT(Tabela_DB[[#This Row],[DATA]],"mmm"))</f>
        <v>MAI</v>
      </c>
      <c r="H2200" t="str">
        <f>UPPER(TEXT(Tabela_DB[[#This Row],[DATA]],"aaaa"))</f>
        <v>2021</v>
      </c>
    </row>
    <row r="2201" spans="1:8" x14ac:dyDescent="0.25">
      <c r="A2201" s="2">
        <v>44336</v>
      </c>
      <c r="B2201" t="s">
        <v>34</v>
      </c>
      <c r="C2201">
        <v>-2049</v>
      </c>
      <c r="D2201" t="str">
        <f>VLOOKUP(B2201,Tabela_Auxiliar[],2,0)</f>
        <v>2. Deduções da Receita</v>
      </c>
      <c r="E2201" t="str">
        <f>VLOOKUP(B2201,Tabela_Auxiliar[],4,0)</f>
        <v>Imposto</v>
      </c>
      <c r="F2201" t="str">
        <f>VLOOKUP(B2201,Tabela_Auxiliar[],3,0)</f>
        <v>Saída</v>
      </c>
      <c r="G2201" t="str">
        <f>UPPER(TEXT(Tabela_DB[[#This Row],[DATA]],"mmm"))</f>
        <v>MAI</v>
      </c>
      <c r="H2201" t="str">
        <f>UPPER(TEXT(Tabela_DB[[#This Row],[DATA]],"aaaa"))</f>
        <v>2021</v>
      </c>
    </row>
    <row r="2202" spans="1:8" x14ac:dyDescent="0.25">
      <c r="A2202" s="2">
        <v>44337</v>
      </c>
      <c r="B2202" t="s">
        <v>55</v>
      </c>
      <c r="C2202">
        <v>-2087</v>
      </c>
      <c r="D2202" t="str">
        <f>VLOOKUP(B2202,Tabela_Auxiliar[],2,0)</f>
        <v>4. Despesas Operacionais</v>
      </c>
      <c r="E2202" t="str">
        <f>VLOOKUP(B2202,Tabela_Auxiliar[],4,0)</f>
        <v>Despesa com Pessoal</v>
      </c>
      <c r="F2202" t="str">
        <f>VLOOKUP(B2202,Tabela_Auxiliar[],3,0)</f>
        <v>Saída</v>
      </c>
      <c r="G2202" t="str">
        <f>UPPER(TEXT(Tabela_DB[[#This Row],[DATA]],"mmm"))</f>
        <v>MAI</v>
      </c>
      <c r="H2202" t="str">
        <f>UPPER(TEXT(Tabela_DB[[#This Row],[DATA]],"aaaa"))</f>
        <v>2021</v>
      </c>
    </row>
    <row r="2203" spans="1:8" x14ac:dyDescent="0.25">
      <c r="A2203" s="2">
        <v>44337</v>
      </c>
      <c r="B2203" t="s">
        <v>3</v>
      </c>
      <c r="C2203">
        <v>12811</v>
      </c>
      <c r="D2203" t="str">
        <f>VLOOKUP(B2203,Tabela_Auxiliar[],2,0)</f>
        <v>1. Receita Operacional Bruta</v>
      </c>
      <c r="E2203" t="str">
        <f>VLOOKUP(B2203,Tabela_Auxiliar[],4,0)</f>
        <v>Receita Bruta</v>
      </c>
      <c r="F2203" t="str">
        <f>VLOOKUP(B2203,Tabela_Auxiliar[],3,0)</f>
        <v>Entrada</v>
      </c>
      <c r="G2203" t="str">
        <f>UPPER(TEXT(Tabela_DB[[#This Row],[DATA]],"mmm"))</f>
        <v>MAI</v>
      </c>
      <c r="H2203" t="str">
        <f>UPPER(TEXT(Tabela_DB[[#This Row],[DATA]],"aaaa"))</f>
        <v>2021</v>
      </c>
    </row>
    <row r="2204" spans="1:8" x14ac:dyDescent="0.25">
      <c r="A2204" s="2">
        <v>44337</v>
      </c>
      <c r="B2204" t="s">
        <v>61</v>
      </c>
      <c r="C2204">
        <v>-1194</v>
      </c>
      <c r="D2204" t="str">
        <f>VLOOKUP(B2204,Tabela_Auxiliar[],2,0)</f>
        <v>4. Despesas Operacionais</v>
      </c>
      <c r="E2204" t="str">
        <f>VLOOKUP(B2204,Tabela_Auxiliar[],4,0)</f>
        <v>Despesa de Depreciação</v>
      </c>
      <c r="F2204" t="str">
        <f>VLOOKUP(B2204,Tabela_Auxiliar[],3,0)</f>
        <v>Saída</v>
      </c>
      <c r="G2204" t="str">
        <f>UPPER(TEXT(Tabela_DB[[#This Row],[DATA]],"mmm"))</f>
        <v>MAI</v>
      </c>
      <c r="H2204" t="str">
        <f>UPPER(TEXT(Tabela_DB[[#This Row],[DATA]],"aaaa"))</f>
        <v>2021</v>
      </c>
    </row>
    <row r="2205" spans="1:8" x14ac:dyDescent="0.25">
      <c r="A2205" s="2">
        <v>44337</v>
      </c>
      <c r="B2205" t="s">
        <v>34</v>
      </c>
      <c r="C2205">
        <v>-1172</v>
      </c>
      <c r="D2205" t="str">
        <f>VLOOKUP(B2205,Tabela_Auxiliar[],2,0)</f>
        <v>2. Deduções da Receita</v>
      </c>
      <c r="E2205" t="str">
        <f>VLOOKUP(B2205,Tabela_Auxiliar[],4,0)</f>
        <v>Imposto</v>
      </c>
      <c r="F2205" t="str">
        <f>VLOOKUP(B2205,Tabela_Auxiliar[],3,0)</f>
        <v>Saída</v>
      </c>
      <c r="G2205" t="str">
        <f>UPPER(TEXT(Tabela_DB[[#This Row],[DATA]],"mmm"))</f>
        <v>MAI</v>
      </c>
      <c r="H2205" t="str">
        <f>UPPER(TEXT(Tabela_DB[[#This Row],[DATA]],"aaaa"))</f>
        <v>2021</v>
      </c>
    </row>
    <row r="2206" spans="1:8" x14ac:dyDescent="0.25">
      <c r="A2206" s="2">
        <v>44337</v>
      </c>
      <c r="B2206" t="s">
        <v>75</v>
      </c>
      <c r="C2206">
        <v>-2206</v>
      </c>
      <c r="D2206" t="str">
        <f>VLOOKUP(B2206,Tabela_Auxiliar[],2,0)</f>
        <v>4. Despesas Operacionais</v>
      </c>
      <c r="E2206" t="str">
        <f>VLOOKUP(B2206,Tabela_Auxiliar[],4,0)</f>
        <v>Serviços Contratados</v>
      </c>
      <c r="F2206" t="str">
        <f>VLOOKUP(B2206,Tabela_Auxiliar[],3,0)</f>
        <v>Saída</v>
      </c>
      <c r="G2206" t="str">
        <f>UPPER(TEXT(Tabela_DB[[#This Row],[DATA]],"mmm"))</f>
        <v>MAI</v>
      </c>
      <c r="H2206" t="str">
        <f>UPPER(TEXT(Tabela_DB[[#This Row],[DATA]],"aaaa"))</f>
        <v>2021</v>
      </c>
    </row>
    <row r="2207" spans="1:8" x14ac:dyDescent="0.25">
      <c r="A2207" s="2">
        <v>44337</v>
      </c>
      <c r="B2207" t="s">
        <v>55</v>
      </c>
      <c r="C2207">
        <v>-2472</v>
      </c>
      <c r="D2207" t="str">
        <f>VLOOKUP(B2207,Tabela_Auxiliar[],2,0)</f>
        <v>4. Despesas Operacionais</v>
      </c>
      <c r="E2207" t="str">
        <f>VLOOKUP(B2207,Tabela_Auxiliar[],4,0)</f>
        <v>Despesa com Pessoal</v>
      </c>
      <c r="F2207" t="str">
        <f>VLOOKUP(B2207,Tabela_Auxiliar[],3,0)</f>
        <v>Saída</v>
      </c>
      <c r="G2207" t="str">
        <f>UPPER(TEXT(Tabela_DB[[#This Row],[DATA]],"mmm"))</f>
        <v>MAI</v>
      </c>
      <c r="H2207" t="str">
        <f>UPPER(TEXT(Tabela_DB[[#This Row],[DATA]],"aaaa"))</f>
        <v>2021</v>
      </c>
    </row>
    <row r="2208" spans="1:8" x14ac:dyDescent="0.25">
      <c r="A2208" s="2">
        <v>44337</v>
      </c>
      <c r="B2208" t="s">
        <v>70</v>
      </c>
      <c r="C2208">
        <v>-1643</v>
      </c>
      <c r="D2208" t="str">
        <f>VLOOKUP(B2208,Tabela_Auxiliar[],2,0)</f>
        <v>4. Despesas Operacionais</v>
      </c>
      <c r="E2208" t="str">
        <f>VLOOKUP(B2208,Tabela_Auxiliar[],4,0)</f>
        <v>Despesa com Ocupação</v>
      </c>
      <c r="F2208" t="str">
        <f>VLOOKUP(B2208,Tabela_Auxiliar[],3,0)</f>
        <v>Saída</v>
      </c>
      <c r="G2208" t="str">
        <f>UPPER(TEXT(Tabela_DB[[#This Row],[DATA]],"mmm"))</f>
        <v>MAI</v>
      </c>
      <c r="H2208" t="str">
        <f>UPPER(TEXT(Tabela_DB[[#This Row],[DATA]],"aaaa"))</f>
        <v>2021</v>
      </c>
    </row>
    <row r="2209" spans="1:8" x14ac:dyDescent="0.25">
      <c r="A2209" s="2">
        <v>44337</v>
      </c>
      <c r="B2209" t="s">
        <v>34</v>
      </c>
      <c r="C2209">
        <v>-2369</v>
      </c>
      <c r="D2209" t="str">
        <f>VLOOKUP(B2209,Tabela_Auxiliar[],2,0)</f>
        <v>2. Deduções da Receita</v>
      </c>
      <c r="E2209" t="str">
        <f>VLOOKUP(B2209,Tabela_Auxiliar[],4,0)</f>
        <v>Imposto</v>
      </c>
      <c r="F2209" t="str">
        <f>VLOOKUP(B2209,Tabela_Auxiliar[],3,0)</f>
        <v>Saída</v>
      </c>
      <c r="G2209" t="str">
        <f>UPPER(TEXT(Tabela_DB[[#This Row],[DATA]],"mmm"))</f>
        <v>MAI</v>
      </c>
      <c r="H2209" t="str">
        <f>UPPER(TEXT(Tabela_DB[[#This Row],[DATA]],"aaaa"))</f>
        <v>2021</v>
      </c>
    </row>
    <row r="2210" spans="1:8" x14ac:dyDescent="0.25">
      <c r="A2210" s="2">
        <v>44337</v>
      </c>
      <c r="B2210" t="s">
        <v>4</v>
      </c>
      <c r="C2210">
        <v>13219</v>
      </c>
      <c r="D2210" t="str">
        <f>VLOOKUP(B2210,Tabela_Auxiliar[],2,0)</f>
        <v>1. Receita Operacional Bruta</v>
      </c>
      <c r="E2210" t="str">
        <f>VLOOKUP(B2210,Tabela_Auxiliar[],4,0)</f>
        <v>Receita Bruta</v>
      </c>
      <c r="F2210" t="str">
        <f>VLOOKUP(B2210,Tabela_Auxiliar[],3,0)</f>
        <v>Entrada</v>
      </c>
      <c r="G2210" t="str">
        <f>UPPER(TEXT(Tabela_DB[[#This Row],[DATA]],"mmm"))</f>
        <v>MAI</v>
      </c>
      <c r="H2210" t="str">
        <f>UPPER(TEXT(Tabela_DB[[#This Row],[DATA]],"aaaa"))</f>
        <v>2021</v>
      </c>
    </row>
    <row r="2211" spans="1:8" x14ac:dyDescent="0.25">
      <c r="A2211" s="2">
        <v>44337</v>
      </c>
      <c r="B2211" t="s">
        <v>60</v>
      </c>
      <c r="C2211">
        <v>-1922</v>
      </c>
      <c r="D2211" t="str">
        <f>VLOOKUP(B2211,Tabela_Auxiliar[],2,0)</f>
        <v>4. Despesas Operacionais</v>
      </c>
      <c r="E2211" t="str">
        <f>VLOOKUP(B2211,Tabela_Auxiliar[],4,0)</f>
        <v>Despesa de Depreciação</v>
      </c>
      <c r="F2211" t="str">
        <f>VLOOKUP(B2211,Tabela_Auxiliar[],3,0)</f>
        <v>Saída</v>
      </c>
      <c r="G2211" t="str">
        <f>UPPER(TEXT(Tabela_DB[[#This Row],[DATA]],"mmm"))</f>
        <v>MAI</v>
      </c>
      <c r="H2211" t="str">
        <f>UPPER(TEXT(Tabela_DB[[#This Row],[DATA]],"aaaa"))</f>
        <v>2021</v>
      </c>
    </row>
    <row r="2212" spans="1:8" x14ac:dyDescent="0.25">
      <c r="A2212" s="2">
        <v>44337</v>
      </c>
      <c r="B2212" t="s">
        <v>65</v>
      </c>
      <c r="C2212">
        <v>-1223</v>
      </c>
      <c r="D2212" t="str">
        <f>VLOOKUP(B2212,Tabela_Auxiliar[],2,0)</f>
        <v>4. Despesas Operacionais</v>
      </c>
      <c r="E2212" t="str">
        <f>VLOOKUP(B2212,Tabela_Auxiliar[],4,0)</f>
        <v>Despesa Gerais</v>
      </c>
      <c r="F2212" t="str">
        <f>VLOOKUP(B2212,Tabela_Auxiliar[],3,0)</f>
        <v>Saída</v>
      </c>
      <c r="G2212" t="str">
        <f>UPPER(TEXT(Tabela_DB[[#This Row],[DATA]],"mmm"))</f>
        <v>MAI</v>
      </c>
      <c r="H2212" t="str">
        <f>UPPER(TEXT(Tabela_DB[[#This Row],[DATA]],"aaaa"))</f>
        <v>2021</v>
      </c>
    </row>
    <row r="2213" spans="1:8" x14ac:dyDescent="0.25">
      <c r="A2213" s="2">
        <v>44337</v>
      </c>
      <c r="B2213" t="s">
        <v>35</v>
      </c>
      <c r="C2213">
        <v>-2152</v>
      </c>
      <c r="D2213" t="str">
        <f>VLOOKUP(B2213,Tabela_Auxiliar[],2,0)</f>
        <v>2. Deduções da Receita</v>
      </c>
      <c r="E2213" t="str">
        <f>VLOOKUP(B2213,Tabela_Auxiliar[],4,0)</f>
        <v>Imposto</v>
      </c>
      <c r="F2213" t="str">
        <f>VLOOKUP(B2213,Tabela_Auxiliar[],3,0)</f>
        <v>Saída</v>
      </c>
      <c r="G2213" t="str">
        <f>UPPER(TEXT(Tabela_DB[[#This Row],[DATA]],"mmm"))</f>
        <v>MAI</v>
      </c>
      <c r="H2213" t="str">
        <f>UPPER(TEXT(Tabela_DB[[#This Row],[DATA]],"aaaa"))</f>
        <v>2021</v>
      </c>
    </row>
    <row r="2214" spans="1:8" x14ac:dyDescent="0.25">
      <c r="A2214" s="2">
        <v>44337</v>
      </c>
      <c r="B2214" t="s">
        <v>38</v>
      </c>
      <c r="C2214">
        <v>-2101</v>
      </c>
      <c r="D2214" t="str">
        <f>VLOOKUP(B2214,Tabela_Auxiliar[],2,0)</f>
        <v>2. Deduções da Receita</v>
      </c>
      <c r="E2214" t="str">
        <f>VLOOKUP(B2214,Tabela_Auxiliar[],4,0)</f>
        <v>Deduções</v>
      </c>
      <c r="F2214" t="str">
        <f>VLOOKUP(B2214,Tabela_Auxiliar[],3,0)</f>
        <v>Saída</v>
      </c>
      <c r="G2214" t="str">
        <f>UPPER(TEXT(Tabela_DB[[#This Row],[DATA]],"mmm"))</f>
        <v>MAI</v>
      </c>
      <c r="H2214" t="str">
        <f>UPPER(TEXT(Tabela_DB[[#This Row],[DATA]],"aaaa"))</f>
        <v>2021</v>
      </c>
    </row>
    <row r="2215" spans="1:8" x14ac:dyDescent="0.25">
      <c r="A2215" s="2">
        <v>44337</v>
      </c>
      <c r="B2215" t="s">
        <v>75</v>
      </c>
      <c r="C2215">
        <v>-1578</v>
      </c>
      <c r="D2215" t="str">
        <f>VLOOKUP(B2215,Tabela_Auxiliar[],2,0)</f>
        <v>4. Despesas Operacionais</v>
      </c>
      <c r="E2215" t="str">
        <f>VLOOKUP(B2215,Tabela_Auxiliar[],4,0)</f>
        <v>Serviços Contratados</v>
      </c>
      <c r="F2215" t="str">
        <f>VLOOKUP(B2215,Tabela_Auxiliar[],3,0)</f>
        <v>Saída</v>
      </c>
      <c r="G2215" t="str">
        <f>UPPER(TEXT(Tabela_DB[[#This Row],[DATA]],"mmm"))</f>
        <v>MAI</v>
      </c>
      <c r="H2215" t="str">
        <f>UPPER(TEXT(Tabela_DB[[#This Row],[DATA]],"aaaa"))</f>
        <v>2021</v>
      </c>
    </row>
    <row r="2216" spans="1:8" x14ac:dyDescent="0.25">
      <c r="A2216" s="2">
        <v>44337</v>
      </c>
      <c r="B2216" t="s">
        <v>61</v>
      </c>
      <c r="C2216">
        <v>-1913</v>
      </c>
      <c r="D2216" t="str">
        <f>VLOOKUP(B2216,Tabela_Auxiliar[],2,0)</f>
        <v>4. Despesas Operacionais</v>
      </c>
      <c r="E2216" t="str">
        <f>VLOOKUP(B2216,Tabela_Auxiliar[],4,0)</f>
        <v>Despesa de Depreciação</v>
      </c>
      <c r="F2216" t="str">
        <f>VLOOKUP(B2216,Tabela_Auxiliar[],3,0)</f>
        <v>Saída</v>
      </c>
      <c r="G2216" t="str">
        <f>UPPER(TEXT(Tabela_DB[[#This Row],[DATA]],"mmm"))</f>
        <v>MAI</v>
      </c>
      <c r="H2216" t="str">
        <f>UPPER(TEXT(Tabela_DB[[#This Row],[DATA]],"aaaa"))</f>
        <v>2021</v>
      </c>
    </row>
    <row r="2217" spans="1:8" x14ac:dyDescent="0.25">
      <c r="A2217" s="2">
        <v>44337</v>
      </c>
      <c r="B2217" t="s">
        <v>43</v>
      </c>
      <c r="C2217">
        <v>-1678</v>
      </c>
      <c r="D2217" t="str">
        <f>VLOOKUP(B2217,Tabela_Auxiliar[],2,0)</f>
        <v>4. Despesas Operacionais</v>
      </c>
      <c r="E2217" t="str">
        <f>VLOOKUP(B2217,Tabela_Auxiliar[],4,0)</f>
        <v>Despesa com Pessoal</v>
      </c>
      <c r="F2217" t="str">
        <f>VLOOKUP(B2217,Tabela_Auxiliar[],3,0)</f>
        <v>Saída</v>
      </c>
      <c r="G2217" t="str">
        <f>UPPER(TEXT(Tabela_DB[[#This Row],[DATA]],"mmm"))</f>
        <v>MAI</v>
      </c>
      <c r="H2217" t="str">
        <f>UPPER(TEXT(Tabela_DB[[#This Row],[DATA]],"aaaa"))</f>
        <v>2021</v>
      </c>
    </row>
    <row r="2218" spans="1:8" x14ac:dyDescent="0.25">
      <c r="A2218" s="2">
        <v>44337</v>
      </c>
      <c r="B2218" t="s">
        <v>37</v>
      </c>
      <c r="C2218">
        <v>-3917</v>
      </c>
      <c r="D2218" t="str">
        <f>VLOOKUP(B2218,Tabela_Auxiliar[],2,0)</f>
        <v>3. Custos do Produto/Mercadoria/Serviço</v>
      </c>
      <c r="E2218" t="str">
        <f>VLOOKUP(B2218,Tabela_Auxiliar[],4,0)</f>
        <v>Despesas c/ Produto</v>
      </c>
      <c r="F2218" t="str">
        <f>VLOOKUP(B2218,Tabela_Auxiliar[],3,0)</f>
        <v>Saída</v>
      </c>
      <c r="G2218" t="str">
        <f>UPPER(TEXT(Tabela_DB[[#This Row],[DATA]],"mmm"))</f>
        <v>MAI</v>
      </c>
      <c r="H2218" t="str">
        <f>UPPER(TEXT(Tabela_DB[[#This Row],[DATA]],"aaaa"))</f>
        <v>2021</v>
      </c>
    </row>
    <row r="2219" spans="1:8" x14ac:dyDescent="0.25">
      <c r="A2219" s="2">
        <v>44337</v>
      </c>
      <c r="B2219" t="s">
        <v>65</v>
      </c>
      <c r="C2219">
        <v>-1124</v>
      </c>
      <c r="D2219" t="str">
        <f>VLOOKUP(B2219,Tabela_Auxiliar[],2,0)</f>
        <v>4. Despesas Operacionais</v>
      </c>
      <c r="E2219" t="str">
        <f>VLOOKUP(B2219,Tabela_Auxiliar[],4,0)</f>
        <v>Despesa Gerais</v>
      </c>
      <c r="F2219" t="str">
        <f>VLOOKUP(B2219,Tabela_Auxiliar[],3,0)</f>
        <v>Saída</v>
      </c>
      <c r="G2219" t="str">
        <f>UPPER(TEXT(Tabela_DB[[#This Row],[DATA]],"mmm"))</f>
        <v>MAI</v>
      </c>
      <c r="H2219" t="str">
        <f>UPPER(TEXT(Tabela_DB[[#This Row],[DATA]],"aaaa"))</f>
        <v>2021</v>
      </c>
    </row>
    <row r="2220" spans="1:8" x14ac:dyDescent="0.25">
      <c r="A2220" s="2">
        <v>44337</v>
      </c>
      <c r="B2220" t="s">
        <v>37</v>
      </c>
      <c r="C2220">
        <v>-4715</v>
      </c>
      <c r="D2220" t="str">
        <f>VLOOKUP(B2220,Tabela_Auxiliar[],2,0)</f>
        <v>3. Custos do Produto/Mercadoria/Serviço</v>
      </c>
      <c r="E2220" t="str">
        <f>VLOOKUP(B2220,Tabela_Auxiliar[],4,0)</f>
        <v>Despesas c/ Produto</v>
      </c>
      <c r="F2220" t="str">
        <f>VLOOKUP(B2220,Tabela_Auxiliar[],3,0)</f>
        <v>Saída</v>
      </c>
      <c r="G2220" t="str">
        <f>UPPER(TEXT(Tabela_DB[[#This Row],[DATA]],"mmm"))</f>
        <v>MAI</v>
      </c>
      <c r="H2220" t="str">
        <f>UPPER(TEXT(Tabela_DB[[#This Row],[DATA]],"aaaa"))</f>
        <v>2021</v>
      </c>
    </row>
    <row r="2221" spans="1:8" x14ac:dyDescent="0.25">
      <c r="A2221" s="2">
        <v>44337</v>
      </c>
      <c r="B2221" t="s">
        <v>4</v>
      </c>
      <c r="C2221">
        <v>11931</v>
      </c>
      <c r="D2221" t="str">
        <f>VLOOKUP(B2221,Tabela_Auxiliar[],2,0)</f>
        <v>1. Receita Operacional Bruta</v>
      </c>
      <c r="E2221" t="str">
        <f>VLOOKUP(B2221,Tabela_Auxiliar[],4,0)</f>
        <v>Receita Bruta</v>
      </c>
      <c r="F2221" t="str">
        <f>VLOOKUP(B2221,Tabela_Auxiliar[],3,0)</f>
        <v>Entrada</v>
      </c>
      <c r="G2221" t="str">
        <f>UPPER(TEXT(Tabela_DB[[#This Row],[DATA]],"mmm"))</f>
        <v>MAI</v>
      </c>
      <c r="H2221" t="str">
        <f>UPPER(TEXT(Tabela_DB[[#This Row],[DATA]],"aaaa"))</f>
        <v>2021</v>
      </c>
    </row>
    <row r="2222" spans="1:8" x14ac:dyDescent="0.25">
      <c r="A2222" s="2">
        <v>44338</v>
      </c>
      <c r="B2222" t="s">
        <v>3</v>
      </c>
      <c r="C2222">
        <v>11556</v>
      </c>
      <c r="D2222" t="str">
        <f>VLOOKUP(B2222,Tabela_Auxiliar[],2,0)</f>
        <v>1. Receita Operacional Bruta</v>
      </c>
      <c r="E2222" t="str">
        <f>VLOOKUP(B2222,Tabela_Auxiliar[],4,0)</f>
        <v>Receita Bruta</v>
      </c>
      <c r="F2222" t="str">
        <f>VLOOKUP(B2222,Tabela_Auxiliar[],3,0)</f>
        <v>Entrada</v>
      </c>
      <c r="G2222" t="str">
        <f>UPPER(TEXT(Tabela_DB[[#This Row],[DATA]],"mmm"))</f>
        <v>MAI</v>
      </c>
      <c r="H2222" t="str">
        <f>UPPER(TEXT(Tabela_DB[[#This Row],[DATA]],"aaaa"))</f>
        <v>2021</v>
      </c>
    </row>
    <row r="2223" spans="1:8" x14ac:dyDescent="0.25">
      <c r="A2223" s="2">
        <v>44338</v>
      </c>
      <c r="B2223" t="s">
        <v>35</v>
      </c>
      <c r="C2223">
        <v>-1474</v>
      </c>
      <c r="D2223" t="str">
        <f>VLOOKUP(B2223,Tabela_Auxiliar[],2,0)</f>
        <v>2. Deduções da Receita</v>
      </c>
      <c r="E2223" t="str">
        <f>VLOOKUP(B2223,Tabela_Auxiliar[],4,0)</f>
        <v>Imposto</v>
      </c>
      <c r="F2223" t="str">
        <f>VLOOKUP(B2223,Tabela_Auxiliar[],3,0)</f>
        <v>Saída</v>
      </c>
      <c r="G2223" t="str">
        <f>UPPER(TEXT(Tabela_DB[[#This Row],[DATA]],"mmm"))</f>
        <v>MAI</v>
      </c>
      <c r="H2223" t="str">
        <f>UPPER(TEXT(Tabela_DB[[#This Row],[DATA]],"aaaa"))</f>
        <v>2021</v>
      </c>
    </row>
    <row r="2224" spans="1:8" x14ac:dyDescent="0.25">
      <c r="A2224" s="2">
        <v>44338</v>
      </c>
      <c r="B2224" t="s">
        <v>35</v>
      </c>
      <c r="C2224">
        <v>-1270</v>
      </c>
      <c r="D2224" t="str">
        <f>VLOOKUP(B2224,Tabela_Auxiliar[],2,0)</f>
        <v>2. Deduções da Receita</v>
      </c>
      <c r="E2224" t="str">
        <f>VLOOKUP(B2224,Tabela_Auxiliar[],4,0)</f>
        <v>Imposto</v>
      </c>
      <c r="F2224" t="str">
        <f>VLOOKUP(B2224,Tabela_Auxiliar[],3,0)</f>
        <v>Saída</v>
      </c>
      <c r="G2224" t="str">
        <f>UPPER(TEXT(Tabela_DB[[#This Row],[DATA]],"mmm"))</f>
        <v>MAI</v>
      </c>
      <c r="H2224" t="str">
        <f>UPPER(TEXT(Tabela_DB[[#This Row],[DATA]],"aaaa"))</f>
        <v>2021</v>
      </c>
    </row>
    <row r="2225" spans="1:8" x14ac:dyDescent="0.25">
      <c r="A2225" s="2">
        <v>44338</v>
      </c>
      <c r="B2225" t="s">
        <v>38</v>
      </c>
      <c r="C2225">
        <v>-2485</v>
      </c>
      <c r="D2225" t="str">
        <f>VLOOKUP(B2225,Tabela_Auxiliar[],2,0)</f>
        <v>2. Deduções da Receita</v>
      </c>
      <c r="E2225" t="str">
        <f>VLOOKUP(B2225,Tabela_Auxiliar[],4,0)</f>
        <v>Deduções</v>
      </c>
      <c r="F2225" t="str">
        <f>VLOOKUP(B2225,Tabela_Auxiliar[],3,0)</f>
        <v>Saída</v>
      </c>
      <c r="G2225" t="str">
        <f>UPPER(TEXT(Tabela_DB[[#This Row],[DATA]],"mmm"))</f>
        <v>MAI</v>
      </c>
      <c r="H2225" t="str">
        <f>UPPER(TEXT(Tabela_DB[[#This Row],[DATA]],"aaaa"))</f>
        <v>2021</v>
      </c>
    </row>
    <row r="2226" spans="1:8" x14ac:dyDescent="0.25">
      <c r="A2226" s="2">
        <v>44338</v>
      </c>
      <c r="B2226" t="s">
        <v>4</v>
      </c>
      <c r="C2226">
        <v>12761</v>
      </c>
      <c r="D2226" t="str">
        <f>VLOOKUP(B2226,Tabela_Auxiliar[],2,0)</f>
        <v>1. Receita Operacional Bruta</v>
      </c>
      <c r="E2226" t="str">
        <f>VLOOKUP(B2226,Tabela_Auxiliar[],4,0)</f>
        <v>Receita Bruta</v>
      </c>
      <c r="F2226" t="str">
        <f>VLOOKUP(B2226,Tabela_Auxiliar[],3,0)</f>
        <v>Entrada</v>
      </c>
      <c r="G2226" t="str">
        <f>UPPER(TEXT(Tabela_DB[[#This Row],[DATA]],"mmm"))</f>
        <v>MAI</v>
      </c>
      <c r="H2226" t="str">
        <f>UPPER(TEXT(Tabela_DB[[#This Row],[DATA]],"aaaa"))</f>
        <v>2021</v>
      </c>
    </row>
    <row r="2227" spans="1:8" x14ac:dyDescent="0.25">
      <c r="A2227" s="2">
        <v>44338</v>
      </c>
      <c r="B2227" t="s">
        <v>62</v>
      </c>
      <c r="C2227">
        <v>-1334</v>
      </c>
      <c r="D2227" t="str">
        <f>VLOOKUP(B2227,Tabela_Auxiliar[],2,0)</f>
        <v>4. Despesas Operacionais</v>
      </c>
      <c r="E2227" t="str">
        <f>VLOOKUP(B2227,Tabela_Auxiliar[],4,0)</f>
        <v>Despesa Gerais</v>
      </c>
      <c r="F2227" t="str">
        <f>VLOOKUP(B2227,Tabela_Auxiliar[],3,0)</f>
        <v>Saída</v>
      </c>
      <c r="G2227" t="str">
        <f>UPPER(TEXT(Tabela_DB[[#This Row],[DATA]],"mmm"))</f>
        <v>MAI</v>
      </c>
      <c r="H2227" t="str">
        <f>UPPER(TEXT(Tabela_DB[[#This Row],[DATA]],"aaaa"))</f>
        <v>2021</v>
      </c>
    </row>
    <row r="2228" spans="1:8" x14ac:dyDescent="0.25">
      <c r="A2228" s="2">
        <v>44338</v>
      </c>
      <c r="B2228" t="s">
        <v>37</v>
      </c>
      <c r="C2228">
        <v>-3178</v>
      </c>
      <c r="D2228" t="str">
        <f>VLOOKUP(B2228,Tabela_Auxiliar[],2,0)</f>
        <v>3. Custos do Produto/Mercadoria/Serviço</v>
      </c>
      <c r="E2228" t="str">
        <f>VLOOKUP(B2228,Tabela_Auxiliar[],4,0)</f>
        <v>Despesas c/ Produto</v>
      </c>
      <c r="F2228" t="str">
        <f>VLOOKUP(B2228,Tabela_Auxiliar[],3,0)</f>
        <v>Saída</v>
      </c>
      <c r="G2228" t="str">
        <f>UPPER(TEXT(Tabela_DB[[#This Row],[DATA]],"mmm"))</f>
        <v>MAI</v>
      </c>
      <c r="H2228" t="str">
        <f>UPPER(TEXT(Tabela_DB[[#This Row],[DATA]],"aaaa"))</f>
        <v>2021</v>
      </c>
    </row>
    <row r="2229" spans="1:8" x14ac:dyDescent="0.25">
      <c r="A2229" s="2">
        <v>44338</v>
      </c>
      <c r="B2229" t="s">
        <v>47</v>
      </c>
      <c r="C2229">
        <v>-1637</v>
      </c>
      <c r="D2229" t="str">
        <f>VLOOKUP(B2229,Tabela_Auxiliar[],2,0)</f>
        <v>4. Despesas Operacionais</v>
      </c>
      <c r="E2229" t="str">
        <f>VLOOKUP(B2229,Tabela_Auxiliar[],4,0)</f>
        <v>Despesa com Pessoal</v>
      </c>
      <c r="F2229" t="str">
        <f>VLOOKUP(B2229,Tabela_Auxiliar[],3,0)</f>
        <v>Saída</v>
      </c>
      <c r="G2229" t="str">
        <f>UPPER(TEXT(Tabela_DB[[#This Row],[DATA]],"mmm"))</f>
        <v>MAI</v>
      </c>
      <c r="H2229" t="str">
        <f>UPPER(TEXT(Tabela_DB[[#This Row],[DATA]],"aaaa"))</f>
        <v>2021</v>
      </c>
    </row>
    <row r="2230" spans="1:8" x14ac:dyDescent="0.25">
      <c r="A2230" s="2">
        <v>44338</v>
      </c>
      <c r="B2230" t="s">
        <v>8</v>
      </c>
      <c r="C2230">
        <v>-1640</v>
      </c>
      <c r="D2230" t="str">
        <f>VLOOKUP(B2230,Tabela_Auxiliar[],2,0)</f>
        <v>4. Despesas Operacionais</v>
      </c>
      <c r="E2230" t="str">
        <f>VLOOKUP(B2230,Tabela_Auxiliar[],4,0)</f>
        <v>Despesa com Pessoal</v>
      </c>
      <c r="F2230" t="str">
        <f>VLOOKUP(B2230,Tabela_Auxiliar[],3,0)</f>
        <v>Saída</v>
      </c>
      <c r="G2230" t="str">
        <f>UPPER(TEXT(Tabela_DB[[#This Row],[DATA]],"mmm"))</f>
        <v>MAI</v>
      </c>
      <c r="H2230" t="str">
        <f>UPPER(TEXT(Tabela_DB[[#This Row],[DATA]],"aaaa"))</f>
        <v>2021</v>
      </c>
    </row>
    <row r="2231" spans="1:8" x14ac:dyDescent="0.25">
      <c r="A2231" s="2">
        <v>44338</v>
      </c>
      <c r="B2231" t="s">
        <v>34</v>
      </c>
      <c r="C2231">
        <v>-1109</v>
      </c>
      <c r="D2231" t="str">
        <f>VLOOKUP(B2231,Tabela_Auxiliar[],2,0)</f>
        <v>2. Deduções da Receita</v>
      </c>
      <c r="E2231" t="str">
        <f>VLOOKUP(B2231,Tabela_Auxiliar[],4,0)</f>
        <v>Imposto</v>
      </c>
      <c r="F2231" t="str">
        <f>VLOOKUP(B2231,Tabela_Auxiliar[],3,0)</f>
        <v>Saída</v>
      </c>
      <c r="G2231" t="str">
        <f>UPPER(TEXT(Tabela_DB[[#This Row],[DATA]],"mmm"))</f>
        <v>MAI</v>
      </c>
      <c r="H2231" t="str">
        <f>UPPER(TEXT(Tabela_DB[[#This Row],[DATA]],"aaaa"))</f>
        <v>2021</v>
      </c>
    </row>
    <row r="2232" spans="1:8" x14ac:dyDescent="0.25">
      <c r="A2232" s="2">
        <v>44338</v>
      </c>
      <c r="B2232" t="s">
        <v>89</v>
      </c>
      <c r="C2232">
        <v>-1140</v>
      </c>
      <c r="D2232" t="str">
        <f>VLOOKUP(B2232,Tabela_Auxiliar[],2,0)</f>
        <v>4. Despesas Operacionais</v>
      </c>
      <c r="E2232" t="str">
        <f>VLOOKUP(B2232,Tabela_Auxiliar[],4,0)</f>
        <v>Despesa Tributária</v>
      </c>
      <c r="F2232" t="str">
        <f>VLOOKUP(B2232,Tabela_Auxiliar[],3,0)</f>
        <v>Saída</v>
      </c>
      <c r="G2232" t="str">
        <f>UPPER(TEXT(Tabela_DB[[#This Row],[DATA]],"mmm"))</f>
        <v>MAI</v>
      </c>
      <c r="H2232" t="str">
        <f>UPPER(TEXT(Tabela_DB[[#This Row],[DATA]],"aaaa"))</f>
        <v>2021</v>
      </c>
    </row>
    <row r="2233" spans="1:8" x14ac:dyDescent="0.25">
      <c r="A2233" s="2">
        <v>44338</v>
      </c>
      <c r="B2233" t="s">
        <v>111</v>
      </c>
      <c r="C2233">
        <v>-1713</v>
      </c>
      <c r="D2233" t="str">
        <f>VLOOKUP(B2233,Tabela_Auxiliar[],2,0)</f>
        <v>2. Deduções da Receita</v>
      </c>
      <c r="E2233" t="str">
        <f>VLOOKUP(B2233,Tabela_Auxiliar[],4,0)</f>
        <v>Imposto</v>
      </c>
      <c r="F2233" t="str">
        <f>VLOOKUP(B2233,Tabela_Auxiliar[],3,0)</f>
        <v>Saída</v>
      </c>
      <c r="G2233" t="str">
        <f>UPPER(TEXT(Tabela_DB[[#This Row],[DATA]],"mmm"))</f>
        <v>MAI</v>
      </c>
      <c r="H2233" t="str">
        <f>UPPER(TEXT(Tabela_DB[[#This Row],[DATA]],"aaaa"))</f>
        <v>2021</v>
      </c>
    </row>
    <row r="2234" spans="1:8" x14ac:dyDescent="0.25">
      <c r="A2234" s="2">
        <v>44338</v>
      </c>
      <c r="B2234" t="s">
        <v>55</v>
      </c>
      <c r="C2234">
        <v>-2074</v>
      </c>
      <c r="D2234" t="str">
        <f>VLOOKUP(B2234,Tabela_Auxiliar[],2,0)</f>
        <v>4. Despesas Operacionais</v>
      </c>
      <c r="E2234" t="str">
        <f>VLOOKUP(B2234,Tabela_Auxiliar[],4,0)</f>
        <v>Despesa com Pessoal</v>
      </c>
      <c r="F2234" t="str">
        <f>VLOOKUP(B2234,Tabela_Auxiliar[],3,0)</f>
        <v>Saída</v>
      </c>
      <c r="G2234" t="str">
        <f>UPPER(TEXT(Tabela_DB[[#This Row],[DATA]],"mmm"))</f>
        <v>MAI</v>
      </c>
      <c r="H2234" t="str">
        <f>UPPER(TEXT(Tabela_DB[[#This Row],[DATA]],"aaaa"))</f>
        <v>2021</v>
      </c>
    </row>
    <row r="2235" spans="1:8" x14ac:dyDescent="0.25">
      <c r="A2235" s="2">
        <v>44338</v>
      </c>
      <c r="B2235" t="s">
        <v>4</v>
      </c>
      <c r="C2235">
        <v>11095</v>
      </c>
      <c r="D2235" t="str">
        <f>VLOOKUP(B2235,Tabela_Auxiliar[],2,0)</f>
        <v>1. Receita Operacional Bruta</v>
      </c>
      <c r="E2235" t="str">
        <f>VLOOKUP(B2235,Tabela_Auxiliar[],4,0)</f>
        <v>Receita Bruta</v>
      </c>
      <c r="F2235" t="str">
        <f>VLOOKUP(B2235,Tabela_Auxiliar[],3,0)</f>
        <v>Entrada</v>
      </c>
      <c r="G2235" t="str">
        <f>UPPER(TEXT(Tabela_DB[[#This Row],[DATA]],"mmm"))</f>
        <v>MAI</v>
      </c>
      <c r="H2235" t="str">
        <f>UPPER(TEXT(Tabela_DB[[#This Row],[DATA]],"aaaa"))</f>
        <v>2021</v>
      </c>
    </row>
    <row r="2236" spans="1:8" x14ac:dyDescent="0.25">
      <c r="A2236" s="2">
        <v>44338</v>
      </c>
      <c r="B2236" t="s">
        <v>37</v>
      </c>
      <c r="C2236">
        <v>-3601</v>
      </c>
      <c r="D2236" t="str">
        <f>VLOOKUP(B2236,Tabela_Auxiliar[],2,0)</f>
        <v>3. Custos do Produto/Mercadoria/Serviço</v>
      </c>
      <c r="E2236" t="str">
        <f>VLOOKUP(B2236,Tabela_Auxiliar[],4,0)</f>
        <v>Despesas c/ Produto</v>
      </c>
      <c r="F2236" t="str">
        <f>VLOOKUP(B2236,Tabela_Auxiliar[],3,0)</f>
        <v>Saída</v>
      </c>
      <c r="G2236" t="str">
        <f>UPPER(TEXT(Tabela_DB[[#This Row],[DATA]],"mmm"))</f>
        <v>MAI</v>
      </c>
      <c r="H2236" t="str">
        <f>UPPER(TEXT(Tabela_DB[[#This Row],[DATA]],"aaaa"))</f>
        <v>2021</v>
      </c>
    </row>
    <row r="2237" spans="1:8" x14ac:dyDescent="0.25">
      <c r="A2237" s="2">
        <v>44338</v>
      </c>
      <c r="B2237" t="s">
        <v>111</v>
      </c>
      <c r="C2237">
        <v>-2226</v>
      </c>
      <c r="D2237" t="str">
        <f>VLOOKUP(B2237,Tabela_Auxiliar[],2,0)</f>
        <v>2. Deduções da Receita</v>
      </c>
      <c r="E2237" t="str">
        <f>VLOOKUP(B2237,Tabela_Auxiliar[],4,0)</f>
        <v>Imposto</v>
      </c>
      <c r="F2237" t="str">
        <f>VLOOKUP(B2237,Tabela_Auxiliar[],3,0)</f>
        <v>Saída</v>
      </c>
      <c r="G2237" t="str">
        <f>UPPER(TEXT(Tabela_DB[[#This Row],[DATA]],"mmm"))</f>
        <v>MAI</v>
      </c>
      <c r="H2237" t="str">
        <f>UPPER(TEXT(Tabela_DB[[#This Row],[DATA]],"aaaa"))</f>
        <v>2021</v>
      </c>
    </row>
    <row r="2238" spans="1:8" x14ac:dyDescent="0.25">
      <c r="A2238" s="2">
        <v>44338</v>
      </c>
      <c r="B2238" t="s">
        <v>3</v>
      </c>
      <c r="C2238">
        <v>10397</v>
      </c>
      <c r="D2238" t="str">
        <f>VLOOKUP(B2238,Tabela_Auxiliar[],2,0)</f>
        <v>1. Receita Operacional Bruta</v>
      </c>
      <c r="E2238" t="str">
        <f>VLOOKUP(B2238,Tabela_Auxiliar[],4,0)</f>
        <v>Receita Bruta</v>
      </c>
      <c r="F2238" t="str">
        <f>VLOOKUP(B2238,Tabela_Auxiliar[],3,0)</f>
        <v>Entrada</v>
      </c>
      <c r="G2238" t="str">
        <f>UPPER(TEXT(Tabela_DB[[#This Row],[DATA]],"mmm"))</f>
        <v>MAI</v>
      </c>
      <c r="H2238" t="str">
        <f>UPPER(TEXT(Tabela_DB[[#This Row],[DATA]],"aaaa"))</f>
        <v>2021</v>
      </c>
    </row>
    <row r="2239" spans="1:8" x14ac:dyDescent="0.25">
      <c r="A2239" s="2">
        <v>44338</v>
      </c>
      <c r="B2239" t="s">
        <v>79</v>
      </c>
      <c r="C2239">
        <v>-1714</v>
      </c>
      <c r="D2239" t="str">
        <f>VLOOKUP(B2239,Tabela_Auxiliar[],2,0)</f>
        <v>4. Despesas Operacionais</v>
      </c>
      <c r="E2239" t="str">
        <f>VLOOKUP(B2239,Tabela_Auxiliar[],4,0)</f>
        <v>Serviços Contratados</v>
      </c>
      <c r="F2239" t="str">
        <f>VLOOKUP(B2239,Tabela_Auxiliar[],3,0)</f>
        <v>Saída</v>
      </c>
      <c r="G2239" t="str">
        <f>UPPER(TEXT(Tabela_DB[[#This Row],[DATA]],"mmm"))</f>
        <v>MAI</v>
      </c>
      <c r="H2239" t="str">
        <f>UPPER(TEXT(Tabela_DB[[#This Row],[DATA]],"aaaa"))</f>
        <v>2021</v>
      </c>
    </row>
    <row r="2240" spans="1:8" x14ac:dyDescent="0.25">
      <c r="A2240" s="2">
        <v>44338</v>
      </c>
      <c r="B2240" t="s">
        <v>31</v>
      </c>
      <c r="C2240">
        <v>-1986</v>
      </c>
      <c r="D2240" t="str">
        <f>VLOOKUP(B2240,Tabela_Auxiliar[],2,0)</f>
        <v>5. Resultado Financeiro</v>
      </c>
      <c r="E2240" t="str">
        <f>VLOOKUP(B2240,Tabela_Auxiliar[],4,0)</f>
        <v>Participação nos resultados</v>
      </c>
      <c r="F2240" t="str">
        <f>VLOOKUP(B2240,Tabela_Auxiliar[],3,0)</f>
        <v>Saída</v>
      </c>
      <c r="G2240" t="str">
        <f>UPPER(TEXT(Tabela_DB[[#This Row],[DATA]],"mmm"))</f>
        <v>MAI</v>
      </c>
      <c r="H2240" t="str">
        <f>UPPER(TEXT(Tabela_DB[[#This Row],[DATA]],"aaaa"))</f>
        <v>2021</v>
      </c>
    </row>
    <row r="2241" spans="1:8" x14ac:dyDescent="0.25">
      <c r="A2241" s="2">
        <v>44338</v>
      </c>
      <c r="B2241" t="s">
        <v>67</v>
      </c>
      <c r="C2241">
        <v>-2170</v>
      </c>
      <c r="D2241" t="str">
        <f>VLOOKUP(B2241,Tabela_Auxiliar[],2,0)</f>
        <v>4. Despesas Operacionais</v>
      </c>
      <c r="E2241" t="str">
        <f>VLOOKUP(B2241,Tabela_Auxiliar[],4,0)</f>
        <v>Despesa com Vendas</v>
      </c>
      <c r="F2241" t="str">
        <f>VLOOKUP(B2241,Tabela_Auxiliar[],3,0)</f>
        <v>Saída</v>
      </c>
      <c r="G2241" t="str">
        <f>UPPER(TEXT(Tabela_DB[[#This Row],[DATA]],"mmm"))</f>
        <v>MAI</v>
      </c>
      <c r="H2241" t="str">
        <f>UPPER(TEXT(Tabela_DB[[#This Row],[DATA]],"aaaa"))</f>
        <v>2021</v>
      </c>
    </row>
    <row r="2242" spans="1:8" x14ac:dyDescent="0.25">
      <c r="A2242" s="2">
        <v>44338</v>
      </c>
      <c r="B2242" t="s">
        <v>37</v>
      </c>
      <c r="C2242">
        <v>-3786</v>
      </c>
      <c r="D2242" t="str">
        <f>VLOOKUP(B2242,Tabela_Auxiliar[],2,0)</f>
        <v>3. Custos do Produto/Mercadoria/Serviço</v>
      </c>
      <c r="E2242" t="str">
        <f>VLOOKUP(B2242,Tabela_Auxiliar[],4,0)</f>
        <v>Despesas c/ Produto</v>
      </c>
      <c r="F2242" t="str">
        <f>VLOOKUP(B2242,Tabela_Auxiliar[],3,0)</f>
        <v>Saída</v>
      </c>
      <c r="G2242" t="str">
        <f>UPPER(TEXT(Tabela_DB[[#This Row],[DATA]],"mmm"))</f>
        <v>MAI</v>
      </c>
      <c r="H2242" t="str">
        <f>UPPER(TEXT(Tabela_DB[[#This Row],[DATA]],"aaaa"))</f>
        <v>2021</v>
      </c>
    </row>
    <row r="2243" spans="1:8" x14ac:dyDescent="0.25">
      <c r="A2243" s="2">
        <v>44338</v>
      </c>
      <c r="B2243" t="s">
        <v>111</v>
      </c>
      <c r="C2243">
        <v>-1653</v>
      </c>
      <c r="D2243" t="str">
        <f>VLOOKUP(B2243,Tabela_Auxiliar[],2,0)</f>
        <v>2. Deduções da Receita</v>
      </c>
      <c r="E2243" t="str">
        <f>VLOOKUP(B2243,Tabela_Auxiliar[],4,0)</f>
        <v>Imposto</v>
      </c>
      <c r="F2243" t="str">
        <f>VLOOKUP(B2243,Tabela_Auxiliar[],3,0)</f>
        <v>Saída</v>
      </c>
      <c r="G2243" t="str">
        <f>UPPER(TEXT(Tabela_DB[[#This Row],[DATA]],"mmm"))</f>
        <v>MAI</v>
      </c>
      <c r="H2243" t="str">
        <f>UPPER(TEXT(Tabela_DB[[#This Row],[DATA]],"aaaa"))</f>
        <v>2021</v>
      </c>
    </row>
    <row r="2244" spans="1:8" x14ac:dyDescent="0.25">
      <c r="A2244" s="2">
        <v>44339</v>
      </c>
      <c r="B2244" t="s">
        <v>34</v>
      </c>
      <c r="C2244">
        <v>-1675</v>
      </c>
      <c r="D2244" t="str">
        <f>VLOOKUP(B2244,Tabela_Auxiliar[],2,0)</f>
        <v>2. Deduções da Receita</v>
      </c>
      <c r="E2244" t="str">
        <f>VLOOKUP(B2244,Tabela_Auxiliar[],4,0)</f>
        <v>Imposto</v>
      </c>
      <c r="F2244" t="str">
        <f>VLOOKUP(B2244,Tabela_Auxiliar[],3,0)</f>
        <v>Saída</v>
      </c>
      <c r="G2244" t="str">
        <f>UPPER(TEXT(Tabela_DB[[#This Row],[DATA]],"mmm"))</f>
        <v>MAI</v>
      </c>
      <c r="H2244" t="str">
        <f>UPPER(TEXT(Tabela_DB[[#This Row],[DATA]],"aaaa"))</f>
        <v>2021</v>
      </c>
    </row>
    <row r="2245" spans="1:8" x14ac:dyDescent="0.25">
      <c r="A2245" s="2">
        <v>44339</v>
      </c>
      <c r="B2245" t="s">
        <v>34</v>
      </c>
      <c r="C2245">
        <v>-2318</v>
      </c>
      <c r="D2245" t="str">
        <f>VLOOKUP(B2245,Tabela_Auxiliar[],2,0)</f>
        <v>2. Deduções da Receita</v>
      </c>
      <c r="E2245" t="str">
        <f>VLOOKUP(B2245,Tabela_Auxiliar[],4,0)</f>
        <v>Imposto</v>
      </c>
      <c r="F2245" t="str">
        <f>VLOOKUP(B2245,Tabela_Auxiliar[],3,0)</f>
        <v>Saída</v>
      </c>
      <c r="G2245" t="str">
        <f>UPPER(TEXT(Tabela_DB[[#This Row],[DATA]],"mmm"))</f>
        <v>MAI</v>
      </c>
      <c r="H2245" t="str">
        <f>UPPER(TEXT(Tabela_DB[[#This Row],[DATA]],"aaaa"))</f>
        <v>2021</v>
      </c>
    </row>
    <row r="2246" spans="1:8" x14ac:dyDescent="0.25">
      <c r="A2246" s="2">
        <v>44339</v>
      </c>
      <c r="B2246" t="s">
        <v>44</v>
      </c>
      <c r="C2246">
        <v>-2474</v>
      </c>
      <c r="D2246" t="str">
        <f>VLOOKUP(B2246,Tabela_Auxiliar[],2,0)</f>
        <v>4. Despesas Operacionais</v>
      </c>
      <c r="E2246" t="str">
        <f>VLOOKUP(B2246,Tabela_Auxiliar[],4,0)</f>
        <v>Despesa com Pessoal</v>
      </c>
      <c r="F2246" t="str">
        <f>VLOOKUP(B2246,Tabela_Auxiliar[],3,0)</f>
        <v>Saída</v>
      </c>
      <c r="G2246" t="str">
        <f>UPPER(TEXT(Tabela_DB[[#This Row],[DATA]],"mmm"))</f>
        <v>MAI</v>
      </c>
      <c r="H2246" t="str">
        <f>UPPER(TEXT(Tabela_DB[[#This Row],[DATA]],"aaaa"))</f>
        <v>2021</v>
      </c>
    </row>
    <row r="2247" spans="1:8" x14ac:dyDescent="0.25">
      <c r="A2247" s="2">
        <v>44339</v>
      </c>
      <c r="B2247" t="s">
        <v>34</v>
      </c>
      <c r="C2247">
        <v>-1748</v>
      </c>
      <c r="D2247" t="str">
        <f>VLOOKUP(B2247,Tabela_Auxiliar[],2,0)</f>
        <v>2. Deduções da Receita</v>
      </c>
      <c r="E2247" t="str">
        <f>VLOOKUP(B2247,Tabela_Auxiliar[],4,0)</f>
        <v>Imposto</v>
      </c>
      <c r="F2247" t="str">
        <f>VLOOKUP(B2247,Tabela_Auxiliar[],3,0)</f>
        <v>Saída</v>
      </c>
      <c r="G2247" t="str">
        <f>UPPER(TEXT(Tabela_DB[[#This Row],[DATA]],"mmm"))</f>
        <v>MAI</v>
      </c>
      <c r="H2247" t="str">
        <f>UPPER(TEXT(Tabela_DB[[#This Row],[DATA]],"aaaa"))</f>
        <v>2021</v>
      </c>
    </row>
    <row r="2248" spans="1:8" x14ac:dyDescent="0.25">
      <c r="A2248" s="2">
        <v>44339</v>
      </c>
      <c r="B2248" t="s">
        <v>38</v>
      </c>
      <c r="C2248">
        <v>-1940</v>
      </c>
      <c r="D2248" t="str">
        <f>VLOOKUP(B2248,Tabela_Auxiliar[],2,0)</f>
        <v>2. Deduções da Receita</v>
      </c>
      <c r="E2248" t="str">
        <f>VLOOKUP(B2248,Tabela_Auxiliar[],4,0)</f>
        <v>Deduções</v>
      </c>
      <c r="F2248" t="str">
        <f>VLOOKUP(B2248,Tabela_Auxiliar[],3,0)</f>
        <v>Saída</v>
      </c>
      <c r="G2248" t="str">
        <f>UPPER(TEXT(Tabela_DB[[#This Row],[DATA]],"mmm"))</f>
        <v>MAI</v>
      </c>
      <c r="H2248" t="str">
        <f>UPPER(TEXT(Tabela_DB[[#This Row],[DATA]],"aaaa"))</f>
        <v>2021</v>
      </c>
    </row>
    <row r="2249" spans="1:8" x14ac:dyDescent="0.25">
      <c r="A2249" s="2">
        <v>44339</v>
      </c>
      <c r="B2249" t="s">
        <v>4</v>
      </c>
      <c r="C2249">
        <v>11551</v>
      </c>
      <c r="D2249" t="str">
        <f>VLOOKUP(B2249,Tabela_Auxiliar[],2,0)</f>
        <v>1. Receita Operacional Bruta</v>
      </c>
      <c r="E2249" t="str">
        <f>VLOOKUP(B2249,Tabela_Auxiliar[],4,0)</f>
        <v>Receita Bruta</v>
      </c>
      <c r="F2249" t="str">
        <f>VLOOKUP(B2249,Tabela_Auxiliar[],3,0)</f>
        <v>Entrada</v>
      </c>
      <c r="G2249" t="str">
        <f>UPPER(TEXT(Tabela_DB[[#This Row],[DATA]],"mmm"))</f>
        <v>MAI</v>
      </c>
      <c r="H2249" t="str">
        <f>UPPER(TEXT(Tabela_DB[[#This Row],[DATA]],"aaaa"))</f>
        <v>2021</v>
      </c>
    </row>
    <row r="2250" spans="1:8" x14ac:dyDescent="0.25">
      <c r="A2250" s="2">
        <v>44339</v>
      </c>
      <c r="B2250" t="s">
        <v>35</v>
      </c>
      <c r="C2250">
        <v>-2364</v>
      </c>
      <c r="D2250" t="str">
        <f>VLOOKUP(B2250,Tabela_Auxiliar[],2,0)</f>
        <v>2. Deduções da Receita</v>
      </c>
      <c r="E2250" t="str">
        <f>VLOOKUP(B2250,Tabela_Auxiliar[],4,0)</f>
        <v>Imposto</v>
      </c>
      <c r="F2250" t="str">
        <f>VLOOKUP(B2250,Tabela_Auxiliar[],3,0)</f>
        <v>Saída</v>
      </c>
      <c r="G2250" t="str">
        <f>UPPER(TEXT(Tabela_DB[[#This Row],[DATA]],"mmm"))</f>
        <v>MAI</v>
      </c>
      <c r="H2250" t="str">
        <f>UPPER(TEXT(Tabela_DB[[#This Row],[DATA]],"aaaa"))</f>
        <v>2021</v>
      </c>
    </row>
    <row r="2251" spans="1:8" x14ac:dyDescent="0.25">
      <c r="A2251" s="2">
        <v>44339</v>
      </c>
      <c r="B2251" t="s">
        <v>35</v>
      </c>
      <c r="C2251">
        <v>-1316</v>
      </c>
      <c r="D2251" t="str">
        <f>VLOOKUP(B2251,Tabela_Auxiliar[],2,0)</f>
        <v>2. Deduções da Receita</v>
      </c>
      <c r="E2251" t="str">
        <f>VLOOKUP(B2251,Tabela_Auxiliar[],4,0)</f>
        <v>Imposto</v>
      </c>
      <c r="F2251" t="str">
        <f>VLOOKUP(B2251,Tabela_Auxiliar[],3,0)</f>
        <v>Saída</v>
      </c>
      <c r="G2251" t="str">
        <f>UPPER(TEXT(Tabela_DB[[#This Row],[DATA]],"mmm"))</f>
        <v>MAI</v>
      </c>
      <c r="H2251" t="str">
        <f>UPPER(TEXT(Tabela_DB[[#This Row],[DATA]],"aaaa"))</f>
        <v>2021</v>
      </c>
    </row>
    <row r="2252" spans="1:8" x14ac:dyDescent="0.25">
      <c r="A2252" s="2">
        <v>44339</v>
      </c>
      <c r="B2252" t="s">
        <v>34</v>
      </c>
      <c r="C2252">
        <v>-1220</v>
      </c>
      <c r="D2252" t="str">
        <f>VLOOKUP(B2252,Tabela_Auxiliar[],2,0)</f>
        <v>2. Deduções da Receita</v>
      </c>
      <c r="E2252" t="str">
        <f>VLOOKUP(B2252,Tabela_Auxiliar[],4,0)</f>
        <v>Imposto</v>
      </c>
      <c r="F2252" t="str">
        <f>VLOOKUP(B2252,Tabela_Auxiliar[],3,0)</f>
        <v>Saída</v>
      </c>
      <c r="G2252" t="str">
        <f>UPPER(TEXT(Tabela_DB[[#This Row],[DATA]],"mmm"))</f>
        <v>MAI</v>
      </c>
      <c r="H2252" t="str">
        <f>UPPER(TEXT(Tabela_DB[[#This Row],[DATA]],"aaaa"))</f>
        <v>2021</v>
      </c>
    </row>
    <row r="2253" spans="1:8" x14ac:dyDescent="0.25">
      <c r="A2253" s="2">
        <v>44339</v>
      </c>
      <c r="B2253" t="s">
        <v>102</v>
      </c>
      <c r="C2253">
        <v>-1136</v>
      </c>
      <c r="D2253" t="str">
        <f>VLOOKUP(B2253,Tabela_Auxiliar[],2,0)</f>
        <v>6. Resultado após o Resultado Financeiro</v>
      </c>
      <c r="E2253" t="str">
        <f>VLOOKUP(B2253,Tabela_Auxiliar[],4,0)</f>
        <v>EBTIDA</v>
      </c>
      <c r="F2253" t="str">
        <f>VLOOKUP(B2253,Tabela_Auxiliar[],3,0)</f>
        <v>Saída</v>
      </c>
      <c r="G2253" t="str">
        <f>UPPER(TEXT(Tabela_DB[[#This Row],[DATA]],"mmm"))</f>
        <v>MAI</v>
      </c>
      <c r="H2253" t="str">
        <f>UPPER(TEXT(Tabela_DB[[#This Row],[DATA]],"aaaa"))</f>
        <v>2021</v>
      </c>
    </row>
    <row r="2254" spans="1:8" x14ac:dyDescent="0.25">
      <c r="A2254" s="2">
        <v>44339</v>
      </c>
      <c r="B2254" t="s">
        <v>4</v>
      </c>
      <c r="C2254">
        <v>11492</v>
      </c>
      <c r="D2254" t="str">
        <f>VLOOKUP(B2254,Tabela_Auxiliar[],2,0)</f>
        <v>1. Receita Operacional Bruta</v>
      </c>
      <c r="E2254" t="str">
        <f>VLOOKUP(B2254,Tabela_Auxiliar[],4,0)</f>
        <v>Receita Bruta</v>
      </c>
      <c r="F2254" t="str">
        <f>VLOOKUP(B2254,Tabela_Auxiliar[],3,0)</f>
        <v>Entrada</v>
      </c>
      <c r="G2254" t="str">
        <f>UPPER(TEXT(Tabela_DB[[#This Row],[DATA]],"mmm"))</f>
        <v>MAI</v>
      </c>
      <c r="H2254" t="str">
        <f>UPPER(TEXT(Tabela_DB[[#This Row],[DATA]],"aaaa"))</f>
        <v>2021</v>
      </c>
    </row>
    <row r="2255" spans="1:8" x14ac:dyDescent="0.25">
      <c r="A2255" s="2">
        <v>44339</v>
      </c>
      <c r="B2255" t="s">
        <v>61</v>
      </c>
      <c r="C2255">
        <v>-2446</v>
      </c>
      <c r="D2255" t="str">
        <f>VLOOKUP(B2255,Tabela_Auxiliar[],2,0)</f>
        <v>4. Despesas Operacionais</v>
      </c>
      <c r="E2255" t="str">
        <f>VLOOKUP(B2255,Tabela_Auxiliar[],4,0)</f>
        <v>Despesa de Depreciação</v>
      </c>
      <c r="F2255" t="str">
        <f>VLOOKUP(B2255,Tabela_Auxiliar[],3,0)</f>
        <v>Saída</v>
      </c>
      <c r="G2255" t="str">
        <f>UPPER(TEXT(Tabela_DB[[#This Row],[DATA]],"mmm"))</f>
        <v>MAI</v>
      </c>
      <c r="H2255" t="str">
        <f>UPPER(TEXT(Tabela_DB[[#This Row],[DATA]],"aaaa"))</f>
        <v>2021</v>
      </c>
    </row>
    <row r="2256" spans="1:8" x14ac:dyDescent="0.25">
      <c r="A2256" s="2">
        <v>44339</v>
      </c>
      <c r="B2256" t="s">
        <v>66</v>
      </c>
      <c r="C2256">
        <v>-1788</v>
      </c>
      <c r="D2256" t="str">
        <f>VLOOKUP(B2256,Tabela_Auxiliar[],2,0)</f>
        <v>4. Despesas Operacionais</v>
      </c>
      <c r="E2256" t="str">
        <f>VLOOKUP(B2256,Tabela_Auxiliar[],4,0)</f>
        <v>Despesa com Vendas</v>
      </c>
      <c r="F2256" t="str">
        <f>VLOOKUP(B2256,Tabela_Auxiliar[],3,0)</f>
        <v>Saída</v>
      </c>
      <c r="G2256" t="str">
        <f>UPPER(TEXT(Tabela_DB[[#This Row],[DATA]],"mmm"))</f>
        <v>MAI</v>
      </c>
      <c r="H2256" t="str">
        <f>UPPER(TEXT(Tabela_DB[[#This Row],[DATA]],"aaaa"))</f>
        <v>2021</v>
      </c>
    </row>
    <row r="2257" spans="1:8" x14ac:dyDescent="0.25">
      <c r="A2257" s="2">
        <v>44339</v>
      </c>
      <c r="B2257" t="s">
        <v>3</v>
      </c>
      <c r="C2257">
        <v>10286</v>
      </c>
      <c r="D2257" t="str">
        <f>VLOOKUP(B2257,Tabela_Auxiliar[],2,0)</f>
        <v>1. Receita Operacional Bruta</v>
      </c>
      <c r="E2257" t="str">
        <f>VLOOKUP(B2257,Tabela_Auxiliar[],4,0)</f>
        <v>Receita Bruta</v>
      </c>
      <c r="F2257" t="str">
        <f>VLOOKUP(B2257,Tabela_Auxiliar[],3,0)</f>
        <v>Entrada</v>
      </c>
      <c r="G2257" t="str">
        <f>UPPER(TEXT(Tabela_DB[[#This Row],[DATA]],"mmm"))</f>
        <v>MAI</v>
      </c>
      <c r="H2257" t="str">
        <f>UPPER(TEXT(Tabela_DB[[#This Row],[DATA]],"aaaa"))</f>
        <v>2021</v>
      </c>
    </row>
    <row r="2258" spans="1:8" x14ac:dyDescent="0.25">
      <c r="A2258" s="2">
        <v>44339</v>
      </c>
      <c r="B2258" t="s">
        <v>3</v>
      </c>
      <c r="C2258">
        <v>14176</v>
      </c>
      <c r="D2258" t="str">
        <f>VLOOKUP(B2258,Tabela_Auxiliar[],2,0)</f>
        <v>1. Receita Operacional Bruta</v>
      </c>
      <c r="E2258" t="str">
        <f>VLOOKUP(B2258,Tabela_Auxiliar[],4,0)</f>
        <v>Receita Bruta</v>
      </c>
      <c r="F2258" t="str">
        <f>VLOOKUP(B2258,Tabela_Auxiliar[],3,0)</f>
        <v>Entrada</v>
      </c>
      <c r="G2258" t="str">
        <f>UPPER(TEXT(Tabela_DB[[#This Row],[DATA]],"mmm"))</f>
        <v>MAI</v>
      </c>
      <c r="H2258" t="str">
        <f>UPPER(TEXT(Tabela_DB[[#This Row],[DATA]],"aaaa"))</f>
        <v>2021</v>
      </c>
    </row>
    <row r="2259" spans="1:8" x14ac:dyDescent="0.25">
      <c r="A2259" s="2">
        <v>44339</v>
      </c>
      <c r="B2259" t="s">
        <v>111</v>
      </c>
      <c r="C2259">
        <v>-2468</v>
      </c>
      <c r="D2259" t="str">
        <f>VLOOKUP(B2259,Tabela_Auxiliar[],2,0)</f>
        <v>2. Deduções da Receita</v>
      </c>
      <c r="E2259" t="str">
        <f>VLOOKUP(B2259,Tabela_Auxiliar[],4,0)</f>
        <v>Imposto</v>
      </c>
      <c r="F2259" t="str">
        <f>VLOOKUP(B2259,Tabela_Auxiliar[],3,0)</f>
        <v>Saída</v>
      </c>
      <c r="G2259" t="str">
        <f>UPPER(TEXT(Tabela_DB[[#This Row],[DATA]],"mmm"))</f>
        <v>MAI</v>
      </c>
      <c r="H2259" t="str">
        <f>UPPER(TEXT(Tabela_DB[[#This Row],[DATA]],"aaaa"))</f>
        <v>2021</v>
      </c>
    </row>
    <row r="2260" spans="1:8" x14ac:dyDescent="0.25">
      <c r="A2260" s="2">
        <v>44339</v>
      </c>
      <c r="B2260" t="s">
        <v>37</v>
      </c>
      <c r="C2260">
        <v>-3029</v>
      </c>
      <c r="D2260" t="str">
        <f>VLOOKUP(B2260,Tabela_Auxiliar[],2,0)</f>
        <v>3. Custos do Produto/Mercadoria/Serviço</v>
      </c>
      <c r="E2260" t="str">
        <f>VLOOKUP(B2260,Tabela_Auxiliar[],4,0)</f>
        <v>Despesas c/ Produto</v>
      </c>
      <c r="F2260" t="str">
        <f>VLOOKUP(B2260,Tabela_Auxiliar[],3,0)</f>
        <v>Saída</v>
      </c>
      <c r="G2260" t="str">
        <f>UPPER(TEXT(Tabela_DB[[#This Row],[DATA]],"mmm"))</f>
        <v>MAI</v>
      </c>
      <c r="H2260" t="str">
        <f>UPPER(TEXT(Tabela_DB[[#This Row],[DATA]],"aaaa"))</f>
        <v>2021</v>
      </c>
    </row>
    <row r="2261" spans="1:8" x14ac:dyDescent="0.25">
      <c r="A2261" s="2">
        <v>44339</v>
      </c>
      <c r="B2261" t="s">
        <v>34</v>
      </c>
      <c r="C2261">
        <v>-1405</v>
      </c>
      <c r="D2261" t="str">
        <f>VLOOKUP(B2261,Tabela_Auxiliar[],2,0)</f>
        <v>2. Deduções da Receita</v>
      </c>
      <c r="E2261" t="str">
        <f>VLOOKUP(B2261,Tabela_Auxiliar[],4,0)</f>
        <v>Imposto</v>
      </c>
      <c r="F2261" t="str">
        <f>VLOOKUP(B2261,Tabela_Auxiliar[],3,0)</f>
        <v>Saída</v>
      </c>
      <c r="G2261" t="str">
        <f>UPPER(TEXT(Tabela_DB[[#This Row],[DATA]],"mmm"))</f>
        <v>MAI</v>
      </c>
      <c r="H2261" t="str">
        <f>UPPER(TEXT(Tabela_DB[[#This Row],[DATA]],"aaaa"))</f>
        <v>2021</v>
      </c>
    </row>
    <row r="2262" spans="1:8" x14ac:dyDescent="0.25">
      <c r="A2262" s="2">
        <v>44339</v>
      </c>
      <c r="B2262" t="s">
        <v>4</v>
      </c>
      <c r="C2262">
        <v>11581</v>
      </c>
      <c r="D2262" t="str">
        <f>VLOOKUP(B2262,Tabela_Auxiliar[],2,0)</f>
        <v>1. Receita Operacional Bruta</v>
      </c>
      <c r="E2262" t="str">
        <f>VLOOKUP(B2262,Tabela_Auxiliar[],4,0)</f>
        <v>Receita Bruta</v>
      </c>
      <c r="F2262" t="str">
        <f>VLOOKUP(B2262,Tabela_Auxiliar[],3,0)</f>
        <v>Entrada</v>
      </c>
      <c r="G2262" t="str">
        <f>UPPER(TEXT(Tabela_DB[[#This Row],[DATA]],"mmm"))</f>
        <v>MAI</v>
      </c>
      <c r="H2262" t="str">
        <f>UPPER(TEXT(Tabela_DB[[#This Row],[DATA]],"aaaa"))</f>
        <v>2021</v>
      </c>
    </row>
    <row r="2263" spans="1:8" x14ac:dyDescent="0.25">
      <c r="A2263" s="2">
        <v>44339</v>
      </c>
      <c r="B2263" t="s">
        <v>4</v>
      </c>
      <c r="C2263">
        <v>14383</v>
      </c>
      <c r="D2263" t="str">
        <f>VLOOKUP(B2263,Tabela_Auxiliar[],2,0)</f>
        <v>1. Receita Operacional Bruta</v>
      </c>
      <c r="E2263" t="str">
        <f>VLOOKUP(B2263,Tabela_Auxiliar[],4,0)</f>
        <v>Receita Bruta</v>
      </c>
      <c r="F2263" t="str">
        <f>VLOOKUP(B2263,Tabela_Auxiliar[],3,0)</f>
        <v>Entrada</v>
      </c>
      <c r="G2263" t="str">
        <f>UPPER(TEXT(Tabela_DB[[#This Row],[DATA]],"mmm"))</f>
        <v>MAI</v>
      </c>
      <c r="H2263" t="str">
        <f>UPPER(TEXT(Tabela_DB[[#This Row],[DATA]],"aaaa"))</f>
        <v>2021</v>
      </c>
    </row>
    <row r="2264" spans="1:8" x14ac:dyDescent="0.25">
      <c r="A2264" s="2">
        <v>44340</v>
      </c>
      <c r="B2264" t="s">
        <v>66</v>
      </c>
      <c r="C2264">
        <v>-1832</v>
      </c>
      <c r="D2264" t="str">
        <f>VLOOKUP(B2264,Tabela_Auxiliar[],2,0)</f>
        <v>4. Despesas Operacionais</v>
      </c>
      <c r="E2264" t="str">
        <f>VLOOKUP(B2264,Tabela_Auxiliar[],4,0)</f>
        <v>Despesa com Vendas</v>
      </c>
      <c r="F2264" t="str">
        <f>VLOOKUP(B2264,Tabela_Auxiliar[],3,0)</f>
        <v>Saída</v>
      </c>
      <c r="G2264" t="str">
        <f>UPPER(TEXT(Tabela_DB[[#This Row],[DATA]],"mmm"))</f>
        <v>MAI</v>
      </c>
      <c r="H2264" t="str">
        <f>UPPER(TEXT(Tabela_DB[[#This Row],[DATA]],"aaaa"))</f>
        <v>2021</v>
      </c>
    </row>
    <row r="2265" spans="1:8" x14ac:dyDescent="0.25">
      <c r="A2265" s="2">
        <v>44340</v>
      </c>
      <c r="B2265" t="s">
        <v>3</v>
      </c>
      <c r="C2265">
        <v>12886</v>
      </c>
      <c r="D2265" t="str">
        <f>VLOOKUP(B2265,Tabela_Auxiliar[],2,0)</f>
        <v>1. Receita Operacional Bruta</v>
      </c>
      <c r="E2265" t="str">
        <f>VLOOKUP(B2265,Tabela_Auxiliar[],4,0)</f>
        <v>Receita Bruta</v>
      </c>
      <c r="F2265" t="str">
        <f>VLOOKUP(B2265,Tabela_Auxiliar[],3,0)</f>
        <v>Entrada</v>
      </c>
      <c r="G2265" t="str">
        <f>UPPER(TEXT(Tabela_DB[[#This Row],[DATA]],"mmm"))</f>
        <v>MAI</v>
      </c>
      <c r="H2265" t="str">
        <f>UPPER(TEXT(Tabela_DB[[#This Row],[DATA]],"aaaa"))</f>
        <v>2021</v>
      </c>
    </row>
    <row r="2266" spans="1:8" x14ac:dyDescent="0.25">
      <c r="A2266" s="2">
        <v>44340</v>
      </c>
      <c r="B2266" t="s">
        <v>33</v>
      </c>
      <c r="C2266">
        <v>-1614</v>
      </c>
      <c r="D2266" t="str">
        <f>VLOOKUP(B2266,Tabela_Auxiliar[],2,0)</f>
        <v>4. Despesas Operacionais</v>
      </c>
      <c r="E2266" t="str">
        <f>VLOOKUP(B2266,Tabela_Auxiliar[],4,0)</f>
        <v>Despesa com Vendas</v>
      </c>
      <c r="F2266" t="str">
        <f>VLOOKUP(B2266,Tabela_Auxiliar[],3,0)</f>
        <v>Saída</v>
      </c>
      <c r="G2266" t="str">
        <f>UPPER(TEXT(Tabela_DB[[#This Row],[DATA]],"mmm"))</f>
        <v>MAI</v>
      </c>
      <c r="H2266" t="str">
        <f>UPPER(TEXT(Tabela_DB[[#This Row],[DATA]],"aaaa"))</f>
        <v>2021</v>
      </c>
    </row>
    <row r="2267" spans="1:8" x14ac:dyDescent="0.25">
      <c r="A2267" s="2">
        <v>44340</v>
      </c>
      <c r="B2267" t="s">
        <v>3</v>
      </c>
      <c r="C2267">
        <v>12873</v>
      </c>
      <c r="D2267" t="str">
        <f>VLOOKUP(B2267,Tabela_Auxiliar[],2,0)</f>
        <v>1. Receita Operacional Bruta</v>
      </c>
      <c r="E2267" t="str">
        <f>VLOOKUP(B2267,Tabela_Auxiliar[],4,0)</f>
        <v>Receita Bruta</v>
      </c>
      <c r="F2267" t="str">
        <f>VLOOKUP(B2267,Tabela_Auxiliar[],3,0)</f>
        <v>Entrada</v>
      </c>
      <c r="G2267" t="str">
        <f>UPPER(TEXT(Tabela_DB[[#This Row],[DATA]],"mmm"))</f>
        <v>MAI</v>
      </c>
      <c r="H2267" t="str">
        <f>UPPER(TEXT(Tabela_DB[[#This Row],[DATA]],"aaaa"))</f>
        <v>2021</v>
      </c>
    </row>
    <row r="2268" spans="1:8" x14ac:dyDescent="0.25">
      <c r="A2268" s="2">
        <v>44340</v>
      </c>
      <c r="B2268" t="s">
        <v>4</v>
      </c>
      <c r="C2268">
        <v>14911</v>
      </c>
      <c r="D2268" t="str">
        <f>VLOOKUP(B2268,Tabela_Auxiliar[],2,0)</f>
        <v>1. Receita Operacional Bruta</v>
      </c>
      <c r="E2268" t="str">
        <f>VLOOKUP(B2268,Tabela_Auxiliar[],4,0)</f>
        <v>Receita Bruta</v>
      </c>
      <c r="F2268" t="str">
        <f>VLOOKUP(B2268,Tabela_Auxiliar[],3,0)</f>
        <v>Entrada</v>
      </c>
      <c r="G2268" t="str">
        <f>UPPER(TEXT(Tabela_DB[[#This Row],[DATA]],"mmm"))</f>
        <v>MAI</v>
      </c>
      <c r="H2268" t="str">
        <f>UPPER(TEXT(Tabela_DB[[#This Row],[DATA]],"aaaa"))</f>
        <v>2021</v>
      </c>
    </row>
    <row r="2269" spans="1:8" x14ac:dyDescent="0.25">
      <c r="A2269" s="2">
        <v>44340</v>
      </c>
      <c r="B2269" t="s">
        <v>38</v>
      </c>
      <c r="C2269">
        <v>-1057</v>
      </c>
      <c r="D2269" t="str">
        <f>VLOOKUP(B2269,Tabela_Auxiliar[],2,0)</f>
        <v>2. Deduções da Receita</v>
      </c>
      <c r="E2269" t="str">
        <f>VLOOKUP(B2269,Tabela_Auxiliar[],4,0)</f>
        <v>Deduções</v>
      </c>
      <c r="F2269" t="str">
        <f>VLOOKUP(B2269,Tabela_Auxiliar[],3,0)</f>
        <v>Saída</v>
      </c>
      <c r="G2269" t="str">
        <f>UPPER(TEXT(Tabela_DB[[#This Row],[DATA]],"mmm"))</f>
        <v>MAI</v>
      </c>
      <c r="H2269" t="str">
        <f>UPPER(TEXT(Tabela_DB[[#This Row],[DATA]],"aaaa"))</f>
        <v>2021</v>
      </c>
    </row>
    <row r="2270" spans="1:8" x14ac:dyDescent="0.25">
      <c r="A2270" s="2">
        <v>44340</v>
      </c>
      <c r="B2270" t="s">
        <v>38</v>
      </c>
      <c r="C2270">
        <v>-2285</v>
      </c>
      <c r="D2270" t="str">
        <f>VLOOKUP(B2270,Tabela_Auxiliar[],2,0)</f>
        <v>2. Deduções da Receita</v>
      </c>
      <c r="E2270" t="str">
        <f>VLOOKUP(B2270,Tabela_Auxiliar[],4,0)</f>
        <v>Deduções</v>
      </c>
      <c r="F2270" t="str">
        <f>VLOOKUP(B2270,Tabela_Auxiliar[],3,0)</f>
        <v>Saída</v>
      </c>
      <c r="G2270" t="str">
        <f>UPPER(TEXT(Tabela_DB[[#This Row],[DATA]],"mmm"))</f>
        <v>MAI</v>
      </c>
      <c r="H2270" t="str">
        <f>UPPER(TEXT(Tabela_DB[[#This Row],[DATA]],"aaaa"))</f>
        <v>2021</v>
      </c>
    </row>
    <row r="2271" spans="1:8" x14ac:dyDescent="0.25">
      <c r="A2271" s="2">
        <v>44340</v>
      </c>
      <c r="B2271" t="s">
        <v>38</v>
      </c>
      <c r="C2271">
        <v>-1858</v>
      </c>
      <c r="D2271" t="str">
        <f>VLOOKUP(B2271,Tabela_Auxiliar[],2,0)</f>
        <v>2. Deduções da Receita</v>
      </c>
      <c r="E2271" t="str">
        <f>VLOOKUP(B2271,Tabela_Auxiliar[],4,0)</f>
        <v>Deduções</v>
      </c>
      <c r="F2271" t="str">
        <f>VLOOKUP(B2271,Tabela_Auxiliar[],3,0)</f>
        <v>Saída</v>
      </c>
      <c r="G2271" t="str">
        <f>UPPER(TEXT(Tabela_DB[[#This Row],[DATA]],"mmm"))</f>
        <v>MAI</v>
      </c>
      <c r="H2271" t="str">
        <f>UPPER(TEXT(Tabela_DB[[#This Row],[DATA]],"aaaa"))</f>
        <v>2021</v>
      </c>
    </row>
    <row r="2272" spans="1:8" x14ac:dyDescent="0.25">
      <c r="A2272" s="2">
        <v>44340</v>
      </c>
      <c r="B2272" t="s">
        <v>38</v>
      </c>
      <c r="C2272">
        <v>-1048</v>
      </c>
      <c r="D2272" t="str">
        <f>VLOOKUP(B2272,Tabela_Auxiliar[],2,0)</f>
        <v>2. Deduções da Receita</v>
      </c>
      <c r="E2272" t="str">
        <f>VLOOKUP(B2272,Tabela_Auxiliar[],4,0)</f>
        <v>Deduções</v>
      </c>
      <c r="F2272" t="str">
        <f>VLOOKUP(B2272,Tabela_Auxiliar[],3,0)</f>
        <v>Saída</v>
      </c>
      <c r="G2272" t="str">
        <f>UPPER(TEXT(Tabela_DB[[#This Row],[DATA]],"mmm"))</f>
        <v>MAI</v>
      </c>
      <c r="H2272" t="str">
        <f>UPPER(TEXT(Tabela_DB[[#This Row],[DATA]],"aaaa"))</f>
        <v>2021</v>
      </c>
    </row>
    <row r="2273" spans="1:8" x14ac:dyDescent="0.25">
      <c r="A2273" s="2">
        <v>44340</v>
      </c>
      <c r="B2273" t="s">
        <v>43</v>
      </c>
      <c r="C2273">
        <v>-1678</v>
      </c>
      <c r="D2273" t="str">
        <f>VLOOKUP(B2273,Tabela_Auxiliar[],2,0)</f>
        <v>4. Despesas Operacionais</v>
      </c>
      <c r="E2273" t="str">
        <f>VLOOKUP(B2273,Tabela_Auxiliar[],4,0)</f>
        <v>Despesa com Pessoal</v>
      </c>
      <c r="F2273" t="str">
        <f>VLOOKUP(B2273,Tabela_Auxiliar[],3,0)</f>
        <v>Saída</v>
      </c>
      <c r="G2273" t="str">
        <f>UPPER(TEXT(Tabela_DB[[#This Row],[DATA]],"mmm"))</f>
        <v>MAI</v>
      </c>
      <c r="H2273" t="str">
        <f>UPPER(TEXT(Tabela_DB[[#This Row],[DATA]],"aaaa"))</f>
        <v>2021</v>
      </c>
    </row>
    <row r="2274" spans="1:8" x14ac:dyDescent="0.25">
      <c r="A2274" s="2">
        <v>44341</v>
      </c>
      <c r="B2274" t="s">
        <v>55</v>
      </c>
      <c r="C2274">
        <v>-1655</v>
      </c>
      <c r="D2274" t="str">
        <f>VLOOKUP(B2274,Tabela_Auxiliar[],2,0)</f>
        <v>4. Despesas Operacionais</v>
      </c>
      <c r="E2274" t="str">
        <f>VLOOKUP(B2274,Tabela_Auxiliar[],4,0)</f>
        <v>Despesa com Pessoal</v>
      </c>
      <c r="F2274" t="str">
        <f>VLOOKUP(B2274,Tabela_Auxiliar[],3,0)</f>
        <v>Saída</v>
      </c>
      <c r="G2274" t="str">
        <f>UPPER(TEXT(Tabela_DB[[#This Row],[DATA]],"mmm"))</f>
        <v>MAI</v>
      </c>
      <c r="H2274" t="str">
        <f>UPPER(TEXT(Tabela_DB[[#This Row],[DATA]],"aaaa"))</f>
        <v>2021</v>
      </c>
    </row>
    <row r="2275" spans="1:8" x14ac:dyDescent="0.25">
      <c r="A2275" s="2">
        <v>44341</v>
      </c>
      <c r="B2275" t="s">
        <v>35</v>
      </c>
      <c r="C2275">
        <v>-1171</v>
      </c>
      <c r="D2275" t="str">
        <f>VLOOKUP(B2275,Tabela_Auxiliar[],2,0)</f>
        <v>2. Deduções da Receita</v>
      </c>
      <c r="E2275" t="str">
        <f>VLOOKUP(B2275,Tabela_Auxiliar[],4,0)</f>
        <v>Imposto</v>
      </c>
      <c r="F2275" t="str">
        <f>VLOOKUP(B2275,Tabela_Auxiliar[],3,0)</f>
        <v>Saída</v>
      </c>
      <c r="G2275" t="str">
        <f>UPPER(TEXT(Tabela_DB[[#This Row],[DATA]],"mmm"))</f>
        <v>MAI</v>
      </c>
      <c r="H2275" t="str">
        <f>UPPER(TEXT(Tabela_DB[[#This Row],[DATA]],"aaaa"))</f>
        <v>2021</v>
      </c>
    </row>
    <row r="2276" spans="1:8" x14ac:dyDescent="0.25">
      <c r="A2276" s="2">
        <v>44341</v>
      </c>
      <c r="B2276" t="s">
        <v>3</v>
      </c>
      <c r="C2276">
        <v>12120</v>
      </c>
      <c r="D2276" t="str">
        <f>VLOOKUP(B2276,Tabela_Auxiliar[],2,0)</f>
        <v>1. Receita Operacional Bruta</v>
      </c>
      <c r="E2276" t="str">
        <f>VLOOKUP(B2276,Tabela_Auxiliar[],4,0)</f>
        <v>Receita Bruta</v>
      </c>
      <c r="F2276" t="str">
        <f>VLOOKUP(B2276,Tabela_Auxiliar[],3,0)</f>
        <v>Entrada</v>
      </c>
      <c r="G2276" t="str">
        <f>UPPER(TEXT(Tabela_DB[[#This Row],[DATA]],"mmm"))</f>
        <v>MAI</v>
      </c>
      <c r="H2276" t="str">
        <f>UPPER(TEXT(Tabela_DB[[#This Row],[DATA]],"aaaa"))</f>
        <v>2021</v>
      </c>
    </row>
    <row r="2277" spans="1:8" x14ac:dyDescent="0.25">
      <c r="A2277" s="2">
        <v>44341</v>
      </c>
      <c r="B2277" t="s">
        <v>4</v>
      </c>
      <c r="C2277">
        <v>12105</v>
      </c>
      <c r="D2277" t="str">
        <f>VLOOKUP(B2277,Tabela_Auxiliar[],2,0)</f>
        <v>1. Receita Operacional Bruta</v>
      </c>
      <c r="E2277" t="str">
        <f>VLOOKUP(B2277,Tabela_Auxiliar[],4,0)</f>
        <v>Receita Bruta</v>
      </c>
      <c r="F2277" t="str">
        <f>VLOOKUP(B2277,Tabela_Auxiliar[],3,0)</f>
        <v>Entrada</v>
      </c>
      <c r="G2277" t="str">
        <f>UPPER(TEXT(Tabela_DB[[#This Row],[DATA]],"mmm"))</f>
        <v>MAI</v>
      </c>
      <c r="H2277" t="str">
        <f>UPPER(TEXT(Tabela_DB[[#This Row],[DATA]],"aaaa"))</f>
        <v>2021</v>
      </c>
    </row>
    <row r="2278" spans="1:8" x14ac:dyDescent="0.25">
      <c r="A2278" s="2">
        <v>44341</v>
      </c>
      <c r="B2278" t="s">
        <v>111</v>
      </c>
      <c r="C2278">
        <v>-1337</v>
      </c>
      <c r="D2278" t="str">
        <f>VLOOKUP(B2278,Tabela_Auxiliar[],2,0)</f>
        <v>2. Deduções da Receita</v>
      </c>
      <c r="E2278" t="str">
        <f>VLOOKUP(B2278,Tabela_Auxiliar[],4,0)</f>
        <v>Imposto</v>
      </c>
      <c r="F2278" t="str">
        <f>VLOOKUP(B2278,Tabela_Auxiliar[],3,0)</f>
        <v>Saída</v>
      </c>
      <c r="G2278" t="str">
        <f>UPPER(TEXT(Tabela_DB[[#This Row],[DATA]],"mmm"))</f>
        <v>MAI</v>
      </c>
      <c r="H2278" t="str">
        <f>UPPER(TEXT(Tabela_DB[[#This Row],[DATA]],"aaaa"))</f>
        <v>2021</v>
      </c>
    </row>
    <row r="2279" spans="1:8" x14ac:dyDescent="0.25">
      <c r="A2279" s="2">
        <v>44341</v>
      </c>
      <c r="B2279" t="s">
        <v>38</v>
      </c>
      <c r="C2279">
        <v>-2053</v>
      </c>
      <c r="D2279" t="str">
        <f>VLOOKUP(B2279,Tabela_Auxiliar[],2,0)</f>
        <v>2. Deduções da Receita</v>
      </c>
      <c r="E2279" t="str">
        <f>VLOOKUP(B2279,Tabela_Auxiliar[],4,0)</f>
        <v>Deduções</v>
      </c>
      <c r="F2279" t="str">
        <f>VLOOKUP(B2279,Tabela_Auxiliar[],3,0)</f>
        <v>Saída</v>
      </c>
      <c r="G2279" t="str">
        <f>UPPER(TEXT(Tabela_DB[[#This Row],[DATA]],"mmm"))</f>
        <v>MAI</v>
      </c>
      <c r="H2279" t="str">
        <f>UPPER(TEXT(Tabela_DB[[#This Row],[DATA]],"aaaa"))</f>
        <v>2021</v>
      </c>
    </row>
    <row r="2280" spans="1:8" x14ac:dyDescent="0.25">
      <c r="A2280" s="2">
        <v>44341</v>
      </c>
      <c r="B2280" t="s">
        <v>101</v>
      </c>
      <c r="C2280">
        <v>-2344</v>
      </c>
      <c r="D2280" t="str">
        <f>VLOOKUP(B2280,Tabela_Auxiliar[],2,0)</f>
        <v>5. Resultado Financeiro</v>
      </c>
      <c r="E2280" t="str">
        <f>VLOOKUP(B2280,Tabela_Auxiliar[],4,0)</f>
        <v>Despesa Financeira</v>
      </c>
      <c r="F2280" t="str">
        <f>VLOOKUP(B2280,Tabela_Auxiliar[],3,0)</f>
        <v>Saída</v>
      </c>
      <c r="G2280" t="str">
        <f>UPPER(TEXT(Tabela_DB[[#This Row],[DATA]],"mmm"))</f>
        <v>MAI</v>
      </c>
      <c r="H2280" t="str">
        <f>UPPER(TEXT(Tabela_DB[[#This Row],[DATA]],"aaaa"))</f>
        <v>2021</v>
      </c>
    </row>
    <row r="2281" spans="1:8" x14ac:dyDescent="0.25">
      <c r="A2281" s="2">
        <v>44341</v>
      </c>
      <c r="B2281" t="s">
        <v>31</v>
      </c>
      <c r="C2281">
        <v>-2326</v>
      </c>
      <c r="D2281" t="str">
        <f>VLOOKUP(B2281,Tabela_Auxiliar[],2,0)</f>
        <v>5. Resultado Financeiro</v>
      </c>
      <c r="E2281" t="str">
        <f>VLOOKUP(B2281,Tabela_Auxiliar[],4,0)</f>
        <v>Participação nos resultados</v>
      </c>
      <c r="F2281" t="str">
        <f>VLOOKUP(B2281,Tabela_Auxiliar[],3,0)</f>
        <v>Saída</v>
      </c>
      <c r="G2281" t="str">
        <f>UPPER(TEXT(Tabela_DB[[#This Row],[DATA]],"mmm"))</f>
        <v>MAI</v>
      </c>
      <c r="H2281" t="str">
        <f>UPPER(TEXT(Tabela_DB[[#This Row],[DATA]],"aaaa"))</f>
        <v>2021</v>
      </c>
    </row>
    <row r="2282" spans="1:8" x14ac:dyDescent="0.25">
      <c r="A2282" s="2">
        <v>44341</v>
      </c>
      <c r="B2282" t="s">
        <v>3</v>
      </c>
      <c r="C2282">
        <v>10395</v>
      </c>
      <c r="D2282" t="str">
        <f>VLOOKUP(B2282,Tabela_Auxiliar[],2,0)</f>
        <v>1. Receita Operacional Bruta</v>
      </c>
      <c r="E2282" t="str">
        <f>VLOOKUP(B2282,Tabela_Auxiliar[],4,0)</f>
        <v>Receita Bruta</v>
      </c>
      <c r="F2282" t="str">
        <f>VLOOKUP(B2282,Tabela_Auxiliar[],3,0)</f>
        <v>Entrada</v>
      </c>
      <c r="G2282" t="str">
        <f>UPPER(TEXT(Tabela_DB[[#This Row],[DATA]],"mmm"))</f>
        <v>MAI</v>
      </c>
      <c r="H2282" t="str">
        <f>UPPER(TEXT(Tabela_DB[[#This Row],[DATA]],"aaaa"))</f>
        <v>2021</v>
      </c>
    </row>
    <row r="2283" spans="1:8" x14ac:dyDescent="0.25">
      <c r="A2283" s="2">
        <v>44341</v>
      </c>
      <c r="B2283" t="s">
        <v>4</v>
      </c>
      <c r="C2283">
        <v>14843</v>
      </c>
      <c r="D2283" t="str">
        <f>VLOOKUP(B2283,Tabela_Auxiliar[],2,0)</f>
        <v>1. Receita Operacional Bruta</v>
      </c>
      <c r="E2283" t="str">
        <f>VLOOKUP(B2283,Tabela_Auxiliar[],4,0)</f>
        <v>Receita Bruta</v>
      </c>
      <c r="F2283" t="str">
        <f>VLOOKUP(B2283,Tabela_Auxiliar[],3,0)</f>
        <v>Entrada</v>
      </c>
      <c r="G2283" t="str">
        <f>UPPER(TEXT(Tabela_DB[[#This Row],[DATA]],"mmm"))</f>
        <v>MAI</v>
      </c>
      <c r="H2283" t="str">
        <f>UPPER(TEXT(Tabela_DB[[#This Row],[DATA]],"aaaa"))</f>
        <v>2021</v>
      </c>
    </row>
    <row r="2284" spans="1:8" x14ac:dyDescent="0.25">
      <c r="A2284" s="2">
        <v>44341</v>
      </c>
      <c r="B2284" t="s">
        <v>34</v>
      </c>
      <c r="C2284">
        <v>-1794</v>
      </c>
      <c r="D2284" t="str">
        <f>VLOOKUP(B2284,Tabela_Auxiliar[],2,0)</f>
        <v>2. Deduções da Receita</v>
      </c>
      <c r="E2284" t="str">
        <f>VLOOKUP(B2284,Tabela_Auxiliar[],4,0)</f>
        <v>Imposto</v>
      </c>
      <c r="F2284" t="str">
        <f>VLOOKUP(B2284,Tabela_Auxiliar[],3,0)</f>
        <v>Saída</v>
      </c>
      <c r="G2284" t="str">
        <f>UPPER(TEXT(Tabela_DB[[#This Row],[DATA]],"mmm"))</f>
        <v>MAI</v>
      </c>
      <c r="H2284" t="str">
        <f>UPPER(TEXT(Tabela_DB[[#This Row],[DATA]],"aaaa"))</f>
        <v>2021</v>
      </c>
    </row>
    <row r="2285" spans="1:8" x14ac:dyDescent="0.25">
      <c r="A2285" s="2">
        <v>44341</v>
      </c>
      <c r="B2285" t="s">
        <v>35</v>
      </c>
      <c r="C2285">
        <v>-2427</v>
      </c>
      <c r="D2285" t="str">
        <f>VLOOKUP(B2285,Tabela_Auxiliar[],2,0)</f>
        <v>2. Deduções da Receita</v>
      </c>
      <c r="E2285" t="str">
        <f>VLOOKUP(B2285,Tabela_Auxiliar[],4,0)</f>
        <v>Imposto</v>
      </c>
      <c r="F2285" t="str">
        <f>VLOOKUP(B2285,Tabela_Auxiliar[],3,0)</f>
        <v>Saída</v>
      </c>
      <c r="G2285" t="str">
        <f>UPPER(TEXT(Tabela_DB[[#This Row],[DATA]],"mmm"))</f>
        <v>MAI</v>
      </c>
      <c r="H2285" t="str">
        <f>UPPER(TEXT(Tabela_DB[[#This Row],[DATA]],"aaaa"))</f>
        <v>2021</v>
      </c>
    </row>
    <row r="2286" spans="1:8" x14ac:dyDescent="0.25">
      <c r="A2286" s="2">
        <v>44341</v>
      </c>
      <c r="B2286" t="s">
        <v>48</v>
      </c>
      <c r="C2286">
        <v>-1301</v>
      </c>
      <c r="D2286" t="str">
        <f>VLOOKUP(B2286,Tabela_Auxiliar[],2,0)</f>
        <v>4. Despesas Operacionais</v>
      </c>
      <c r="E2286" t="str">
        <f>VLOOKUP(B2286,Tabela_Auxiliar[],4,0)</f>
        <v>Despesa com Pessoal</v>
      </c>
      <c r="F2286" t="str">
        <f>VLOOKUP(B2286,Tabela_Auxiliar[],3,0)</f>
        <v>Saída</v>
      </c>
      <c r="G2286" t="str">
        <f>UPPER(TEXT(Tabela_DB[[#This Row],[DATA]],"mmm"))</f>
        <v>MAI</v>
      </c>
      <c r="H2286" t="str">
        <f>UPPER(TEXT(Tabela_DB[[#This Row],[DATA]],"aaaa"))</f>
        <v>2021</v>
      </c>
    </row>
    <row r="2287" spans="1:8" x14ac:dyDescent="0.25">
      <c r="A2287" s="2">
        <v>44341</v>
      </c>
      <c r="B2287" t="s">
        <v>34</v>
      </c>
      <c r="C2287">
        <v>-2153</v>
      </c>
      <c r="D2287" t="str">
        <f>VLOOKUP(B2287,Tabela_Auxiliar[],2,0)</f>
        <v>2. Deduções da Receita</v>
      </c>
      <c r="E2287" t="str">
        <f>VLOOKUP(B2287,Tabela_Auxiliar[],4,0)</f>
        <v>Imposto</v>
      </c>
      <c r="F2287" t="str">
        <f>VLOOKUP(B2287,Tabela_Auxiliar[],3,0)</f>
        <v>Saída</v>
      </c>
      <c r="G2287" t="str">
        <f>UPPER(TEXT(Tabela_DB[[#This Row],[DATA]],"mmm"))</f>
        <v>MAI</v>
      </c>
      <c r="H2287" t="str">
        <f>UPPER(TEXT(Tabela_DB[[#This Row],[DATA]],"aaaa"))</f>
        <v>2021</v>
      </c>
    </row>
    <row r="2288" spans="1:8" x14ac:dyDescent="0.25">
      <c r="A2288" s="2">
        <v>44341</v>
      </c>
      <c r="B2288" t="s">
        <v>101</v>
      </c>
      <c r="C2288">
        <v>-1771</v>
      </c>
      <c r="D2288" t="str">
        <f>VLOOKUP(B2288,Tabela_Auxiliar[],2,0)</f>
        <v>5. Resultado Financeiro</v>
      </c>
      <c r="E2288" t="str">
        <f>VLOOKUP(B2288,Tabela_Auxiliar[],4,0)</f>
        <v>Despesa Financeira</v>
      </c>
      <c r="F2288" t="str">
        <f>VLOOKUP(B2288,Tabela_Auxiliar[],3,0)</f>
        <v>Saída</v>
      </c>
      <c r="G2288" t="str">
        <f>UPPER(TEXT(Tabela_DB[[#This Row],[DATA]],"mmm"))</f>
        <v>MAI</v>
      </c>
      <c r="H2288" t="str">
        <f>UPPER(TEXT(Tabela_DB[[#This Row],[DATA]],"aaaa"))</f>
        <v>2021</v>
      </c>
    </row>
    <row r="2289" spans="1:8" x14ac:dyDescent="0.25">
      <c r="A2289" s="2">
        <v>44341</v>
      </c>
      <c r="B2289" t="s">
        <v>37</v>
      </c>
      <c r="C2289">
        <v>-4964</v>
      </c>
      <c r="D2289" t="str">
        <f>VLOOKUP(B2289,Tabela_Auxiliar[],2,0)</f>
        <v>3. Custos do Produto/Mercadoria/Serviço</v>
      </c>
      <c r="E2289" t="str">
        <f>VLOOKUP(B2289,Tabela_Auxiliar[],4,0)</f>
        <v>Despesas c/ Produto</v>
      </c>
      <c r="F2289" t="str">
        <f>VLOOKUP(B2289,Tabela_Auxiliar[],3,0)</f>
        <v>Saída</v>
      </c>
      <c r="G2289" t="str">
        <f>UPPER(TEXT(Tabela_DB[[#This Row],[DATA]],"mmm"))</f>
        <v>MAI</v>
      </c>
      <c r="H2289" t="str">
        <f>UPPER(TEXT(Tabela_DB[[#This Row],[DATA]],"aaaa"))</f>
        <v>2021</v>
      </c>
    </row>
    <row r="2290" spans="1:8" x14ac:dyDescent="0.25">
      <c r="A2290" s="2">
        <v>44342</v>
      </c>
      <c r="B2290" t="s">
        <v>79</v>
      </c>
      <c r="C2290">
        <v>-1930</v>
      </c>
      <c r="D2290" t="str">
        <f>VLOOKUP(B2290,Tabela_Auxiliar[],2,0)</f>
        <v>4. Despesas Operacionais</v>
      </c>
      <c r="E2290" t="str">
        <f>VLOOKUP(B2290,Tabela_Auxiliar[],4,0)</f>
        <v>Serviços Contratados</v>
      </c>
      <c r="F2290" t="str">
        <f>VLOOKUP(B2290,Tabela_Auxiliar[],3,0)</f>
        <v>Saída</v>
      </c>
      <c r="G2290" t="str">
        <f>UPPER(TEXT(Tabela_DB[[#This Row],[DATA]],"mmm"))</f>
        <v>MAI</v>
      </c>
      <c r="H2290" t="str">
        <f>UPPER(TEXT(Tabela_DB[[#This Row],[DATA]],"aaaa"))</f>
        <v>2021</v>
      </c>
    </row>
    <row r="2291" spans="1:8" x14ac:dyDescent="0.25">
      <c r="A2291" s="2">
        <v>44342</v>
      </c>
      <c r="B2291" t="s">
        <v>81</v>
      </c>
      <c r="C2291">
        <v>-2478</v>
      </c>
      <c r="D2291" t="str">
        <f>VLOOKUP(B2291,Tabela_Auxiliar[],2,0)</f>
        <v>4. Despesas Operacionais</v>
      </c>
      <c r="E2291" t="str">
        <f>VLOOKUP(B2291,Tabela_Auxiliar[],4,0)</f>
        <v>Serviços Contratados</v>
      </c>
      <c r="F2291" t="str">
        <f>VLOOKUP(B2291,Tabela_Auxiliar[],3,0)</f>
        <v>Saída</v>
      </c>
      <c r="G2291" t="str">
        <f>UPPER(TEXT(Tabela_DB[[#This Row],[DATA]],"mmm"))</f>
        <v>MAI</v>
      </c>
      <c r="H2291" t="str">
        <f>UPPER(TEXT(Tabela_DB[[#This Row],[DATA]],"aaaa"))</f>
        <v>2021</v>
      </c>
    </row>
    <row r="2292" spans="1:8" x14ac:dyDescent="0.25">
      <c r="A2292" s="2">
        <v>44342</v>
      </c>
      <c r="B2292" t="s">
        <v>37</v>
      </c>
      <c r="C2292">
        <v>-4351</v>
      </c>
      <c r="D2292" t="str">
        <f>VLOOKUP(B2292,Tabela_Auxiliar[],2,0)</f>
        <v>3. Custos do Produto/Mercadoria/Serviço</v>
      </c>
      <c r="E2292" t="str">
        <f>VLOOKUP(B2292,Tabela_Auxiliar[],4,0)</f>
        <v>Despesas c/ Produto</v>
      </c>
      <c r="F2292" t="str">
        <f>VLOOKUP(B2292,Tabela_Auxiliar[],3,0)</f>
        <v>Saída</v>
      </c>
      <c r="G2292" t="str">
        <f>UPPER(TEXT(Tabela_DB[[#This Row],[DATA]],"mmm"))</f>
        <v>MAI</v>
      </c>
      <c r="H2292" t="str">
        <f>UPPER(TEXT(Tabela_DB[[#This Row],[DATA]],"aaaa"))</f>
        <v>2021</v>
      </c>
    </row>
    <row r="2293" spans="1:8" x14ac:dyDescent="0.25">
      <c r="A2293" s="2">
        <v>44342</v>
      </c>
      <c r="B2293" t="s">
        <v>74</v>
      </c>
      <c r="C2293">
        <v>-1589</v>
      </c>
      <c r="D2293" t="str">
        <f>VLOOKUP(B2293,Tabela_Auxiliar[],2,0)</f>
        <v>4. Despesas Operacionais</v>
      </c>
      <c r="E2293" t="str">
        <f>VLOOKUP(B2293,Tabela_Auxiliar[],4,0)</f>
        <v>Serviços Contratados</v>
      </c>
      <c r="F2293" t="str">
        <f>VLOOKUP(B2293,Tabela_Auxiliar[],3,0)</f>
        <v>Saída</v>
      </c>
      <c r="G2293" t="str">
        <f>UPPER(TEXT(Tabela_DB[[#This Row],[DATA]],"mmm"))</f>
        <v>MAI</v>
      </c>
      <c r="H2293" t="str">
        <f>UPPER(TEXT(Tabela_DB[[#This Row],[DATA]],"aaaa"))</f>
        <v>2021</v>
      </c>
    </row>
    <row r="2294" spans="1:8" x14ac:dyDescent="0.25">
      <c r="A2294" s="2">
        <v>44342</v>
      </c>
      <c r="B2294" t="s">
        <v>34</v>
      </c>
      <c r="C2294">
        <v>-1850</v>
      </c>
      <c r="D2294" t="str">
        <f>VLOOKUP(B2294,Tabela_Auxiliar[],2,0)</f>
        <v>2. Deduções da Receita</v>
      </c>
      <c r="E2294" t="str">
        <f>VLOOKUP(B2294,Tabela_Auxiliar[],4,0)</f>
        <v>Imposto</v>
      </c>
      <c r="F2294" t="str">
        <f>VLOOKUP(B2294,Tabela_Auxiliar[],3,0)</f>
        <v>Saída</v>
      </c>
      <c r="G2294" t="str">
        <f>UPPER(TEXT(Tabela_DB[[#This Row],[DATA]],"mmm"))</f>
        <v>MAI</v>
      </c>
      <c r="H2294" t="str">
        <f>UPPER(TEXT(Tabela_DB[[#This Row],[DATA]],"aaaa"))</f>
        <v>2021</v>
      </c>
    </row>
    <row r="2295" spans="1:8" x14ac:dyDescent="0.25">
      <c r="A2295" s="2">
        <v>44342</v>
      </c>
      <c r="B2295" t="s">
        <v>111</v>
      </c>
      <c r="C2295">
        <v>-1146</v>
      </c>
      <c r="D2295" t="str">
        <f>VLOOKUP(B2295,Tabela_Auxiliar[],2,0)</f>
        <v>2. Deduções da Receita</v>
      </c>
      <c r="E2295" t="str">
        <f>VLOOKUP(B2295,Tabela_Auxiliar[],4,0)</f>
        <v>Imposto</v>
      </c>
      <c r="F2295" t="str">
        <f>VLOOKUP(B2295,Tabela_Auxiliar[],3,0)</f>
        <v>Saída</v>
      </c>
      <c r="G2295" t="str">
        <f>UPPER(TEXT(Tabela_DB[[#This Row],[DATA]],"mmm"))</f>
        <v>MAI</v>
      </c>
      <c r="H2295" t="str">
        <f>UPPER(TEXT(Tabela_DB[[#This Row],[DATA]],"aaaa"))</f>
        <v>2021</v>
      </c>
    </row>
    <row r="2296" spans="1:8" x14ac:dyDescent="0.25">
      <c r="A2296" s="2">
        <v>44342</v>
      </c>
      <c r="B2296" t="s">
        <v>38</v>
      </c>
      <c r="C2296">
        <v>-1468</v>
      </c>
      <c r="D2296" t="str">
        <f>VLOOKUP(B2296,Tabela_Auxiliar[],2,0)</f>
        <v>2. Deduções da Receita</v>
      </c>
      <c r="E2296" t="str">
        <f>VLOOKUP(B2296,Tabela_Auxiliar[],4,0)</f>
        <v>Deduções</v>
      </c>
      <c r="F2296" t="str">
        <f>VLOOKUP(B2296,Tabela_Auxiliar[],3,0)</f>
        <v>Saída</v>
      </c>
      <c r="G2296" t="str">
        <f>UPPER(TEXT(Tabela_DB[[#This Row],[DATA]],"mmm"))</f>
        <v>MAI</v>
      </c>
      <c r="H2296" t="str">
        <f>UPPER(TEXT(Tabela_DB[[#This Row],[DATA]],"aaaa"))</f>
        <v>2021</v>
      </c>
    </row>
    <row r="2297" spans="1:8" x14ac:dyDescent="0.25">
      <c r="A2297" s="2">
        <v>44342</v>
      </c>
      <c r="B2297" t="s">
        <v>8</v>
      </c>
      <c r="C2297">
        <v>-1174</v>
      </c>
      <c r="D2297" t="str">
        <f>VLOOKUP(B2297,Tabela_Auxiliar[],2,0)</f>
        <v>4. Despesas Operacionais</v>
      </c>
      <c r="E2297" t="str">
        <f>VLOOKUP(B2297,Tabela_Auxiliar[],4,0)</f>
        <v>Despesa com Pessoal</v>
      </c>
      <c r="F2297" t="str">
        <f>VLOOKUP(B2297,Tabela_Auxiliar[],3,0)</f>
        <v>Saída</v>
      </c>
      <c r="G2297" t="str">
        <f>UPPER(TEXT(Tabela_DB[[#This Row],[DATA]],"mmm"))</f>
        <v>MAI</v>
      </c>
      <c r="H2297" t="str">
        <f>UPPER(TEXT(Tabela_DB[[#This Row],[DATA]],"aaaa"))</f>
        <v>2021</v>
      </c>
    </row>
    <row r="2298" spans="1:8" x14ac:dyDescent="0.25">
      <c r="A2298" s="2">
        <v>44342</v>
      </c>
      <c r="B2298" t="s">
        <v>3</v>
      </c>
      <c r="C2298">
        <v>13470</v>
      </c>
      <c r="D2298" t="str">
        <f>VLOOKUP(B2298,Tabela_Auxiliar[],2,0)</f>
        <v>1. Receita Operacional Bruta</v>
      </c>
      <c r="E2298" t="str">
        <f>VLOOKUP(B2298,Tabela_Auxiliar[],4,0)</f>
        <v>Receita Bruta</v>
      </c>
      <c r="F2298" t="str">
        <f>VLOOKUP(B2298,Tabela_Auxiliar[],3,0)</f>
        <v>Entrada</v>
      </c>
      <c r="G2298" t="str">
        <f>UPPER(TEXT(Tabela_DB[[#This Row],[DATA]],"mmm"))</f>
        <v>MAI</v>
      </c>
      <c r="H2298" t="str">
        <f>UPPER(TEXT(Tabela_DB[[#This Row],[DATA]],"aaaa"))</f>
        <v>2021</v>
      </c>
    </row>
    <row r="2299" spans="1:8" x14ac:dyDescent="0.25">
      <c r="A2299" s="2">
        <v>44342</v>
      </c>
      <c r="B2299" t="s">
        <v>4</v>
      </c>
      <c r="C2299">
        <v>10946</v>
      </c>
      <c r="D2299" t="str">
        <f>VLOOKUP(B2299,Tabela_Auxiliar[],2,0)</f>
        <v>1. Receita Operacional Bruta</v>
      </c>
      <c r="E2299" t="str">
        <f>VLOOKUP(B2299,Tabela_Auxiliar[],4,0)</f>
        <v>Receita Bruta</v>
      </c>
      <c r="F2299" t="str">
        <f>VLOOKUP(B2299,Tabela_Auxiliar[],3,0)</f>
        <v>Entrada</v>
      </c>
      <c r="G2299" t="str">
        <f>UPPER(TEXT(Tabela_DB[[#This Row],[DATA]],"mmm"))</f>
        <v>MAI</v>
      </c>
      <c r="H2299" t="str">
        <f>UPPER(TEXT(Tabela_DB[[#This Row],[DATA]],"aaaa"))</f>
        <v>2021</v>
      </c>
    </row>
    <row r="2300" spans="1:8" x14ac:dyDescent="0.25">
      <c r="A2300" s="2">
        <v>44342</v>
      </c>
      <c r="B2300" t="s">
        <v>35</v>
      </c>
      <c r="C2300">
        <v>-2298</v>
      </c>
      <c r="D2300" t="str">
        <f>VLOOKUP(B2300,Tabela_Auxiliar[],2,0)</f>
        <v>2. Deduções da Receita</v>
      </c>
      <c r="E2300" t="str">
        <f>VLOOKUP(B2300,Tabela_Auxiliar[],4,0)</f>
        <v>Imposto</v>
      </c>
      <c r="F2300" t="str">
        <f>VLOOKUP(B2300,Tabela_Auxiliar[],3,0)</f>
        <v>Saída</v>
      </c>
      <c r="G2300" t="str">
        <f>UPPER(TEXT(Tabela_DB[[#This Row],[DATA]],"mmm"))</f>
        <v>MAI</v>
      </c>
      <c r="H2300" t="str">
        <f>UPPER(TEXT(Tabela_DB[[#This Row],[DATA]],"aaaa"))</f>
        <v>2021</v>
      </c>
    </row>
    <row r="2301" spans="1:8" x14ac:dyDescent="0.25">
      <c r="A2301" s="2">
        <v>44342</v>
      </c>
      <c r="B2301" t="s">
        <v>34</v>
      </c>
      <c r="C2301">
        <v>-1102</v>
      </c>
      <c r="D2301" t="str">
        <f>VLOOKUP(B2301,Tabela_Auxiliar[],2,0)</f>
        <v>2. Deduções da Receita</v>
      </c>
      <c r="E2301" t="str">
        <f>VLOOKUP(B2301,Tabela_Auxiliar[],4,0)</f>
        <v>Imposto</v>
      </c>
      <c r="F2301" t="str">
        <f>VLOOKUP(B2301,Tabela_Auxiliar[],3,0)</f>
        <v>Saída</v>
      </c>
      <c r="G2301" t="str">
        <f>UPPER(TEXT(Tabela_DB[[#This Row],[DATA]],"mmm"))</f>
        <v>MAI</v>
      </c>
      <c r="H2301" t="str">
        <f>UPPER(TEXT(Tabela_DB[[#This Row],[DATA]],"aaaa"))</f>
        <v>2021</v>
      </c>
    </row>
    <row r="2302" spans="1:8" x14ac:dyDescent="0.25">
      <c r="A2302" s="2">
        <v>44343</v>
      </c>
      <c r="B2302" t="s">
        <v>56</v>
      </c>
      <c r="C2302">
        <v>-2206</v>
      </c>
      <c r="D2302" t="str">
        <f>VLOOKUP(B2302,Tabela_Auxiliar[],2,0)</f>
        <v>4. Despesas Operacionais</v>
      </c>
      <c r="E2302" t="str">
        <f>VLOOKUP(B2302,Tabela_Auxiliar[],4,0)</f>
        <v>Despesa com Pessoal</v>
      </c>
      <c r="F2302" t="str">
        <f>VLOOKUP(B2302,Tabela_Auxiliar[],3,0)</f>
        <v>Saída</v>
      </c>
      <c r="G2302" t="str">
        <f>UPPER(TEXT(Tabela_DB[[#This Row],[DATA]],"mmm"))</f>
        <v>MAI</v>
      </c>
      <c r="H2302" t="str">
        <f>UPPER(TEXT(Tabela_DB[[#This Row],[DATA]],"aaaa"))</f>
        <v>2021</v>
      </c>
    </row>
    <row r="2303" spans="1:8" x14ac:dyDescent="0.25">
      <c r="A2303" s="2">
        <v>44343</v>
      </c>
      <c r="B2303" t="s">
        <v>35</v>
      </c>
      <c r="C2303">
        <v>-1312</v>
      </c>
      <c r="D2303" t="str">
        <f>VLOOKUP(B2303,Tabela_Auxiliar[],2,0)</f>
        <v>2. Deduções da Receita</v>
      </c>
      <c r="E2303" t="str">
        <f>VLOOKUP(B2303,Tabela_Auxiliar[],4,0)</f>
        <v>Imposto</v>
      </c>
      <c r="F2303" t="str">
        <f>VLOOKUP(B2303,Tabela_Auxiliar[],3,0)</f>
        <v>Saída</v>
      </c>
      <c r="G2303" t="str">
        <f>UPPER(TEXT(Tabela_DB[[#This Row],[DATA]],"mmm"))</f>
        <v>MAI</v>
      </c>
      <c r="H2303" t="str">
        <f>UPPER(TEXT(Tabela_DB[[#This Row],[DATA]],"aaaa"))</f>
        <v>2021</v>
      </c>
    </row>
    <row r="2304" spans="1:8" x14ac:dyDescent="0.25">
      <c r="A2304" s="2">
        <v>44343</v>
      </c>
      <c r="B2304" t="s">
        <v>34</v>
      </c>
      <c r="C2304">
        <v>-1040</v>
      </c>
      <c r="D2304" t="str">
        <f>VLOOKUP(B2304,Tabela_Auxiliar[],2,0)</f>
        <v>2. Deduções da Receita</v>
      </c>
      <c r="E2304" t="str">
        <f>VLOOKUP(B2304,Tabela_Auxiliar[],4,0)</f>
        <v>Imposto</v>
      </c>
      <c r="F2304" t="str">
        <f>VLOOKUP(B2304,Tabela_Auxiliar[],3,0)</f>
        <v>Saída</v>
      </c>
      <c r="G2304" t="str">
        <f>UPPER(TEXT(Tabela_DB[[#This Row],[DATA]],"mmm"))</f>
        <v>MAI</v>
      </c>
      <c r="H2304" t="str">
        <f>UPPER(TEXT(Tabela_DB[[#This Row],[DATA]],"aaaa"))</f>
        <v>2021</v>
      </c>
    </row>
    <row r="2305" spans="1:8" x14ac:dyDescent="0.25">
      <c r="A2305" s="2">
        <v>44343</v>
      </c>
      <c r="B2305" t="s">
        <v>37</v>
      </c>
      <c r="C2305">
        <v>-4786</v>
      </c>
      <c r="D2305" t="str">
        <f>VLOOKUP(B2305,Tabela_Auxiliar[],2,0)</f>
        <v>3. Custos do Produto/Mercadoria/Serviço</v>
      </c>
      <c r="E2305" t="str">
        <f>VLOOKUP(B2305,Tabela_Auxiliar[],4,0)</f>
        <v>Despesas c/ Produto</v>
      </c>
      <c r="F2305" t="str">
        <f>VLOOKUP(B2305,Tabela_Auxiliar[],3,0)</f>
        <v>Saída</v>
      </c>
      <c r="G2305" t="str">
        <f>UPPER(TEXT(Tabela_DB[[#This Row],[DATA]],"mmm"))</f>
        <v>MAI</v>
      </c>
      <c r="H2305" t="str">
        <f>UPPER(TEXT(Tabela_DB[[#This Row],[DATA]],"aaaa"))</f>
        <v>2021</v>
      </c>
    </row>
    <row r="2306" spans="1:8" x14ac:dyDescent="0.25">
      <c r="A2306" s="2">
        <v>44343</v>
      </c>
      <c r="B2306" t="s">
        <v>4</v>
      </c>
      <c r="C2306">
        <v>12985</v>
      </c>
      <c r="D2306" t="str">
        <f>VLOOKUP(B2306,Tabela_Auxiliar[],2,0)</f>
        <v>1. Receita Operacional Bruta</v>
      </c>
      <c r="E2306" t="str">
        <f>VLOOKUP(B2306,Tabela_Auxiliar[],4,0)</f>
        <v>Receita Bruta</v>
      </c>
      <c r="F2306" t="str">
        <f>VLOOKUP(B2306,Tabela_Auxiliar[],3,0)</f>
        <v>Entrada</v>
      </c>
      <c r="G2306" t="str">
        <f>UPPER(TEXT(Tabela_DB[[#This Row],[DATA]],"mmm"))</f>
        <v>MAI</v>
      </c>
      <c r="H2306" t="str">
        <f>UPPER(TEXT(Tabela_DB[[#This Row],[DATA]],"aaaa"))</f>
        <v>2021</v>
      </c>
    </row>
    <row r="2307" spans="1:8" x14ac:dyDescent="0.25">
      <c r="A2307" s="2">
        <v>44343</v>
      </c>
      <c r="B2307" t="s">
        <v>111</v>
      </c>
      <c r="C2307">
        <v>-1680</v>
      </c>
      <c r="D2307" t="str">
        <f>VLOOKUP(B2307,Tabela_Auxiliar[],2,0)</f>
        <v>2. Deduções da Receita</v>
      </c>
      <c r="E2307" t="str">
        <f>VLOOKUP(B2307,Tabela_Auxiliar[],4,0)</f>
        <v>Imposto</v>
      </c>
      <c r="F2307" t="str">
        <f>VLOOKUP(B2307,Tabela_Auxiliar[],3,0)</f>
        <v>Saída</v>
      </c>
      <c r="G2307" t="str">
        <f>UPPER(TEXT(Tabela_DB[[#This Row],[DATA]],"mmm"))</f>
        <v>MAI</v>
      </c>
      <c r="H2307" t="str">
        <f>UPPER(TEXT(Tabela_DB[[#This Row],[DATA]],"aaaa"))</f>
        <v>2021</v>
      </c>
    </row>
    <row r="2308" spans="1:8" x14ac:dyDescent="0.25">
      <c r="A2308" s="2">
        <v>44343</v>
      </c>
      <c r="B2308" t="s">
        <v>38</v>
      </c>
      <c r="C2308">
        <v>-1708</v>
      </c>
      <c r="D2308" t="str">
        <f>VLOOKUP(B2308,Tabela_Auxiliar[],2,0)</f>
        <v>2. Deduções da Receita</v>
      </c>
      <c r="E2308" t="str">
        <f>VLOOKUP(B2308,Tabela_Auxiliar[],4,0)</f>
        <v>Deduções</v>
      </c>
      <c r="F2308" t="str">
        <f>VLOOKUP(B2308,Tabela_Auxiliar[],3,0)</f>
        <v>Saída</v>
      </c>
      <c r="G2308" t="str">
        <f>UPPER(TEXT(Tabela_DB[[#This Row],[DATA]],"mmm"))</f>
        <v>MAI</v>
      </c>
      <c r="H2308" t="str">
        <f>UPPER(TEXT(Tabela_DB[[#This Row],[DATA]],"aaaa"))</f>
        <v>2021</v>
      </c>
    </row>
    <row r="2309" spans="1:8" x14ac:dyDescent="0.25">
      <c r="A2309" s="2">
        <v>44343</v>
      </c>
      <c r="B2309" t="s">
        <v>111</v>
      </c>
      <c r="C2309">
        <v>-2213</v>
      </c>
      <c r="D2309" t="str">
        <f>VLOOKUP(B2309,Tabela_Auxiliar[],2,0)</f>
        <v>2. Deduções da Receita</v>
      </c>
      <c r="E2309" t="str">
        <f>VLOOKUP(B2309,Tabela_Auxiliar[],4,0)</f>
        <v>Imposto</v>
      </c>
      <c r="F2309" t="str">
        <f>VLOOKUP(B2309,Tabela_Auxiliar[],3,0)</f>
        <v>Saída</v>
      </c>
      <c r="G2309" t="str">
        <f>UPPER(TEXT(Tabela_DB[[#This Row],[DATA]],"mmm"))</f>
        <v>MAI</v>
      </c>
      <c r="H2309" t="str">
        <f>UPPER(TEXT(Tabela_DB[[#This Row],[DATA]],"aaaa"))</f>
        <v>2021</v>
      </c>
    </row>
    <row r="2310" spans="1:8" x14ac:dyDescent="0.25">
      <c r="A2310" s="2">
        <v>44343</v>
      </c>
      <c r="B2310" t="s">
        <v>3</v>
      </c>
      <c r="C2310">
        <v>14085</v>
      </c>
      <c r="D2310" t="str">
        <f>VLOOKUP(B2310,Tabela_Auxiliar[],2,0)</f>
        <v>1. Receita Operacional Bruta</v>
      </c>
      <c r="E2310" t="str">
        <f>VLOOKUP(B2310,Tabela_Auxiliar[],4,0)</f>
        <v>Receita Bruta</v>
      </c>
      <c r="F2310" t="str">
        <f>VLOOKUP(B2310,Tabela_Auxiliar[],3,0)</f>
        <v>Entrada</v>
      </c>
      <c r="G2310" t="str">
        <f>UPPER(TEXT(Tabela_DB[[#This Row],[DATA]],"mmm"))</f>
        <v>MAI</v>
      </c>
      <c r="H2310" t="str">
        <f>UPPER(TEXT(Tabela_DB[[#This Row],[DATA]],"aaaa"))</f>
        <v>2021</v>
      </c>
    </row>
    <row r="2311" spans="1:8" x14ac:dyDescent="0.25">
      <c r="A2311" s="2">
        <v>44343</v>
      </c>
      <c r="B2311" t="s">
        <v>40</v>
      </c>
      <c r="C2311">
        <v>-1405</v>
      </c>
      <c r="D2311" t="str">
        <f>VLOOKUP(B2311,Tabela_Auxiliar[],2,0)</f>
        <v>4. Despesas Operacionais</v>
      </c>
      <c r="E2311" t="str">
        <f>VLOOKUP(B2311,Tabela_Auxiliar[],4,0)</f>
        <v>Despesa com Pessoal</v>
      </c>
      <c r="F2311" t="str">
        <f>VLOOKUP(B2311,Tabela_Auxiliar[],3,0)</f>
        <v>Saída</v>
      </c>
      <c r="G2311" t="str">
        <f>UPPER(TEXT(Tabela_DB[[#This Row],[DATA]],"mmm"))</f>
        <v>MAI</v>
      </c>
      <c r="H2311" t="str">
        <f>UPPER(TEXT(Tabela_DB[[#This Row],[DATA]],"aaaa"))</f>
        <v>2021</v>
      </c>
    </row>
    <row r="2312" spans="1:8" x14ac:dyDescent="0.25">
      <c r="A2312" s="2">
        <v>44343</v>
      </c>
      <c r="B2312" t="s">
        <v>38</v>
      </c>
      <c r="C2312">
        <v>-1183</v>
      </c>
      <c r="D2312" t="str">
        <f>VLOOKUP(B2312,Tabela_Auxiliar[],2,0)</f>
        <v>2. Deduções da Receita</v>
      </c>
      <c r="E2312" t="str">
        <f>VLOOKUP(B2312,Tabela_Auxiliar[],4,0)</f>
        <v>Deduções</v>
      </c>
      <c r="F2312" t="str">
        <f>VLOOKUP(B2312,Tabela_Auxiliar[],3,0)</f>
        <v>Saída</v>
      </c>
      <c r="G2312" t="str">
        <f>UPPER(TEXT(Tabela_DB[[#This Row],[DATA]],"mmm"))</f>
        <v>MAI</v>
      </c>
      <c r="H2312" t="str">
        <f>UPPER(TEXT(Tabela_DB[[#This Row],[DATA]],"aaaa"))</f>
        <v>2021</v>
      </c>
    </row>
    <row r="2313" spans="1:8" x14ac:dyDescent="0.25">
      <c r="A2313" s="2">
        <v>44343</v>
      </c>
      <c r="B2313" t="s">
        <v>4</v>
      </c>
      <c r="C2313">
        <v>12316</v>
      </c>
      <c r="D2313" t="str">
        <f>VLOOKUP(B2313,Tabela_Auxiliar[],2,0)</f>
        <v>1. Receita Operacional Bruta</v>
      </c>
      <c r="E2313" t="str">
        <f>VLOOKUP(B2313,Tabela_Auxiliar[],4,0)</f>
        <v>Receita Bruta</v>
      </c>
      <c r="F2313" t="str">
        <f>VLOOKUP(B2313,Tabela_Auxiliar[],3,0)</f>
        <v>Entrada</v>
      </c>
      <c r="G2313" t="str">
        <f>UPPER(TEXT(Tabela_DB[[#This Row],[DATA]],"mmm"))</f>
        <v>MAI</v>
      </c>
      <c r="H2313" t="str">
        <f>UPPER(TEXT(Tabela_DB[[#This Row],[DATA]],"aaaa"))</f>
        <v>2021</v>
      </c>
    </row>
    <row r="2314" spans="1:8" x14ac:dyDescent="0.25">
      <c r="A2314" s="2">
        <v>44343</v>
      </c>
      <c r="B2314" t="s">
        <v>4</v>
      </c>
      <c r="C2314">
        <v>11955</v>
      </c>
      <c r="D2314" t="str">
        <f>VLOOKUP(B2314,Tabela_Auxiliar[],2,0)</f>
        <v>1. Receita Operacional Bruta</v>
      </c>
      <c r="E2314" t="str">
        <f>VLOOKUP(B2314,Tabela_Auxiliar[],4,0)</f>
        <v>Receita Bruta</v>
      </c>
      <c r="F2314" t="str">
        <f>VLOOKUP(B2314,Tabela_Auxiliar[],3,0)</f>
        <v>Entrada</v>
      </c>
      <c r="G2314" t="str">
        <f>UPPER(TEXT(Tabela_DB[[#This Row],[DATA]],"mmm"))</f>
        <v>MAI</v>
      </c>
      <c r="H2314" t="str">
        <f>UPPER(TEXT(Tabela_DB[[#This Row],[DATA]],"aaaa"))</f>
        <v>2021</v>
      </c>
    </row>
    <row r="2315" spans="1:8" x14ac:dyDescent="0.25">
      <c r="A2315" s="2">
        <v>44343</v>
      </c>
      <c r="B2315" t="s">
        <v>111</v>
      </c>
      <c r="C2315">
        <v>-1624</v>
      </c>
      <c r="D2315" t="str">
        <f>VLOOKUP(B2315,Tabela_Auxiliar[],2,0)</f>
        <v>2. Deduções da Receita</v>
      </c>
      <c r="E2315" t="str">
        <f>VLOOKUP(B2315,Tabela_Auxiliar[],4,0)</f>
        <v>Imposto</v>
      </c>
      <c r="F2315" t="str">
        <f>VLOOKUP(B2315,Tabela_Auxiliar[],3,0)</f>
        <v>Saída</v>
      </c>
      <c r="G2315" t="str">
        <f>UPPER(TEXT(Tabela_DB[[#This Row],[DATA]],"mmm"))</f>
        <v>MAI</v>
      </c>
      <c r="H2315" t="str">
        <f>UPPER(TEXT(Tabela_DB[[#This Row],[DATA]],"aaaa"))</f>
        <v>2021</v>
      </c>
    </row>
    <row r="2316" spans="1:8" x14ac:dyDescent="0.25">
      <c r="A2316" s="2">
        <v>44343</v>
      </c>
      <c r="B2316" t="s">
        <v>34</v>
      </c>
      <c r="C2316">
        <v>-1738</v>
      </c>
      <c r="D2316" t="str">
        <f>VLOOKUP(B2316,Tabela_Auxiliar[],2,0)</f>
        <v>2. Deduções da Receita</v>
      </c>
      <c r="E2316" t="str">
        <f>VLOOKUP(B2316,Tabela_Auxiliar[],4,0)</f>
        <v>Imposto</v>
      </c>
      <c r="F2316" t="str">
        <f>VLOOKUP(B2316,Tabela_Auxiliar[],3,0)</f>
        <v>Saída</v>
      </c>
      <c r="G2316" t="str">
        <f>UPPER(TEXT(Tabela_DB[[#This Row],[DATA]],"mmm"))</f>
        <v>MAI</v>
      </c>
      <c r="H2316" t="str">
        <f>UPPER(TEXT(Tabela_DB[[#This Row],[DATA]],"aaaa"))</f>
        <v>2021</v>
      </c>
    </row>
    <row r="2317" spans="1:8" x14ac:dyDescent="0.25">
      <c r="A2317" s="2">
        <v>44343</v>
      </c>
      <c r="B2317" t="s">
        <v>4</v>
      </c>
      <c r="C2317">
        <v>13777</v>
      </c>
      <c r="D2317" t="str">
        <f>VLOOKUP(B2317,Tabela_Auxiliar[],2,0)</f>
        <v>1. Receita Operacional Bruta</v>
      </c>
      <c r="E2317" t="str">
        <f>VLOOKUP(B2317,Tabela_Auxiliar[],4,0)</f>
        <v>Receita Bruta</v>
      </c>
      <c r="F2317" t="str">
        <f>VLOOKUP(B2317,Tabela_Auxiliar[],3,0)</f>
        <v>Entrada</v>
      </c>
      <c r="G2317" t="str">
        <f>UPPER(TEXT(Tabela_DB[[#This Row],[DATA]],"mmm"))</f>
        <v>MAI</v>
      </c>
      <c r="H2317" t="str">
        <f>UPPER(TEXT(Tabela_DB[[#This Row],[DATA]],"aaaa"))</f>
        <v>2021</v>
      </c>
    </row>
    <row r="2318" spans="1:8" x14ac:dyDescent="0.25">
      <c r="A2318" s="2">
        <v>44343</v>
      </c>
      <c r="B2318" t="s">
        <v>3</v>
      </c>
      <c r="C2318">
        <v>14423</v>
      </c>
      <c r="D2318" t="str">
        <f>VLOOKUP(B2318,Tabela_Auxiliar[],2,0)</f>
        <v>1. Receita Operacional Bruta</v>
      </c>
      <c r="E2318" t="str">
        <f>VLOOKUP(B2318,Tabela_Auxiliar[],4,0)</f>
        <v>Receita Bruta</v>
      </c>
      <c r="F2318" t="str">
        <f>VLOOKUP(B2318,Tabela_Auxiliar[],3,0)</f>
        <v>Entrada</v>
      </c>
      <c r="G2318" t="str">
        <f>UPPER(TEXT(Tabela_DB[[#This Row],[DATA]],"mmm"))</f>
        <v>MAI</v>
      </c>
      <c r="H2318" t="str">
        <f>UPPER(TEXT(Tabela_DB[[#This Row],[DATA]],"aaaa"))</f>
        <v>2021</v>
      </c>
    </row>
    <row r="2319" spans="1:8" x14ac:dyDescent="0.25">
      <c r="A2319" s="2">
        <v>44343</v>
      </c>
      <c r="B2319" t="s">
        <v>34</v>
      </c>
      <c r="C2319">
        <v>-2325</v>
      </c>
      <c r="D2319" t="str">
        <f>VLOOKUP(B2319,Tabela_Auxiliar[],2,0)</f>
        <v>2. Deduções da Receita</v>
      </c>
      <c r="E2319" t="str">
        <f>VLOOKUP(B2319,Tabela_Auxiliar[],4,0)</f>
        <v>Imposto</v>
      </c>
      <c r="F2319" t="str">
        <f>VLOOKUP(B2319,Tabela_Auxiliar[],3,0)</f>
        <v>Saída</v>
      </c>
      <c r="G2319" t="str">
        <f>UPPER(TEXT(Tabela_DB[[#This Row],[DATA]],"mmm"))</f>
        <v>MAI</v>
      </c>
      <c r="H2319" t="str">
        <f>UPPER(TEXT(Tabela_DB[[#This Row],[DATA]],"aaaa"))</f>
        <v>2021</v>
      </c>
    </row>
    <row r="2320" spans="1:8" x14ac:dyDescent="0.25">
      <c r="A2320" s="2">
        <v>44343</v>
      </c>
      <c r="B2320" t="s">
        <v>38</v>
      </c>
      <c r="C2320">
        <v>-2072</v>
      </c>
      <c r="D2320" t="str">
        <f>VLOOKUP(B2320,Tabela_Auxiliar[],2,0)</f>
        <v>2. Deduções da Receita</v>
      </c>
      <c r="E2320" t="str">
        <f>VLOOKUP(B2320,Tabela_Auxiliar[],4,0)</f>
        <v>Deduções</v>
      </c>
      <c r="F2320" t="str">
        <f>VLOOKUP(B2320,Tabela_Auxiliar[],3,0)</f>
        <v>Saída</v>
      </c>
      <c r="G2320" t="str">
        <f>UPPER(TEXT(Tabela_DB[[#This Row],[DATA]],"mmm"))</f>
        <v>MAI</v>
      </c>
      <c r="H2320" t="str">
        <f>UPPER(TEXT(Tabela_DB[[#This Row],[DATA]],"aaaa"))</f>
        <v>2021</v>
      </c>
    </row>
    <row r="2321" spans="1:8" x14ac:dyDescent="0.25">
      <c r="A2321" s="2">
        <v>44343</v>
      </c>
      <c r="B2321" t="s">
        <v>72</v>
      </c>
      <c r="C2321">
        <v>-1937</v>
      </c>
      <c r="D2321" t="str">
        <f>VLOOKUP(B2321,Tabela_Auxiliar[],2,0)</f>
        <v>4. Despesas Operacionais</v>
      </c>
      <c r="E2321" t="str">
        <f>VLOOKUP(B2321,Tabela_Auxiliar[],4,0)</f>
        <v>Despesa com Ocupação</v>
      </c>
      <c r="F2321" t="str">
        <f>VLOOKUP(B2321,Tabela_Auxiliar[],3,0)</f>
        <v>Saída</v>
      </c>
      <c r="G2321" t="str">
        <f>UPPER(TEXT(Tabela_DB[[#This Row],[DATA]],"mmm"))</f>
        <v>MAI</v>
      </c>
      <c r="H2321" t="str">
        <f>UPPER(TEXT(Tabela_DB[[#This Row],[DATA]],"aaaa"))</f>
        <v>2021</v>
      </c>
    </row>
    <row r="2322" spans="1:8" x14ac:dyDescent="0.25">
      <c r="A2322" s="2">
        <v>44343</v>
      </c>
      <c r="B2322" t="s">
        <v>31</v>
      </c>
      <c r="C2322">
        <v>-1395</v>
      </c>
      <c r="D2322" t="str">
        <f>VLOOKUP(B2322,Tabela_Auxiliar[],2,0)</f>
        <v>5. Resultado Financeiro</v>
      </c>
      <c r="E2322" t="str">
        <f>VLOOKUP(B2322,Tabela_Auxiliar[],4,0)</f>
        <v>Participação nos resultados</v>
      </c>
      <c r="F2322" t="str">
        <f>VLOOKUP(B2322,Tabela_Auxiliar[],3,0)</f>
        <v>Saída</v>
      </c>
      <c r="G2322" t="str">
        <f>UPPER(TEXT(Tabela_DB[[#This Row],[DATA]],"mmm"))</f>
        <v>MAI</v>
      </c>
      <c r="H2322" t="str">
        <f>UPPER(TEXT(Tabela_DB[[#This Row],[DATA]],"aaaa"))</f>
        <v>2021</v>
      </c>
    </row>
    <row r="2323" spans="1:8" x14ac:dyDescent="0.25">
      <c r="A2323" s="2">
        <v>44343</v>
      </c>
      <c r="B2323" t="s">
        <v>37</v>
      </c>
      <c r="C2323">
        <v>-3592</v>
      </c>
      <c r="D2323" t="str">
        <f>VLOOKUP(B2323,Tabela_Auxiliar[],2,0)</f>
        <v>3. Custos do Produto/Mercadoria/Serviço</v>
      </c>
      <c r="E2323" t="str">
        <f>VLOOKUP(B2323,Tabela_Auxiliar[],4,0)</f>
        <v>Despesas c/ Produto</v>
      </c>
      <c r="F2323" t="str">
        <f>VLOOKUP(B2323,Tabela_Auxiliar[],3,0)</f>
        <v>Saída</v>
      </c>
      <c r="G2323" t="str">
        <f>UPPER(TEXT(Tabela_DB[[#This Row],[DATA]],"mmm"))</f>
        <v>MAI</v>
      </c>
      <c r="H2323" t="str">
        <f>UPPER(TEXT(Tabela_DB[[#This Row],[DATA]],"aaaa"))</f>
        <v>2021</v>
      </c>
    </row>
    <row r="2324" spans="1:8" x14ac:dyDescent="0.25">
      <c r="A2324" s="2">
        <v>44343</v>
      </c>
      <c r="B2324" t="s">
        <v>4</v>
      </c>
      <c r="C2324">
        <v>12193</v>
      </c>
      <c r="D2324" t="str">
        <f>VLOOKUP(B2324,Tabela_Auxiliar[],2,0)</f>
        <v>1. Receita Operacional Bruta</v>
      </c>
      <c r="E2324" t="str">
        <f>VLOOKUP(B2324,Tabela_Auxiliar[],4,0)</f>
        <v>Receita Bruta</v>
      </c>
      <c r="F2324" t="str">
        <f>VLOOKUP(B2324,Tabela_Auxiliar[],3,0)</f>
        <v>Entrada</v>
      </c>
      <c r="G2324" t="str">
        <f>UPPER(TEXT(Tabela_DB[[#This Row],[DATA]],"mmm"))</f>
        <v>MAI</v>
      </c>
      <c r="H2324" t="str">
        <f>UPPER(TEXT(Tabela_DB[[#This Row],[DATA]],"aaaa"))</f>
        <v>2021</v>
      </c>
    </row>
    <row r="2325" spans="1:8" x14ac:dyDescent="0.25">
      <c r="A2325" s="2">
        <v>44343</v>
      </c>
      <c r="B2325" t="s">
        <v>89</v>
      </c>
      <c r="C2325">
        <v>-2467</v>
      </c>
      <c r="D2325" t="str">
        <f>VLOOKUP(B2325,Tabela_Auxiliar[],2,0)</f>
        <v>4. Despesas Operacionais</v>
      </c>
      <c r="E2325" t="str">
        <f>VLOOKUP(B2325,Tabela_Auxiliar[],4,0)</f>
        <v>Despesa Tributária</v>
      </c>
      <c r="F2325" t="str">
        <f>VLOOKUP(B2325,Tabela_Auxiliar[],3,0)</f>
        <v>Saída</v>
      </c>
      <c r="G2325" t="str">
        <f>UPPER(TEXT(Tabela_DB[[#This Row],[DATA]],"mmm"))</f>
        <v>MAI</v>
      </c>
      <c r="H2325" t="str">
        <f>UPPER(TEXT(Tabela_DB[[#This Row],[DATA]],"aaaa"))</f>
        <v>2021</v>
      </c>
    </row>
    <row r="2326" spans="1:8" x14ac:dyDescent="0.25">
      <c r="A2326" s="2">
        <v>44343</v>
      </c>
      <c r="B2326" t="s">
        <v>4</v>
      </c>
      <c r="C2326">
        <v>13629</v>
      </c>
      <c r="D2326" t="str">
        <f>VLOOKUP(B2326,Tabela_Auxiliar[],2,0)</f>
        <v>1. Receita Operacional Bruta</v>
      </c>
      <c r="E2326" t="str">
        <f>VLOOKUP(B2326,Tabela_Auxiliar[],4,0)</f>
        <v>Receita Bruta</v>
      </c>
      <c r="F2326" t="str">
        <f>VLOOKUP(B2326,Tabela_Auxiliar[],3,0)</f>
        <v>Entrada</v>
      </c>
      <c r="G2326" t="str">
        <f>UPPER(TEXT(Tabela_DB[[#This Row],[DATA]],"mmm"))</f>
        <v>MAI</v>
      </c>
      <c r="H2326" t="str">
        <f>UPPER(TEXT(Tabela_DB[[#This Row],[DATA]],"aaaa"))</f>
        <v>2021</v>
      </c>
    </row>
    <row r="2327" spans="1:8" x14ac:dyDescent="0.25">
      <c r="A2327" s="2">
        <v>44343</v>
      </c>
      <c r="B2327" t="s">
        <v>84</v>
      </c>
      <c r="C2327">
        <v>-1676</v>
      </c>
      <c r="D2327" t="str">
        <f>VLOOKUP(B2327,Tabela_Auxiliar[],2,0)</f>
        <v>4. Despesas Operacionais</v>
      </c>
      <c r="E2327" t="str">
        <f>VLOOKUP(B2327,Tabela_Auxiliar[],4,0)</f>
        <v>Despesa com Veículos</v>
      </c>
      <c r="F2327" t="str">
        <f>VLOOKUP(B2327,Tabela_Auxiliar[],3,0)</f>
        <v>Saída</v>
      </c>
      <c r="G2327" t="str">
        <f>UPPER(TEXT(Tabela_DB[[#This Row],[DATA]],"mmm"))</f>
        <v>MAI</v>
      </c>
      <c r="H2327" t="str">
        <f>UPPER(TEXT(Tabela_DB[[#This Row],[DATA]],"aaaa"))</f>
        <v>2021</v>
      </c>
    </row>
    <row r="2328" spans="1:8" x14ac:dyDescent="0.25">
      <c r="A2328" s="2">
        <v>44343</v>
      </c>
      <c r="B2328" t="s">
        <v>38</v>
      </c>
      <c r="C2328">
        <v>-1269</v>
      </c>
      <c r="D2328" t="str">
        <f>VLOOKUP(B2328,Tabela_Auxiliar[],2,0)</f>
        <v>2. Deduções da Receita</v>
      </c>
      <c r="E2328" t="str">
        <f>VLOOKUP(B2328,Tabela_Auxiliar[],4,0)</f>
        <v>Deduções</v>
      </c>
      <c r="F2328" t="str">
        <f>VLOOKUP(B2328,Tabela_Auxiliar[],3,0)</f>
        <v>Saída</v>
      </c>
      <c r="G2328" t="str">
        <f>UPPER(TEXT(Tabela_DB[[#This Row],[DATA]],"mmm"))</f>
        <v>MAI</v>
      </c>
      <c r="H2328" t="str">
        <f>UPPER(TEXT(Tabela_DB[[#This Row],[DATA]],"aaaa"))</f>
        <v>2021</v>
      </c>
    </row>
    <row r="2329" spans="1:8" x14ac:dyDescent="0.25">
      <c r="A2329" s="2">
        <v>44343</v>
      </c>
      <c r="B2329" t="s">
        <v>4</v>
      </c>
      <c r="C2329">
        <v>10320</v>
      </c>
      <c r="D2329" t="str">
        <f>VLOOKUP(B2329,Tabela_Auxiliar[],2,0)</f>
        <v>1. Receita Operacional Bruta</v>
      </c>
      <c r="E2329" t="str">
        <f>VLOOKUP(B2329,Tabela_Auxiliar[],4,0)</f>
        <v>Receita Bruta</v>
      </c>
      <c r="F2329" t="str">
        <f>VLOOKUP(B2329,Tabela_Auxiliar[],3,0)</f>
        <v>Entrada</v>
      </c>
      <c r="G2329" t="str">
        <f>UPPER(TEXT(Tabela_DB[[#This Row],[DATA]],"mmm"))</f>
        <v>MAI</v>
      </c>
      <c r="H2329" t="str">
        <f>UPPER(TEXT(Tabela_DB[[#This Row],[DATA]],"aaaa"))</f>
        <v>2021</v>
      </c>
    </row>
    <row r="2330" spans="1:8" x14ac:dyDescent="0.25">
      <c r="A2330" s="2">
        <v>44344</v>
      </c>
      <c r="B2330" t="s">
        <v>80</v>
      </c>
      <c r="C2330">
        <v>-2435</v>
      </c>
      <c r="D2330" t="str">
        <f>VLOOKUP(B2330,Tabela_Auxiliar[],2,0)</f>
        <v>4. Despesas Operacionais</v>
      </c>
      <c r="E2330" t="str">
        <f>VLOOKUP(B2330,Tabela_Auxiliar[],4,0)</f>
        <v>Serviços Contratados</v>
      </c>
      <c r="F2330" t="str">
        <f>VLOOKUP(B2330,Tabela_Auxiliar[],3,0)</f>
        <v>Saída</v>
      </c>
      <c r="G2330" t="str">
        <f>UPPER(TEXT(Tabela_DB[[#This Row],[DATA]],"mmm"))</f>
        <v>MAI</v>
      </c>
      <c r="H2330" t="str">
        <f>UPPER(TEXT(Tabela_DB[[#This Row],[DATA]],"aaaa"))</f>
        <v>2021</v>
      </c>
    </row>
    <row r="2331" spans="1:8" x14ac:dyDescent="0.25">
      <c r="A2331" s="2">
        <v>44344</v>
      </c>
      <c r="B2331" t="s">
        <v>8</v>
      </c>
      <c r="C2331">
        <v>-2154</v>
      </c>
      <c r="D2331" t="str">
        <f>VLOOKUP(B2331,Tabela_Auxiliar[],2,0)</f>
        <v>4. Despesas Operacionais</v>
      </c>
      <c r="E2331" t="str">
        <f>VLOOKUP(B2331,Tabela_Auxiliar[],4,0)</f>
        <v>Despesa com Pessoal</v>
      </c>
      <c r="F2331" t="str">
        <f>VLOOKUP(B2331,Tabela_Auxiliar[],3,0)</f>
        <v>Saída</v>
      </c>
      <c r="G2331" t="str">
        <f>UPPER(TEXT(Tabela_DB[[#This Row],[DATA]],"mmm"))</f>
        <v>MAI</v>
      </c>
      <c r="H2331" t="str">
        <f>UPPER(TEXT(Tabela_DB[[#This Row],[DATA]],"aaaa"))</f>
        <v>2021</v>
      </c>
    </row>
    <row r="2332" spans="1:8" x14ac:dyDescent="0.25">
      <c r="A2332" s="2">
        <v>44344</v>
      </c>
      <c r="B2332" t="s">
        <v>111</v>
      </c>
      <c r="C2332">
        <v>-1958</v>
      </c>
      <c r="D2332" t="str">
        <f>VLOOKUP(B2332,Tabela_Auxiliar[],2,0)</f>
        <v>2. Deduções da Receita</v>
      </c>
      <c r="E2332" t="str">
        <f>VLOOKUP(B2332,Tabela_Auxiliar[],4,0)</f>
        <v>Imposto</v>
      </c>
      <c r="F2332" t="str">
        <f>VLOOKUP(B2332,Tabela_Auxiliar[],3,0)</f>
        <v>Saída</v>
      </c>
      <c r="G2332" t="str">
        <f>UPPER(TEXT(Tabela_DB[[#This Row],[DATA]],"mmm"))</f>
        <v>MAI</v>
      </c>
      <c r="H2332" t="str">
        <f>UPPER(TEXT(Tabela_DB[[#This Row],[DATA]],"aaaa"))</f>
        <v>2021</v>
      </c>
    </row>
    <row r="2333" spans="1:8" x14ac:dyDescent="0.25">
      <c r="A2333" s="2">
        <v>44344</v>
      </c>
      <c r="B2333" t="s">
        <v>59</v>
      </c>
      <c r="C2333">
        <v>-2485</v>
      </c>
      <c r="D2333" t="str">
        <f>VLOOKUP(B2333,Tabela_Auxiliar[],2,0)</f>
        <v>4. Despesas Operacionais</v>
      </c>
      <c r="E2333" t="str">
        <f>VLOOKUP(B2333,Tabela_Auxiliar[],4,0)</f>
        <v>Despesa de Depreciação</v>
      </c>
      <c r="F2333" t="str">
        <f>VLOOKUP(B2333,Tabela_Auxiliar[],3,0)</f>
        <v>Saída</v>
      </c>
      <c r="G2333" t="str">
        <f>UPPER(TEXT(Tabela_DB[[#This Row],[DATA]],"mmm"))</f>
        <v>MAI</v>
      </c>
      <c r="H2333" t="str">
        <f>UPPER(TEXT(Tabela_DB[[#This Row],[DATA]],"aaaa"))</f>
        <v>2021</v>
      </c>
    </row>
    <row r="2334" spans="1:8" x14ac:dyDescent="0.25">
      <c r="A2334" s="2">
        <v>44344</v>
      </c>
      <c r="B2334" t="s">
        <v>45</v>
      </c>
      <c r="C2334">
        <v>-2076</v>
      </c>
      <c r="D2334" t="str">
        <f>VLOOKUP(B2334,Tabela_Auxiliar[],2,0)</f>
        <v>4. Despesas Operacionais</v>
      </c>
      <c r="E2334" t="str">
        <f>VLOOKUP(B2334,Tabela_Auxiliar[],4,0)</f>
        <v>Despesa com Pessoal</v>
      </c>
      <c r="F2334" t="str">
        <f>VLOOKUP(B2334,Tabela_Auxiliar[],3,0)</f>
        <v>Saída</v>
      </c>
      <c r="G2334" t="str">
        <f>UPPER(TEXT(Tabela_DB[[#This Row],[DATA]],"mmm"))</f>
        <v>MAI</v>
      </c>
      <c r="H2334" t="str">
        <f>UPPER(TEXT(Tabela_DB[[#This Row],[DATA]],"aaaa"))</f>
        <v>2021</v>
      </c>
    </row>
    <row r="2335" spans="1:8" x14ac:dyDescent="0.25">
      <c r="A2335" s="2">
        <v>44344</v>
      </c>
      <c r="B2335" t="s">
        <v>111</v>
      </c>
      <c r="C2335">
        <v>-1836</v>
      </c>
      <c r="D2335" t="str">
        <f>VLOOKUP(B2335,Tabela_Auxiliar[],2,0)</f>
        <v>2. Deduções da Receita</v>
      </c>
      <c r="E2335" t="str">
        <f>VLOOKUP(B2335,Tabela_Auxiliar[],4,0)</f>
        <v>Imposto</v>
      </c>
      <c r="F2335" t="str">
        <f>VLOOKUP(B2335,Tabela_Auxiliar[],3,0)</f>
        <v>Saída</v>
      </c>
      <c r="G2335" t="str">
        <f>UPPER(TEXT(Tabela_DB[[#This Row],[DATA]],"mmm"))</f>
        <v>MAI</v>
      </c>
      <c r="H2335" t="str">
        <f>UPPER(TEXT(Tabela_DB[[#This Row],[DATA]],"aaaa"))</f>
        <v>2021</v>
      </c>
    </row>
    <row r="2336" spans="1:8" x14ac:dyDescent="0.25">
      <c r="A2336" s="2">
        <v>44344</v>
      </c>
      <c r="B2336" t="s">
        <v>3</v>
      </c>
      <c r="C2336">
        <v>14554</v>
      </c>
      <c r="D2336" t="str">
        <f>VLOOKUP(B2336,Tabela_Auxiliar[],2,0)</f>
        <v>1. Receita Operacional Bruta</v>
      </c>
      <c r="E2336" t="str">
        <f>VLOOKUP(B2336,Tabela_Auxiliar[],4,0)</f>
        <v>Receita Bruta</v>
      </c>
      <c r="F2336" t="str">
        <f>VLOOKUP(B2336,Tabela_Auxiliar[],3,0)</f>
        <v>Entrada</v>
      </c>
      <c r="G2336" t="str">
        <f>UPPER(TEXT(Tabela_DB[[#This Row],[DATA]],"mmm"))</f>
        <v>MAI</v>
      </c>
      <c r="H2336" t="str">
        <f>UPPER(TEXT(Tabela_DB[[#This Row],[DATA]],"aaaa"))</f>
        <v>2021</v>
      </c>
    </row>
    <row r="2337" spans="1:8" x14ac:dyDescent="0.25">
      <c r="A2337" s="2">
        <v>44344</v>
      </c>
      <c r="B2337" t="s">
        <v>37</v>
      </c>
      <c r="C2337">
        <v>-3496</v>
      </c>
      <c r="D2337" t="str">
        <f>VLOOKUP(B2337,Tabela_Auxiliar[],2,0)</f>
        <v>3. Custos do Produto/Mercadoria/Serviço</v>
      </c>
      <c r="E2337" t="str">
        <f>VLOOKUP(B2337,Tabela_Auxiliar[],4,0)</f>
        <v>Despesas c/ Produto</v>
      </c>
      <c r="F2337" t="str">
        <f>VLOOKUP(B2337,Tabela_Auxiliar[],3,0)</f>
        <v>Saída</v>
      </c>
      <c r="G2337" t="str">
        <f>UPPER(TEXT(Tabela_DB[[#This Row],[DATA]],"mmm"))</f>
        <v>MAI</v>
      </c>
      <c r="H2337" t="str">
        <f>UPPER(TEXT(Tabela_DB[[#This Row],[DATA]],"aaaa"))</f>
        <v>2021</v>
      </c>
    </row>
    <row r="2338" spans="1:8" x14ac:dyDescent="0.25">
      <c r="A2338" s="2">
        <v>44344</v>
      </c>
      <c r="B2338" t="s">
        <v>58</v>
      </c>
      <c r="C2338">
        <v>-1259</v>
      </c>
      <c r="D2338" t="str">
        <f>VLOOKUP(B2338,Tabela_Auxiliar[],2,0)</f>
        <v>4. Despesas Operacionais</v>
      </c>
      <c r="E2338" t="str">
        <f>VLOOKUP(B2338,Tabela_Auxiliar[],4,0)</f>
        <v>Despesa de Depreciação</v>
      </c>
      <c r="F2338" t="str">
        <f>VLOOKUP(B2338,Tabela_Auxiliar[],3,0)</f>
        <v>Saída</v>
      </c>
      <c r="G2338" t="str">
        <f>UPPER(TEXT(Tabela_DB[[#This Row],[DATA]],"mmm"))</f>
        <v>MAI</v>
      </c>
      <c r="H2338" t="str">
        <f>UPPER(TEXT(Tabela_DB[[#This Row],[DATA]],"aaaa"))</f>
        <v>2021</v>
      </c>
    </row>
    <row r="2339" spans="1:8" x14ac:dyDescent="0.25">
      <c r="A2339" s="2">
        <v>44344</v>
      </c>
      <c r="B2339" t="s">
        <v>3</v>
      </c>
      <c r="C2339">
        <v>12941</v>
      </c>
      <c r="D2339" t="str">
        <f>VLOOKUP(B2339,Tabela_Auxiliar[],2,0)</f>
        <v>1. Receita Operacional Bruta</v>
      </c>
      <c r="E2339" t="str">
        <f>VLOOKUP(B2339,Tabela_Auxiliar[],4,0)</f>
        <v>Receita Bruta</v>
      </c>
      <c r="F2339" t="str">
        <f>VLOOKUP(B2339,Tabela_Auxiliar[],3,0)</f>
        <v>Entrada</v>
      </c>
      <c r="G2339" t="str">
        <f>UPPER(TEXT(Tabela_DB[[#This Row],[DATA]],"mmm"))</f>
        <v>MAI</v>
      </c>
      <c r="H2339" t="str">
        <f>UPPER(TEXT(Tabela_DB[[#This Row],[DATA]],"aaaa"))</f>
        <v>2021</v>
      </c>
    </row>
    <row r="2340" spans="1:8" x14ac:dyDescent="0.25">
      <c r="A2340" s="2">
        <v>44344</v>
      </c>
      <c r="B2340" t="s">
        <v>43</v>
      </c>
      <c r="C2340">
        <v>-1220</v>
      </c>
      <c r="D2340" t="str">
        <f>VLOOKUP(B2340,Tabela_Auxiliar[],2,0)</f>
        <v>4. Despesas Operacionais</v>
      </c>
      <c r="E2340" t="str">
        <f>VLOOKUP(B2340,Tabela_Auxiliar[],4,0)</f>
        <v>Despesa com Pessoal</v>
      </c>
      <c r="F2340" t="str">
        <f>VLOOKUP(B2340,Tabela_Auxiliar[],3,0)</f>
        <v>Saída</v>
      </c>
      <c r="G2340" t="str">
        <f>UPPER(TEXT(Tabela_DB[[#This Row],[DATA]],"mmm"))</f>
        <v>MAI</v>
      </c>
      <c r="H2340" t="str">
        <f>UPPER(TEXT(Tabela_DB[[#This Row],[DATA]],"aaaa"))</f>
        <v>2021</v>
      </c>
    </row>
    <row r="2341" spans="1:8" x14ac:dyDescent="0.25">
      <c r="A2341" s="2">
        <v>44344</v>
      </c>
      <c r="B2341" t="s">
        <v>57</v>
      </c>
      <c r="C2341">
        <v>-2227</v>
      </c>
      <c r="D2341" t="str">
        <f>VLOOKUP(B2341,Tabela_Auxiliar[],2,0)</f>
        <v>4. Despesas Operacionais</v>
      </c>
      <c r="E2341" t="str">
        <f>VLOOKUP(B2341,Tabela_Auxiliar[],4,0)</f>
        <v>Despesa com Pessoal</v>
      </c>
      <c r="F2341" t="str">
        <f>VLOOKUP(B2341,Tabela_Auxiliar[],3,0)</f>
        <v>Saída</v>
      </c>
      <c r="G2341" t="str">
        <f>UPPER(TEXT(Tabela_DB[[#This Row],[DATA]],"mmm"))</f>
        <v>MAI</v>
      </c>
      <c r="H2341" t="str">
        <f>UPPER(TEXT(Tabela_DB[[#This Row],[DATA]],"aaaa"))</f>
        <v>2021</v>
      </c>
    </row>
    <row r="2342" spans="1:8" x14ac:dyDescent="0.25">
      <c r="A2342" s="2">
        <v>44344</v>
      </c>
      <c r="B2342" t="s">
        <v>4</v>
      </c>
      <c r="C2342">
        <v>13117</v>
      </c>
      <c r="D2342" t="str">
        <f>VLOOKUP(B2342,Tabela_Auxiliar[],2,0)</f>
        <v>1. Receita Operacional Bruta</v>
      </c>
      <c r="E2342" t="str">
        <f>VLOOKUP(B2342,Tabela_Auxiliar[],4,0)</f>
        <v>Receita Bruta</v>
      </c>
      <c r="F2342" t="str">
        <f>VLOOKUP(B2342,Tabela_Auxiliar[],3,0)</f>
        <v>Entrada</v>
      </c>
      <c r="G2342" t="str">
        <f>UPPER(TEXT(Tabela_DB[[#This Row],[DATA]],"mmm"))</f>
        <v>MAI</v>
      </c>
      <c r="H2342" t="str">
        <f>UPPER(TEXT(Tabela_DB[[#This Row],[DATA]],"aaaa"))</f>
        <v>2021</v>
      </c>
    </row>
    <row r="2343" spans="1:8" x14ac:dyDescent="0.25">
      <c r="A2343" s="2">
        <v>44344</v>
      </c>
      <c r="B2343" t="s">
        <v>78</v>
      </c>
      <c r="C2343">
        <v>-1860</v>
      </c>
      <c r="D2343" t="str">
        <f>VLOOKUP(B2343,Tabela_Auxiliar[],2,0)</f>
        <v>4. Despesas Operacionais</v>
      </c>
      <c r="E2343" t="str">
        <f>VLOOKUP(B2343,Tabela_Auxiliar[],4,0)</f>
        <v>Serviços Contratados</v>
      </c>
      <c r="F2343" t="str">
        <f>VLOOKUP(B2343,Tabela_Auxiliar[],3,0)</f>
        <v>Saída</v>
      </c>
      <c r="G2343" t="str">
        <f>UPPER(TEXT(Tabela_DB[[#This Row],[DATA]],"mmm"))</f>
        <v>MAI</v>
      </c>
      <c r="H2343" t="str">
        <f>UPPER(TEXT(Tabela_DB[[#This Row],[DATA]],"aaaa"))</f>
        <v>2021</v>
      </c>
    </row>
    <row r="2344" spans="1:8" x14ac:dyDescent="0.25">
      <c r="A2344" s="2">
        <v>44344</v>
      </c>
      <c r="B2344" t="s">
        <v>90</v>
      </c>
      <c r="C2344">
        <v>-1302</v>
      </c>
      <c r="D2344" t="str">
        <f>VLOOKUP(B2344,Tabela_Auxiliar[],2,0)</f>
        <v>4. Despesas Operacionais</v>
      </c>
      <c r="E2344" t="str">
        <f>VLOOKUP(B2344,Tabela_Auxiliar[],4,0)</f>
        <v>Despesa Tributária</v>
      </c>
      <c r="F2344" t="str">
        <f>VLOOKUP(B2344,Tabela_Auxiliar[],3,0)</f>
        <v>Saída</v>
      </c>
      <c r="G2344" t="str">
        <f>UPPER(TEXT(Tabela_DB[[#This Row],[DATA]],"mmm"))</f>
        <v>MAI</v>
      </c>
      <c r="H2344" t="str">
        <f>UPPER(TEXT(Tabela_DB[[#This Row],[DATA]],"aaaa"))</f>
        <v>2021</v>
      </c>
    </row>
    <row r="2345" spans="1:8" x14ac:dyDescent="0.25">
      <c r="A2345" s="2">
        <v>44344</v>
      </c>
      <c r="B2345" t="s">
        <v>111</v>
      </c>
      <c r="C2345">
        <v>-2169</v>
      </c>
      <c r="D2345" t="str">
        <f>VLOOKUP(B2345,Tabela_Auxiliar[],2,0)</f>
        <v>2. Deduções da Receita</v>
      </c>
      <c r="E2345" t="str">
        <f>VLOOKUP(B2345,Tabela_Auxiliar[],4,0)</f>
        <v>Imposto</v>
      </c>
      <c r="F2345" t="str">
        <f>VLOOKUP(B2345,Tabela_Auxiliar[],3,0)</f>
        <v>Saída</v>
      </c>
      <c r="G2345" t="str">
        <f>UPPER(TEXT(Tabela_DB[[#This Row],[DATA]],"mmm"))</f>
        <v>MAI</v>
      </c>
      <c r="H2345" t="str">
        <f>UPPER(TEXT(Tabela_DB[[#This Row],[DATA]],"aaaa"))</f>
        <v>2021</v>
      </c>
    </row>
    <row r="2346" spans="1:8" x14ac:dyDescent="0.25">
      <c r="A2346" s="2">
        <v>44344</v>
      </c>
      <c r="B2346" t="s">
        <v>45</v>
      </c>
      <c r="C2346">
        <v>-2336</v>
      </c>
      <c r="D2346" t="str">
        <f>VLOOKUP(B2346,Tabela_Auxiliar[],2,0)</f>
        <v>4. Despesas Operacionais</v>
      </c>
      <c r="E2346" t="str">
        <f>VLOOKUP(B2346,Tabela_Auxiliar[],4,0)</f>
        <v>Despesa com Pessoal</v>
      </c>
      <c r="F2346" t="str">
        <f>VLOOKUP(B2346,Tabela_Auxiliar[],3,0)</f>
        <v>Saída</v>
      </c>
      <c r="G2346" t="str">
        <f>UPPER(TEXT(Tabela_DB[[#This Row],[DATA]],"mmm"))</f>
        <v>MAI</v>
      </c>
      <c r="H2346" t="str">
        <f>UPPER(TEXT(Tabela_DB[[#This Row],[DATA]],"aaaa"))</f>
        <v>2021</v>
      </c>
    </row>
    <row r="2347" spans="1:8" x14ac:dyDescent="0.25">
      <c r="A2347" s="2">
        <v>44344</v>
      </c>
      <c r="B2347" t="s">
        <v>52</v>
      </c>
      <c r="C2347">
        <v>-1457</v>
      </c>
      <c r="D2347" t="str">
        <f>VLOOKUP(B2347,Tabela_Auxiliar[],2,0)</f>
        <v>4. Despesas Operacionais</v>
      </c>
      <c r="E2347" t="str">
        <f>VLOOKUP(B2347,Tabela_Auxiliar[],4,0)</f>
        <v>Despesa com Pessoal</v>
      </c>
      <c r="F2347" t="str">
        <f>VLOOKUP(B2347,Tabela_Auxiliar[],3,0)</f>
        <v>Saída</v>
      </c>
      <c r="G2347" t="str">
        <f>UPPER(TEXT(Tabela_DB[[#This Row],[DATA]],"mmm"))</f>
        <v>MAI</v>
      </c>
      <c r="H2347" t="str">
        <f>UPPER(TEXT(Tabela_DB[[#This Row],[DATA]],"aaaa"))</f>
        <v>2021</v>
      </c>
    </row>
    <row r="2348" spans="1:8" x14ac:dyDescent="0.25">
      <c r="A2348" s="2">
        <v>44344</v>
      </c>
      <c r="B2348" t="s">
        <v>33</v>
      </c>
      <c r="C2348">
        <v>-2339</v>
      </c>
      <c r="D2348" t="str">
        <f>VLOOKUP(B2348,Tabela_Auxiliar[],2,0)</f>
        <v>4. Despesas Operacionais</v>
      </c>
      <c r="E2348" t="str">
        <f>VLOOKUP(B2348,Tabela_Auxiliar[],4,0)</f>
        <v>Despesa com Vendas</v>
      </c>
      <c r="F2348" t="str">
        <f>VLOOKUP(B2348,Tabela_Auxiliar[],3,0)</f>
        <v>Saída</v>
      </c>
      <c r="G2348" t="str">
        <f>UPPER(TEXT(Tabela_DB[[#This Row],[DATA]],"mmm"))</f>
        <v>MAI</v>
      </c>
      <c r="H2348" t="str">
        <f>UPPER(TEXT(Tabela_DB[[#This Row],[DATA]],"aaaa"))</f>
        <v>2021</v>
      </c>
    </row>
    <row r="2349" spans="1:8" x14ac:dyDescent="0.25">
      <c r="A2349" s="2">
        <v>44344</v>
      </c>
      <c r="B2349" t="s">
        <v>35</v>
      </c>
      <c r="C2349">
        <v>-2153</v>
      </c>
      <c r="D2349" t="str">
        <f>VLOOKUP(B2349,Tabela_Auxiliar[],2,0)</f>
        <v>2. Deduções da Receita</v>
      </c>
      <c r="E2349" t="str">
        <f>VLOOKUP(B2349,Tabela_Auxiliar[],4,0)</f>
        <v>Imposto</v>
      </c>
      <c r="F2349" t="str">
        <f>VLOOKUP(B2349,Tabela_Auxiliar[],3,0)</f>
        <v>Saída</v>
      </c>
      <c r="G2349" t="str">
        <f>UPPER(TEXT(Tabela_DB[[#This Row],[DATA]],"mmm"))</f>
        <v>MAI</v>
      </c>
      <c r="H2349" t="str">
        <f>UPPER(TEXT(Tabela_DB[[#This Row],[DATA]],"aaaa"))</f>
        <v>2021</v>
      </c>
    </row>
    <row r="2350" spans="1:8" x14ac:dyDescent="0.25">
      <c r="A2350" s="2">
        <v>44344</v>
      </c>
      <c r="B2350" t="s">
        <v>50</v>
      </c>
      <c r="C2350">
        <v>-1747</v>
      </c>
      <c r="D2350" t="str">
        <f>VLOOKUP(B2350,Tabela_Auxiliar[],2,0)</f>
        <v>4. Despesas Operacionais</v>
      </c>
      <c r="E2350" t="str">
        <f>VLOOKUP(B2350,Tabela_Auxiliar[],4,0)</f>
        <v>Despesa com Pessoal</v>
      </c>
      <c r="F2350" t="str">
        <f>VLOOKUP(B2350,Tabela_Auxiliar[],3,0)</f>
        <v>Saída</v>
      </c>
      <c r="G2350" t="str">
        <f>UPPER(TEXT(Tabela_DB[[#This Row],[DATA]],"mmm"))</f>
        <v>MAI</v>
      </c>
      <c r="H2350" t="str">
        <f>UPPER(TEXT(Tabela_DB[[#This Row],[DATA]],"aaaa"))</f>
        <v>2021</v>
      </c>
    </row>
    <row r="2351" spans="1:8" x14ac:dyDescent="0.25">
      <c r="A2351" s="2">
        <v>44344</v>
      </c>
      <c r="B2351" t="s">
        <v>4</v>
      </c>
      <c r="C2351">
        <v>10874</v>
      </c>
      <c r="D2351" t="str">
        <f>VLOOKUP(B2351,Tabela_Auxiliar[],2,0)</f>
        <v>1. Receita Operacional Bruta</v>
      </c>
      <c r="E2351" t="str">
        <f>VLOOKUP(B2351,Tabela_Auxiliar[],4,0)</f>
        <v>Receita Bruta</v>
      </c>
      <c r="F2351" t="str">
        <f>VLOOKUP(B2351,Tabela_Auxiliar[],3,0)</f>
        <v>Entrada</v>
      </c>
      <c r="G2351" t="str">
        <f>UPPER(TEXT(Tabela_DB[[#This Row],[DATA]],"mmm"))</f>
        <v>MAI</v>
      </c>
      <c r="H2351" t="str">
        <f>UPPER(TEXT(Tabela_DB[[#This Row],[DATA]],"aaaa"))</f>
        <v>2021</v>
      </c>
    </row>
    <row r="2352" spans="1:8" x14ac:dyDescent="0.25">
      <c r="A2352" s="2">
        <v>44344</v>
      </c>
      <c r="B2352" t="s">
        <v>87</v>
      </c>
      <c r="C2352">
        <v>-1966</v>
      </c>
      <c r="D2352" t="str">
        <f>VLOOKUP(B2352,Tabela_Auxiliar[],2,0)</f>
        <v>4. Despesas Operacionais</v>
      </c>
      <c r="E2352" t="str">
        <f>VLOOKUP(B2352,Tabela_Auxiliar[],4,0)</f>
        <v>Despesa Tributária</v>
      </c>
      <c r="F2352" t="str">
        <f>VLOOKUP(B2352,Tabela_Auxiliar[],3,0)</f>
        <v>Saída</v>
      </c>
      <c r="G2352" t="str">
        <f>UPPER(TEXT(Tabela_DB[[#This Row],[DATA]],"mmm"))</f>
        <v>MAI</v>
      </c>
      <c r="H2352" t="str">
        <f>UPPER(TEXT(Tabela_DB[[#This Row],[DATA]],"aaaa"))</f>
        <v>2021</v>
      </c>
    </row>
    <row r="2353" spans="1:8" x14ac:dyDescent="0.25">
      <c r="A2353" s="2">
        <v>44344</v>
      </c>
      <c r="B2353" t="s">
        <v>52</v>
      </c>
      <c r="C2353">
        <v>-1555</v>
      </c>
      <c r="D2353" t="str">
        <f>VLOOKUP(B2353,Tabela_Auxiliar[],2,0)</f>
        <v>4. Despesas Operacionais</v>
      </c>
      <c r="E2353" t="str">
        <f>VLOOKUP(B2353,Tabela_Auxiliar[],4,0)</f>
        <v>Despesa com Pessoal</v>
      </c>
      <c r="F2353" t="str">
        <f>VLOOKUP(B2353,Tabela_Auxiliar[],3,0)</f>
        <v>Saída</v>
      </c>
      <c r="G2353" t="str">
        <f>UPPER(TEXT(Tabela_DB[[#This Row],[DATA]],"mmm"))</f>
        <v>MAI</v>
      </c>
      <c r="H2353" t="str">
        <f>UPPER(TEXT(Tabela_DB[[#This Row],[DATA]],"aaaa"))</f>
        <v>2021</v>
      </c>
    </row>
    <row r="2354" spans="1:8" x14ac:dyDescent="0.25">
      <c r="A2354" s="2">
        <v>44345</v>
      </c>
      <c r="B2354" t="s">
        <v>77</v>
      </c>
      <c r="C2354">
        <v>-2045</v>
      </c>
      <c r="D2354" t="str">
        <f>VLOOKUP(B2354,Tabela_Auxiliar[],2,0)</f>
        <v>4. Despesas Operacionais</v>
      </c>
      <c r="E2354" t="str">
        <f>VLOOKUP(B2354,Tabela_Auxiliar[],4,0)</f>
        <v>Serviços Contratados</v>
      </c>
      <c r="F2354" t="str">
        <f>VLOOKUP(B2354,Tabela_Auxiliar[],3,0)</f>
        <v>Saída</v>
      </c>
      <c r="G2354" t="str">
        <f>UPPER(TEXT(Tabela_DB[[#This Row],[DATA]],"mmm"))</f>
        <v>MAI</v>
      </c>
      <c r="H2354" t="str">
        <f>UPPER(TEXT(Tabela_DB[[#This Row],[DATA]],"aaaa"))</f>
        <v>2021</v>
      </c>
    </row>
    <row r="2355" spans="1:8" x14ac:dyDescent="0.25">
      <c r="A2355" s="2">
        <v>44345</v>
      </c>
      <c r="B2355" t="s">
        <v>38</v>
      </c>
      <c r="C2355">
        <v>-2425</v>
      </c>
      <c r="D2355" t="str">
        <f>VLOOKUP(B2355,Tabela_Auxiliar[],2,0)</f>
        <v>2. Deduções da Receita</v>
      </c>
      <c r="E2355" t="str">
        <f>VLOOKUP(B2355,Tabela_Auxiliar[],4,0)</f>
        <v>Deduções</v>
      </c>
      <c r="F2355" t="str">
        <f>VLOOKUP(B2355,Tabela_Auxiliar[],3,0)</f>
        <v>Saída</v>
      </c>
      <c r="G2355" t="str">
        <f>UPPER(TEXT(Tabela_DB[[#This Row],[DATA]],"mmm"))</f>
        <v>MAI</v>
      </c>
      <c r="H2355" t="str">
        <f>UPPER(TEXT(Tabela_DB[[#This Row],[DATA]],"aaaa"))</f>
        <v>2021</v>
      </c>
    </row>
    <row r="2356" spans="1:8" x14ac:dyDescent="0.25">
      <c r="A2356" s="2">
        <v>44345</v>
      </c>
      <c r="B2356" t="s">
        <v>4</v>
      </c>
      <c r="C2356">
        <v>12477</v>
      </c>
      <c r="D2356" t="str">
        <f>VLOOKUP(B2356,Tabela_Auxiliar[],2,0)</f>
        <v>1. Receita Operacional Bruta</v>
      </c>
      <c r="E2356" t="str">
        <f>VLOOKUP(B2356,Tabela_Auxiliar[],4,0)</f>
        <v>Receita Bruta</v>
      </c>
      <c r="F2356" t="str">
        <f>VLOOKUP(B2356,Tabela_Auxiliar[],3,0)</f>
        <v>Entrada</v>
      </c>
      <c r="G2356" t="str">
        <f>UPPER(TEXT(Tabela_DB[[#This Row],[DATA]],"mmm"))</f>
        <v>MAI</v>
      </c>
      <c r="H2356" t="str">
        <f>UPPER(TEXT(Tabela_DB[[#This Row],[DATA]],"aaaa"))</f>
        <v>2021</v>
      </c>
    </row>
    <row r="2357" spans="1:8" x14ac:dyDescent="0.25">
      <c r="A2357" s="2">
        <v>44345</v>
      </c>
      <c r="B2357" t="s">
        <v>34</v>
      </c>
      <c r="C2357">
        <v>-1991</v>
      </c>
      <c r="D2357" t="str">
        <f>VLOOKUP(B2357,Tabela_Auxiliar[],2,0)</f>
        <v>2. Deduções da Receita</v>
      </c>
      <c r="E2357" t="str">
        <f>VLOOKUP(B2357,Tabela_Auxiliar[],4,0)</f>
        <v>Imposto</v>
      </c>
      <c r="F2357" t="str">
        <f>VLOOKUP(B2357,Tabela_Auxiliar[],3,0)</f>
        <v>Saída</v>
      </c>
      <c r="G2357" t="str">
        <f>UPPER(TEXT(Tabela_DB[[#This Row],[DATA]],"mmm"))</f>
        <v>MAI</v>
      </c>
      <c r="H2357" t="str">
        <f>UPPER(TEXT(Tabela_DB[[#This Row],[DATA]],"aaaa"))</f>
        <v>2021</v>
      </c>
    </row>
    <row r="2358" spans="1:8" x14ac:dyDescent="0.25">
      <c r="A2358" s="2">
        <v>44345</v>
      </c>
      <c r="B2358" t="s">
        <v>87</v>
      </c>
      <c r="C2358">
        <v>-1308</v>
      </c>
      <c r="D2358" t="str">
        <f>VLOOKUP(B2358,Tabela_Auxiliar[],2,0)</f>
        <v>4. Despesas Operacionais</v>
      </c>
      <c r="E2358" t="str">
        <f>VLOOKUP(B2358,Tabela_Auxiliar[],4,0)</f>
        <v>Despesa Tributária</v>
      </c>
      <c r="F2358" t="str">
        <f>VLOOKUP(B2358,Tabela_Auxiliar[],3,0)</f>
        <v>Saída</v>
      </c>
      <c r="G2358" t="str">
        <f>UPPER(TEXT(Tabela_DB[[#This Row],[DATA]],"mmm"))</f>
        <v>MAI</v>
      </c>
      <c r="H2358" t="str">
        <f>UPPER(TEXT(Tabela_DB[[#This Row],[DATA]],"aaaa"))</f>
        <v>2021</v>
      </c>
    </row>
    <row r="2359" spans="1:8" x14ac:dyDescent="0.25">
      <c r="A2359" s="2">
        <v>44345</v>
      </c>
      <c r="B2359" t="s">
        <v>4</v>
      </c>
      <c r="C2359">
        <v>10403</v>
      </c>
      <c r="D2359" t="str">
        <f>VLOOKUP(B2359,Tabela_Auxiliar[],2,0)</f>
        <v>1. Receita Operacional Bruta</v>
      </c>
      <c r="E2359" t="str">
        <f>VLOOKUP(B2359,Tabela_Auxiliar[],4,0)</f>
        <v>Receita Bruta</v>
      </c>
      <c r="F2359" t="str">
        <f>VLOOKUP(B2359,Tabela_Auxiliar[],3,0)</f>
        <v>Entrada</v>
      </c>
      <c r="G2359" t="str">
        <f>UPPER(TEXT(Tabela_DB[[#This Row],[DATA]],"mmm"))</f>
        <v>MAI</v>
      </c>
      <c r="H2359" t="str">
        <f>UPPER(TEXT(Tabela_DB[[#This Row],[DATA]],"aaaa"))</f>
        <v>2021</v>
      </c>
    </row>
    <row r="2360" spans="1:8" x14ac:dyDescent="0.25">
      <c r="A2360" s="2">
        <v>44345</v>
      </c>
      <c r="B2360" t="s">
        <v>37</v>
      </c>
      <c r="C2360">
        <v>-2519</v>
      </c>
      <c r="D2360" t="str">
        <f>VLOOKUP(B2360,Tabela_Auxiliar[],2,0)</f>
        <v>3. Custos do Produto/Mercadoria/Serviço</v>
      </c>
      <c r="E2360" t="str">
        <f>VLOOKUP(B2360,Tabela_Auxiliar[],4,0)</f>
        <v>Despesas c/ Produto</v>
      </c>
      <c r="F2360" t="str">
        <f>VLOOKUP(B2360,Tabela_Auxiliar[],3,0)</f>
        <v>Saída</v>
      </c>
      <c r="G2360" t="str">
        <f>UPPER(TEXT(Tabela_DB[[#This Row],[DATA]],"mmm"))</f>
        <v>MAI</v>
      </c>
      <c r="H2360" t="str">
        <f>UPPER(TEXT(Tabela_DB[[#This Row],[DATA]],"aaaa"))</f>
        <v>2021</v>
      </c>
    </row>
    <row r="2361" spans="1:8" x14ac:dyDescent="0.25">
      <c r="A2361" s="2">
        <v>44345</v>
      </c>
      <c r="B2361" t="s">
        <v>35</v>
      </c>
      <c r="C2361">
        <v>-2027</v>
      </c>
      <c r="D2361" t="str">
        <f>VLOOKUP(B2361,Tabela_Auxiliar[],2,0)</f>
        <v>2. Deduções da Receita</v>
      </c>
      <c r="E2361" t="str">
        <f>VLOOKUP(B2361,Tabela_Auxiliar[],4,0)</f>
        <v>Imposto</v>
      </c>
      <c r="F2361" t="str">
        <f>VLOOKUP(B2361,Tabela_Auxiliar[],3,0)</f>
        <v>Saída</v>
      </c>
      <c r="G2361" t="str">
        <f>UPPER(TEXT(Tabela_DB[[#This Row],[DATA]],"mmm"))</f>
        <v>MAI</v>
      </c>
      <c r="H2361" t="str">
        <f>UPPER(TEXT(Tabela_DB[[#This Row],[DATA]],"aaaa"))</f>
        <v>2021</v>
      </c>
    </row>
    <row r="2362" spans="1:8" x14ac:dyDescent="0.25">
      <c r="A2362" s="2">
        <v>44345</v>
      </c>
      <c r="B2362" t="s">
        <v>111</v>
      </c>
      <c r="C2362">
        <v>-2061</v>
      </c>
      <c r="D2362" t="str">
        <f>VLOOKUP(B2362,Tabela_Auxiliar[],2,0)</f>
        <v>2. Deduções da Receita</v>
      </c>
      <c r="E2362" t="str">
        <f>VLOOKUP(B2362,Tabela_Auxiliar[],4,0)</f>
        <v>Imposto</v>
      </c>
      <c r="F2362" t="str">
        <f>VLOOKUP(B2362,Tabela_Auxiliar[],3,0)</f>
        <v>Saída</v>
      </c>
      <c r="G2362" t="str">
        <f>UPPER(TEXT(Tabela_DB[[#This Row],[DATA]],"mmm"))</f>
        <v>MAI</v>
      </c>
      <c r="H2362" t="str">
        <f>UPPER(TEXT(Tabela_DB[[#This Row],[DATA]],"aaaa"))</f>
        <v>2021</v>
      </c>
    </row>
    <row r="2363" spans="1:8" x14ac:dyDescent="0.25">
      <c r="A2363" s="2">
        <v>44345</v>
      </c>
      <c r="B2363" t="s">
        <v>85</v>
      </c>
      <c r="C2363">
        <v>-2287</v>
      </c>
      <c r="D2363" t="str">
        <f>VLOOKUP(B2363,Tabela_Auxiliar[],2,0)</f>
        <v>4. Despesas Operacionais</v>
      </c>
      <c r="E2363" t="str">
        <f>VLOOKUP(B2363,Tabela_Auxiliar[],4,0)</f>
        <v>Despesa com Veículos</v>
      </c>
      <c r="F2363" t="str">
        <f>VLOOKUP(B2363,Tabela_Auxiliar[],3,0)</f>
        <v>Saída</v>
      </c>
      <c r="G2363" t="str">
        <f>UPPER(TEXT(Tabela_DB[[#This Row],[DATA]],"mmm"))</f>
        <v>MAI</v>
      </c>
      <c r="H2363" t="str">
        <f>UPPER(TEXT(Tabela_DB[[#This Row],[DATA]],"aaaa"))</f>
        <v>2021</v>
      </c>
    </row>
    <row r="2364" spans="1:8" x14ac:dyDescent="0.25">
      <c r="A2364" s="2">
        <v>44345</v>
      </c>
      <c r="B2364" t="s">
        <v>3</v>
      </c>
      <c r="C2364">
        <v>11991</v>
      </c>
      <c r="D2364" t="str">
        <f>VLOOKUP(B2364,Tabela_Auxiliar[],2,0)</f>
        <v>1. Receita Operacional Bruta</v>
      </c>
      <c r="E2364" t="str">
        <f>VLOOKUP(B2364,Tabela_Auxiliar[],4,0)</f>
        <v>Receita Bruta</v>
      </c>
      <c r="F2364" t="str">
        <f>VLOOKUP(B2364,Tabela_Auxiliar[],3,0)</f>
        <v>Entrada</v>
      </c>
      <c r="G2364" t="str">
        <f>UPPER(TEXT(Tabela_DB[[#This Row],[DATA]],"mmm"))</f>
        <v>MAI</v>
      </c>
      <c r="H2364" t="str">
        <f>UPPER(TEXT(Tabela_DB[[#This Row],[DATA]],"aaaa"))</f>
        <v>2021</v>
      </c>
    </row>
    <row r="2365" spans="1:8" x14ac:dyDescent="0.25">
      <c r="A2365" s="2">
        <v>44345</v>
      </c>
      <c r="B2365" t="s">
        <v>34</v>
      </c>
      <c r="C2365">
        <v>-1498</v>
      </c>
      <c r="D2365" t="str">
        <f>VLOOKUP(B2365,Tabela_Auxiliar[],2,0)</f>
        <v>2. Deduções da Receita</v>
      </c>
      <c r="E2365" t="str">
        <f>VLOOKUP(B2365,Tabela_Auxiliar[],4,0)</f>
        <v>Imposto</v>
      </c>
      <c r="F2365" t="str">
        <f>VLOOKUP(B2365,Tabela_Auxiliar[],3,0)</f>
        <v>Saída</v>
      </c>
      <c r="G2365" t="str">
        <f>UPPER(TEXT(Tabela_DB[[#This Row],[DATA]],"mmm"))</f>
        <v>MAI</v>
      </c>
      <c r="H2365" t="str">
        <f>UPPER(TEXT(Tabela_DB[[#This Row],[DATA]],"aaaa"))</f>
        <v>2021</v>
      </c>
    </row>
    <row r="2366" spans="1:8" x14ac:dyDescent="0.25">
      <c r="A2366" s="2">
        <v>44345</v>
      </c>
      <c r="B2366" t="s">
        <v>111</v>
      </c>
      <c r="C2366">
        <v>-1852</v>
      </c>
      <c r="D2366" t="str">
        <f>VLOOKUP(B2366,Tabela_Auxiliar[],2,0)</f>
        <v>2. Deduções da Receita</v>
      </c>
      <c r="E2366" t="str">
        <f>VLOOKUP(B2366,Tabela_Auxiliar[],4,0)</f>
        <v>Imposto</v>
      </c>
      <c r="F2366" t="str">
        <f>VLOOKUP(B2366,Tabela_Auxiliar[],3,0)</f>
        <v>Saída</v>
      </c>
      <c r="G2366" t="str">
        <f>UPPER(TEXT(Tabela_DB[[#This Row],[DATA]],"mmm"))</f>
        <v>MAI</v>
      </c>
      <c r="H2366" t="str">
        <f>UPPER(TEXT(Tabela_DB[[#This Row],[DATA]],"aaaa"))</f>
        <v>2021</v>
      </c>
    </row>
    <row r="2367" spans="1:8" x14ac:dyDescent="0.25">
      <c r="A2367" s="2">
        <v>44345</v>
      </c>
      <c r="B2367" t="s">
        <v>34</v>
      </c>
      <c r="C2367">
        <v>-2200</v>
      </c>
      <c r="D2367" t="str">
        <f>VLOOKUP(B2367,Tabela_Auxiliar[],2,0)</f>
        <v>2. Deduções da Receita</v>
      </c>
      <c r="E2367" t="str">
        <f>VLOOKUP(B2367,Tabela_Auxiliar[],4,0)</f>
        <v>Imposto</v>
      </c>
      <c r="F2367" t="str">
        <f>VLOOKUP(B2367,Tabela_Auxiliar[],3,0)</f>
        <v>Saída</v>
      </c>
      <c r="G2367" t="str">
        <f>UPPER(TEXT(Tabela_DB[[#This Row],[DATA]],"mmm"))</f>
        <v>MAI</v>
      </c>
      <c r="H2367" t="str">
        <f>UPPER(TEXT(Tabela_DB[[#This Row],[DATA]],"aaaa"))</f>
        <v>2021</v>
      </c>
    </row>
    <row r="2368" spans="1:8" x14ac:dyDescent="0.25">
      <c r="A2368" s="2">
        <v>44345</v>
      </c>
      <c r="B2368" t="s">
        <v>34</v>
      </c>
      <c r="C2368">
        <v>-1837</v>
      </c>
      <c r="D2368" t="str">
        <f>VLOOKUP(B2368,Tabela_Auxiliar[],2,0)</f>
        <v>2. Deduções da Receita</v>
      </c>
      <c r="E2368" t="str">
        <f>VLOOKUP(B2368,Tabela_Auxiliar[],4,0)</f>
        <v>Imposto</v>
      </c>
      <c r="F2368" t="str">
        <f>VLOOKUP(B2368,Tabela_Auxiliar[],3,0)</f>
        <v>Saída</v>
      </c>
      <c r="G2368" t="str">
        <f>UPPER(TEXT(Tabela_DB[[#This Row],[DATA]],"mmm"))</f>
        <v>MAI</v>
      </c>
      <c r="H2368" t="str">
        <f>UPPER(TEXT(Tabela_DB[[#This Row],[DATA]],"aaaa"))</f>
        <v>2021</v>
      </c>
    </row>
    <row r="2369" spans="1:8" x14ac:dyDescent="0.25">
      <c r="A2369" s="2">
        <v>44345</v>
      </c>
      <c r="B2369" t="s">
        <v>62</v>
      </c>
      <c r="C2369">
        <v>-1188</v>
      </c>
      <c r="D2369" t="str">
        <f>VLOOKUP(B2369,Tabela_Auxiliar[],2,0)</f>
        <v>4. Despesas Operacionais</v>
      </c>
      <c r="E2369" t="str">
        <f>VLOOKUP(B2369,Tabela_Auxiliar[],4,0)</f>
        <v>Despesa Gerais</v>
      </c>
      <c r="F2369" t="str">
        <f>VLOOKUP(B2369,Tabela_Auxiliar[],3,0)</f>
        <v>Saída</v>
      </c>
      <c r="G2369" t="str">
        <f>UPPER(TEXT(Tabela_DB[[#This Row],[DATA]],"mmm"))</f>
        <v>MAI</v>
      </c>
      <c r="H2369" t="str">
        <f>UPPER(TEXT(Tabela_DB[[#This Row],[DATA]],"aaaa"))</f>
        <v>2021</v>
      </c>
    </row>
    <row r="2370" spans="1:8" x14ac:dyDescent="0.25">
      <c r="A2370" s="2">
        <v>44345</v>
      </c>
      <c r="B2370" t="s">
        <v>38</v>
      </c>
      <c r="C2370">
        <v>-1555</v>
      </c>
      <c r="D2370" t="str">
        <f>VLOOKUP(B2370,Tabela_Auxiliar[],2,0)</f>
        <v>2. Deduções da Receita</v>
      </c>
      <c r="E2370" t="str">
        <f>VLOOKUP(B2370,Tabela_Auxiliar[],4,0)</f>
        <v>Deduções</v>
      </c>
      <c r="F2370" t="str">
        <f>VLOOKUP(B2370,Tabela_Auxiliar[],3,0)</f>
        <v>Saída</v>
      </c>
      <c r="G2370" t="str">
        <f>UPPER(TEXT(Tabela_DB[[#This Row],[DATA]],"mmm"))</f>
        <v>MAI</v>
      </c>
      <c r="H2370" t="str">
        <f>UPPER(TEXT(Tabela_DB[[#This Row],[DATA]],"aaaa"))</f>
        <v>2021</v>
      </c>
    </row>
    <row r="2371" spans="1:8" x14ac:dyDescent="0.25">
      <c r="A2371" s="2">
        <v>44345</v>
      </c>
      <c r="B2371" t="s">
        <v>37</v>
      </c>
      <c r="C2371">
        <v>-3310</v>
      </c>
      <c r="D2371" t="str">
        <f>VLOOKUP(B2371,Tabela_Auxiliar[],2,0)</f>
        <v>3. Custos do Produto/Mercadoria/Serviço</v>
      </c>
      <c r="E2371" t="str">
        <f>VLOOKUP(B2371,Tabela_Auxiliar[],4,0)</f>
        <v>Despesas c/ Produto</v>
      </c>
      <c r="F2371" t="str">
        <f>VLOOKUP(B2371,Tabela_Auxiliar[],3,0)</f>
        <v>Saída</v>
      </c>
      <c r="G2371" t="str">
        <f>UPPER(TEXT(Tabela_DB[[#This Row],[DATA]],"mmm"))</f>
        <v>MAI</v>
      </c>
      <c r="H2371" t="str">
        <f>UPPER(TEXT(Tabela_DB[[#This Row],[DATA]],"aaaa"))</f>
        <v>2021</v>
      </c>
    </row>
    <row r="2372" spans="1:8" x14ac:dyDescent="0.25">
      <c r="A2372" s="2">
        <v>44345</v>
      </c>
      <c r="B2372" t="s">
        <v>79</v>
      </c>
      <c r="C2372">
        <v>-1495</v>
      </c>
      <c r="D2372" t="str">
        <f>VLOOKUP(B2372,Tabela_Auxiliar[],2,0)</f>
        <v>4. Despesas Operacionais</v>
      </c>
      <c r="E2372" t="str">
        <f>VLOOKUP(B2372,Tabela_Auxiliar[],4,0)</f>
        <v>Serviços Contratados</v>
      </c>
      <c r="F2372" t="str">
        <f>VLOOKUP(B2372,Tabela_Auxiliar[],3,0)</f>
        <v>Saída</v>
      </c>
      <c r="G2372" t="str">
        <f>UPPER(TEXT(Tabela_DB[[#This Row],[DATA]],"mmm"))</f>
        <v>MAI</v>
      </c>
      <c r="H2372" t="str">
        <f>UPPER(TEXT(Tabela_DB[[#This Row],[DATA]],"aaaa"))</f>
        <v>2021</v>
      </c>
    </row>
    <row r="2373" spans="1:8" x14ac:dyDescent="0.25">
      <c r="A2373" s="2">
        <v>44345</v>
      </c>
      <c r="B2373" t="s">
        <v>46</v>
      </c>
      <c r="C2373">
        <v>-1383</v>
      </c>
      <c r="D2373" t="str">
        <f>VLOOKUP(B2373,Tabela_Auxiliar[],2,0)</f>
        <v>4. Despesas Operacionais</v>
      </c>
      <c r="E2373" t="str">
        <f>VLOOKUP(B2373,Tabela_Auxiliar[],4,0)</f>
        <v>Despesa com Pessoal</v>
      </c>
      <c r="F2373" t="str">
        <f>VLOOKUP(B2373,Tabela_Auxiliar[],3,0)</f>
        <v>Saída</v>
      </c>
      <c r="G2373" t="str">
        <f>UPPER(TEXT(Tabela_DB[[#This Row],[DATA]],"mmm"))</f>
        <v>MAI</v>
      </c>
      <c r="H2373" t="str">
        <f>UPPER(TEXT(Tabela_DB[[#This Row],[DATA]],"aaaa"))</f>
        <v>2021</v>
      </c>
    </row>
    <row r="2374" spans="1:8" x14ac:dyDescent="0.25">
      <c r="A2374" s="2">
        <v>44346</v>
      </c>
      <c r="B2374" t="s">
        <v>34</v>
      </c>
      <c r="C2374">
        <v>-1761</v>
      </c>
      <c r="D2374" t="str">
        <f>VLOOKUP(B2374,Tabela_Auxiliar[],2,0)</f>
        <v>2. Deduções da Receita</v>
      </c>
      <c r="E2374" t="str">
        <f>VLOOKUP(B2374,Tabela_Auxiliar[],4,0)</f>
        <v>Imposto</v>
      </c>
      <c r="F2374" t="str">
        <f>VLOOKUP(B2374,Tabela_Auxiliar[],3,0)</f>
        <v>Saída</v>
      </c>
      <c r="G2374" t="str">
        <f>UPPER(TEXT(Tabela_DB[[#This Row],[DATA]],"mmm"))</f>
        <v>MAI</v>
      </c>
      <c r="H2374" t="str">
        <f>UPPER(TEXT(Tabela_DB[[#This Row],[DATA]],"aaaa"))</f>
        <v>2021</v>
      </c>
    </row>
    <row r="2375" spans="1:8" x14ac:dyDescent="0.25">
      <c r="A2375" s="2">
        <v>44346</v>
      </c>
      <c r="B2375" t="s">
        <v>37</v>
      </c>
      <c r="C2375">
        <v>-3284</v>
      </c>
      <c r="D2375" t="str">
        <f>VLOOKUP(B2375,Tabela_Auxiliar[],2,0)</f>
        <v>3. Custos do Produto/Mercadoria/Serviço</v>
      </c>
      <c r="E2375" t="str">
        <f>VLOOKUP(B2375,Tabela_Auxiliar[],4,0)</f>
        <v>Despesas c/ Produto</v>
      </c>
      <c r="F2375" t="str">
        <f>VLOOKUP(B2375,Tabela_Auxiliar[],3,0)</f>
        <v>Saída</v>
      </c>
      <c r="G2375" t="str">
        <f>UPPER(TEXT(Tabela_DB[[#This Row],[DATA]],"mmm"))</f>
        <v>MAI</v>
      </c>
      <c r="H2375" t="str">
        <f>UPPER(TEXT(Tabela_DB[[#This Row],[DATA]],"aaaa"))</f>
        <v>2021</v>
      </c>
    </row>
    <row r="2376" spans="1:8" x14ac:dyDescent="0.25">
      <c r="A2376" s="2">
        <v>44346</v>
      </c>
      <c r="B2376" t="s">
        <v>35</v>
      </c>
      <c r="C2376">
        <v>-1011</v>
      </c>
      <c r="D2376" t="str">
        <f>VLOOKUP(B2376,Tabela_Auxiliar[],2,0)</f>
        <v>2. Deduções da Receita</v>
      </c>
      <c r="E2376" t="str">
        <f>VLOOKUP(B2376,Tabela_Auxiliar[],4,0)</f>
        <v>Imposto</v>
      </c>
      <c r="F2376" t="str">
        <f>VLOOKUP(B2376,Tabela_Auxiliar[],3,0)</f>
        <v>Saída</v>
      </c>
      <c r="G2376" t="str">
        <f>UPPER(TEXT(Tabela_DB[[#This Row],[DATA]],"mmm"))</f>
        <v>MAI</v>
      </c>
      <c r="H2376" t="str">
        <f>UPPER(TEXT(Tabela_DB[[#This Row],[DATA]],"aaaa"))</f>
        <v>2021</v>
      </c>
    </row>
    <row r="2377" spans="1:8" x14ac:dyDescent="0.25">
      <c r="A2377" s="2">
        <v>44346</v>
      </c>
      <c r="B2377" t="s">
        <v>4</v>
      </c>
      <c r="C2377">
        <v>13633</v>
      </c>
      <c r="D2377" t="str">
        <f>VLOOKUP(B2377,Tabela_Auxiliar[],2,0)</f>
        <v>1. Receita Operacional Bruta</v>
      </c>
      <c r="E2377" t="str">
        <f>VLOOKUP(B2377,Tabela_Auxiliar[],4,0)</f>
        <v>Receita Bruta</v>
      </c>
      <c r="F2377" t="str">
        <f>VLOOKUP(B2377,Tabela_Auxiliar[],3,0)</f>
        <v>Entrada</v>
      </c>
      <c r="G2377" t="str">
        <f>UPPER(TEXT(Tabela_DB[[#This Row],[DATA]],"mmm"))</f>
        <v>MAI</v>
      </c>
      <c r="H2377" t="str">
        <f>UPPER(TEXT(Tabela_DB[[#This Row],[DATA]],"aaaa"))</f>
        <v>2021</v>
      </c>
    </row>
    <row r="2378" spans="1:8" x14ac:dyDescent="0.25">
      <c r="A2378" s="2">
        <v>44346</v>
      </c>
      <c r="B2378" t="s">
        <v>37</v>
      </c>
      <c r="C2378">
        <v>-2703</v>
      </c>
      <c r="D2378" t="str">
        <f>VLOOKUP(B2378,Tabela_Auxiliar[],2,0)</f>
        <v>3. Custos do Produto/Mercadoria/Serviço</v>
      </c>
      <c r="E2378" t="str">
        <f>VLOOKUP(B2378,Tabela_Auxiliar[],4,0)</f>
        <v>Despesas c/ Produto</v>
      </c>
      <c r="F2378" t="str">
        <f>VLOOKUP(B2378,Tabela_Auxiliar[],3,0)</f>
        <v>Saída</v>
      </c>
      <c r="G2378" t="str">
        <f>UPPER(TEXT(Tabela_DB[[#This Row],[DATA]],"mmm"))</f>
        <v>MAI</v>
      </c>
      <c r="H2378" t="str">
        <f>UPPER(TEXT(Tabela_DB[[#This Row],[DATA]],"aaaa"))</f>
        <v>2021</v>
      </c>
    </row>
    <row r="2379" spans="1:8" x14ac:dyDescent="0.25">
      <c r="A2379" s="2">
        <v>44346</v>
      </c>
      <c r="B2379" t="s">
        <v>4</v>
      </c>
      <c r="C2379">
        <v>11528</v>
      </c>
      <c r="D2379" t="str">
        <f>VLOOKUP(B2379,Tabela_Auxiliar[],2,0)</f>
        <v>1. Receita Operacional Bruta</v>
      </c>
      <c r="E2379" t="str">
        <f>VLOOKUP(B2379,Tabela_Auxiliar[],4,0)</f>
        <v>Receita Bruta</v>
      </c>
      <c r="F2379" t="str">
        <f>VLOOKUP(B2379,Tabela_Auxiliar[],3,0)</f>
        <v>Entrada</v>
      </c>
      <c r="G2379" t="str">
        <f>UPPER(TEXT(Tabela_DB[[#This Row],[DATA]],"mmm"))</f>
        <v>MAI</v>
      </c>
      <c r="H2379" t="str">
        <f>UPPER(TEXT(Tabela_DB[[#This Row],[DATA]],"aaaa"))</f>
        <v>2021</v>
      </c>
    </row>
    <row r="2380" spans="1:8" x14ac:dyDescent="0.25">
      <c r="A2380" s="2">
        <v>44346</v>
      </c>
      <c r="B2380" t="s">
        <v>63</v>
      </c>
      <c r="C2380">
        <v>-1752</v>
      </c>
      <c r="D2380" t="str">
        <f>VLOOKUP(B2380,Tabela_Auxiliar[],2,0)</f>
        <v>4. Despesas Operacionais</v>
      </c>
      <c r="E2380" t="str">
        <f>VLOOKUP(B2380,Tabela_Auxiliar[],4,0)</f>
        <v>Despesa Gerais</v>
      </c>
      <c r="F2380" t="str">
        <f>VLOOKUP(B2380,Tabela_Auxiliar[],3,0)</f>
        <v>Saída</v>
      </c>
      <c r="G2380" t="str">
        <f>UPPER(TEXT(Tabela_DB[[#This Row],[DATA]],"mmm"))</f>
        <v>MAI</v>
      </c>
      <c r="H2380" t="str">
        <f>UPPER(TEXT(Tabela_DB[[#This Row],[DATA]],"aaaa"))</f>
        <v>2021</v>
      </c>
    </row>
    <row r="2381" spans="1:8" x14ac:dyDescent="0.25">
      <c r="A2381" s="2">
        <v>44346</v>
      </c>
      <c r="B2381" t="s">
        <v>100</v>
      </c>
      <c r="C2381">
        <v>1766</v>
      </c>
      <c r="D2381" t="str">
        <f>VLOOKUP(B2381,Tabela_Auxiliar[],2,0)</f>
        <v>5. Resultado Financeiro</v>
      </c>
      <c r="E2381" t="str">
        <f>VLOOKUP(B2381,Tabela_Auxiliar[],4,0)</f>
        <v>Receita Financeira</v>
      </c>
      <c r="F2381" t="str">
        <f>VLOOKUP(B2381,Tabela_Auxiliar[],3,0)</f>
        <v>Saída</v>
      </c>
      <c r="G2381" t="str">
        <f>UPPER(TEXT(Tabela_DB[[#This Row],[DATA]],"mmm"))</f>
        <v>MAI</v>
      </c>
      <c r="H2381" t="str">
        <f>UPPER(TEXT(Tabela_DB[[#This Row],[DATA]],"aaaa"))</f>
        <v>2021</v>
      </c>
    </row>
    <row r="2382" spans="1:8" x14ac:dyDescent="0.25">
      <c r="A2382" s="2">
        <v>44346</v>
      </c>
      <c r="B2382" t="s">
        <v>3</v>
      </c>
      <c r="C2382">
        <v>11515</v>
      </c>
      <c r="D2382" t="str">
        <f>VLOOKUP(B2382,Tabela_Auxiliar[],2,0)</f>
        <v>1. Receita Operacional Bruta</v>
      </c>
      <c r="E2382" t="str">
        <f>VLOOKUP(B2382,Tabela_Auxiliar[],4,0)</f>
        <v>Receita Bruta</v>
      </c>
      <c r="F2382" t="str">
        <f>VLOOKUP(B2382,Tabela_Auxiliar[],3,0)</f>
        <v>Entrada</v>
      </c>
      <c r="G2382" t="str">
        <f>UPPER(TEXT(Tabela_DB[[#This Row],[DATA]],"mmm"))</f>
        <v>MAI</v>
      </c>
      <c r="H2382" t="str">
        <f>UPPER(TEXT(Tabela_DB[[#This Row],[DATA]],"aaaa"))</f>
        <v>2021</v>
      </c>
    </row>
    <row r="2383" spans="1:8" x14ac:dyDescent="0.25">
      <c r="A2383" s="2">
        <v>44346</v>
      </c>
      <c r="B2383" t="s">
        <v>4</v>
      </c>
      <c r="C2383">
        <v>12386</v>
      </c>
      <c r="D2383" t="str">
        <f>VLOOKUP(B2383,Tabela_Auxiliar[],2,0)</f>
        <v>1. Receita Operacional Bruta</v>
      </c>
      <c r="E2383" t="str">
        <f>VLOOKUP(B2383,Tabela_Auxiliar[],4,0)</f>
        <v>Receita Bruta</v>
      </c>
      <c r="F2383" t="str">
        <f>VLOOKUP(B2383,Tabela_Auxiliar[],3,0)</f>
        <v>Entrada</v>
      </c>
      <c r="G2383" t="str">
        <f>UPPER(TEXT(Tabela_DB[[#This Row],[DATA]],"mmm"))</f>
        <v>MAI</v>
      </c>
      <c r="H2383" t="str">
        <f>UPPER(TEXT(Tabela_DB[[#This Row],[DATA]],"aaaa"))</f>
        <v>2021</v>
      </c>
    </row>
    <row r="2384" spans="1:8" x14ac:dyDescent="0.25">
      <c r="A2384" s="2">
        <v>44346</v>
      </c>
      <c r="B2384" t="s">
        <v>51</v>
      </c>
      <c r="C2384">
        <v>-1836</v>
      </c>
      <c r="D2384" t="str">
        <f>VLOOKUP(B2384,Tabela_Auxiliar[],2,0)</f>
        <v>4. Despesas Operacionais</v>
      </c>
      <c r="E2384" t="str">
        <f>VLOOKUP(B2384,Tabela_Auxiliar[],4,0)</f>
        <v>Despesa com Pessoal</v>
      </c>
      <c r="F2384" t="str">
        <f>VLOOKUP(B2384,Tabela_Auxiliar[],3,0)</f>
        <v>Saída</v>
      </c>
      <c r="G2384" t="str">
        <f>UPPER(TEXT(Tabela_DB[[#This Row],[DATA]],"mmm"))</f>
        <v>MAI</v>
      </c>
      <c r="H2384" t="str">
        <f>UPPER(TEXT(Tabela_DB[[#This Row],[DATA]],"aaaa"))</f>
        <v>2021</v>
      </c>
    </row>
    <row r="2385" spans="1:8" x14ac:dyDescent="0.25">
      <c r="A2385" s="2">
        <v>44346</v>
      </c>
      <c r="B2385" t="s">
        <v>3</v>
      </c>
      <c r="C2385">
        <v>10083</v>
      </c>
      <c r="D2385" t="str">
        <f>VLOOKUP(B2385,Tabela_Auxiliar[],2,0)</f>
        <v>1. Receita Operacional Bruta</v>
      </c>
      <c r="E2385" t="str">
        <f>VLOOKUP(B2385,Tabela_Auxiliar[],4,0)</f>
        <v>Receita Bruta</v>
      </c>
      <c r="F2385" t="str">
        <f>VLOOKUP(B2385,Tabela_Auxiliar[],3,0)</f>
        <v>Entrada</v>
      </c>
      <c r="G2385" t="str">
        <f>UPPER(TEXT(Tabela_DB[[#This Row],[DATA]],"mmm"))</f>
        <v>MAI</v>
      </c>
      <c r="H2385" t="str">
        <f>UPPER(TEXT(Tabela_DB[[#This Row],[DATA]],"aaaa"))</f>
        <v>2021</v>
      </c>
    </row>
    <row r="2386" spans="1:8" x14ac:dyDescent="0.25">
      <c r="A2386" s="2">
        <v>44346</v>
      </c>
      <c r="B2386" t="s">
        <v>35</v>
      </c>
      <c r="C2386">
        <v>-1223</v>
      </c>
      <c r="D2386" t="str">
        <f>VLOOKUP(B2386,Tabela_Auxiliar[],2,0)</f>
        <v>2. Deduções da Receita</v>
      </c>
      <c r="E2386" t="str">
        <f>VLOOKUP(B2386,Tabela_Auxiliar[],4,0)</f>
        <v>Imposto</v>
      </c>
      <c r="F2386" t="str">
        <f>VLOOKUP(B2386,Tabela_Auxiliar[],3,0)</f>
        <v>Saída</v>
      </c>
      <c r="G2386" t="str">
        <f>UPPER(TEXT(Tabela_DB[[#This Row],[DATA]],"mmm"))</f>
        <v>MAI</v>
      </c>
      <c r="H2386" t="str">
        <f>UPPER(TEXT(Tabela_DB[[#This Row],[DATA]],"aaaa"))</f>
        <v>2021</v>
      </c>
    </row>
    <row r="2387" spans="1:8" x14ac:dyDescent="0.25">
      <c r="A2387" s="2">
        <v>44346</v>
      </c>
      <c r="B2387" t="s">
        <v>37</v>
      </c>
      <c r="C2387">
        <v>-4690</v>
      </c>
      <c r="D2387" t="str">
        <f>VLOOKUP(B2387,Tabela_Auxiliar[],2,0)</f>
        <v>3. Custos do Produto/Mercadoria/Serviço</v>
      </c>
      <c r="E2387" t="str">
        <f>VLOOKUP(B2387,Tabela_Auxiliar[],4,0)</f>
        <v>Despesas c/ Produto</v>
      </c>
      <c r="F2387" t="str">
        <f>VLOOKUP(B2387,Tabela_Auxiliar[],3,0)</f>
        <v>Saída</v>
      </c>
      <c r="G2387" t="str">
        <f>UPPER(TEXT(Tabela_DB[[#This Row],[DATA]],"mmm"))</f>
        <v>MAI</v>
      </c>
      <c r="H2387" t="str">
        <f>UPPER(TEXT(Tabela_DB[[#This Row],[DATA]],"aaaa"))</f>
        <v>2021</v>
      </c>
    </row>
    <row r="2388" spans="1:8" x14ac:dyDescent="0.25">
      <c r="A2388" s="2">
        <v>44346</v>
      </c>
      <c r="B2388" t="s">
        <v>34</v>
      </c>
      <c r="C2388">
        <v>-1490</v>
      </c>
      <c r="D2388" t="str">
        <f>VLOOKUP(B2388,Tabela_Auxiliar[],2,0)</f>
        <v>2. Deduções da Receita</v>
      </c>
      <c r="E2388" t="str">
        <f>VLOOKUP(B2388,Tabela_Auxiliar[],4,0)</f>
        <v>Imposto</v>
      </c>
      <c r="F2388" t="str">
        <f>VLOOKUP(B2388,Tabela_Auxiliar[],3,0)</f>
        <v>Saída</v>
      </c>
      <c r="G2388" t="str">
        <f>UPPER(TEXT(Tabela_DB[[#This Row],[DATA]],"mmm"))</f>
        <v>MAI</v>
      </c>
      <c r="H2388" t="str">
        <f>UPPER(TEXT(Tabela_DB[[#This Row],[DATA]],"aaaa"))</f>
        <v>2021</v>
      </c>
    </row>
    <row r="2389" spans="1:8" x14ac:dyDescent="0.25">
      <c r="A2389" s="2">
        <v>44346</v>
      </c>
      <c r="B2389" t="s">
        <v>68</v>
      </c>
      <c r="C2389">
        <v>-1318</v>
      </c>
      <c r="D2389" t="str">
        <f>VLOOKUP(B2389,Tabela_Auxiliar[],2,0)</f>
        <v>4. Despesas Operacionais</v>
      </c>
      <c r="E2389" t="str">
        <f>VLOOKUP(B2389,Tabela_Auxiliar[],4,0)</f>
        <v>Despesa com Ocupação</v>
      </c>
      <c r="F2389" t="str">
        <f>VLOOKUP(B2389,Tabela_Auxiliar[],3,0)</f>
        <v>Saída</v>
      </c>
      <c r="G2389" t="str">
        <f>UPPER(TEXT(Tabela_DB[[#This Row],[DATA]],"mmm"))</f>
        <v>MAI</v>
      </c>
      <c r="H2389" t="str">
        <f>UPPER(TEXT(Tabela_DB[[#This Row],[DATA]],"aaaa"))</f>
        <v>2021</v>
      </c>
    </row>
    <row r="2390" spans="1:8" x14ac:dyDescent="0.25">
      <c r="A2390" s="2">
        <v>44346</v>
      </c>
      <c r="B2390" t="s">
        <v>34</v>
      </c>
      <c r="C2390">
        <v>-1470</v>
      </c>
      <c r="D2390" t="str">
        <f>VLOOKUP(B2390,Tabela_Auxiliar[],2,0)</f>
        <v>2. Deduções da Receita</v>
      </c>
      <c r="E2390" t="str">
        <f>VLOOKUP(B2390,Tabela_Auxiliar[],4,0)</f>
        <v>Imposto</v>
      </c>
      <c r="F2390" t="str">
        <f>VLOOKUP(B2390,Tabela_Auxiliar[],3,0)</f>
        <v>Saída</v>
      </c>
      <c r="G2390" t="str">
        <f>UPPER(TEXT(Tabela_DB[[#This Row],[DATA]],"mmm"))</f>
        <v>MAI</v>
      </c>
      <c r="H2390" t="str">
        <f>UPPER(TEXT(Tabela_DB[[#This Row],[DATA]],"aaaa"))</f>
        <v>2021</v>
      </c>
    </row>
    <row r="2391" spans="1:8" x14ac:dyDescent="0.25">
      <c r="A2391" s="2">
        <v>44346</v>
      </c>
      <c r="B2391" t="s">
        <v>8</v>
      </c>
      <c r="C2391">
        <v>-1388</v>
      </c>
      <c r="D2391" t="str">
        <f>VLOOKUP(B2391,Tabela_Auxiliar[],2,0)</f>
        <v>4. Despesas Operacionais</v>
      </c>
      <c r="E2391" t="str">
        <f>VLOOKUP(B2391,Tabela_Auxiliar[],4,0)</f>
        <v>Despesa com Pessoal</v>
      </c>
      <c r="F2391" t="str">
        <f>VLOOKUP(B2391,Tabela_Auxiliar[],3,0)</f>
        <v>Saída</v>
      </c>
      <c r="G2391" t="str">
        <f>UPPER(TEXT(Tabela_DB[[#This Row],[DATA]],"mmm"))</f>
        <v>MAI</v>
      </c>
      <c r="H2391" t="str">
        <f>UPPER(TEXT(Tabela_DB[[#This Row],[DATA]],"aaaa"))</f>
        <v>2021</v>
      </c>
    </row>
    <row r="2392" spans="1:8" x14ac:dyDescent="0.25">
      <c r="A2392" s="2">
        <v>44346</v>
      </c>
      <c r="B2392" t="s">
        <v>3</v>
      </c>
      <c r="C2392">
        <v>11043</v>
      </c>
      <c r="D2392" t="str">
        <f>VLOOKUP(B2392,Tabela_Auxiliar[],2,0)</f>
        <v>1. Receita Operacional Bruta</v>
      </c>
      <c r="E2392" t="str">
        <f>VLOOKUP(B2392,Tabela_Auxiliar[],4,0)</f>
        <v>Receita Bruta</v>
      </c>
      <c r="F2392" t="str">
        <f>VLOOKUP(B2392,Tabela_Auxiliar[],3,0)</f>
        <v>Entrada</v>
      </c>
      <c r="G2392" t="str">
        <f>UPPER(TEXT(Tabela_DB[[#This Row],[DATA]],"mmm"))</f>
        <v>MAI</v>
      </c>
      <c r="H2392" t="str">
        <f>UPPER(TEXT(Tabela_DB[[#This Row],[DATA]],"aaaa"))</f>
        <v>2021</v>
      </c>
    </row>
    <row r="2393" spans="1:8" x14ac:dyDescent="0.25">
      <c r="A2393" s="2">
        <v>44346</v>
      </c>
      <c r="B2393" t="s">
        <v>4</v>
      </c>
      <c r="C2393">
        <v>11456</v>
      </c>
      <c r="D2393" t="str">
        <f>VLOOKUP(B2393,Tabela_Auxiliar[],2,0)</f>
        <v>1. Receita Operacional Bruta</v>
      </c>
      <c r="E2393" t="str">
        <f>VLOOKUP(B2393,Tabela_Auxiliar[],4,0)</f>
        <v>Receita Bruta</v>
      </c>
      <c r="F2393" t="str">
        <f>VLOOKUP(B2393,Tabela_Auxiliar[],3,0)</f>
        <v>Entrada</v>
      </c>
      <c r="G2393" t="str">
        <f>UPPER(TEXT(Tabela_DB[[#This Row],[DATA]],"mmm"))</f>
        <v>MAI</v>
      </c>
      <c r="H2393" t="str">
        <f>UPPER(TEXT(Tabela_DB[[#This Row],[DATA]],"aaaa"))</f>
        <v>2021</v>
      </c>
    </row>
    <row r="2394" spans="1:8" x14ac:dyDescent="0.25">
      <c r="A2394" s="2">
        <v>44347</v>
      </c>
      <c r="B2394" t="s">
        <v>38</v>
      </c>
      <c r="C2394">
        <v>-2212</v>
      </c>
      <c r="D2394" t="str">
        <f>VLOOKUP(B2394,Tabela_Auxiliar[],2,0)</f>
        <v>2. Deduções da Receita</v>
      </c>
      <c r="E2394" t="str">
        <f>VLOOKUP(B2394,Tabela_Auxiliar[],4,0)</f>
        <v>Deduções</v>
      </c>
      <c r="F2394" t="str">
        <f>VLOOKUP(B2394,Tabela_Auxiliar[],3,0)</f>
        <v>Saída</v>
      </c>
      <c r="G2394" t="str">
        <f>UPPER(TEXT(Tabela_DB[[#This Row],[DATA]],"mmm"))</f>
        <v>MAI</v>
      </c>
      <c r="H2394" t="str">
        <f>UPPER(TEXT(Tabela_DB[[#This Row],[DATA]],"aaaa"))</f>
        <v>2021</v>
      </c>
    </row>
    <row r="2395" spans="1:8" x14ac:dyDescent="0.25">
      <c r="A2395" s="2">
        <v>44347</v>
      </c>
      <c r="B2395" t="s">
        <v>80</v>
      </c>
      <c r="C2395">
        <v>-1632</v>
      </c>
      <c r="D2395" t="str">
        <f>VLOOKUP(B2395,Tabela_Auxiliar[],2,0)</f>
        <v>4. Despesas Operacionais</v>
      </c>
      <c r="E2395" t="str">
        <f>VLOOKUP(B2395,Tabela_Auxiliar[],4,0)</f>
        <v>Serviços Contratados</v>
      </c>
      <c r="F2395" t="str">
        <f>VLOOKUP(B2395,Tabela_Auxiliar[],3,0)</f>
        <v>Saída</v>
      </c>
      <c r="G2395" t="str">
        <f>UPPER(TEXT(Tabela_DB[[#This Row],[DATA]],"mmm"))</f>
        <v>MAI</v>
      </c>
      <c r="H2395" t="str">
        <f>UPPER(TEXT(Tabela_DB[[#This Row],[DATA]],"aaaa"))</f>
        <v>2021</v>
      </c>
    </row>
    <row r="2396" spans="1:8" x14ac:dyDescent="0.25">
      <c r="A2396" s="2">
        <v>44347</v>
      </c>
      <c r="B2396" t="s">
        <v>3</v>
      </c>
      <c r="C2396">
        <v>11648</v>
      </c>
      <c r="D2396" t="str">
        <f>VLOOKUP(B2396,Tabela_Auxiliar[],2,0)</f>
        <v>1. Receita Operacional Bruta</v>
      </c>
      <c r="E2396" t="str">
        <f>VLOOKUP(B2396,Tabela_Auxiliar[],4,0)</f>
        <v>Receita Bruta</v>
      </c>
      <c r="F2396" t="str">
        <f>VLOOKUP(B2396,Tabela_Auxiliar[],3,0)</f>
        <v>Entrada</v>
      </c>
      <c r="G2396" t="str">
        <f>UPPER(TEXT(Tabela_DB[[#This Row],[DATA]],"mmm"))</f>
        <v>MAI</v>
      </c>
      <c r="H2396" t="str">
        <f>UPPER(TEXT(Tabela_DB[[#This Row],[DATA]],"aaaa"))</f>
        <v>2021</v>
      </c>
    </row>
    <row r="2397" spans="1:8" x14ac:dyDescent="0.25">
      <c r="A2397" s="2">
        <v>44347</v>
      </c>
      <c r="B2397" t="s">
        <v>35</v>
      </c>
      <c r="C2397">
        <v>-2407</v>
      </c>
      <c r="D2397" t="str">
        <f>VLOOKUP(B2397,Tabela_Auxiliar[],2,0)</f>
        <v>2. Deduções da Receita</v>
      </c>
      <c r="E2397" t="str">
        <f>VLOOKUP(B2397,Tabela_Auxiliar[],4,0)</f>
        <v>Imposto</v>
      </c>
      <c r="F2397" t="str">
        <f>VLOOKUP(B2397,Tabela_Auxiliar[],3,0)</f>
        <v>Saída</v>
      </c>
      <c r="G2397" t="str">
        <f>UPPER(TEXT(Tabela_DB[[#This Row],[DATA]],"mmm"))</f>
        <v>MAI</v>
      </c>
      <c r="H2397" t="str">
        <f>UPPER(TEXT(Tabela_DB[[#This Row],[DATA]],"aaaa"))</f>
        <v>2021</v>
      </c>
    </row>
    <row r="2398" spans="1:8" x14ac:dyDescent="0.25">
      <c r="A2398" s="2">
        <v>44347</v>
      </c>
      <c r="B2398" t="s">
        <v>35</v>
      </c>
      <c r="C2398">
        <v>-1571</v>
      </c>
      <c r="D2398" t="str">
        <f>VLOOKUP(B2398,Tabela_Auxiliar[],2,0)</f>
        <v>2. Deduções da Receita</v>
      </c>
      <c r="E2398" t="str">
        <f>VLOOKUP(B2398,Tabela_Auxiliar[],4,0)</f>
        <v>Imposto</v>
      </c>
      <c r="F2398" t="str">
        <f>VLOOKUP(B2398,Tabela_Auxiliar[],3,0)</f>
        <v>Saída</v>
      </c>
      <c r="G2398" t="str">
        <f>UPPER(TEXT(Tabela_DB[[#This Row],[DATA]],"mmm"))</f>
        <v>MAI</v>
      </c>
      <c r="H2398" t="str">
        <f>UPPER(TEXT(Tabela_DB[[#This Row],[DATA]],"aaaa"))</f>
        <v>2021</v>
      </c>
    </row>
    <row r="2399" spans="1:8" x14ac:dyDescent="0.25">
      <c r="A2399" s="2">
        <v>44347</v>
      </c>
      <c r="B2399" t="s">
        <v>89</v>
      </c>
      <c r="C2399">
        <v>-1215</v>
      </c>
      <c r="D2399" t="str">
        <f>VLOOKUP(B2399,Tabela_Auxiliar[],2,0)</f>
        <v>4. Despesas Operacionais</v>
      </c>
      <c r="E2399" t="str">
        <f>VLOOKUP(B2399,Tabela_Auxiliar[],4,0)</f>
        <v>Despesa Tributária</v>
      </c>
      <c r="F2399" t="str">
        <f>VLOOKUP(B2399,Tabela_Auxiliar[],3,0)</f>
        <v>Saída</v>
      </c>
      <c r="G2399" t="str">
        <f>UPPER(TEXT(Tabela_DB[[#This Row],[DATA]],"mmm"))</f>
        <v>MAI</v>
      </c>
      <c r="H2399" t="str">
        <f>UPPER(TEXT(Tabela_DB[[#This Row],[DATA]],"aaaa"))</f>
        <v>2021</v>
      </c>
    </row>
    <row r="2400" spans="1:8" x14ac:dyDescent="0.25">
      <c r="A2400" s="2">
        <v>44347</v>
      </c>
      <c r="B2400" t="s">
        <v>37</v>
      </c>
      <c r="C2400">
        <v>-2864</v>
      </c>
      <c r="D2400" t="str">
        <f>VLOOKUP(B2400,Tabela_Auxiliar[],2,0)</f>
        <v>3. Custos do Produto/Mercadoria/Serviço</v>
      </c>
      <c r="E2400" t="str">
        <f>VLOOKUP(B2400,Tabela_Auxiliar[],4,0)</f>
        <v>Despesas c/ Produto</v>
      </c>
      <c r="F2400" t="str">
        <f>VLOOKUP(B2400,Tabela_Auxiliar[],3,0)</f>
        <v>Saída</v>
      </c>
      <c r="G2400" t="str">
        <f>UPPER(TEXT(Tabela_DB[[#This Row],[DATA]],"mmm"))</f>
        <v>MAI</v>
      </c>
      <c r="H2400" t="str">
        <f>UPPER(TEXT(Tabela_DB[[#This Row],[DATA]],"aaaa"))</f>
        <v>2021</v>
      </c>
    </row>
    <row r="2401" spans="1:8" x14ac:dyDescent="0.25">
      <c r="A2401" s="2">
        <v>44347</v>
      </c>
      <c r="B2401" t="s">
        <v>111</v>
      </c>
      <c r="C2401">
        <v>-2183</v>
      </c>
      <c r="D2401" t="str">
        <f>VLOOKUP(B2401,Tabela_Auxiliar[],2,0)</f>
        <v>2. Deduções da Receita</v>
      </c>
      <c r="E2401" t="str">
        <f>VLOOKUP(B2401,Tabela_Auxiliar[],4,0)</f>
        <v>Imposto</v>
      </c>
      <c r="F2401" t="str">
        <f>VLOOKUP(B2401,Tabela_Auxiliar[],3,0)</f>
        <v>Saída</v>
      </c>
      <c r="G2401" t="str">
        <f>UPPER(TEXT(Tabela_DB[[#This Row],[DATA]],"mmm"))</f>
        <v>MAI</v>
      </c>
      <c r="H2401" t="str">
        <f>UPPER(TEXT(Tabela_DB[[#This Row],[DATA]],"aaaa"))</f>
        <v>2021</v>
      </c>
    </row>
    <row r="2402" spans="1:8" x14ac:dyDescent="0.25">
      <c r="A2402" s="2">
        <v>44347</v>
      </c>
      <c r="B2402" t="s">
        <v>34</v>
      </c>
      <c r="C2402">
        <v>-2135</v>
      </c>
      <c r="D2402" t="str">
        <f>VLOOKUP(B2402,Tabela_Auxiliar[],2,0)</f>
        <v>2. Deduções da Receita</v>
      </c>
      <c r="E2402" t="str">
        <f>VLOOKUP(B2402,Tabela_Auxiliar[],4,0)</f>
        <v>Imposto</v>
      </c>
      <c r="F2402" t="str">
        <f>VLOOKUP(B2402,Tabela_Auxiliar[],3,0)</f>
        <v>Saída</v>
      </c>
      <c r="G2402" t="str">
        <f>UPPER(TEXT(Tabela_DB[[#This Row],[DATA]],"mmm"))</f>
        <v>MAI</v>
      </c>
      <c r="H2402" t="str">
        <f>UPPER(TEXT(Tabela_DB[[#This Row],[DATA]],"aaaa"))</f>
        <v>2021</v>
      </c>
    </row>
    <row r="2403" spans="1:8" x14ac:dyDescent="0.25">
      <c r="A2403" s="2">
        <v>44347</v>
      </c>
      <c r="B2403" t="s">
        <v>34</v>
      </c>
      <c r="C2403">
        <v>-2244</v>
      </c>
      <c r="D2403" t="str">
        <f>VLOOKUP(B2403,Tabela_Auxiliar[],2,0)</f>
        <v>2. Deduções da Receita</v>
      </c>
      <c r="E2403" t="str">
        <f>VLOOKUP(B2403,Tabela_Auxiliar[],4,0)</f>
        <v>Imposto</v>
      </c>
      <c r="F2403" t="str">
        <f>VLOOKUP(B2403,Tabela_Auxiliar[],3,0)</f>
        <v>Saída</v>
      </c>
      <c r="G2403" t="str">
        <f>UPPER(TEXT(Tabela_DB[[#This Row],[DATA]],"mmm"))</f>
        <v>MAI</v>
      </c>
      <c r="H2403" t="str">
        <f>UPPER(TEXT(Tabela_DB[[#This Row],[DATA]],"aaaa"))</f>
        <v>2021</v>
      </c>
    </row>
    <row r="2404" spans="1:8" x14ac:dyDescent="0.25">
      <c r="A2404" s="2">
        <v>44347</v>
      </c>
      <c r="B2404" t="s">
        <v>90</v>
      </c>
      <c r="C2404">
        <v>-1944</v>
      </c>
      <c r="D2404" t="str">
        <f>VLOOKUP(B2404,Tabela_Auxiliar[],2,0)</f>
        <v>4. Despesas Operacionais</v>
      </c>
      <c r="E2404" t="str">
        <f>VLOOKUP(B2404,Tabela_Auxiliar[],4,0)</f>
        <v>Despesa Tributária</v>
      </c>
      <c r="F2404" t="str">
        <f>VLOOKUP(B2404,Tabela_Auxiliar[],3,0)</f>
        <v>Saída</v>
      </c>
      <c r="G2404" t="str">
        <f>UPPER(TEXT(Tabela_DB[[#This Row],[DATA]],"mmm"))</f>
        <v>MAI</v>
      </c>
      <c r="H2404" t="str">
        <f>UPPER(TEXT(Tabela_DB[[#This Row],[DATA]],"aaaa"))</f>
        <v>2021</v>
      </c>
    </row>
    <row r="2405" spans="1:8" x14ac:dyDescent="0.25">
      <c r="A2405" s="2">
        <v>44347</v>
      </c>
      <c r="B2405" t="s">
        <v>38</v>
      </c>
      <c r="C2405">
        <v>-2235</v>
      </c>
      <c r="D2405" t="str">
        <f>VLOOKUP(B2405,Tabela_Auxiliar[],2,0)</f>
        <v>2. Deduções da Receita</v>
      </c>
      <c r="E2405" t="str">
        <f>VLOOKUP(B2405,Tabela_Auxiliar[],4,0)</f>
        <v>Deduções</v>
      </c>
      <c r="F2405" t="str">
        <f>VLOOKUP(B2405,Tabela_Auxiliar[],3,0)</f>
        <v>Saída</v>
      </c>
      <c r="G2405" t="str">
        <f>UPPER(TEXT(Tabela_DB[[#This Row],[DATA]],"mmm"))</f>
        <v>MAI</v>
      </c>
      <c r="H2405" t="str">
        <f>UPPER(TEXT(Tabela_DB[[#This Row],[DATA]],"aaaa"))</f>
        <v>2021</v>
      </c>
    </row>
    <row r="2406" spans="1:8" x14ac:dyDescent="0.25">
      <c r="A2406" s="2">
        <v>44347</v>
      </c>
      <c r="B2406" t="s">
        <v>4</v>
      </c>
      <c r="C2406">
        <v>12761</v>
      </c>
      <c r="D2406" t="str">
        <f>VLOOKUP(B2406,Tabela_Auxiliar[],2,0)</f>
        <v>1. Receita Operacional Bruta</v>
      </c>
      <c r="E2406" t="str">
        <f>VLOOKUP(B2406,Tabela_Auxiliar[],4,0)</f>
        <v>Receita Bruta</v>
      </c>
      <c r="F2406" t="str">
        <f>VLOOKUP(B2406,Tabela_Auxiliar[],3,0)</f>
        <v>Entrada</v>
      </c>
      <c r="G2406" t="str">
        <f>UPPER(TEXT(Tabela_DB[[#This Row],[DATA]],"mmm"))</f>
        <v>MAI</v>
      </c>
      <c r="H2406" t="str">
        <f>UPPER(TEXT(Tabela_DB[[#This Row],[DATA]],"aaaa"))</f>
        <v>2021</v>
      </c>
    </row>
    <row r="2407" spans="1:8" x14ac:dyDescent="0.25">
      <c r="A2407" s="2">
        <v>44347</v>
      </c>
      <c r="B2407" t="s">
        <v>37</v>
      </c>
      <c r="C2407">
        <v>-2693</v>
      </c>
      <c r="D2407" t="str">
        <f>VLOOKUP(B2407,Tabela_Auxiliar[],2,0)</f>
        <v>3. Custos do Produto/Mercadoria/Serviço</v>
      </c>
      <c r="E2407" t="str">
        <f>VLOOKUP(B2407,Tabela_Auxiliar[],4,0)</f>
        <v>Despesas c/ Produto</v>
      </c>
      <c r="F2407" t="str">
        <f>VLOOKUP(B2407,Tabela_Auxiliar[],3,0)</f>
        <v>Saída</v>
      </c>
      <c r="G2407" t="str">
        <f>UPPER(TEXT(Tabela_DB[[#This Row],[DATA]],"mmm"))</f>
        <v>MAI</v>
      </c>
      <c r="H2407" t="str">
        <f>UPPER(TEXT(Tabela_DB[[#This Row],[DATA]],"aaaa"))</f>
        <v>2021</v>
      </c>
    </row>
    <row r="2408" spans="1:8" x14ac:dyDescent="0.25">
      <c r="A2408" s="2">
        <v>44347</v>
      </c>
      <c r="B2408" t="s">
        <v>111</v>
      </c>
      <c r="C2408">
        <v>-1524</v>
      </c>
      <c r="D2408" t="str">
        <f>VLOOKUP(B2408,Tabela_Auxiliar[],2,0)</f>
        <v>2. Deduções da Receita</v>
      </c>
      <c r="E2408" t="str">
        <f>VLOOKUP(B2408,Tabela_Auxiliar[],4,0)</f>
        <v>Imposto</v>
      </c>
      <c r="F2408" t="str">
        <f>VLOOKUP(B2408,Tabela_Auxiliar[],3,0)</f>
        <v>Saída</v>
      </c>
      <c r="G2408" t="str">
        <f>UPPER(TEXT(Tabela_DB[[#This Row],[DATA]],"mmm"))</f>
        <v>MAI</v>
      </c>
      <c r="H2408" t="str">
        <f>UPPER(TEXT(Tabela_DB[[#This Row],[DATA]],"aaaa"))</f>
        <v>2021</v>
      </c>
    </row>
    <row r="2409" spans="1:8" x14ac:dyDescent="0.25">
      <c r="A2409" s="2">
        <v>44347</v>
      </c>
      <c r="B2409" t="s">
        <v>3</v>
      </c>
      <c r="C2409">
        <v>11672</v>
      </c>
      <c r="D2409" t="str">
        <f>VLOOKUP(B2409,Tabela_Auxiliar[],2,0)</f>
        <v>1. Receita Operacional Bruta</v>
      </c>
      <c r="E2409" t="str">
        <f>VLOOKUP(B2409,Tabela_Auxiliar[],4,0)</f>
        <v>Receita Bruta</v>
      </c>
      <c r="F2409" t="str">
        <f>VLOOKUP(B2409,Tabela_Auxiliar[],3,0)</f>
        <v>Entrada</v>
      </c>
      <c r="G2409" t="str">
        <f>UPPER(TEXT(Tabela_DB[[#This Row],[DATA]],"mmm"))</f>
        <v>MAI</v>
      </c>
      <c r="H2409" t="str">
        <f>UPPER(TEXT(Tabela_DB[[#This Row],[DATA]],"aaaa"))</f>
        <v>2021</v>
      </c>
    </row>
    <row r="2410" spans="1:8" x14ac:dyDescent="0.25">
      <c r="A2410" s="2">
        <v>44348</v>
      </c>
      <c r="B2410" t="s">
        <v>3</v>
      </c>
      <c r="C2410">
        <v>10771</v>
      </c>
      <c r="D2410" t="str">
        <f>VLOOKUP(B2410,Tabela_Auxiliar[],2,0)</f>
        <v>1. Receita Operacional Bruta</v>
      </c>
      <c r="E2410" t="str">
        <f>VLOOKUP(B2410,Tabela_Auxiliar[],4,0)</f>
        <v>Receita Bruta</v>
      </c>
      <c r="F2410" t="str">
        <f>VLOOKUP(B2410,Tabela_Auxiliar[],3,0)</f>
        <v>Entrada</v>
      </c>
      <c r="G2410" t="str">
        <f>UPPER(TEXT(Tabela_DB[[#This Row],[DATA]],"mmm"))</f>
        <v>JUN</v>
      </c>
      <c r="H2410" t="str">
        <f>UPPER(TEXT(Tabela_DB[[#This Row],[DATA]],"aaaa"))</f>
        <v>2021</v>
      </c>
    </row>
    <row r="2411" spans="1:8" x14ac:dyDescent="0.25">
      <c r="A2411" s="2">
        <v>44348</v>
      </c>
      <c r="B2411" t="s">
        <v>38</v>
      </c>
      <c r="C2411">
        <v>-2118</v>
      </c>
      <c r="D2411" t="str">
        <f>VLOOKUP(B2411,Tabela_Auxiliar[],2,0)</f>
        <v>2. Deduções da Receita</v>
      </c>
      <c r="E2411" t="str">
        <f>VLOOKUP(B2411,Tabela_Auxiliar[],4,0)</f>
        <v>Deduções</v>
      </c>
      <c r="F2411" t="str">
        <f>VLOOKUP(B2411,Tabela_Auxiliar[],3,0)</f>
        <v>Saída</v>
      </c>
      <c r="G2411" t="str">
        <f>UPPER(TEXT(Tabela_DB[[#This Row],[DATA]],"mmm"))</f>
        <v>JUN</v>
      </c>
      <c r="H2411" t="str">
        <f>UPPER(TEXT(Tabela_DB[[#This Row],[DATA]],"aaaa"))</f>
        <v>2021</v>
      </c>
    </row>
    <row r="2412" spans="1:8" x14ac:dyDescent="0.25">
      <c r="A2412" s="2">
        <v>44348</v>
      </c>
      <c r="B2412" t="s">
        <v>65</v>
      </c>
      <c r="C2412">
        <v>-2270</v>
      </c>
      <c r="D2412" t="str">
        <f>VLOOKUP(B2412,Tabela_Auxiliar[],2,0)</f>
        <v>4. Despesas Operacionais</v>
      </c>
      <c r="E2412" t="str">
        <f>VLOOKUP(B2412,Tabela_Auxiliar[],4,0)</f>
        <v>Despesa Gerais</v>
      </c>
      <c r="F2412" t="str">
        <f>VLOOKUP(B2412,Tabela_Auxiliar[],3,0)</f>
        <v>Saída</v>
      </c>
      <c r="G2412" t="str">
        <f>UPPER(TEXT(Tabela_DB[[#This Row],[DATA]],"mmm"))</f>
        <v>JUN</v>
      </c>
      <c r="H2412" t="str">
        <f>UPPER(TEXT(Tabela_DB[[#This Row],[DATA]],"aaaa"))</f>
        <v>2021</v>
      </c>
    </row>
    <row r="2413" spans="1:8" x14ac:dyDescent="0.25">
      <c r="A2413" s="2">
        <v>44348</v>
      </c>
      <c r="B2413" t="s">
        <v>71</v>
      </c>
      <c r="C2413">
        <v>-2209</v>
      </c>
      <c r="D2413" t="str">
        <f>VLOOKUP(B2413,Tabela_Auxiliar[],2,0)</f>
        <v>4. Despesas Operacionais</v>
      </c>
      <c r="E2413" t="str">
        <f>VLOOKUP(B2413,Tabela_Auxiliar[],4,0)</f>
        <v>Despesa com Ocupação</v>
      </c>
      <c r="F2413" t="str">
        <f>VLOOKUP(B2413,Tabela_Auxiliar[],3,0)</f>
        <v>Saída</v>
      </c>
      <c r="G2413" t="str">
        <f>UPPER(TEXT(Tabela_DB[[#This Row],[DATA]],"mmm"))</f>
        <v>JUN</v>
      </c>
      <c r="H2413" t="str">
        <f>UPPER(TEXT(Tabela_DB[[#This Row],[DATA]],"aaaa"))</f>
        <v>2021</v>
      </c>
    </row>
    <row r="2414" spans="1:8" x14ac:dyDescent="0.25">
      <c r="A2414" s="2">
        <v>44348</v>
      </c>
      <c r="B2414" t="s">
        <v>48</v>
      </c>
      <c r="C2414">
        <v>-2063</v>
      </c>
      <c r="D2414" t="str">
        <f>VLOOKUP(B2414,Tabela_Auxiliar[],2,0)</f>
        <v>4. Despesas Operacionais</v>
      </c>
      <c r="E2414" t="str">
        <f>VLOOKUP(B2414,Tabela_Auxiliar[],4,0)</f>
        <v>Despesa com Pessoal</v>
      </c>
      <c r="F2414" t="str">
        <f>VLOOKUP(B2414,Tabela_Auxiliar[],3,0)</f>
        <v>Saída</v>
      </c>
      <c r="G2414" t="str">
        <f>UPPER(TEXT(Tabela_DB[[#This Row],[DATA]],"mmm"))</f>
        <v>JUN</v>
      </c>
      <c r="H2414" t="str">
        <f>UPPER(TEXT(Tabela_DB[[#This Row],[DATA]],"aaaa"))</f>
        <v>2021</v>
      </c>
    </row>
    <row r="2415" spans="1:8" x14ac:dyDescent="0.25">
      <c r="A2415" s="2">
        <v>44348</v>
      </c>
      <c r="B2415" t="s">
        <v>38</v>
      </c>
      <c r="C2415">
        <v>-1202</v>
      </c>
      <c r="D2415" t="str">
        <f>VLOOKUP(B2415,Tabela_Auxiliar[],2,0)</f>
        <v>2. Deduções da Receita</v>
      </c>
      <c r="E2415" t="str">
        <f>VLOOKUP(B2415,Tabela_Auxiliar[],4,0)</f>
        <v>Deduções</v>
      </c>
      <c r="F2415" t="str">
        <f>VLOOKUP(B2415,Tabela_Auxiliar[],3,0)</f>
        <v>Saída</v>
      </c>
      <c r="G2415" t="str">
        <f>UPPER(TEXT(Tabela_DB[[#This Row],[DATA]],"mmm"))</f>
        <v>JUN</v>
      </c>
      <c r="H2415" t="str">
        <f>UPPER(TEXT(Tabela_DB[[#This Row],[DATA]],"aaaa"))</f>
        <v>2021</v>
      </c>
    </row>
    <row r="2416" spans="1:8" x14ac:dyDescent="0.25">
      <c r="A2416" s="2">
        <v>44348</v>
      </c>
      <c r="B2416" t="s">
        <v>73</v>
      </c>
      <c r="C2416">
        <v>-1891</v>
      </c>
      <c r="D2416" t="str">
        <f>VLOOKUP(B2416,Tabela_Auxiliar[],2,0)</f>
        <v>4. Despesas Operacionais</v>
      </c>
      <c r="E2416" t="str">
        <f>VLOOKUP(B2416,Tabela_Auxiliar[],4,0)</f>
        <v>Despesa com Ocupação</v>
      </c>
      <c r="F2416" t="str">
        <f>VLOOKUP(B2416,Tabela_Auxiliar[],3,0)</f>
        <v>Saída</v>
      </c>
      <c r="G2416" t="str">
        <f>UPPER(TEXT(Tabela_DB[[#This Row],[DATA]],"mmm"))</f>
        <v>JUN</v>
      </c>
      <c r="H2416" t="str">
        <f>UPPER(TEXT(Tabela_DB[[#This Row],[DATA]],"aaaa"))</f>
        <v>2021</v>
      </c>
    </row>
    <row r="2417" spans="1:8" x14ac:dyDescent="0.25">
      <c r="A2417" s="2">
        <v>44348</v>
      </c>
      <c r="B2417" t="s">
        <v>4</v>
      </c>
      <c r="C2417">
        <v>13320</v>
      </c>
      <c r="D2417" t="str">
        <f>VLOOKUP(B2417,Tabela_Auxiliar[],2,0)</f>
        <v>1. Receita Operacional Bruta</v>
      </c>
      <c r="E2417" t="str">
        <f>VLOOKUP(B2417,Tabela_Auxiliar[],4,0)</f>
        <v>Receita Bruta</v>
      </c>
      <c r="F2417" t="str">
        <f>VLOOKUP(B2417,Tabela_Auxiliar[],3,0)</f>
        <v>Entrada</v>
      </c>
      <c r="G2417" t="str">
        <f>UPPER(TEXT(Tabela_DB[[#This Row],[DATA]],"mmm"))</f>
        <v>JUN</v>
      </c>
      <c r="H2417" t="str">
        <f>UPPER(TEXT(Tabela_DB[[#This Row],[DATA]],"aaaa"))</f>
        <v>2021</v>
      </c>
    </row>
    <row r="2418" spans="1:8" x14ac:dyDescent="0.25">
      <c r="A2418" s="2">
        <v>44348</v>
      </c>
      <c r="B2418" t="s">
        <v>46</v>
      </c>
      <c r="C2418">
        <v>-1212</v>
      </c>
      <c r="D2418" t="str">
        <f>VLOOKUP(B2418,Tabela_Auxiliar[],2,0)</f>
        <v>4. Despesas Operacionais</v>
      </c>
      <c r="E2418" t="str">
        <f>VLOOKUP(B2418,Tabela_Auxiliar[],4,0)</f>
        <v>Despesa com Pessoal</v>
      </c>
      <c r="F2418" t="str">
        <f>VLOOKUP(B2418,Tabela_Auxiliar[],3,0)</f>
        <v>Saída</v>
      </c>
      <c r="G2418" t="str">
        <f>UPPER(TEXT(Tabela_DB[[#This Row],[DATA]],"mmm"))</f>
        <v>JUN</v>
      </c>
      <c r="H2418" t="str">
        <f>UPPER(TEXT(Tabela_DB[[#This Row],[DATA]],"aaaa"))</f>
        <v>2021</v>
      </c>
    </row>
    <row r="2419" spans="1:8" x14ac:dyDescent="0.25">
      <c r="A2419" s="2">
        <v>44348</v>
      </c>
      <c r="B2419" t="s">
        <v>84</v>
      </c>
      <c r="C2419">
        <v>-1922</v>
      </c>
      <c r="D2419" t="str">
        <f>VLOOKUP(B2419,Tabela_Auxiliar[],2,0)</f>
        <v>4. Despesas Operacionais</v>
      </c>
      <c r="E2419" t="str">
        <f>VLOOKUP(B2419,Tabela_Auxiliar[],4,0)</f>
        <v>Despesa com Veículos</v>
      </c>
      <c r="F2419" t="str">
        <f>VLOOKUP(B2419,Tabela_Auxiliar[],3,0)</f>
        <v>Saída</v>
      </c>
      <c r="G2419" t="str">
        <f>UPPER(TEXT(Tabela_DB[[#This Row],[DATA]],"mmm"))</f>
        <v>JUN</v>
      </c>
      <c r="H2419" t="str">
        <f>UPPER(TEXT(Tabela_DB[[#This Row],[DATA]],"aaaa"))</f>
        <v>2021</v>
      </c>
    </row>
    <row r="2420" spans="1:8" x14ac:dyDescent="0.25">
      <c r="A2420" s="2">
        <v>44348</v>
      </c>
      <c r="B2420" t="s">
        <v>35</v>
      </c>
      <c r="C2420">
        <v>-1824</v>
      </c>
      <c r="D2420" t="str">
        <f>VLOOKUP(B2420,Tabela_Auxiliar[],2,0)</f>
        <v>2. Deduções da Receita</v>
      </c>
      <c r="E2420" t="str">
        <f>VLOOKUP(B2420,Tabela_Auxiliar[],4,0)</f>
        <v>Imposto</v>
      </c>
      <c r="F2420" t="str">
        <f>VLOOKUP(B2420,Tabela_Auxiliar[],3,0)</f>
        <v>Saída</v>
      </c>
      <c r="G2420" t="str">
        <f>UPPER(TEXT(Tabela_DB[[#This Row],[DATA]],"mmm"))</f>
        <v>JUN</v>
      </c>
      <c r="H2420" t="str">
        <f>UPPER(TEXT(Tabela_DB[[#This Row],[DATA]],"aaaa"))</f>
        <v>2021</v>
      </c>
    </row>
    <row r="2421" spans="1:8" x14ac:dyDescent="0.25">
      <c r="A2421" s="2">
        <v>44348</v>
      </c>
      <c r="B2421" t="s">
        <v>81</v>
      </c>
      <c r="C2421">
        <v>-1880</v>
      </c>
      <c r="D2421" t="str">
        <f>VLOOKUP(B2421,Tabela_Auxiliar[],2,0)</f>
        <v>4. Despesas Operacionais</v>
      </c>
      <c r="E2421" t="str">
        <f>VLOOKUP(B2421,Tabela_Auxiliar[],4,0)</f>
        <v>Serviços Contratados</v>
      </c>
      <c r="F2421" t="str">
        <f>VLOOKUP(B2421,Tabela_Auxiliar[],3,0)</f>
        <v>Saída</v>
      </c>
      <c r="G2421" t="str">
        <f>UPPER(TEXT(Tabela_DB[[#This Row],[DATA]],"mmm"))</f>
        <v>JUN</v>
      </c>
      <c r="H2421" t="str">
        <f>UPPER(TEXT(Tabela_DB[[#This Row],[DATA]],"aaaa"))</f>
        <v>2021</v>
      </c>
    </row>
    <row r="2422" spans="1:8" x14ac:dyDescent="0.25">
      <c r="A2422" s="2">
        <v>44349</v>
      </c>
      <c r="B2422" t="s">
        <v>111</v>
      </c>
      <c r="C2422">
        <v>-1821</v>
      </c>
      <c r="D2422" t="str">
        <f>VLOOKUP(B2422,Tabela_Auxiliar[],2,0)</f>
        <v>2. Deduções da Receita</v>
      </c>
      <c r="E2422" t="str">
        <f>VLOOKUP(B2422,Tabela_Auxiliar[],4,0)</f>
        <v>Imposto</v>
      </c>
      <c r="F2422" t="str">
        <f>VLOOKUP(B2422,Tabela_Auxiliar[],3,0)</f>
        <v>Saída</v>
      </c>
      <c r="G2422" t="str">
        <f>UPPER(TEXT(Tabela_DB[[#This Row],[DATA]],"mmm"))</f>
        <v>JUN</v>
      </c>
      <c r="H2422" t="str">
        <f>UPPER(TEXT(Tabela_DB[[#This Row],[DATA]],"aaaa"))</f>
        <v>2021</v>
      </c>
    </row>
    <row r="2423" spans="1:8" x14ac:dyDescent="0.25">
      <c r="A2423" s="2">
        <v>44349</v>
      </c>
      <c r="B2423" t="s">
        <v>5</v>
      </c>
      <c r="C2423">
        <v>-1953</v>
      </c>
      <c r="D2423" t="str">
        <f>VLOOKUP(B2423,Tabela_Auxiliar[],2,0)</f>
        <v>4. Despesas Operacionais</v>
      </c>
      <c r="E2423" t="str">
        <f>VLOOKUP(B2423,Tabela_Auxiliar[],4,0)</f>
        <v>Despesa com Pessoal</v>
      </c>
      <c r="F2423" t="str">
        <f>VLOOKUP(B2423,Tabela_Auxiliar[],3,0)</f>
        <v>Saída</v>
      </c>
      <c r="G2423" t="str">
        <f>UPPER(TEXT(Tabela_DB[[#This Row],[DATA]],"mmm"))</f>
        <v>JUN</v>
      </c>
      <c r="H2423" t="str">
        <f>UPPER(TEXT(Tabela_DB[[#This Row],[DATA]],"aaaa"))</f>
        <v>2021</v>
      </c>
    </row>
    <row r="2424" spans="1:8" x14ac:dyDescent="0.25">
      <c r="A2424" s="2">
        <v>44349</v>
      </c>
      <c r="B2424" t="s">
        <v>38</v>
      </c>
      <c r="C2424">
        <v>-1394</v>
      </c>
      <c r="D2424" t="str">
        <f>VLOOKUP(B2424,Tabela_Auxiliar[],2,0)</f>
        <v>2. Deduções da Receita</v>
      </c>
      <c r="E2424" t="str">
        <f>VLOOKUP(B2424,Tabela_Auxiliar[],4,0)</f>
        <v>Deduções</v>
      </c>
      <c r="F2424" t="str">
        <f>VLOOKUP(B2424,Tabela_Auxiliar[],3,0)</f>
        <v>Saída</v>
      </c>
      <c r="G2424" t="str">
        <f>UPPER(TEXT(Tabela_DB[[#This Row],[DATA]],"mmm"))</f>
        <v>JUN</v>
      </c>
      <c r="H2424" t="str">
        <f>UPPER(TEXT(Tabela_DB[[#This Row],[DATA]],"aaaa"))</f>
        <v>2021</v>
      </c>
    </row>
    <row r="2425" spans="1:8" x14ac:dyDescent="0.25">
      <c r="A2425" s="2">
        <v>44349</v>
      </c>
      <c r="B2425" t="s">
        <v>35</v>
      </c>
      <c r="C2425">
        <v>-1944</v>
      </c>
      <c r="D2425" t="str">
        <f>VLOOKUP(B2425,Tabela_Auxiliar[],2,0)</f>
        <v>2. Deduções da Receita</v>
      </c>
      <c r="E2425" t="str">
        <f>VLOOKUP(B2425,Tabela_Auxiliar[],4,0)</f>
        <v>Imposto</v>
      </c>
      <c r="F2425" t="str">
        <f>VLOOKUP(B2425,Tabela_Auxiliar[],3,0)</f>
        <v>Saída</v>
      </c>
      <c r="G2425" t="str">
        <f>UPPER(TEXT(Tabela_DB[[#This Row],[DATA]],"mmm"))</f>
        <v>JUN</v>
      </c>
      <c r="H2425" t="str">
        <f>UPPER(TEXT(Tabela_DB[[#This Row],[DATA]],"aaaa"))</f>
        <v>2021</v>
      </c>
    </row>
    <row r="2426" spans="1:8" x14ac:dyDescent="0.25">
      <c r="A2426" s="2">
        <v>44349</v>
      </c>
      <c r="B2426" t="s">
        <v>64</v>
      </c>
      <c r="C2426">
        <v>-1096</v>
      </c>
      <c r="D2426" t="str">
        <f>VLOOKUP(B2426,Tabela_Auxiliar[],2,0)</f>
        <v>4. Despesas Operacionais</v>
      </c>
      <c r="E2426" t="str">
        <f>VLOOKUP(B2426,Tabela_Auxiliar[],4,0)</f>
        <v>Despesa Gerais</v>
      </c>
      <c r="F2426" t="str">
        <f>VLOOKUP(B2426,Tabela_Auxiliar[],3,0)</f>
        <v>Saída</v>
      </c>
      <c r="G2426" t="str">
        <f>UPPER(TEXT(Tabela_DB[[#This Row],[DATA]],"mmm"))</f>
        <v>JUN</v>
      </c>
      <c r="H2426" t="str">
        <f>UPPER(TEXT(Tabela_DB[[#This Row],[DATA]],"aaaa"))</f>
        <v>2021</v>
      </c>
    </row>
    <row r="2427" spans="1:8" x14ac:dyDescent="0.25">
      <c r="A2427" s="2">
        <v>44349</v>
      </c>
      <c r="B2427" t="s">
        <v>34</v>
      </c>
      <c r="C2427">
        <v>-1030</v>
      </c>
      <c r="D2427" t="str">
        <f>VLOOKUP(B2427,Tabela_Auxiliar[],2,0)</f>
        <v>2. Deduções da Receita</v>
      </c>
      <c r="E2427" t="str">
        <f>VLOOKUP(B2427,Tabela_Auxiliar[],4,0)</f>
        <v>Imposto</v>
      </c>
      <c r="F2427" t="str">
        <f>VLOOKUP(B2427,Tabela_Auxiliar[],3,0)</f>
        <v>Saída</v>
      </c>
      <c r="G2427" t="str">
        <f>UPPER(TEXT(Tabela_DB[[#This Row],[DATA]],"mmm"))</f>
        <v>JUN</v>
      </c>
      <c r="H2427" t="str">
        <f>UPPER(TEXT(Tabela_DB[[#This Row],[DATA]],"aaaa"))</f>
        <v>2021</v>
      </c>
    </row>
    <row r="2428" spans="1:8" x14ac:dyDescent="0.25">
      <c r="A2428" s="2">
        <v>44349</v>
      </c>
      <c r="B2428" t="s">
        <v>38</v>
      </c>
      <c r="C2428">
        <v>-2500</v>
      </c>
      <c r="D2428" t="str">
        <f>VLOOKUP(B2428,Tabela_Auxiliar[],2,0)</f>
        <v>2. Deduções da Receita</v>
      </c>
      <c r="E2428" t="str">
        <f>VLOOKUP(B2428,Tabela_Auxiliar[],4,0)</f>
        <v>Deduções</v>
      </c>
      <c r="F2428" t="str">
        <f>VLOOKUP(B2428,Tabela_Auxiliar[],3,0)</f>
        <v>Saída</v>
      </c>
      <c r="G2428" t="str">
        <f>UPPER(TEXT(Tabela_DB[[#This Row],[DATA]],"mmm"))</f>
        <v>JUN</v>
      </c>
      <c r="H2428" t="str">
        <f>UPPER(TEXT(Tabela_DB[[#This Row],[DATA]],"aaaa"))</f>
        <v>2021</v>
      </c>
    </row>
    <row r="2429" spans="1:8" x14ac:dyDescent="0.25">
      <c r="A2429" s="2">
        <v>44349</v>
      </c>
      <c r="B2429" t="s">
        <v>34</v>
      </c>
      <c r="C2429">
        <v>-1177</v>
      </c>
      <c r="D2429" t="str">
        <f>VLOOKUP(B2429,Tabela_Auxiliar[],2,0)</f>
        <v>2. Deduções da Receita</v>
      </c>
      <c r="E2429" t="str">
        <f>VLOOKUP(B2429,Tabela_Auxiliar[],4,0)</f>
        <v>Imposto</v>
      </c>
      <c r="F2429" t="str">
        <f>VLOOKUP(B2429,Tabela_Auxiliar[],3,0)</f>
        <v>Saída</v>
      </c>
      <c r="G2429" t="str">
        <f>UPPER(TEXT(Tabela_DB[[#This Row],[DATA]],"mmm"))</f>
        <v>JUN</v>
      </c>
      <c r="H2429" t="str">
        <f>UPPER(TEXT(Tabela_DB[[#This Row],[DATA]],"aaaa"))</f>
        <v>2021</v>
      </c>
    </row>
    <row r="2430" spans="1:8" x14ac:dyDescent="0.25">
      <c r="A2430" s="2">
        <v>44349</v>
      </c>
      <c r="B2430" t="s">
        <v>4</v>
      </c>
      <c r="C2430">
        <v>10206</v>
      </c>
      <c r="D2430" t="str">
        <f>VLOOKUP(B2430,Tabela_Auxiliar[],2,0)</f>
        <v>1. Receita Operacional Bruta</v>
      </c>
      <c r="E2430" t="str">
        <f>VLOOKUP(B2430,Tabela_Auxiliar[],4,0)</f>
        <v>Receita Bruta</v>
      </c>
      <c r="F2430" t="str">
        <f>VLOOKUP(B2430,Tabela_Auxiliar[],3,0)</f>
        <v>Entrada</v>
      </c>
      <c r="G2430" t="str">
        <f>UPPER(TEXT(Tabela_DB[[#This Row],[DATA]],"mmm"))</f>
        <v>JUN</v>
      </c>
      <c r="H2430" t="str">
        <f>UPPER(TEXT(Tabela_DB[[#This Row],[DATA]],"aaaa"))</f>
        <v>2021</v>
      </c>
    </row>
    <row r="2431" spans="1:8" x14ac:dyDescent="0.25">
      <c r="A2431" s="2">
        <v>44349</v>
      </c>
      <c r="B2431" t="s">
        <v>35</v>
      </c>
      <c r="C2431">
        <v>-2095</v>
      </c>
      <c r="D2431" t="str">
        <f>VLOOKUP(B2431,Tabela_Auxiliar[],2,0)</f>
        <v>2. Deduções da Receita</v>
      </c>
      <c r="E2431" t="str">
        <f>VLOOKUP(B2431,Tabela_Auxiliar[],4,0)</f>
        <v>Imposto</v>
      </c>
      <c r="F2431" t="str">
        <f>VLOOKUP(B2431,Tabela_Auxiliar[],3,0)</f>
        <v>Saída</v>
      </c>
      <c r="G2431" t="str">
        <f>UPPER(TEXT(Tabela_DB[[#This Row],[DATA]],"mmm"))</f>
        <v>JUN</v>
      </c>
      <c r="H2431" t="str">
        <f>UPPER(TEXT(Tabela_DB[[#This Row],[DATA]],"aaaa"))</f>
        <v>2021</v>
      </c>
    </row>
    <row r="2432" spans="1:8" x14ac:dyDescent="0.25">
      <c r="A2432" s="2">
        <v>44349</v>
      </c>
      <c r="B2432" t="s">
        <v>34</v>
      </c>
      <c r="C2432">
        <v>-1397</v>
      </c>
      <c r="D2432" t="str">
        <f>VLOOKUP(B2432,Tabela_Auxiliar[],2,0)</f>
        <v>2. Deduções da Receita</v>
      </c>
      <c r="E2432" t="str">
        <f>VLOOKUP(B2432,Tabela_Auxiliar[],4,0)</f>
        <v>Imposto</v>
      </c>
      <c r="F2432" t="str">
        <f>VLOOKUP(B2432,Tabela_Auxiliar[],3,0)</f>
        <v>Saída</v>
      </c>
      <c r="G2432" t="str">
        <f>UPPER(TEXT(Tabela_DB[[#This Row],[DATA]],"mmm"))</f>
        <v>JUN</v>
      </c>
      <c r="H2432" t="str">
        <f>UPPER(TEXT(Tabela_DB[[#This Row],[DATA]],"aaaa"))</f>
        <v>2021</v>
      </c>
    </row>
    <row r="2433" spans="1:8" x14ac:dyDescent="0.25">
      <c r="A2433" s="2">
        <v>44349</v>
      </c>
      <c r="B2433" t="s">
        <v>4</v>
      </c>
      <c r="C2433">
        <v>14786</v>
      </c>
      <c r="D2433" t="str">
        <f>VLOOKUP(B2433,Tabela_Auxiliar[],2,0)</f>
        <v>1. Receita Operacional Bruta</v>
      </c>
      <c r="E2433" t="str">
        <f>VLOOKUP(B2433,Tabela_Auxiliar[],4,0)</f>
        <v>Receita Bruta</v>
      </c>
      <c r="F2433" t="str">
        <f>VLOOKUP(B2433,Tabela_Auxiliar[],3,0)</f>
        <v>Entrada</v>
      </c>
      <c r="G2433" t="str">
        <f>UPPER(TEXT(Tabela_DB[[#This Row],[DATA]],"mmm"))</f>
        <v>JUN</v>
      </c>
      <c r="H2433" t="str">
        <f>UPPER(TEXT(Tabela_DB[[#This Row],[DATA]],"aaaa"))</f>
        <v>2021</v>
      </c>
    </row>
    <row r="2434" spans="1:8" x14ac:dyDescent="0.25">
      <c r="A2434" s="2">
        <v>44349</v>
      </c>
      <c r="B2434" t="s">
        <v>111</v>
      </c>
      <c r="C2434">
        <v>-2227</v>
      </c>
      <c r="D2434" t="str">
        <f>VLOOKUP(B2434,Tabela_Auxiliar[],2,0)</f>
        <v>2. Deduções da Receita</v>
      </c>
      <c r="E2434" t="str">
        <f>VLOOKUP(B2434,Tabela_Auxiliar[],4,0)</f>
        <v>Imposto</v>
      </c>
      <c r="F2434" t="str">
        <f>VLOOKUP(B2434,Tabela_Auxiliar[],3,0)</f>
        <v>Saída</v>
      </c>
      <c r="G2434" t="str">
        <f>UPPER(TEXT(Tabela_DB[[#This Row],[DATA]],"mmm"))</f>
        <v>JUN</v>
      </c>
      <c r="H2434" t="str">
        <f>UPPER(TEXT(Tabela_DB[[#This Row],[DATA]],"aaaa"))</f>
        <v>2021</v>
      </c>
    </row>
    <row r="2435" spans="1:8" x14ac:dyDescent="0.25">
      <c r="A2435" s="2">
        <v>44349</v>
      </c>
      <c r="B2435" t="s">
        <v>3</v>
      </c>
      <c r="C2435">
        <v>12705</v>
      </c>
      <c r="D2435" t="str">
        <f>VLOOKUP(B2435,Tabela_Auxiliar[],2,0)</f>
        <v>1. Receita Operacional Bruta</v>
      </c>
      <c r="E2435" t="str">
        <f>VLOOKUP(B2435,Tabela_Auxiliar[],4,0)</f>
        <v>Receita Bruta</v>
      </c>
      <c r="F2435" t="str">
        <f>VLOOKUP(B2435,Tabela_Auxiliar[],3,0)</f>
        <v>Entrada</v>
      </c>
      <c r="G2435" t="str">
        <f>UPPER(TEXT(Tabela_DB[[#This Row],[DATA]],"mmm"))</f>
        <v>JUN</v>
      </c>
      <c r="H2435" t="str">
        <f>UPPER(TEXT(Tabela_DB[[#This Row],[DATA]],"aaaa"))</f>
        <v>2021</v>
      </c>
    </row>
    <row r="2436" spans="1:8" x14ac:dyDescent="0.25">
      <c r="A2436" s="2">
        <v>44349</v>
      </c>
      <c r="B2436" t="s">
        <v>74</v>
      </c>
      <c r="C2436">
        <v>-1035</v>
      </c>
      <c r="D2436" t="str">
        <f>VLOOKUP(B2436,Tabela_Auxiliar[],2,0)</f>
        <v>4. Despesas Operacionais</v>
      </c>
      <c r="E2436" t="str">
        <f>VLOOKUP(B2436,Tabela_Auxiliar[],4,0)</f>
        <v>Serviços Contratados</v>
      </c>
      <c r="F2436" t="str">
        <f>VLOOKUP(B2436,Tabela_Auxiliar[],3,0)</f>
        <v>Saída</v>
      </c>
      <c r="G2436" t="str">
        <f>UPPER(TEXT(Tabela_DB[[#This Row],[DATA]],"mmm"))</f>
        <v>JUN</v>
      </c>
      <c r="H2436" t="str">
        <f>UPPER(TEXT(Tabela_DB[[#This Row],[DATA]],"aaaa"))</f>
        <v>2021</v>
      </c>
    </row>
    <row r="2437" spans="1:8" x14ac:dyDescent="0.25">
      <c r="A2437" s="2">
        <v>44349</v>
      </c>
      <c r="B2437" t="s">
        <v>111</v>
      </c>
      <c r="C2437">
        <v>-1575</v>
      </c>
      <c r="D2437" t="str">
        <f>VLOOKUP(B2437,Tabela_Auxiliar[],2,0)</f>
        <v>2. Deduções da Receita</v>
      </c>
      <c r="E2437" t="str">
        <f>VLOOKUP(B2437,Tabela_Auxiliar[],4,0)</f>
        <v>Imposto</v>
      </c>
      <c r="F2437" t="str">
        <f>VLOOKUP(B2437,Tabela_Auxiliar[],3,0)</f>
        <v>Saída</v>
      </c>
      <c r="G2437" t="str">
        <f>UPPER(TEXT(Tabela_DB[[#This Row],[DATA]],"mmm"))</f>
        <v>JUN</v>
      </c>
      <c r="H2437" t="str">
        <f>UPPER(TEXT(Tabela_DB[[#This Row],[DATA]],"aaaa"))</f>
        <v>2021</v>
      </c>
    </row>
    <row r="2438" spans="1:8" x14ac:dyDescent="0.25">
      <c r="A2438" s="2">
        <v>44349</v>
      </c>
      <c r="B2438" t="s">
        <v>34</v>
      </c>
      <c r="C2438">
        <v>-2309</v>
      </c>
      <c r="D2438" t="str">
        <f>VLOOKUP(B2438,Tabela_Auxiliar[],2,0)</f>
        <v>2. Deduções da Receita</v>
      </c>
      <c r="E2438" t="str">
        <f>VLOOKUP(B2438,Tabela_Auxiliar[],4,0)</f>
        <v>Imposto</v>
      </c>
      <c r="F2438" t="str">
        <f>VLOOKUP(B2438,Tabela_Auxiliar[],3,0)</f>
        <v>Saída</v>
      </c>
      <c r="G2438" t="str">
        <f>UPPER(TEXT(Tabela_DB[[#This Row],[DATA]],"mmm"))</f>
        <v>JUN</v>
      </c>
      <c r="H2438" t="str">
        <f>UPPER(TEXT(Tabela_DB[[#This Row],[DATA]],"aaaa"))</f>
        <v>2021</v>
      </c>
    </row>
    <row r="2439" spans="1:8" x14ac:dyDescent="0.25">
      <c r="A2439" s="2">
        <v>44349</v>
      </c>
      <c r="B2439" t="s">
        <v>111</v>
      </c>
      <c r="C2439">
        <v>-2104</v>
      </c>
      <c r="D2439" t="str">
        <f>VLOOKUP(B2439,Tabela_Auxiliar[],2,0)</f>
        <v>2. Deduções da Receita</v>
      </c>
      <c r="E2439" t="str">
        <f>VLOOKUP(B2439,Tabela_Auxiliar[],4,0)</f>
        <v>Imposto</v>
      </c>
      <c r="F2439" t="str">
        <f>VLOOKUP(B2439,Tabela_Auxiliar[],3,0)</f>
        <v>Saída</v>
      </c>
      <c r="G2439" t="str">
        <f>UPPER(TEXT(Tabela_DB[[#This Row],[DATA]],"mmm"))</f>
        <v>JUN</v>
      </c>
      <c r="H2439" t="str">
        <f>UPPER(TEXT(Tabela_DB[[#This Row],[DATA]],"aaaa"))</f>
        <v>2021</v>
      </c>
    </row>
    <row r="2440" spans="1:8" x14ac:dyDescent="0.25">
      <c r="A2440" s="2">
        <v>44350</v>
      </c>
      <c r="B2440" t="s">
        <v>38</v>
      </c>
      <c r="C2440">
        <v>-1870</v>
      </c>
      <c r="D2440" t="str">
        <f>VLOOKUP(B2440,Tabela_Auxiliar[],2,0)</f>
        <v>2. Deduções da Receita</v>
      </c>
      <c r="E2440" t="str">
        <f>VLOOKUP(B2440,Tabela_Auxiliar[],4,0)</f>
        <v>Deduções</v>
      </c>
      <c r="F2440" t="str">
        <f>VLOOKUP(B2440,Tabela_Auxiliar[],3,0)</f>
        <v>Saída</v>
      </c>
      <c r="G2440" t="str">
        <f>UPPER(TEXT(Tabela_DB[[#This Row],[DATA]],"mmm"))</f>
        <v>JUN</v>
      </c>
      <c r="H2440" t="str">
        <f>UPPER(TEXT(Tabela_DB[[#This Row],[DATA]],"aaaa"))</f>
        <v>2021</v>
      </c>
    </row>
    <row r="2441" spans="1:8" x14ac:dyDescent="0.25">
      <c r="A2441" s="2">
        <v>44350</v>
      </c>
      <c r="B2441" t="s">
        <v>37</v>
      </c>
      <c r="C2441">
        <v>-3669</v>
      </c>
      <c r="D2441" t="str">
        <f>VLOOKUP(B2441,Tabela_Auxiliar[],2,0)</f>
        <v>3. Custos do Produto/Mercadoria/Serviço</v>
      </c>
      <c r="E2441" t="str">
        <f>VLOOKUP(B2441,Tabela_Auxiliar[],4,0)</f>
        <v>Despesas c/ Produto</v>
      </c>
      <c r="F2441" t="str">
        <f>VLOOKUP(B2441,Tabela_Auxiliar[],3,0)</f>
        <v>Saída</v>
      </c>
      <c r="G2441" t="str">
        <f>UPPER(TEXT(Tabela_DB[[#This Row],[DATA]],"mmm"))</f>
        <v>JUN</v>
      </c>
      <c r="H2441" t="str">
        <f>UPPER(TEXT(Tabela_DB[[#This Row],[DATA]],"aaaa"))</f>
        <v>2021</v>
      </c>
    </row>
    <row r="2442" spans="1:8" x14ac:dyDescent="0.25">
      <c r="A2442" s="2">
        <v>44350</v>
      </c>
      <c r="B2442" t="s">
        <v>111</v>
      </c>
      <c r="C2442">
        <v>-1517</v>
      </c>
      <c r="D2442" t="str">
        <f>VLOOKUP(B2442,Tabela_Auxiliar[],2,0)</f>
        <v>2. Deduções da Receita</v>
      </c>
      <c r="E2442" t="str">
        <f>VLOOKUP(B2442,Tabela_Auxiliar[],4,0)</f>
        <v>Imposto</v>
      </c>
      <c r="F2442" t="str">
        <f>VLOOKUP(B2442,Tabela_Auxiliar[],3,0)</f>
        <v>Saída</v>
      </c>
      <c r="G2442" t="str">
        <f>UPPER(TEXT(Tabela_DB[[#This Row],[DATA]],"mmm"))</f>
        <v>JUN</v>
      </c>
      <c r="H2442" t="str">
        <f>UPPER(TEXT(Tabela_DB[[#This Row],[DATA]],"aaaa"))</f>
        <v>2021</v>
      </c>
    </row>
    <row r="2443" spans="1:8" x14ac:dyDescent="0.25">
      <c r="A2443" s="2">
        <v>44350</v>
      </c>
      <c r="B2443" t="s">
        <v>77</v>
      </c>
      <c r="C2443">
        <v>-1620</v>
      </c>
      <c r="D2443" t="str">
        <f>VLOOKUP(B2443,Tabela_Auxiliar[],2,0)</f>
        <v>4. Despesas Operacionais</v>
      </c>
      <c r="E2443" t="str">
        <f>VLOOKUP(B2443,Tabela_Auxiliar[],4,0)</f>
        <v>Serviços Contratados</v>
      </c>
      <c r="F2443" t="str">
        <f>VLOOKUP(B2443,Tabela_Auxiliar[],3,0)</f>
        <v>Saída</v>
      </c>
      <c r="G2443" t="str">
        <f>UPPER(TEXT(Tabela_DB[[#This Row],[DATA]],"mmm"))</f>
        <v>JUN</v>
      </c>
      <c r="H2443" t="str">
        <f>UPPER(TEXT(Tabela_DB[[#This Row],[DATA]],"aaaa"))</f>
        <v>2021</v>
      </c>
    </row>
    <row r="2444" spans="1:8" x14ac:dyDescent="0.25">
      <c r="A2444" s="2">
        <v>44350</v>
      </c>
      <c r="B2444" t="s">
        <v>3</v>
      </c>
      <c r="C2444">
        <v>11134</v>
      </c>
      <c r="D2444" t="str">
        <f>VLOOKUP(B2444,Tabela_Auxiliar[],2,0)</f>
        <v>1. Receita Operacional Bruta</v>
      </c>
      <c r="E2444" t="str">
        <f>VLOOKUP(B2444,Tabela_Auxiliar[],4,0)</f>
        <v>Receita Bruta</v>
      </c>
      <c r="F2444" t="str">
        <f>VLOOKUP(B2444,Tabela_Auxiliar[],3,0)</f>
        <v>Entrada</v>
      </c>
      <c r="G2444" t="str">
        <f>UPPER(TEXT(Tabela_DB[[#This Row],[DATA]],"mmm"))</f>
        <v>JUN</v>
      </c>
      <c r="H2444" t="str">
        <f>UPPER(TEXT(Tabela_DB[[#This Row],[DATA]],"aaaa"))</f>
        <v>2021</v>
      </c>
    </row>
    <row r="2445" spans="1:8" x14ac:dyDescent="0.25">
      <c r="A2445" s="2">
        <v>44350</v>
      </c>
      <c r="B2445" t="s">
        <v>31</v>
      </c>
      <c r="C2445">
        <v>-1647</v>
      </c>
      <c r="D2445" t="str">
        <f>VLOOKUP(B2445,Tabela_Auxiliar[],2,0)</f>
        <v>5. Resultado Financeiro</v>
      </c>
      <c r="E2445" t="str">
        <f>VLOOKUP(B2445,Tabela_Auxiliar[],4,0)</f>
        <v>Participação nos resultados</v>
      </c>
      <c r="F2445" t="str">
        <f>VLOOKUP(B2445,Tabela_Auxiliar[],3,0)</f>
        <v>Saída</v>
      </c>
      <c r="G2445" t="str">
        <f>UPPER(TEXT(Tabela_DB[[#This Row],[DATA]],"mmm"))</f>
        <v>JUN</v>
      </c>
      <c r="H2445" t="str">
        <f>UPPER(TEXT(Tabela_DB[[#This Row],[DATA]],"aaaa"))</f>
        <v>2021</v>
      </c>
    </row>
    <row r="2446" spans="1:8" x14ac:dyDescent="0.25">
      <c r="A2446" s="2">
        <v>44350</v>
      </c>
      <c r="B2446" t="s">
        <v>50</v>
      </c>
      <c r="C2446">
        <v>-2235</v>
      </c>
      <c r="D2446" t="str">
        <f>VLOOKUP(B2446,Tabela_Auxiliar[],2,0)</f>
        <v>4. Despesas Operacionais</v>
      </c>
      <c r="E2446" t="str">
        <f>VLOOKUP(B2446,Tabela_Auxiliar[],4,0)</f>
        <v>Despesa com Pessoal</v>
      </c>
      <c r="F2446" t="str">
        <f>VLOOKUP(B2446,Tabela_Auxiliar[],3,0)</f>
        <v>Saída</v>
      </c>
      <c r="G2446" t="str">
        <f>UPPER(TEXT(Tabela_DB[[#This Row],[DATA]],"mmm"))</f>
        <v>JUN</v>
      </c>
      <c r="H2446" t="str">
        <f>UPPER(TEXT(Tabela_DB[[#This Row],[DATA]],"aaaa"))</f>
        <v>2021</v>
      </c>
    </row>
    <row r="2447" spans="1:8" x14ac:dyDescent="0.25">
      <c r="A2447" s="2">
        <v>44350</v>
      </c>
      <c r="B2447" t="s">
        <v>38</v>
      </c>
      <c r="C2447">
        <v>-2471</v>
      </c>
      <c r="D2447" t="str">
        <f>VLOOKUP(B2447,Tabela_Auxiliar[],2,0)</f>
        <v>2. Deduções da Receita</v>
      </c>
      <c r="E2447" t="str">
        <f>VLOOKUP(B2447,Tabela_Auxiliar[],4,0)</f>
        <v>Deduções</v>
      </c>
      <c r="F2447" t="str">
        <f>VLOOKUP(B2447,Tabela_Auxiliar[],3,0)</f>
        <v>Saída</v>
      </c>
      <c r="G2447" t="str">
        <f>UPPER(TEXT(Tabela_DB[[#This Row],[DATA]],"mmm"))</f>
        <v>JUN</v>
      </c>
      <c r="H2447" t="str">
        <f>UPPER(TEXT(Tabela_DB[[#This Row],[DATA]],"aaaa"))</f>
        <v>2021</v>
      </c>
    </row>
    <row r="2448" spans="1:8" x14ac:dyDescent="0.25">
      <c r="A2448" s="2">
        <v>44350</v>
      </c>
      <c r="B2448" t="s">
        <v>86</v>
      </c>
      <c r="C2448">
        <v>-1826</v>
      </c>
      <c r="D2448" t="str">
        <f>VLOOKUP(B2448,Tabela_Auxiliar[],2,0)</f>
        <v>4. Despesas Operacionais</v>
      </c>
      <c r="E2448" t="str">
        <f>VLOOKUP(B2448,Tabela_Auxiliar[],4,0)</f>
        <v>Despesa com Veículos</v>
      </c>
      <c r="F2448" t="str">
        <f>VLOOKUP(B2448,Tabela_Auxiliar[],3,0)</f>
        <v>Saída</v>
      </c>
      <c r="G2448" t="str">
        <f>UPPER(TEXT(Tabela_DB[[#This Row],[DATA]],"mmm"))</f>
        <v>JUN</v>
      </c>
      <c r="H2448" t="str">
        <f>UPPER(TEXT(Tabela_DB[[#This Row],[DATA]],"aaaa"))</f>
        <v>2021</v>
      </c>
    </row>
    <row r="2449" spans="1:8" x14ac:dyDescent="0.25">
      <c r="A2449" s="2">
        <v>44350</v>
      </c>
      <c r="B2449" t="s">
        <v>55</v>
      </c>
      <c r="C2449">
        <v>-1654</v>
      </c>
      <c r="D2449" t="str">
        <f>VLOOKUP(B2449,Tabela_Auxiliar[],2,0)</f>
        <v>4. Despesas Operacionais</v>
      </c>
      <c r="E2449" t="str">
        <f>VLOOKUP(B2449,Tabela_Auxiliar[],4,0)</f>
        <v>Despesa com Pessoal</v>
      </c>
      <c r="F2449" t="str">
        <f>VLOOKUP(B2449,Tabela_Auxiliar[],3,0)</f>
        <v>Saída</v>
      </c>
      <c r="G2449" t="str">
        <f>UPPER(TEXT(Tabela_DB[[#This Row],[DATA]],"mmm"))</f>
        <v>JUN</v>
      </c>
      <c r="H2449" t="str">
        <f>UPPER(TEXT(Tabela_DB[[#This Row],[DATA]],"aaaa"))</f>
        <v>2021</v>
      </c>
    </row>
    <row r="2450" spans="1:8" x14ac:dyDescent="0.25">
      <c r="A2450" s="2">
        <v>44350</v>
      </c>
      <c r="B2450" t="s">
        <v>62</v>
      </c>
      <c r="C2450">
        <v>-1823</v>
      </c>
      <c r="D2450" t="str">
        <f>VLOOKUP(B2450,Tabela_Auxiliar[],2,0)</f>
        <v>4. Despesas Operacionais</v>
      </c>
      <c r="E2450" t="str">
        <f>VLOOKUP(B2450,Tabela_Auxiliar[],4,0)</f>
        <v>Despesa Gerais</v>
      </c>
      <c r="F2450" t="str">
        <f>VLOOKUP(B2450,Tabela_Auxiliar[],3,0)</f>
        <v>Saída</v>
      </c>
      <c r="G2450" t="str">
        <f>UPPER(TEXT(Tabela_DB[[#This Row],[DATA]],"mmm"))</f>
        <v>JUN</v>
      </c>
      <c r="H2450" t="str">
        <f>UPPER(TEXT(Tabela_DB[[#This Row],[DATA]],"aaaa"))</f>
        <v>2021</v>
      </c>
    </row>
    <row r="2451" spans="1:8" x14ac:dyDescent="0.25">
      <c r="A2451" s="2">
        <v>44350</v>
      </c>
      <c r="B2451" t="s">
        <v>111</v>
      </c>
      <c r="C2451">
        <v>-2123</v>
      </c>
      <c r="D2451" t="str">
        <f>VLOOKUP(B2451,Tabela_Auxiliar[],2,0)</f>
        <v>2. Deduções da Receita</v>
      </c>
      <c r="E2451" t="str">
        <f>VLOOKUP(B2451,Tabela_Auxiliar[],4,0)</f>
        <v>Imposto</v>
      </c>
      <c r="F2451" t="str">
        <f>VLOOKUP(B2451,Tabela_Auxiliar[],3,0)</f>
        <v>Saída</v>
      </c>
      <c r="G2451" t="str">
        <f>UPPER(TEXT(Tabela_DB[[#This Row],[DATA]],"mmm"))</f>
        <v>JUN</v>
      </c>
      <c r="H2451" t="str">
        <f>UPPER(TEXT(Tabela_DB[[#This Row],[DATA]],"aaaa"))</f>
        <v>2021</v>
      </c>
    </row>
    <row r="2452" spans="1:8" x14ac:dyDescent="0.25">
      <c r="A2452" s="2">
        <v>44350</v>
      </c>
      <c r="B2452" t="s">
        <v>4</v>
      </c>
      <c r="C2452">
        <v>11339</v>
      </c>
      <c r="D2452" t="str">
        <f>VLOOKUP(B2452,Tabela_Auxiliar[],2,0)</f>
        <v>1. Receita Operacional Bruta</v>
      </c>
      <c r="E2452" t="str">
        <f>VLOOKUP(B2452,Tabela_Auxiliar[],4,0)</f>
        <v>Receita Bruta</v>
      </c>
      <c r="F2452" t="str">
        <f>VLOOKUP(B2452,Tabela_Auxiliar[],3,0)</f>
        <v>Entrada</v>
      </c>
      <c r="G2452" t="str">
        <f>UPPER(TEXT(Tabela_DB[[#This Row],[DATA]],"mmm"))</f>
        <v>JUN</v>
      </c>
      <c r="H2452" t="str">
        <f>UPPER(TEXT(Tabela_DB[[#This Row],[DATA]],"aaaa"))</f>
        <v>2021</v>
      </c>
    </row>
    <row r="2453" spans="1:8" x14ac:dyDescent="0.25">
      <c r="A2453" s="2">
        <v>44350</v>
      </c>
      <c r="B2453" t="s">
        <v>46</v>
      </c>
      <c r="C2453">
        <v>-1438</v>
      </c>
      <c r="D2453" t="str">
        <f>VLOOKUP(B2453,Tabela_Auxiliar[],2,0)</f>
        <v>4. Despesas Operacionais</v>
      </c>
      <c r="E2453" t="str">
        <f>VLOOKUP(B2453,Tabela_Auxiliar[],4,0)</f>
        <v>Despesa com Pessoal</v>
      </c>
      <c r="F2453" t="str">
        <f>VLOOKUP(B2453,Tabela_Auxiliar[],3,0)</f>
        <v>Saída</v>
      </c>
      <c r="G2453" t="str">
        <f>UPPER(TEXT(Tabela_DB[[#This Row],[DATA]],"mmm"))</f>
        <v>JUN</v>
      </c>
      <c r="H2453" t="str">
        <f>UPPER(TEXT(Tabela_DB[[#This Row],[DATA]],"aaaa"))</f>
        <v>2021</v>
      </c>
    </row>
    <row r="2454" spans="1:8" x14ac:dyDescent="0.25">
      <c r="A2454" s="2">
        <v>44350</v>
      </c>
      <c r="B2454" t="s">
        <v>3</v>
      </c>
      <c r="C2454">
        <v>11793</v>
      </c>
      <c r="D2454" t="str">
        <f>VLOOKUP(B2454,Tabela_Auxiliar[],2,0)</f>
        <v>1. Receita Operacional Bruta</v>
      </c>
      <c r="E2454" t="str">
        <f>VLOOKUP(B2454,Tabela_Auxiliar[],4,0)</f>
        <v>Receita Bruta</v>
      </c>
      <c r="F2454" t="str">
        <f>VLOOKUP(B2454,Tabela_Auxiliar[],3,0)</f>
        <v>Entrada</v>
      </c>
      <c r="G2454" t="str">
        <f>UPPER(TEXT(Tabela_DB[[#This Row],[DATA]],"mmm"))</f>
        <v>JUN</v>
      </c>
      <c r="H2454" t="str">
        <f>UPPER(TEXT(Tabela_DB[[#This Row],[DATA]],"aaaa"))</f>
        <v>2021</v>
      </c>
    </row>
    <row r="2455" spans="1:8" x14ac:dyDescent="0.25">
      <c r="A2455" s="2">
        <v>44350</v>
      </c>
      <c r="B2455" t="s">
        <v>4</v>
      </c>
      <c r="C2455">
        <v>12706</v>
      </c>
      <c r="D2455" t="str">
        <f>VLOOKUP(B2455,Tabela_Auxiliar[],2,0)</f>
        <v>1. Receita Operacional Bruta</v>
      </c>
      <c r="E2455" t="str">
        <f>VLOOKUP(B2455,Tabela_Auxiliar[],4,0)</f>
        <v>Receita Bruta</v>
      </c>
      <c r="F2455" t="str">
        <f>VLOOKUP(B2455,Tabela_Auxiliar[],3,0)</f>
        <v>Entrada</v>
      </c>
      <c r="G2455" t="str">
        <f>UPPER(TEXT(Tabela_DB[[#This Row],[DATA]],"mmm"))</f>
        <v>JUN</v>
      </c>
      <c r="H2455" t="str">
        <f>UPPER(TEXT(Tabela_DB[[#This Row],[DATA]],"aaaa"))</f>
        <v>2021</v>
      </c>
    </row>
    <row r="2456" spans="1:8" x14ac:dyDescent="0.25">
      <c r="A2456" s="2">
        <v>44350</v>
      </c>
      <c r="B2456" t="s">
        <v>38</v>
      </c>
      <c r="C2456">
        <v>-1607</v>
      </c>
      <c r="D2456" t="str">
        <f>VLOOKUP(B2456,Tabela_Auxiliar[],2,0)</f>
        <v>2. Deduções da Receita</v>
      </c>
      <c r="E2456" t="str">
        <f>VLOOKUP(B2456,Tabela_Auxiliar[],4,0)</f>
        <v>Deduções</v>
      </c>
      <c r="F2456" t="str">
        <f>VLOOKUP(B2456,Tabela_Auxiliar[],3,0)</f>
        <v>Saída</v>
      </c>
      <c r="G2456" t="str">
        <f>UPPER(TEXT(Tabela_DB[[#This Row],[DATA]],"mmm"))</f>
        <v>JUN</v>
      </c>
      <c r="H2456" t="str">
        <f>UPPER(TEXT(Tabela_DB[[#This Row],[DATA]],"aaaa"))</f>
        <v>2021</v>
      </c>
    </row>
    <row r="2457" spans="1:8" x14ac:dyDescent="0.25">
      <c r="A2457" s="2">
        <v>44350</v>
      </c>
      <c r="B2457" t="s">
        <v>72</v>
      </c>
      <c r="C2457">
        <v>-1671</v>
      </c>
      <c r="D2457" t="str">
        <f>VLOOKUP(B2457,Tabela_Auxiliar[],2,0)</f>
        <v>4. Despesas Operacionais</v>
      </c>
      <c r="E2457" t="str">
        <f>VLOOKUP(B2457,Tabela_Auxiliar[],4,0)</f>
        <v>Despesa com Ocupação</v>
      </c>
      <c r="F2457" t="str">
        <f>VLOOKUP(B2457,Tabela_Auxiliar[],3,0)</f>
        <v>Saída</v>
      </c>
      <c r="G2457" t="str">
        <f>UPPER(TEXT(Tabela_DB[[#This Row],[DATA]],"mmm"))</f>
        <v>JUN</v>
      </c>
      <c r="H2457" t="str">
        <f>UPPER(TEXT(Tabela_DB[[#This Row],[DATA]],"aaaa"))</f>
        <v>2021</v>
      </c>
    </row>
    <row r="2458" spans="1:8" x14ac:dyDescent="0.25">
      <c r="A2458" s="2">
        <v>44350</v>
      </c>
      <c r="B2458" t="s">
        <v>4</v>
      </c>
      <c r="C2458">
        <v>12410</v>
      </c>
      <c r="D2458" t="str">
        <f>VLOOKUP(B2458,Tabela_Auxiliar[],2,0)</f>
        <v>1. Receita Operacional Bruta</v>
      </c>
      <c r="E2458" t="str">
        <f>VLOOKUP(B2458,Tabela_Auxiliar[],4,0)</f>
        <v>Receita Bruta</v>
      </c>
      <c r="F2458" t="str">
        <f>VLOOKUP(B2458,Tabela_Auxiliar[],3,0)</f>
        <v>Entrada</v>
      </c>
      <c r="G2458" t="str">
        <f>UPPER(TEXT(Tabela_DB[[#This Row],[DATA]],"mmm"))</f>
        <v>JUN</v>
      </c>
      <c r="H2458" t="str">
        <f>UPPER(TEXT(Tabela_DB[[#This Row],[DATA]],"aaaa"))</f>
        <v>2021</v>
      </c>
    </row>
    <row r="2459" spans="1:8" x14ac:dyDescent="0.25">
      <c r="A2459" s="2">
        <v>44350</v>
      </c>
      <c r="B2459" t="s">
        <v>48</v>
      </c>
      <c r="C2459">
        <v>-1922</v>
      </c>
      <c r="D2459" t="str">
        <f>VLOOKUP(B2459,Tabela_Auxiliar[],2,0)</f>
        <v>4. Despesas Operacionais</v>
      </c>
      <c r="E2459" t="str">
        <f>VLOOKUP(B2459,Tabela_Auxiliar[],4,0)</f>
        <v>Despesa com Pessoal</v>
      </c>
      <c r="F2459" t="str">
        <f>VLOOKUP(B2459,Tabela_Auxiliar[],3,0)</f>
        <v>Saída</v>
      </c>
      <c r="G2459" t="str">
        <f>UPPER(TEXT(Tabela_DB[[#This Row],[DATA]],"mmm"))</f>
        <v>JUN</v>
      </c>
      <c r="H2459" t="str">
        <f>UPPER(TEXT(Tabela_DB[[#This Row],[DATA]],"aaaa"))</f>
        <v>2021</v>
      </c>
    </row>
    <row r="2460" spans="1:8" x14ac:dyDescent="0.25">
      <c r="A2460" s="2">
        <v>44350</v>
      </c>
      <c r="B2460" t="s">
        <v>4</v>
      </c>
      <c r="C2460">
        <v>12587</v>
      </c>
      <c r="D2460" t="str">
        <f>VLOOKUP(B2460,Tabela_Auxiliar[],2,0)</f>
        <v>1. Receita Operacional Bruta</v>
      </c>
      <c r="E2460" t="str">
        <f>VLOOKUP(B2460,Tabela_Auxiliar[],4,0)</f>
        <v>Receita Bruta</v>
      </c>
      <c r="F2460" t="str">
        <f>VLOOKUP(B2460,Tabela_Auxiliar[],3,0)</f>
        <v>Entrada</v>
      </c>
      <c r="G2460" t="str">
        <f>UPPER(TEXT(Tabela_DB[[#This Row],[DATA]],"mmm"))</f>
        <v>JUN</v>
      </c>
      <c r="H2460" t="str">
        <f>UPPER(TEXT(Tabela_DB[[#This Row],[DATA]],"aaaa"))</f>
        <v>2021</v>
      </c>
    </row>
    <row r="2461" spans="1:8" x14ac:dyDescent="0.25">
      <c r="A2461" s="2">
        <v>44350</v>
      </c>
      <c r="B2461" t="s">
        <v>4</v>
      </c>
      <c r="C2461">
        <v>13560</v>
      </c>
      <c r="D2461" t="str">
        <f>VLOOKUP(B2461,Tabela_Auxiliar[],2,0)</f>
        <v>1. Receita Operacional Bruta</v>
      </c>
      <c r="E2461" t="str">
        <f>VLOOKUP(B2461,Tabela_Auxiliar[],4,0)</f>
        <v>Receita Bruta</v>
      </c>
      <c r="F2461" t="str">
        <f>VLOOKUP(B2461,Tabela_Auxiliar[],3,0)</f>
        <v>Entrada</v>
      </c>
      <c r="G2461" t="str">
        <f>UPPER(TEXT(Tabela_DB[[#This Row],[DATA]],"mmm"))</f>
        <v>JUN</v>
      </c>
      <c r="H2461" t="str">
        <f>UPPER(TEXT(Tabela_DB[[#This Row],[DATA]],"aaaa"))</f>
        <v>2021</v>
      </c>
    </row>
    <row r="2462" spans="1:8" x14ac:dyDescent="0.25">
      <c r="A2462" s="2">
        <v>44350</v>
      </c>
      <c r="B2462" t="s">
        <v>4</v>
      </c>
      <c r="C2462">
        <v>13135</v>
      </c>
      <c r="D2462" t="str">
        <f>VLOOKUP(B2462,Tabela_Auxiliar[],2,0)</f>
        <v>1. Receita Operacional Bruta</v>
      </c>
      <c r="E2462" t="str">
        <f>VLOOKUP(B2462,Tabela_Auxiliar[],4,0)</f>
        <v>Receita Bruta</v>
      </c>
      <c r="F2462" t="str">
        <f>VLOOKUP(B2462,Tabela_Auxiliar[],3,0)</f>
        <v>Entrada</v>
      </c>
      <c r="G2462" t="str">
        <f>UPPER(TEXT(Tabela_DB[[#This Row],[DATA]],"mmm"))</f>
        <v>JUN</v>
      </c>
      <c r="H2462" t="str">
        <f>UPPER(TEXT(Tabela_DB[[#This Row],[DATA]],"aaaa"))</f>
        <v>2021</v>
      </c>
    </row>
    <row r="2463" spans="1:8" x14ac:dyDescent="0.25">
      <c r="A2463" s="2">
        <v>44350</v>
      </c>
      <c r="B2463" t="s">
        <v>51</v>
      </c>
      <c r="C2463">
        <v>-1117</v>
      </c>
      <c r="D2463" t="str">
        <f>VLOOKUP(B2463,Tabela_Auxiliar[],2,0)</f>
        <v>4. Despesas Operacionais</v>
      </c>
      <c r="E2463" t="str">
        <f>VLOOKUP(B2463,Tabela_Auxiliar[],4,0)</f>
        <v>Despesa com Pessoal</v>
      </c>
      <c r="F2463" t="str">
        <f>VLOOKUP(B2463,Tabela_Auxiliar[],3,0)</f>
        <v>Saída</v>
      </c>
      <c r="G2463" t="str">
        <f>UPPER(TEXT(Tabela_DB[[#This Row],[DATA]],"mmm"))</f>
        <v>JUN</v>
      </c>
      <c r="H2463" t="str">
        <f>UPPER(TEXT(Tabela_DB[[#This Row],[DATA]],"aaaa"))</f>
        <v>2021</v>
      </c>
    </row>
    <row r="2464" spans="1:8" x14ac:dyDescent="0.25">
      <c r="A2464" s="2">
        <v>44350</v>
      </c>
      <c r="B2464" t="s">
        <v>76</v>
      </c>
      <c r="C2464">
        <v>-2075</v>
      </c>
      <c r="D2464" t="str">
        <f>VLOOKUP(B2464,Tabela_Auxiliar[],2,0)</f>
        <v>4. Despesas Operacionais</v>
      </c>
      <c r="E2464" t="str">
        <f>VLOOKUP(B2464,Tabela_Auxiliar[],4,0)</f>
        <v>Serviços Contratados</v>
      </c>
      <c r="F2464" t="str">
        <f>VLOOKUP(B2464,Tabela_Auxiliar[],3,0)</f>
        <v>Saída</v>
      </c>
      <c r="G2464" t="str">
        <f>UPPER(TEXT(Tabela_DB[[#This Row],[DATA]],"mmm"))</f>
        <v>JUN</v>
      </c>
      <c r="H2464" t="str">
        <f>UPPER(TEXT(Tabela_DB[[#This Row],[DATA]],"aaaa"))</f>
        <v>2021</v>
      </c>
    </row>
    <row r="2465" spans="1:8" x14ac:dyDescent="0.25">
      <c r="A2465" s="2">
        <v>44350</v>
      </c>
      <c r="B2465" t="s">
        <v>34</v>
      </c>
      <c r="C2465">
        <v>-1106</v>
      </c>
      <c r="D2465" t="str">
        <f>VLOOKUP(B2465,Tabela_Auxiliar[],2,0)</f>
        <v>2. Deduções da Receita</v>
      </c>
      <c r="E2465" t="str">
        <f>VLOOKUP(B2465,Tabela_Auxiliar[],4,0)</f>
        <v>Imposto</v>
      </c>
      <c r="F2465" t="str">
        <f>VLOOKUP(B2465,Tabela_Auxiliar[],3,0)</f>
        <v>Saída</v>
      </c>
      <c r="G2465" t="str">
        <f>UPPER(TEXT(Tabela_DB[[#This Row],[DATA]],"mmm"))</f>
        <v>JUN</v>
      </c>
      <c r="H2465" t="str">
        <f>UPPER(TEXT(Tabela_DB[[#This Row],[DATA]],"aaaa"))</f>
        <v>2021</v>
      </c>
    </row>
    <row r="2466" spans="1:8" x14ac:dyDescent="0.25">
      <c r="A2466" s="2">
        <v>44351</v>
      </c>
      <c r="B2466" t="s">
        <v>55</v>
      </c>
      <c r="C2466">
        <v>-1547</v>
      </c>
      <c r="D2466" t="str">
        <f>VLOOKUP(B2466,Tabela_Auxiliar[],2,0)</f>
        <v>4. Despesas Operacionais</v>
      </c>
      <c r="E2466" t="str">
        <f>VLOOKUP(B2466,Tabela_Auxiliar[],4,0)</f>
        <v>Despesa com Pessoal</v>
      </c>
      <c r="F2466" t="str">
        <f>VLOOKUP(B2466,Tabela_Auxiliar[],3,0)</f>
        <v>Saída</v>
      </c>
      <c r="G2466" t="str">
        <f>UPPER(TEXT(Tabela_DB[[#This Row],[DATA]],"mmm"))</f>
        <v>JUN</v>
      </c>
      <c r="H2466" t="str">
        <f>UPPER(TEXT(Tabela_DB[[#This Row],[DATA]],"aaaa"))</f>
        <v>2021</v>
      </c>
    </row>
    <row r="2467" spans="1:8" x14ac:dyDescent="0.25">
      <c r="A2467" s="2">
        <v>44351</v>
      </c>
      <c r="B2467" t="s">
        <v>35</v>
      </c>
      <c r="C2467">
        <v>-1296</v>
      </c>
      <c r="D2467" t="str">
        <f>VLOOKUP(B2467,Tabela_Auxiliar[],2,0)</f>
        <v>2. Deduções da Receita</v>
      </c>
      <c r="E2467" t="str">
        <f>VLOOKUP(B2467,Tabela_Auxiliar[],4,0)</f>
        <v>Imposto</v>
      </c>
      <c r="F2467" t="str">
        <f>VLOOKUP(B2467,Tabela_Auxiliar[],3,0)</f>
        <v>Saída</v>
      </c>
      <c r="G2467" t="str">
        <f>UPPER(TEXT(Tabela_DB[[#This Row],[DATA]],"mmm"))</f>
        <v>JUN</v>
      </c>
      <c r="H2467" t="str">
        <f>UPPER(TEXT(Tabela_DB[[#This Row],[DATA]],"aaaa"))</f>
        <v>2021</v>
      </c>
    </row>
    <row r="2468" spans="1:8" x14ac:dyDescent="0.25">
      <c r="A2468" s="2">
        <v>44351</v>
      </c>
      <c r="B2468" t="s">
        <v>87</v>
      </c>
      <c r="C2468">
        <v>-1117</v>
      </c>
      <c r="D2468" t="str">
        <f>VLOOKUP(B2468,Tabela_Auxiliar[],2,0)</f>
        <v>4. Despesas Operacionais</v>
      </c>
      <c r="E2468" t="str">
        <f>VLOOKUP(B2468,Tabela_Auxiliar[],4,0)</f>
        <v>Despesa Tributária</v>
      </c>
      <c r="F2468" t="str">
        <f>VLOOKUP(B2468,Tabela_Auxiliar[],3,0)</f>
        <v>Saída</v>
      </c>
      <c r="G2468" t="str">
        <f>UPPER(TEXT(Tabela_DB[[#This Row],[DATA]],"mmm"))</f>
        <v>JUN</v>
      </c>
      <c r="H2468" t="str">
        <f>UPPER(TEXT(Tabela_DB[[#This Row],[DATA]],"aaaa"))</f>
        <v>2021</v>
      </c>
    </row>
    <row r="2469" spans="1:8" x14ac:dyDescent="0.25">
      <c r="A2469" s="2">
        <v>44351</v>
      </c>
      <c r="B2469" t="s">
        <v>77</v>
      </c>
      <c r="C2469">
        <v>-1829</v>
      </c>
      <c r="D2469" t="str">
        <f>VLOOKUP(B2469,Tabela_Auxiliar[],2,0)</f>
        <v>4. Despesas Operacionais</v>
      </c>
      <c r="E2469" t="str">
        <f>VLOOKUP(B2469,Tabela_Auxiliar[],4,0)</f>
        <v>Serviços Contratados</v>
      </c>
      <c r="F2469" t="str">
        <f>VLOOKUP(B2469,Tabela_Auxiliar[],3,0)</f>
        <v>Saída</v>
      </c>
      <c r="G2469" t="str">
        <f>UPPER(TEXT(Tabela_DB[[#This Row],[DATA]],"mmm"))</f>
        <v>JUN</v>
      </c>
      <c r="H2469" t="str">
        <f>UPPER(TEXT(Tabela_DB[[#This Row],[DATA]],"aaaa"))</f>
        <v>2021</v>
      </c>
    </row>
    <row r="2470" spans="1:8" x14ac:dyDescent="0.25">
      <c r="A2470" s="2">
        <v>44351</v>
      </c>
      <c r="B2470" t="s">
        <v>4</v>
      </c>
      <c r="C2470">
        <v>13887</v>
      </c>
      <c r="D2470" t="str">
        <f>VLOOKUP(B2470,Tabela_Auxiliar[],2,0)</f>
        <v>1. Receita Operacional Bruta</v>
      </c>
      <c r="E2470" t="str">
        <f>VLOOKUP(B2470,Tabela_Auxiliar[],4,0)</f>
        <v>Receita Bruta</v>
      </c>
      <c r="F2470" t="str">
        <f>VLOOKUP(B2470,Tabela_Auxiliar[],3,0)</f>
        <v>Entrada</v>
      </c>
      <c r="G2470" t="str">
        <f>UPPER(TEXT(Tabela_DB[[#This Row],[DATA]],"mmm"))</f>
        <v>JUN</v>
      </c>
      <c r="H2470" t="str">
        <f>UPPER(TEXT(Tabela_DB[[#This Row],[DATA]],"aaaa"))</f>
        <v>2021</v>
      </c>
    </row>
    <row r="2471" spans="1:8" x14ac:dyDescent="0.25">
      <c r="A2471" s="2">
        <v>44351</v>
      </c>
      <c r="B2471" t="s">
        <v>35</v>
      </c>
      <c r="C2471">
        <v>-1437</v>
      </c>
      <c r="D2471" t="str">
        <f>VLOOKUP(B2471,Tabela_Auxiliar[],2,0)</f>
        <v>2. Deduções da Receita</v>
      </c>
      <c r="E2471" t="str">
        <f>VLOOKUP(B2471,Tabela_Auxiliar[],4,0)</f>
        <v>Imposto</v>
      </c>
      <c r="F2471" t="str">
        <f>VLOOKUP(B2471,Tabela_Auxiliar[],3,0)</f>
        <v>Saída</v>
      </c>
      <c r="G2471" t="str">
        <f>UPPER(TEXT(Tabela_DB[[#This Row],[DATA]],"mmm"))</f>
        <v>JUN</v>
      </c>
      <c r="H2471" t="str">
        <f>UPPER(TEXT(Tabela_DB[[#This Row],[DATA]],"aaaa"))</f>
        <v>2021</v>
      </c>
    </row>
    <row r="2472" spans="1:8" x14ac:dyDescent="0.25">
      <c r="A2472" s="2">
        <v>44351</v>
      </c>
      <c r="B2472" t="s">
        <v>37</v>
      </c>
      <c r="C2472">
        <v>-3214</v>
      </c>
      <c r="D2472" t="str">
        <f>VLOOKUP(B2472,Tabela_Auxiliar[],2,0)</f>
        <v>3. Custos do Produto/Mercadoria/Serviço</v>
      </c>
      <c r="E2472" t="str">
        <f>VLOOKUP(B2472,Tabela_Auxiliar[],4,0)</f>
        <v>Despesas c/ Produto</v>
      </c>
      <c r="F2472" t="str">
        <f>VLOOKUP(B2472,Tabela_Auxiliar[],3,0)</f>
        <v>Saída</v>
      </c>
      <c r="G2472" t="str">
        <f>UPPER(TEXT(Tabela_DB[[#This Row],[DATA]],"mmm"))</f>
        <v>JUN</v>
      </c>
      <c r="H2472" t="str">
        <f>UPPER(TEXT(Tabela_DB[[#This Row],[DATA]],"aaaa"))</f>
        <v>2021</v>
      </c>
    </row>
    <row r="2473" spans="1:8" x14ac:dyDescent="0.25">
      <c r="A2473" s="2">
        <v>44351</v>
      </c>
      <c r="B2473" t="s">
        <v>4</v>
      </c>
      <c r="C2473">
        <v>14926</v>
      </c>
      <c r="D2473" t="str">
        <f>VLOOKUP(B2473,Tabela_Auxiliar[],2,0)</f>
        <v>1. Receita Operacional Bruta</v>
      </c>
      <c r="E2473" t="str">
        <f>VLOOKUP(B2473,Tabela_Auxiliar[],4,0)</f>
        <v>Receita Bruta</v>
      </c>
      <c r="F2473" t="str">
        <f>VLOOKUP(B2473,Tabela_Auxiliar[],3,0)</f>
        <v>Entrada</v>
      </c>
      <c r="G2473" t="str">
        <f>UPPER(TEXT(Tabela_DB[[#This Row],[DATA]],"mmm"))</f>
        <v>JUN</v>
      </c>
      <c r="H2473" t="str">
        <f>UPPER(TEXT(Tabela_DB[[#This Row],[DATA]],"aaaa"))</f>
        <v>2021</v>
      </c>
    </row>
    <row r="2474" spans="1:8" x14ac:dyDescent="0.25">
      <c r="A2474" s="2">
        <v>44351</v>
      </c>
      <c r="B2474" t="s">
        <v>34</v>
      </c>
      <c r="C2474">
        <v>-1862</v>
      </c>
      <c r="D2474" t="str">
        <f>VLOOKUP(B2474,Tabela_Auxiliar[],2,0)</f>
        <v>2. Deduções da Receita</v>
      </c>
      <c r="E2474" t="str">
        <f>VLOOKUP(B2474,Tabela_Auxiliar[],4,0)</f>
        <v>Imposto</v>
      </c>
      <c r="F2474" t="str">
        <f>VLOOKUP(B2474,Tabela_Auxiliar[],3,0)</f>
        <v>Saída</v>
      </c>
      <c r="G2474" t="str">
        <f>UPPER(TEXT(Tabela_DB[[#This Row],[DATA]],"mmm"))</f>
        <v>JUN</v>
      </c>
      <c r="H2474" t="str">
        <f>UPPER(TEXT(Tabela_DB[[#This Row],[DATA]],"aaaa"))</f>
        <v>2021</v>
      </c>
    </row>
    <row r="2475" spans="1:8" x14ac:dyDescent="0.25">
      <c r="A2475" s="2">
        <v>44351</v>
      </c>
      <c r="B2475" t="s">
        <v>56</v>
      </c>
      <c r="C2475">
        <v>-1571</v>
      </c>
      <c r="D2475" t="str">
        <f>VLOOKUP(B2475,Tabela_Auxiliar[],2,0)</f>
        <v>4. Despesas Operacionais</v>
      </c>
      <c r="E2475" t="str">
        <f>VLOOKUP(B2475,Tabela_Auxiliar[],4,0)</f>
        <v>Despesa com Pessoal</v>
      </c>
      <c r="F2475" t="str">
        <f>VLOOKUP(B2475,Tabela_Auxiliar[],3,0)</f>
        <v>Saída</v>
      </c>
      <c r="G2475" t="str">
        <f>UPPER(TEXT(Tabela_DB[[#This Row],[DATA]],"mmm"))</f>
        <v>JUN</v>
      </c>
      <c r="H2475" t="str">
        <f>UPPER(TEXT(Tabela_DB[[#This Row],[DATA]],"aaaa"))</f>
        <v>2021</v>
      </c>
    </row>
    <row r="2476" spans="1:8" x14ac:dyDescent="0.25">
      <c r="A2476" s="2">
        <v>44351</v>
      </c>
      <c r="B2476" t="s">
        <v>57</v>
      </c>
      <c r="C2476">
        <v>-1287</v>
      </c>
      <c r="D2476" t="str">
        <f>VLOOKUP(B2476,Tabela_Auxiliar[],2,0)</f>
        <v>4. Despesas Operacionais</v>
      </c>
      <c r="E2476" t="str">
        <f>VLOOKUP(B2476,Tabela_Auxiliar[],4,0)</f>
        <v>Despesa com Pessoal</v>
      </c>
      <c r="F2476" t="str">
        <f>VLOOKUP(B2476,Tabela_Auxiliar[],3,0)</f>
        <v>Saída</v>
      </c>
      <c r="G2476" t="str">
        <f>UPPER(TEXT(Tabela_DB[[#This Row],[DATA]],"mmm"))</f>
        <v>JUN</v>
      </c>
      <c r="H2476" t="str">
        <f>UPPER(TEXT(Tabela_DB[[#This Row],[DATA]],"aaaa"))</f>
        <v>2021</v>
      </c>
    </row>
    <row r="2477" spans="1:8" x14ac:dyDescent="0.25">
      <c r="A2477" s="2">
        <v>44351</v>
      </c>
      <c r="B2477" t="s">
        <v>35</v>
      </c>
      <c r="C2477">
        <v>-1174</v>
      </c>
      <c r="D2477" t="str">
        <f>VLOOKUP(B2477,Tabela_Auxiliar[],2,0)</f>
        <v>2. Deduções da Receita</v>
      </c>
      <c r="E2477" t="str">
        <f>VLOOKUP(B2477,Tabela_Auxiliar[],4,0)</f>
        <v>Imposto</v>
      </c>
      <c r="F2477" t="str">
        <f>VLOOKUP(B2477,Tabela_Auxiliar[],3,0)</f>
        <v>Saída</v>
      </c>
      <c r="G2477" t="str">
        <f>UPPER(TEXT(Tabela_DB[[#This Row],[DATA]],"mmm"))</f>
        <v>JUN</v>
      </c>
      <c r="H2477" t="str">
        <f>UPPER(TEXT(Tabela_DB[[#This Row],[DATA]],"aaaa"))</f>
        <v>2021</v>
      </c>
    </row>
    <row r="2478" spans="1:8" x14ac:dyDescent="0.25">
      <c r="A2478" s="2">
        <v>44351</v>
      </c>
      <c r="B2478" t="s">
        <v>60</v>
      </c>
      <c r="C2478">
        <v>-2315</v>
      </c>
      <c r="D2478" t="str">
        <f>VLOOKUP(B2478,Tabela_Auxiliar[],2,0)</f>
        <v>4. Despesas Operacionais</v>
      </c>
      <c r="E2478" t="str">
        <f>VLOOKUP(B2478,Tabela_Auxiliar[],4,0)</f>
        <v>Despesa de Depreciação</v>
      </c>
      <c r="F2478" t="str">
        <f>VLOOKUP(B2478,Tabela_Auxiliar[],3,0)</f>
        <v>Saída</v>
      </c>
      <c r="G2478" t="str">
        <f>UPPER(TEXT(Tabela_DB[[#This Row],[DATA]],"mmm"))</f>
        <v>JUN</v>
      </c>
      <c r="H2478" t="str">
        <f>UPPER(TEXT(Tabela_DB[[#This Row],[DATA]],"aaaa"))</f>
        <v>2021</v>
      </c>
    </row>
    <row r="2479" spans="1:8" x14ac:dyDescent="0.25">
      <c r="A2479" s="2">
        <v>44351</v>
      </c>
      <c r="B2479" t="s">
        <v>43</v>
      </c>
      <c r="C2479">
        <v>-1399</v>
      </c>
      <c r="D2479" t="str">
        <f>VLOOKUP(B2479,Tabela_Auxiliar[],2,0)</f>
        <v>4. Despesas Operacionais</v>
      </c>
      <c r="E2479" t="str">
        <f>VLOOKUP(B2479,Tabela_Auxiliar[],4,0)</f>
        <v>Despesa com Pessoal</v>
      </c>
      <c r="F2479" t="str">
        <f>VLOOKUP(B2479,Tabela_Auxiliar[],3,0)</f>
        <v>Saída</v>
      </c>
      <c r="G2479" t="str">
        <f>UPPER(TEXT(Tabela_DB[[#This Row],[DATA]],"mmm"))</f>
        <v>JUN</v>
      </c>
      <c r="H2479" t="str">
        <f>UPPER(TEXT(Tabela_DB[[#This Row],[DATA]],"aaaa"))</f>
        <v>2021</v>
      </c>
    </row>
    <row r="2480" spans="1:8" x14ac:dyDescent="0.25">
      <c r="A2480" s="2">
        <v>44351</v>
      </c>
      <c r="B2480" t="s">
        <v>33</v>
      </c>
      <c r="C2480">
        <v>-1047</v>
      </c>
      <c r="D2480" t="str">
        <f>VLOOKUP(B2480,Tabela_Auxiliar[],2,0)</f>
        <v>4. Despesas Operacionais</v>
      </c>
      <c r="E2480" t="str">
        <f>VLOOKUP(B2480,Tabela_Auxiliar[],4,0)</f>
        <v>Despesa com Vendas</v>
      </c>
      <c r="F2480" t="str">
        <f>VLOOKUP(B2480,Tabela_Auxiliar[],3,0)</f>
        <v>Saída</v>
      </c>
      <c r="G2480" t="str">
        <f>UPPER(TEXT(Tabela_DB[[#This Row],[DATA]],"mmm"))</f>
        <v>JUN</v>
      </c>
      <c r="H2480" t="str">
        <f>UPPER(TEXT(Tabela_DB[[#This Row],[DATA]],"aaaa"))</f>
        <v>2021</v>
      </c>
    </row>
    <row r="2481" spans="1:8" x14ac:dyDescent="0.25">
      <c r="A2481" s="2">
        <v>44351</v>
      </c>
      <c r="B2481" t="s">
        <v>46</v>
      </c>
      <c r="C2481">
        <v>-1538</v>
      </c>
      <c r="D2481" t="str">
        <f>VLOOKUP(B2481,Tabela_Auxiliar[],2,0)</f>
        <v>4. Despesas Operacionais</v>
      </c>
      <c r="E2481" t="str">
        <f>VLOOKUP(B2481,Tabela_Auxiliar[],4,0)</f>
        <v>Despesa com Pessoal</v>
      </c>
      <c r="F2481" t="str">
        <f>VLOOKUP(B2481,Tabela_Auxiliar[],3,0)</f>
        <v>Saída</v>
      </c>
      <c r="G2481" t="str">
        <f>UPPER(TEXT(Tabela_DB[[#This Row],[DATA]],"mmm"))</f>
        <v>JUN</v>
      </c>
      <c r="H2481" t="str">
        <f>UPPER(TEXT(Tabela_DB[[#This Row],[DATA]],"aaaa"))</f>
        <v>2021</v>
      </c>
    </row>
    <row r="2482" spans="1:8" x14ac:dyDescent="0.25">
      <c r="A2482" s="2">
        <v>44351</v>
      </c>
      <c r="B2482" t="s">
        <v>46</v>
      </c>
      <c r="C2482">
        <v>-2115</v>
      </c>
      <c r="D2482" t="str">
        <f>VLOOKUP(B2482,Tabela_Auxiliar[],2,0)</f>
        <v>4. Despesas Operacionais</v>
      </c>
      <c r="E2482" t="str">
        <f>VLOOKUP(B2482,Tabela_Auxiliar[],4,0)</f>
        <v>Despesa com Pessoal</v>
      </c>
      <c r="F2482" t="str">
        <f>VLOOKUP(B2482,Tabela_Auxiliar[],3,0)</f>
        <v>Saída</v>
      </c>
      <c r="G2482" t="str">
        <f>UPPER(TEXT(Tabela_DB[[#This Row],[DATA]],"mmm"))</f>
        <v>JUN</v>
      </c>
      <c r="H2482" t="str">
        <f>UPPER(TEXT(Tabela_DB[[#This Row],[DATA]],"aaaa"))</f>
        <v>2021</v>
      </c>
    </row>
    <row r="2483" spans="1:8" x14ac:dyDescent="0.25">
      <c r="A2483" s="2">
        <v>44351</v>
      </c>
      <c r="B2483" t="s">
        <v>101</v>
      </c>
      <c r="C2483">
        <v>-2071</v>
      </c>
      <c r="D2483" t="str">
        <f>VLOOKUP(B2483,Tabela_Auxiliar[],2,0)</f>
        <v>5. Resultado Financeiro</v>
      </c>
      <c r="E2483" t="str">
        <f>VLOOKUP(B2483,Tabela_Auxiliar[],4,0)</f>
        <v>Despesa Financeira</v>
      </c>
      <c r="F2483" t="str">
        <f>VLOOKUP(B2483,Tabela_Auxiliar[],3,0)</f>
        <v>Saída</v>
      </c>
      <c r="G2483" t="str">
        <f>UPPER(TEXT(Tabela_DB[[#This Row],[DATA]],"mmm"))</f>
        <v>JUN</v>
      </c>
      <c r="H2483" t="str">
        <f>UPPER(TEXT(Tabela_DB[[#This Row],[DATA]],"aaaa"))</f>
        <v>2021</v>
      </c>
    </row>
    <row r="2484" spans="1:8" x14ac:dyDescent="0.25">
      <c r="A2484" s="2">
        <v>44351</v>
      </c>
      <c r="B2484" t="s">
        <v>81</v>
      </c>
      <c r="C2484">
        <v>-1234</v>
      </c>
      <c r="D2484" t="str">
        <f>VLOOKUP(B2484,Tabela_Auxiliar[],2,0)</f>
        <v>4. Despesas Operacionais</v>
      </c>
      <c r="E2484" t="str">
        <f>VLOOKUP(B2484,Tabela_Auxiliar[],4,0)</f>
        <v>Serviços Contratados</v>
      </c>
      <c r="F2484" t="str">
        <f>VLOOKUP(B2484,Tabela_Auxiliar[],3,0)</f>
        <v>Saída</v>
      </c>
      <c r="G2484" t="str">
        <f>UPPER(TEXT(Tabela_DB[[#This Row],[DATA]],"mmm"))</f>
        <v>JUN</v>
      </c>
      <c r="H2484" t="str">
        <f>UPPER(TEXT(Tabela_DB[[#This Row],[DATA]],"aaaa"))</f>
        <v>2021</v>
      </c>
    </row>
    <row r="2485" spans="1:8" x14ac:dyDescent="0.25">
      <c r="A2485" s="2">
        <v>44351</v>
      </c>
      <c r="B2485" t="s">
        <v>3</v>
      </c>
      <c r="C2485">
        <v>13071</v>
      </c>
      <c r="D2485" t="str">
        <f>VLOOKUP(B2485,Tabela_Auxiliar[],2,0)</f>
        <v>1. Receita Operacional Bruta</v>
      </c>
      <c r="E2485" t="str">
        <f>VLOOKUP(B2485,Tabela_Auxiliar[],4,0)</f>
        <v>Receita Bruta</v>
      </c>
      <c r="F2485" t="str">
        <f>VLOOKUP(B2485,Tabela_Auxiliar[],3,0)</f>
        <v>Entrada</v>
      </c>
      <c r="G2485" t="str">
        <f>UPPER(TEXT(Tabela_DB[[#This Row],[DATA]],"mmm"))</f>
        <v>JUN</v>
      </c>
      <c r="H2485" t="str">
        <f>UPPER(TEXT(Tabela_DB[[#This Row],[DATA]],"aaaa"))</f>
        <v>2021</v>
      </c>
    </row>
    <row r="2486" spans="1:8" x14ac:dyDescent="0.25">
      <c r="A2486" s="2">
        <v>44351</v>
      </c>
      <c r="B2486" t="s">
        <v>59</v>
      </c>
      <c r="C2486">
        <v>-2369</v>
      </c>
      <c r="D2486" t="str">
        <f>VLOOKUP(B2486,Tabela_Auxiliar[],2,0)</f>
        <v>4. Despesas Operacionais</v>
      </c>
      <c r="E2486" t="str">
        <f>VLOOKUP(B2486,Tabela_Auxiliar[],4,0)</f>
        <v>Despesa de Depreciação</v>
      </c>
      <c r="F2486" t="str">
        <f>VLOOKUP(B2486,Tabela_Auxiliar[],3,0)</f>
        <v>Saída</v>
      </c>
      <c r="G2486" t="str">
        <f>UPPER(TEXT(Tabela_DB[[#This Row],[DATA]],"mmm"))</f>
        <v>JUN</v>
      </c>
      <c r="H2486" t="str">
        <f>UPPER(TEXT(Tabela_DB[[#This Row],[DATA]],"aaaa"))</f>
        <v>2021</v>
      </c>
    </row>
    <row r="2487" spans="1:8" x14ac:dyDescent="0.25">
      <c r="A2487" s="2">
        <v>44351</v>
      </c>
      <c r="B2487" t="s">
        <v>111</v>
      </c>
      <c r="C2487">
        <v>-1530</v>
      </c>
      <c r="D2487" t="str">
        <f>VLOOKUP(B2487,Tabela_Auxiliar[],2,0)</f>
        <v>2. Deduções da Receita</v>
      </c>
      <c r="E2487" t="str">
        <f>VLOOKUP(B2487,Tabela_Auxiliar[],4,0)</f>
        <v>Imposto</v>
      </c>
      <c r="F2487" t="str">
        <f>VLOOKUP(B2487,Tabela_Auxiliar[],3,0)</f>
        <v>Saída</v>
      </c>
      <c r="G2487" t="str">
        <f>UPPER(TEXT(Tabela_DB[[#This Row],[DATA]],"mmm"))</f>
        <v>JUN</v>
      </c>
      <c r="H2487" t="str">
        <f>UPPER(TEXT(Tabela_DB[[#This Row],[DATA]],"aaaa"))</f>
        <v>2021</v>
      </c>
    </row>
    <row r="2488" spans="1:8" x14ac:dyDescent="0.25">
      <c r="A2488" s="2">
        <v>44351</v>
      </c>
      <c r="B2488" t="s">
        <v>111</v>
      </c>
      <c r="C2488">
        <v>-2020</v>
      </c>
      <c r="D2488" t="str">
        <f>VLOOKUP(B2488,Tabela_Auxiliar[],2,0)</f>
        <v>2. Deduções da Receita</v>
      </c>
      <c r="E2488" t="str">
        <f>VLOOKUP(B2488,Tabela_Auxiliar[],4,0)</f>
        <v>Imposto</v>
      </c>
      <c r="F2488" t="str">
        <f>VLOOKUP(B2488,Tabela_Auxiliar[],3,0)</f>
        <v>Saída</v>
      </c>
      <c r="G2488" t="str">
        <f>UPPER(TEXT(Tabela_DB[[#This Row],[DATA]],"mmm"))</f>
        <v>JUN</v>
      </c>
      <c r="H2488" t="str">
        <f>UPPER(TEXT(Tabela_DB[[#This Row],[DATA]],"aaaa"))</f>
        <v>2021</v>
      </c>
    </row>
    <row r="2489" spans="1:8" x14ac:dyDescent="0.25">
      <c r="A2489" s="2">
        <v>44351</v>
      </c>
      <c r="B2489" t="s">
        <v>100</v>
      </c>
      <c r="C2489">
        <v>243400</v>
      </c>
      <c r="D2489" t="str">
        <f>VLOOKUP(B2489,Tabela_Auxiliar[],2,0)</f>
        <v>5. Resultado Financeiro</v>
      </c>
      <c r="E2489" t="str">
        <f>VLOOKUP(B2489,Tabela_Auxiliar[],4,0)</f>
        <v>Receita Financeira</v>
      </c>
      <c r="F2489" t="str">
        <f>VLOOKUP(B2489,Tabela_Auxiliar[],3,0)</f>
        <v>Saída</v>
      </c>
      <c r="G2489" t="str">
        <f>UPPER(TEXT(Tabela_DB[[#This Row],[DATA]],"mmm"))</f>
        <v>JUN</v>
      </c>
      <c r="H2489" t="str">
        <f>UPPER(TEXT(Tabela_DB[[#This Row],[DATA]],"aaaa"))</f>
        <v>2021</v>
      </c>
    </row>
    <row r="2490" spans="1:8" x14ac:dyDescent="0.25">
      <c r="A2490" s="2">
        <v>44351</v>
      </c>
      <c r="B2490" t="s">
        <v>37</v>
      </c>
      <c r="C2490">
        <v>-4689</v>
      </c>
      <c r="D2490" t="str">
        <f>VLOOKUP(B2490,Tabela_Auxiliar[],2,0)</f>
        <v>3. Custos do Produto/Mercadoria/Serviço</v>
      </c>
      <c r="E2490" t="str">
        <f>VLOOKUP(B2490,Tabela_Auxiliar[],4,0)</f>
        <v>Despesas c/ Produto</v>
      </c>
      <c r="F2490" t="str">
        <f>VLOOKUP(B2490,Tabela_Auxiliar[],3,0)</f>
        <v>Saída</v>
      </c>
      <c r="G2490" t="str">
        <f>UPPER(TEXT(Tabela_DB[[#This Row],[DATA]],"mmm"))</f>
        <v>JUN</v>
      </c>
      <c r="H2490" t="str">
        <f>UPPER(TEXT(Tabela_DB[[#This Row],[DATA]],"aaaa"))</f>
        <v>2021</v>
      </c>
    </row>
    <row r="2491" spans="1:8" x14ac:dyDescent="0.25">
      <c r="A2491" s="2">
        <v>44351</v>
      </c>
      <c r="B2491" t="s">
        <v>34</v>
      </c>
      <c r="C2491">
        <v>-1271</v>
      </c>
      <c r="D2491" t="str">
        <f>VLOOKUP(B2491,Tabela_Auxiliar[],2,0)</f>
        <v>2. Deduções da Receita</v>
      </c>
      <c r="E2491" t="str">
        <f>VLOOKUP(B2491,Tabela_Auxiliar[],4,0)</f>
        <v>Imposto</v>
      </c>
      <c r="F2491" t="str">
        <f>VLOOKUP(B2491,Tabela_Auxiliar[],3,0)</f>
        <v>Saída</v>
      </c>
      <c r="G2491" t="str">
        <f>UPPER(TEXT(Tabela_DB[[#This Row],[DATA]],"mmm"))</f>
        <v>JUN</v>
      </c>
      <c r="H2491" t="str">
        <f>UPPER(TEXT(Tabela_DB[[#This Row],[DATA]],"aaaa"))</f>
        <v>2021</v>
      </c>
    </row>
    <row r="2492" spans="1:8" x14ac:dyDescent="0.25">
      <c r="A2492" s="2">
        <v>44352</v>
      </c>
      <c r="B2492" t="s">
        <v>111</v>
      </c>
      <c r="C2492">
        <v>-1740</v>
      </c>
      <c r="D2492" t="str">
        <f>VLOOKUP(B2492,Tabela_Auxiliar[],2,0)</f>
        <v>2. Deduções da Receita</v>
      </c>
      <c r="E2492" t="str">
        <f>VLOOKUP(B2492,Tabela_Auxiliar[],4,0)</f>
        <v>Imposto</v>
      </c>
      <c r="F2492" t="str">
        <f>VLOOKUP(B2492,Tabela_Auxiliar[],3,0)</f>
        <v>Saída</v>
      </c>
      <c r="G2492" t="str">
        <f>UPPER(TEXT(Tabela_DB[[#This Row],[DATA]],"mmm"))</f>
        <v>JUN</v>
      </c>
      <c r="H2492" t="str">
        <f>UPPER(TEXT(Tabela_DB[[#This Row],[DATA]],"aaaa"))</f>
        <v>2021</v>
      </c>
    </row>
    <row r="2493" spans="1:8" x14ac:dyDescent="0.25">
      <c r="A2493" s="2">
        <v>44352</v>
      </c>
      <c r="B2493" t="s">
        <v>35</v>
      </c>
      <c r="C2493">
        <v>-1173</v>
      </c>
      <c r="D2493" t="str">
        <f>VLOOKUP(B2493,Tabela_Auxiliar[],2,0)</f>
        <v>2. Deduções da Receita</v>
      </c>
      <c r="E2493" t="str">
        <f>VLOOKUP(B2493,Tabela_Auxiliar[],4,0)</f>
        <v>Imposto</v>
      </c>
      <c r="F2493" t="str">
        <f>VLOOKUP(B2493,Tabela_Auxiliar[],3,0)</f>
        <v>Saída</v>
      </c>
      <c r="G2493" t="str">
        <f>UPPER(TEXT(Tabela_DB[[#This Row],[DATA]],"mmm"))</f>
        <v>JUN</v>
      </c>
      <c r="H2493" t="str">
        <f>UPPER(TEXT(Tabela_DB[[#This Row],[DATA]],"aaaa"))</f>
        <v>2021</v>
      </c>
    </row>
    <row r="2494" spans="1:8" x14ac:dyDescent="0.25">
      <c r="A2494" s="2">
        <v>44352</v>
      </c>
      <c r="B2494" t="s">
        <v>34</v>
      </c>
      <c r="C2494">
        <v>-1733</v>
      </c>
      <c r="D2494" t="str">
        <f>VLOOKUP(B2494,Tabela_Auxiliar[],2,0)</f>
        <v>2. Deduções da Receita</v>
      </c>
      <c r="E2494" t="str">
        <f>VLOOKUP(B2494,Tabela_Auxiliar[],4,0)</f>
        <v>Imposto</v>
      </c>
      <c r="F2494" t="str">
        <f>VLOOKUP(B2494,Tabela_Auxiliar[],3,0)</f>
        <v>Saída</v>
      </c>
      <c r="G2494" t="str">
        <f>UPPER(TEXT(Tabela_DB[[#This Row],[DATA]],"mmm"))</f>
        <v>JUN</v>
      </c>
      <c r="H2494" t="str">
        <f>UPPER(TEXT(Tabela_DB[[#This Row],[DATA]],"aaaa"))</f>
        <v>2021</v>
      </c>
    </row>
    <row r="2495" spans="1:8" x14ac:dyDescent="0.25">
      <c r="A2495" s="2">
        <v>44352</v>
      </c>
      <c r="B2495" t="s">
        <v>3</v>
      </c>
      <c r="C2495">
        <v>11924</v>
      </c>
      <c r="D2495" t="str">
        <f>VLOOKUP(B2495,Tabela_Auxiliar[],2,0)</f>
        <v>1. Receita Operacional Bruta</v>
      </c>
      <c r="E2495" t="str">
        <f>VLOOKUP(B2495,Tabela_Auxiliar[],4,0)</f>
        <v>Receita Bruta</v>
      </c>
      <c r="F2495" t="str">
        <f>VLOOKUP(B2495,Tabela_Auxiliar[],3,0)</f>
        <v>Entrada</v>
      </c>
      <c r="G2495" t="str">
        <f>UPPER(TEXT(Tabela_DB[[#This Row],[DATA]],"mmm"))</f>
        <v>JUN</v>
      </c>
      <c r="H2495" t="str">
        <f>UPPER(TEXT(Tabela_DB[[#This Row],[DATA]],"aaaa"))</f>
        <v>2021</v>
      </c>
    </row>
    <row r="2496" spans="1:8" x14ac:dyDescent="0.25">
      <c r="A2496" s="2">
        <v>44352</v>
      </c>
      <c r="B2496" t="s">
        <v>34</v>
      </c>
      <c r="C2496">
        <v>-1315</v>
      </c>
      <c r="D2496" t="str">
        <f>VLOOKUP(B2496,Tabela_Auxiliar[],2,0)</f>
        <v>2. Deduções da Receita</v>
      </c>
      <c r="E2496" t="str">
        <f>VLOOKUP(B2496,Tabela_Auxiliar[],4,0)</f>
        <v>Imposto</v>
      </c>
      <c r="F2496" t="str">
        <f>VLOOKUP(B2496,Tabela_Auxiliar[],3,0)</f>
        <v>Saída</v>
      </c>
      <c r="G2496" t="str">
        <f>UPPER(TEXT(Tabela_DB[[#This Row],[DATA]],"mmm"))</f>
        <v>JUN</v>
      </c>
      <c r="H2496" t="str">
        <f>UPPER(TEXT(Tabela_DB[[#This Row],[DATA]],"aaaa"))</f>
        <v>2021</v>
      </c>
    </row>
    <row r="2497" spans="1:8" x14ac:dyDescent="0.25">
      <c r="A2497" s="2">
        <v>44352</v>
      </c>
      <c r="B2497" t="s">
        <v>74</v>
      </c>
      <c r="C2497">
        <v>-1136</v>
      </c>
      <c r="D2497" t="str">
        <f>VLOOKUP(B2497,Tabela_Auxiliar[],2,0)</f>
        <v>4. Despesas Operacionais</v>
      </c>
      <c r="E2497" t="str">
        <f>VLOOKUP(B2497,Tabela_Auxiliar[],4,0)</f>
        <v>Serviços Contratados</v>
      </c>
      <c r="F2497" t="str">
        <f>VLOOKUP(B2497,Tabela_Auxiliar[],3,0)</f>
        <v>Saída</v>
      </c>
      <c r="G2497" t="str">
        <f>UPPER(TEXT(Tabela_DB[[#This Row],[DATA]],"mmm"))</f>
        <v>JUN</v>
      </c>
      <c r="H2497" t="str">
        <f>UPPER(TEXT(Tabela_DB[[#This Row],[DATA]],"aaaa"))</f>
        <v>2021</v>
      </c>
    </row>
    <row r="2498" spans="1:8" x14ac:dyDescent="0.25">
      <c r="A2498" s="2">
        <v>44352</v>
      </c>
      <c r="B2498" t="s">
        <v>58</v>
      </c>
      <c r="C2498">
        <v>-1079</v>
      </c>
      <c r="D2498" t="str">
        <f>VLOOKUP(B2498,Tabela_Auxiliar[],2,0)</f>
        <v>4. Despesas Operacionais</v>
      </c>
      <c r="E2498" t="str">
        <f>VLOOKUP(B2498,Tabela_Auxiliar[],4,0)</f>
        <v>Despesa de Depreciação</v>
      </c>
      <c r="F2498" t="str">
        <f>VLOOKUP(B2498,Tabela_Auxiliar[],3,0)</f>
        <v>Saída</v>
      </c>
      <c r="G2498" t="str">
        <f>UPPER(TEXT(Tabela_DB[[#This Row],[DATA]],"mmm"))</f>
        <v>JUN</v>
      </c>
      <c r="H2498" t="str">
        <f>UPPER(TEXT(Tabela_DB[[#This Row],[DATA]],"aaaa"))</f>
        <v>2021</v>
      </c>
    </row>
    <row r="2499" spans="1:8" x14ac:dyDescent="0.25">
      <c r="A2499" s="2">
        <v>44352</v>
      </c>
      <c r="B2499" t="s">
        <v>37</v>
      </c>
      <c r="C2499">
        <v>-2831</v>
      </c>
      <c r="D2499" t="str">
        <f>VLOOKUP(B2499,Tabela_Auxiliar[],2,0)</f>
        <v>3. Custos do Produto/Mercadoria/Serviço</v>
      </c>
      <c r="E2499" t="str">
        <f>VLOOKUP(B2499,Tabela_Auxiliar[],4,0)</f>
        <v>Despesas c/ Produto</v>
      </c>
      <c r="F2499" t="str">
        <f>VLOOKUP(B2499,Tabela_Auxiliar[],3,0)</f>
        <v>Saída</v>
      </c>
      <c r="G2499" t="str">
        <f>UPPER(TEXT(Tabela_DB[[#This Row],[DATA]],"mmm"))</f>
        <v>JUN</v>
      </c>
      <c r="H2499" t="str">
        <f>UPPER(TEXT(Tabela_DB[[#This Row],[DATA]],"aaaa"))</f>
        <v>2021</v>
      </c>
    </row>
    <row r="2500" spans="1:8" x14ac:dyDescent="0.25">
      <c r="A2500" s="2">
        <v>44352</v>
      </c>
      <c r="B2500" t="s">
        <v>4</v>
      </c>
      <c r="C2500">
        <v>12497</v>
      </c>
      <c r="D2500" t="str">
        <f>VLOOKUP(B2500,Tabela_Auxiliar[],2,0)</f>
        <v>1. Receita Operacional Bruta</v>
      </c>
      <c r="E2500" t="str">
        <f>VLOOKUP(B2500,Tabela_Auxiliar[],4,0)</f>
        <v>Receita Bruta</v>
      </c>
      <c r="F2500" t="str">
        <f>VLOOKUP(B2500,Tabela_Auxiliar[],3,0)</f>
        <v>Entrada</v>
      </c>
      <c r="G2500" t="str">
        <f>UPPER(TEXT(Tabela_DB[[#This Row],[DATA]],"mmm"))</f>
        <v>JUN</v>
      </c>
      <c r="H2500" t="str">
        <f>UPPER(TEXT(Tabela_DB[[#This Row],[DATA]],"aaaa"))</f>
        <v>2021</v>
      </c>
    </row>
    <row r="2501" spans="1:8" x14ac:dyDescent="0.25">
      <c r="A2501" s="2">
        <v>44352</v>
      </c>
      <c r="B2501" t="s">
        <v>84</v>
      </c>
      <c r="C2501">
        <v>-1921</v>
      </c>
      <c r="D2501" t="str">
        <f>VLOOKUP(B2501,Tabela_Auxiliar[],2,0)</f>
        <v>4. Despesas Operacionais</v>
      </c>
      <c r="E2501" t="str">
        <f>VLOOKUP(B2501,Tabela_Auxiliar[],4,0)</f>
        <v>Despesa com Veículos</v>
      </c>
      <c r="F2501" t="str">
        <f>VLOOKUP(B2501,Tabela_Auxiliar[],3,0)</f>
        <v>Saída</v>
      </c>
      <c r="G2501" t="str">
        <f>UPPER(TEXT(Tabela_DB[[#This Row],[DATA]],"mmm"))</f>
        <v>JUN</v>
      </c>
      <c r="H2501" t="str">
        <f>UPPER(TEXT(Tabela_DB[[#This Row],[DATA]],"aaaa"))</f>
        <v>2021</v>
      </c>
    </row>
    <row r="2502" spans="1:8" x14ac:dyDescent="0.25">
      <c r="A2502" s="2">
        <v>44352</v>
      </c>
      <c r="B2502" t="s">
        <v>3</v>
      </c>
      <c r="C2502">
        <v>13119</v>
      </c>
      <c r="D2502" t="str">
        <f>VLOOKUP(B2502,Tabela_Auxiliar[],2,0)</f>
        <v>1. Receita Operacional Bruta</v>
      </c>
      <c r="E2502" t="str">
        <f>VLOOKUP(B2502,Tabela_Auxiliar[],4,0)</f>
        <v>Receita Bruta</v>
      </c>
      <c r="F2502" t="str">
        <f>VLOOKUP(B2502,Tabela_Auxiliar[],3,0)</f>
        <v>Entrada</v>
      </c>
      <c r="G2502" t="str">
        <f>UPPER(TEXT(Tabela_DB[[#This Row],[DATA]],"mmm"))</f>
        <v>JUN</v>
      </c>
      <c r="H2502" t="str">
        <f>UPPER(TEXT(Tabela_DB[[#This Row],[DATA]],"aaaa"))</f>
        <v>2021</v>
      </c>
    </row>
    <row r="2503" spans="1:8" x14ac:dyDescent="0.25">
      <c r="A2503" s="2">
        <v>44352</v>
      </c>
      <c r="B2503" t="s">
        <v>37</v>
      </c>
      <c r="C2503">
        <v>-2648</v>
      </c>
      <c r="D2503" t="str">
        <f>VLOOKUP(B2503,Tabela_Auxiliar[],2,0)</f>
        <v>3. Custos do Produto/Mercadoria/Serviço</v>
      </c>
      <c r="E2503" t="str">
        <f>VLOOKUP(B2503,Tabela_Auxiliar[],4,0)</f>
        <v>Despesas c/ Produto</v>
      </c>
      <c r="F2503" t="str">
        <f>VLOOKUP(B2503,Tabela_Auxiliar[],3,0)</f>
        <v>Saída</v>
      </c>
      <c r="G2503" t="str">
        <f>UPPER(TEXT(Tabela_DB[[#This Row],[DATA]],"mmm"))</f>
        <v>JUN</v>
      </c>
      <c r="H2503" t="str">
        <f>UPPER(TEXT(Tabela_DB[[#This Row],[DATA]],"aaaa"))</f>
        <v>2021</v>
      </c>
    </row>
    <row r="2504" spans="1:8" x14ac:dyDescent="0.25">
      <c r="A2504" s="2">
        <v>44352</v>
      </c>
      <c r="B2504" t="s">
        <v>3</v>
      </c>
      <c r="C2504">
        <v>14271</v>
      </c>
      <c r="D2504" t="str">
        <f>VLOOKUP(B2504,Tabela_Auxiliar[],2,0)</f>
        <v>1. Receita Operacional Bruta</v>
      </c>
      <c r="E2504" t="str">
        <f>VLOOKUP(B2504,Tabela_Auxiliar[],4,0)</f>
        <v>Receita Bruta</v>
      </c>
      <c r="F2504" t="str">
        <f>VLOOKUP(B2504,Tabela_Auxiliar[],3,0)</f>
        <v>Entrada</v>
      </c>
      <c r="G2504" t="str">
        <f>UPPER(TEXT(Tabela_DB[[#This Row],[DATA]],"mmm"))</f>
        <v>JUN</v>
      </c>
      <c r="H2504" t="str">
        <f>UPPER(TEXT(Tabela_DB[[#This Row],[DATA]],"aaaa"))</f>
        <v>2021</v>
      </c>
    </row>
    <row r="2505" spans="1:8" x14ac:dyDescent="0.25">
      <c r="A2505" s="2">
        <v>44352</v>
      </c>
      <c r="B2505" t="s">
        <v>4</v>
      </c>
      <c r="C2505">
        <v>11107</v>
      </c>
      <c r="D2505" t="str">
        <f>VLOOKUP(B2505,Tabela_Auxiliar[],2,0)</f>
        <v>1. Receita Operacional Bruta</v>
      </c>
      <c r="E2505" t="str">
        <f>VLOOKUP(B2505,Tabela_Auxiliar[],4,0)</f>
        <v>Receita Bruta</v>
      </c>
      <c r="F2505" t="str">
        <f>VLOOKUP(B2505,Tabela_Auxiliar[],3,0)</f>
        <v>Entrada</v>
      </c>
      <c r="G2505" t="str">
        <f>UPPER(TEXT(Tabela_DB[[#This Row],[DATA]],"mmm"))</f>
        <v>JUN</v>
      </c>
      <c r="H2505" t="str">
        <f>UPPER(TEXT(Tabela_DB[[#This Row],[DATA]],"aaaa"))</f>
        <v>2021</v>
      </c>
    </row>
    <row r="2506" spans="1:8" x14ac:dyDescent="0.25">
      <c r="A2506" s="2">
        <v>44352</v>
      </c>
      <c r="B2506" t="s">
        <v>35</v>
      </c>
      <c r="C2506">
        <v>-1633</v>
      </c>
      <c r="D2506" t="str">
        <f>VLOOKUP(B2506,Tabela_Auxiliar[],2,0)</f>
        <v>2. Deduções da Receita</v>
      </c>
      <c r="E2506" t="str">
        <f>VLOOKUP(B2506,Tabela_Auxiliar[],4,0)</f>
        <v>Imposto</v>
      </c>
      <c r="F2506" t="str">
        <f>VLOOKUP(B2506,Tabela_Auxiliar[],3,0)</f>
        <v>Saída</v>
      </c>
      <c r="G2506" t="str">
        <f>UPPER(TEXT(Tabela_DB[[#This Row],[DATA]],"mmm"))</f>
        <v>JUN</v>
      </c>
      <c r="H2506" t="str">
        <f>UPPER(TEXT(Tabela_DB[[#This Row],[DATA]],"aaaa"))</f>
        <v>2021</v>
      </c>
    </row>
    <row r="2507" spans="1:8" x14ac:dyDescent="0.25">
      <c r="A2507" s="2">
        <v>44352</v>
      </c>
      <c r="B2507" t="s">
        <v>35</v>
      </c>
      <c r="C2507">
        <v>-1242</v>
      </c>
      <c r="D2507" t="str">
        <f>VLOOKUP(B2507,Tabela_Auxiliar[],2,0)</f>
        <v>2. Deduções da Receita</v>
      </c>
      <c r="E2507" t="str">
        <f>VLOOKUP(B2507,Tabela_Auxiliar[],4,0)</f>
        <v>Imposto</v>
      </c>
      <c r="F2507" t="str">
        <f>VLOOKUP(B2507,Tabela_Auxiliar[],3,0)</f>
        <v>Saída</v>
      </c>
      <c r="G2507" t="str">
        <f>UPPER(TEXT(Tabela_DB[[#This Row],[DATA]],"mmm"))</f>
        <v>JUN</v>
      </c>
      <c r="H2507" t="str">
        <f>UPPER(TEXT(Tabela_DB[[#This Row],[DATA]],"aaaa"))</f>
        <v>2021</v>
      </c>
    </row>
    <row r="2508" spans="1:8" x14ac:dyDescent="0.25">
      <c r="A2508" s="2">
        <v>44353</v>
      </c>
      <c r="B2508" t="s">
        <v>63</v>
      </c>
      <c r="C2508">
        <v>-1419</v>
      </c>
      <c r="D2508" t="str">
        <f>VLOOKUP(B2508,Tabela_Auxiliar[],2,0)</f>
        <v>4. Despesas Operacionais</v>
      </c>
      <c r="E2508" t="str">
        <f>VLOOKUP(B2508,Tabela_Auxiliar[],4,0)</f>
        <v>Despesa Gerais</v>
      </c>
      <c r="F2508" t="str">
        <f>VLOOKUP(B2508,Tabela_Auxiliar[],3,0)</f>
        <v>Saída</v>
      </c>
      <c r="G2508" t="str">
        <f>UPPER(TEXT(Tabela_DB[[#This Row],[DATA]],"mmm"))</f>
        <v>JUN</v>
      </c>
      <c r="H2508" t="str">
        <f>UPPER(TEXT(Tabela_DB[[#This Row],[DATA]],"aaaa"))</f>
        <v>2021</v>
      </c>
    </row>
    <row r="2509" spans="1:8" x14ac:dyDescent="0.25">
      <c r="A2509" s="2">
        <v>44353</v>
      </c>
      <c r="B2509" t="s">
        <v>80</v>
      </c>
      <c r="C2509">
        <v>-2367</v>
      </c>
      <c r="D2509" t="str">
        <f>VLOOKUP(B2509,Tabela_Auxiliar[],2,0)</f>
        <v>4. Despesas Operacionais</v>
      </c>
      <c r="E2509" t="str">
        <f>VLOOKUP(B2509,Tabela_Auxiliar[],4,0)</f>
        <v>Serviços Contratados</v>
      </c>
      <c r="F2509" t="str">
        <f>VLOOKUP(B2509,Tabela_Auxiliar[],3,0)</f>
        <v>Saída</v>
      </c>
      <c r="G2509" t="str">
        <f>UPPER(TEXT(Tabela_DB[[#This Row],[DATA]],"mmm"))</f>
        <v>JUN</v>
      </c>
      <c r="H2509" t="str">
        <f>UPPER(TEXT(Tabela_DB[[#This Row],[DATA]],"aaaa"))</f>
        <v>2021</v>
      </c>
    </row>
    <row r="2510" spans="1:8" x14ac:dyDescent="0.25">
      <c r="A2510" s="2">
        <v>44353</v>
      </c>
      <c r="B2510" t="s">
        <v>68</v>
      </c>
      <c r="C2510">
        <v>-1053</v>
      </c>
      <c r="D2510" t="str">
        <f>VLOOKUP(B2510,Tabela_Auxiliar[],2,0)</f>
        <v>4. Despesas Operacionais</v>
      </c>
      <c r="E2510" t="str">
        <f>VLOOKUP(B2510,Tabela_Auxiliar[],4,0)</f>
        <v>Despesa com Ocupação</v>
      </c>
      <c r="F2510" t="str">
        <f>VLOOKUP(B2510,Tabela_Auxiliar[],3,0)</f>
        <v>Saída</v>
      </c>
      <c r="G2510" t="str">
        <f>UPPER(TEXT(Tabela_DB[[#This Row],[DATA]],"mmm"))</f>
        <v>JUN</v>
      </c>
      <c r="H2510" t="str">
        <f>UPPER(TEXT(Tabela_DB[[#This Row],[DATA]],"aaaa"))</f>
        <v>2021</v>
      </c>
    </row>
    <row r="2511" spans="1:8" x14ac:dyDescent="0.25">
      <c r="A2511" s="2">
        <v>44353</v>
      </c>
      <c r="B2511" t="s">
        <v>56</v>
      </c>
      <c r="C2511">
        <v>-2125</v>
      </c>
      <c r="D2511" t="str">
        <f>VLOOKUP(B2511,Tabela_Auxiliar[],2,0)</f>
        <v>4. Despesas Operacionais</v>
      </c>
      <c r="E2511" t="str">
        <f>VLOOKUP(B2511,Tabela_Auxiliar[],4,0)</f>
        <v>Despesa com Pessoal</v>
      </c>
      <c r="F2511" t="str">
        <f>VLOOKUP(B2511,Tabela_Auxiliar[],3,0)</f>
        <v>Saída</v>
      </c>
      <c r="G2511" t="str">
        <f>UPPER(TEXT(Tabela_DB[[#This Row],[DATA]],"mmm"))</f>
        <v>JUN</v>
      </c>
      <c r="H2511" t="str">
        <f>UPPER(TEXT(Tabela_DB[[#This Row],[DATA]],"aaaa"))</f>
        <v>2021</v>
      </c>
    </row>
    <row r="2512" spans="1:8" x14ac:dyDescent="0.25">
      <c r="A2512" s="2">
        <v>44353</v>
      </c>
      <c r="B2512" t="s">
        <v>100</v>
      </c>
      <c r="C2512">
        <v>1788</v>
      </c>
      <c r="D2512" t="str">
        <f>VLOOKUP(B2512,Tabela_Auxiliar[],2,0)</f>
        <v>5. Resultado Financeiro</v>
      </c>
      <c r="E2512" t="str">
        <f>VLOOKUP(B2512,Tabela_Auxiliar[],4,0)</f>
        <v>Receita Financeira</v>
      </c>
      <c r="F2512" t="str">
        <f>VLOOKUP(B2512,Tabela_Auxiliar[],3,0)</f>
        <v>Saída</v>
      </c>
      <c r="G2512" t="str">
        <f>UPPER(TEXT(Tabela_DB[[#This Row],[DATA]],"mmm"))</f>
        <v>JUN</v>
      </c>
      <c r="H2512" t="str">
        <f>UPPER(TEXT(Tabela_DB[[#This Row],[DATA]],"aaaa"))</f>
        <v>2021</v>
      </c>
    </row>
    <row r="2513" spans="1:8" x14ac:dyDescent="0.25">
      <c r="A2513" s="2">
        <v>44353</v>
      </c>
      <c r="B2513" t="s">
        <v>77</v>
      </c>
      <c r="C2513">
        <v>-2450</v>
      </c>
      <c r="D2513" t="str">
        <f>VLOOKUP(B2513,Tabela_Auxiliar[],2,0)</f>
        <v>4. Despesas Operacionais</v>
      </c>
      <c r="E2513" t="str">
        <f>VLOOKUP(B2513,Tabela_Auxiliar[],4,0)</f>
        <v>Serviços Contratados</v>
      </c>
      <c r="F2513" t="str">
        <f>VLOOKUP(B2513,Tabela_Auxiliar[],3,0)</f>
        <v>Saída</v>
      </c>
      <c r="G2513" t="str">
        <f>UPPER(TEXT(Tabela_DB[[#This Row],[DATA]],"mmm"))</f>
        <v>JUN</v>
      </c>
      <c r="H2513" t="str">
        <f>UPPER(TEXT(Tabela_DB[[#This Row],[DATA]],"aaaa"))</f>
        <v>2021</v>
      </c>
    </row>
    <row r="2514" spans="1:8" x14ac:dyDescent="0.25">
      <c r="A2514" s="2">
        <v>44353</v>
      </c>
      <c r="B2514" t="s">
        <v>38</v>
      </c>
      <c r="C2514">
        <v>-1885</v>
      </c>
      <c r="D2514" t="str">
        <f>VLOOKUP(B2514,Tabela_Auxiliar[],2,0)</f>
        <v>2. Deduções da Receita</v>
      </c>
      <c r="E2514" t="str">
        <f>VLOOKUP(B2514,Tabela_Auxiliar[],4,0)</f>
        <v>Deduções</v>
      </c>
      <c r="F2514" t="str">
        <f>VLOOKUP(B2514,Tabela_Auxiliar[],3,0)</f>
        <v>Saída</v>
      </c>
      <c r="G2514" t="str">
        <f>UPPER(TEXT(Tabela_DB[[#This Row],[DATA]],"mmm"))</f>
        <v>JUN</v>
      </c>
      <c r="H2514" t="str">
        <f>UPPER(TEXT(Tabela_DB[[#This Row],[DATA]],"aaaa"))</f>
        <v>2021</v>
      </c>
    </row>
    <row r="2515" spans="1:8" x14ac:dyDescent="0.25">
      <c r="A2515" s="2">
        <v>44353</v>
      </c>
      <c r="B2515" t="s">
        <v>37</v>
      </c>
      <c r="C2515">
        <v>-4727</v>
      </c>
      <c r="D2515" t="str">
        <f>VLOOKUP(B2515,Tabela_Auxiliar[],2,0)</f>
        <v>3. Custos do Produto/Mercadoria/Serviço</v>
      </c>
      <c r="E2515" t="str">
        <f>VLOOKUP(B2515,Tabela_Auxiliar[],4,0)</f>
        <v>Despesas c/ Produto</v>
      </c>
      <c r="F2515" t="str">
        <f>VLOOKUP(B2515,Tabela_Auxiliar[],3,0)</f>
        <v>Saída</v>
      </c>
      <c r="G2515" t="str">
        <f>UPPER(TEXT(Tabela_DB[[#This Row],[DATA]],"mmm"))</f>
        <v>JUN</v>
      </c>
      <c r="H2515" t="str">
        <f>UPPER(TEXT(Tabela_DB[[#This Row],[DATA]],"aaaa"))</f>
        <v>2021</v>
      </c>
    </row>
    <row r="2516" spans="1:8" x14ac:dyDescent="0.25">
      <c r="A2516" s="2">
        <v>44353</v>
      </c>
      <c r="B2516" t="s">
        <v>85</v>
      </c>
      <c r="C2516">
        <v>-2237</v>
      </c>
      <c r="D2516" t="str">
        <f>VLOOKUP(B2516,Tabela_Auxiliar[],2,0)</f>
        <v>4. Despesas Operacionais</v>
      </c>
      <c r="E2516" t="str">
        <f>VLOOKUP(B2516,Tabela_Auxiliar[],4,0)</f>
        <v>Despesa com Veículos</v>
      </c>
      <c r="F2516" t="str">
        <f>VLOOKUP(B2516,Tabela_Auxiliar[],3,0)</f>
        <v>Saída</v>
      </c>
      <c r="G2516" t="str">
        <f>UPPER(TEXT(Tabela_DB[[#This Row],[DATA]],"mmm"))</f>
        <v>JUN</v>
      </c>
      <c r="H2516" t="str">
        <f>UPPER(TEXT(Tabela_DB[[#This Row],[DATA]],"aaaa"))</f>
        <v>2021</v>
      </c>
    </row>
    <row r="2517" spans="1:8" x14ac:dyDescent="0.25">
      <c r="A2517" s="2">
        <v>44353</v>
      </c>
      <c r="B2517" t="s">
        <v>80</v>
      </c>
      <c r="C2517">
        <v>-1511</v>
      </c>
      <c r="D2517" t="str">
        <f>VLOOKUP(B2517,Tabela_Auxiliar[],2,0)</f>
        <v>4. Despesas Operacionais</v>
      </c>
      <c r="E2517" t="str">
        <f>VLOOKUP(B2517,Tabela_Auxiliar[],4,0)</f>
        <v>Serviços Contratados</v>
      </c>
      <c r="F2517" t="str">
        <f>VLOOKUP(B2517,Tabela_Auxiliar[],3,0)</f>
        <v>Saída</v>
      </c>
      <c r="G2517" t="str">
        <f>UPPER(TEXT(Tabela_DB[[#This Row],[DATA]],"mmm"))</f>
        <v>JUN</v>
      </c>
      <c r="H2517" t="str">
        <f>UPPER(TEXT(Tabela_DB[[#This Row],[DATA]],"aaaa"))</f>
        <v>2021</v>
      </c>
    </row>
    <row r="2518" spans="1:8" x14ac:dyDescent="0.25">
      <c r="A2518" s="2">
        <v>44353</v>
      </c>
      <c r="B2518" t="s">
        <v>34</v>
      </c>
      <c r="C2518">
        <v>-1294</v>
      </c>
      <c r="D2518" t="str">
        <f>VLOOKUP(B2518,Tabela_Auxiliar[],2,0)</f>
        <v>2. Deduções da Receita</v>
      </c>
      <c r="E2518" t="str">
        <f>VLOOKUP(B2518,Tabela_Auxiliar[],4,0)</f>
        <v>Imposto</v>
      </c>
      <c r="F2518" t="str">
        <f>VLOOKUP(B2518,Tabela_Auxiliar[],3,0)</f>
        <v>Saída</v>
      </c>
      <c r="G2518" t="str">
        <f>UPPER(TEXT(Tabela_DB[[#This Row],[DATA]],"mmm"))</f>
        <v>JUN</v>
      </c>
      <c r="H2518" t="str">
        <f>UPPER(TEXT(Tabela_DB[[#This Row],[DATA]],"aaaa"))</f>
        <v>2021</v>
      </c>
    </row>
    <row r="2519" spans="1:8" x14ac:dyDescent="0.25">
      <c r="A2519" s="2">
        <v>44353</v>
      </c>
      <c r="B2519" t="s">
        <v>4</v>
      </c>
      <c r="C2519">
        <v>10426</v>
      </c>
      <c r="D2519" t="str">
        <f>VLOOKUP(B2519,Tabela_Auxiliar[],2,0)</f>
        <v>1. Receita Operacional Bruta</v>
      </c>
      <c r="E2519" t="str">
        <f>VLOOKUP(B2519,Tabela_Auxiliar[],4,0)</f>
        <v>Receita Bruta</v>
      </c>
      <c r="F2519" t="str">
        <f>VLOOKUP(B2519,Tabela_Auxiliar[],3,0)</f>
        <v>Entrada</v>
      </c>
      <c r="G2519" t="str">
        <f>UPPER(TEXT(Tabela_DB[[#This Row],[DATA]],"mmm"))</f>
        <v>JUN</v>
      </c>
      <c r="H2519" t="str">
        <f>UPPER(TEXT(Tabela_DB[[#This Row],[DATA]],"aaaa"))</f>
        <v>2021</v>
      </c>
    </row>
    <row r="2520" spans="1:8" x14ac:dyDescent="0.25">
      <c r="A2520" s="2">
        <v>44353</v>
      </c>
      <c r="B2520" t="s">
        <v>111</v>
      </c>
      <c r="C2520">
        <v>-1196</v>
      </c>
      <c r="D2520" t="str">
        <f>VLOOKUP(B2520,Tabela_Auxiliar[],2,0)</f>
        <v>2. Deduções da Receita</v>
      </c>
      <c r="E2520" t="str">
        <f>VLOOKUP(B2520,Tabela_Auxiliar[],4,0)</f>
        <v>Imposto</v>
      </c>
      <c r="F2520" t="str">
        <f>VLOOKUP(B2520,Tabela_Auxiliar[],3,0)</f>
        <v>Saída</v>
      </c>
      <c r="G2520" t="str">
        <f>UPPER(TEXT(Tabela_DB[[#This Row],[DATA]],"mmm"))</f>
        <v>JUN</v>
      </c>
      <c r="H2520" t="str">
        <f>UPPER(TEXT(Tabela_DB[[#This Row],[DATA]],"aaaa"))</f>
        <v>2021</v>
      </c>
    </row>
    <row r="2521" spans="1:8" x14ac:dyDescent="0.25">
      <c r="A2521" s="2">
        <v>44353</v>
      </c>
      <c r="B2521" t="s">
        <v>111</v>
      </c>
      <c r="C2521">
        <v>-1308</v>
      </c>
      <c r="D2521" t="str">
        <f>VLOOKUP(B2521,Tabela_Auxiliar[],2,0)</f>
        <v>2. Deduções da Receita</v>
      </c>
      <c r="E2521" t="str">
        <f>VLOOKUP(B2521,Tabela_Auxiliar[],4,0)</f>
        <v>Imposto</v>
      </c>
      <c r="F2521" t="str">
        <f>VLOOKUP(B2521,Tabela_Auxiliar[],3,0)</f>
        <v>Saída</v>
      </c>
      <c r="G2521" t="str">
        <f>UPPER(TEXT(Tabela_DB[[#This Row],[DATA]],"mmm"))</f>
        <v>JUN</v>
      </c>
      <c r="H2521" t="str">
        <f>UPPER(TEXT(Tabela_DB[[#This Row],[DATA]],"aaaa"))</f>
        <v>2021</v>
      </c>
    </row>
    <row r="2522" spans="1:8" x14ac:dyDescent="0.25">
      <c r="A2522" s="2">
        <v>44353</v>
      </c>
      <c r="B2522" t="s">
        <v>34</v>
      </c>
      <c r="C2522">
        <v>-2326</v>
      </c>
      <c r="D2522" t="str">
        <f>VLOOKUP(B2522,Tabela_Auxiliar[],2,0)</f>
        <v>2. Deduções da Receita</v>
      </c>
      <c r="E2522" t="str">
        <f>VLOOKUP(B2522,Tabela_Auxiliar[],4,0)</f>
        <v>Imposto</v>
      </c>
      <c r="F2522" t="str">
        <f>VLOOKUP(B2522,Tabela_Auxiliar[],3,0)</f>
        <v>Saída</v>
      </c>
      <c r="G2522" t="str">
        <f>UPPER(TEXT(Tabela_DB[[#This Row],[DATA]],"mmm"))</f>
        <v>JUN</v>
      </c>
      <c r="H2522" t="str">
        <f>UPPER(TEXT(Tabela_DB[[#This Row],[DATA]],"aaaa"))</f>
        <v>2021</v>
      </c>
    </row>
    <row r="2523" spans="1:8" x14ac:dyDescent="0.25">
      <c r="A2523" s="2">
        <v>44353</v>
      </c>
      <c r="B2523" t="s">
        <v>3</v>
      </c>
      <c r="C2523">
        <v>10340</v>
      </c>
      <c r="D2523" t="str">
        <f>VLOOKUP(B2523,Tabela_Auxiliar[],2,0)</f>
        <v>1. Receita Operacional Bruta</v>
      </c>
      <c r="E2523" t="str">
        <f>VLOOKUP(B2523,Tabela_Auxiliar[],4,0)</f>
        <v>Receita Bruta</v>
      </c>
      <c r="F2523" t="str">
        <f>VLOOKUP(B2523,Tabela_Auxiliar[],3,0)</f>
        <v>Entrada</v>
      </c>
      <c r="G2523" t="str">
        <f>UPPER(TEXT(Tabela_DB[[#This Row],[DATA]],"mmm"))</f>
        <v>JUN</v>
      </c>
      <c r="H2523" t="str">
        <f>UPPER(TEXT(Tabela_DB[[#This Row],[DATA]],"aaaa"))</f>
        <v>2021</v>
      </c>
    </row>
    <row r="2524" spans="1:8" x14ac:dyDescent="0.25">
      <c r="A2524" s="2">
        <v>44354</v>
      </c>
      <c r="B2524" t="s">
        <v>42</v>
      </c>
      <c r="C2524">
        <v>-1299</v>
      </c>
      <c r="D2524" t="str">
        <f>VLOOKUP(B2524,Tabela_Auxiliar[],2,0)</f>
        <v>4. Despesas Operacionais</v>
      </c>
      <c r="E2524" t="str">
        <f>VLOOKUP(B2524,Tabela_Auxiliar[],4,0)</f>
        <v>Despesa com Pessoal</v>
      </c>
      <c r="F2524" t="str">
        <f>VLOOKUP(B2524,Tabela_Auxiliar[],3,0)</f>
        <v>Saída</v>
      </c>
      <c r="G2524" t="str">
        <f>UPPER(TEXT(Tabela_DB[[#This Row],[DATA]],"mmm"))</f>
        <v>JUN</v>
      </c>
      <c r="H2524" t="str">
        <f>UPPER(TEXT(Tabela_DB[[#This Row],[DATA]],"aaaa"))</f>
        <v>2021</v>
      </c>
    </row>
    <row r="2525" spans="1:8" x14ac:dyDescent="0.25">
      <c r="A2525" s="2">
        <v>44354</v>
      </c>
      <c r="B2525" t="s">
        <v>72</v>
      </c>
      <c r="C2525">
        <v>-1524</v>
      </c>
      <c r="D2525" t="str">
        <f>VLOOKUP(B2525,Tabela_Auxiliar[],2,0)</f>
        <v>4. Despesas Operacionais</v>
      </c>
      <c r="E2525" t="str">
        <f>VLOOKUP(B2525,Tabela_Auxiliar[],4,0)</f>
        <v>Despesa com Ocupação</v>
      </c>
      <c r="F2525" t="str">
        <f>VLOOKUP(B2525,Tabela_Auxiliar[],3,0)</f>
        <v>Saída</v>
      </c>
      <c r="G2525" t="str">
        <f>UPPER(TEXT(Tabela_DB[[#This Row],[DATA]],"mmm"))</f>
        <v>JUN</v>
      </c>
      <c r="H2525" t="str">
        <f>UPPER(TEXT(Tabela_DB[[#This Row],[DATA]],"aaaa"))</f>
        <v>2021</v>
      </c>
    </row>
    <row r="2526" spans="1:8" x14ac:dyDescent="0.25">
      <c r="A2526" s="2">
        <v>44354</v>
      </c>
      <c r="B2526" t="s">
        <v>111</v>
      </c>
      <c r="C2526">
        <v>-2170</v>
      </c>
      <c r="D2526" t="str">
        <f>VLOOKUP(B2526,Tabela_Auxiliar[],2,0)</f>
        <v>2. Deduções da Receita</v>
      </c>
      <c r="E2526" t="str">
        <f>VLOOKUP(B2526,Tabela_Auxiliar[],4,0)</f>
        <v>Imposto</v>
      </c>
      <c r="F2526" t="str">
        <f>VLOOKUP(B2526,Tabela_Auxiliar[],3,0)</f>
        <v>Saída</v>
      </c>
      <c r="G2526" t="str">
        <f>UPPER(TEXT(Tabela_DB[[#This Row],[DATA]],"mmm"))</f>
        <v>JUN</v>
      </c>
      <c r="H2526" t="str">
        <f>UPPER(TEXT(Tabela_DB[[#This Row],[DATA]],"aaaa"))</f>
        <v>2021</v>
      </c>
    </row>
    <row r="2527" spans="1:8" x14ac:dyDescent="0.25">
      <c r="A2527" s="2">
        <v>44354</v>
      </c>
      <c r="B2527" t="s">
        <v>35</v>
      </c>
      <c r="C2527">
        <v>-1078</v>
      </c>
      <c r="D2527" t="str">
        <f>VLOOKUP(B2527,Tabela_Auxiliar[],2,0)</f>
        <v>2. Deduções da Receita</v>
      </c>
      <c r="E2527" t="str">
        <f>VLOOKUP(B2527,Tabela_Auxiliar[],4,0)</f>
        <v>Imposto</v>
      </c>
      <c r="F2527" t="str">
        <f>VLOOKUP(B2527,Tabela_Auxiliar[],3,0)</f>
        <v>Saída</v>
      </c>
      <c r="G2527" t="str">
        <f>UPPER(TEXT(Tabela_DB[[#This Row],[DATA]],"mmm"))</f>
        <v>JUN</v>
      </c>
      <c r="H2527" t="str">
        <f>UPPER(TEXT(Tabela_DB[[#This Row],[DATA]],"aaaa"))</f>
        <v>2021</v>
      </c>
    </row>
    <row r="2528" spans="1:8" x14ac:dyDescent="0.25">
      <c r="A2528" s="2">
        <v>44354</v>
      </c>
      <c r="B2528" t="s">
        <v>4</v>
      </c>
      <c r="C2528">
        <v>12810</v>
      </c>
      <c r="D2528" t="str">
        <f>VLOOKUP(B2528,Tabela_Auxiliar[],2,0)</f>
        <v>1. Receita Operacional Bruta</v>
      </c>
      <c r="E2528" t="str">
        <f>VLOOKUP(B2528,Tabela_Auxiliar[],4,0)</f>
        <v>Receita Bruta</v>
      </c>
      <c r="F2528" t="str">
        <f>VLOOKUP(B2528,Tabela_Auxiliar[],3,0)</f>
        <v>Entrada</v>
      </c>
      <c r="G2528" t="str">
        <f>UPPER(TEXT(Tabela_DB[[#This Row],[DATA]],"mmm"))</f>
        <v>JUN</v>
      </c>
      <c r="H2528" t="str">
        <f>UPPER(TEXT(Tabela_DB[[#This Row],[DATA]],"aaaa"))</f>
        <v>2021</v>
      </c>
    </row>
    <row r="2529" spans="1:8" x14ac:dyDescent="0.25">
      <c r="A2529" s="2">
        <v>44354</v>
      </c>
      <c r="B2529" t="s">
        <v>35</v>
      </c>
      <c r="C2529">
        <v>-1510</v>
      </c>
      <c r="D2529" t="str">
        <f>VLOOKUP(B2529,Tabela_Auxiliar[],2,0)</f>
        <v>2. Deduções da Receita</v>
      </c>
      <c r="E2529" t="str">
        <f>VLOOKUP(B2529,Tabela_Auxiliar[],4,0)</f>
        <v>Imposto</v>
      </c>
      <c r="F2529" t="str">
        <f>VLOOKUP(B2529,Tabela_Auxiliar[],3,0)</f>
        <v>Saída</v>
      </c>
      <c r="G2529" t="str">
        <f>UPPER(TEXT(Tabela_DB[[#This Row],[DATA]],"mmm"))</f>
        <v>JUN</v>
      </c>
      <c r="H2529" t="str">
        <f>UPPER(TEXT(Tabela_DB[[#This Row],[DATA]],"aaaa"))</f>
        <v>2021</v>
      </c>
    </row>
    <row r="2530" spans="1:8" x14ac:dyDescent="0.25">
      <c r="A2530" s="2">
        <v>44354</v>
      </c>
      <c r="B2530" t="s">
        <v>38</v>
      </c>
      <c r="C2530">
        <v>-1905</v>
      </c>
      <c r="D2530" t="str">
        <f>VLOOKUP(B2530,Tabela_Auxiliar[],2,0)</f>
        <v>2. Deduções da Receita</v>
      </c>
      <c r="E2530" t="str">
        <f>VLOOKUP(B2530,Tabela_Auxiliar[],4,0)</f>
        <v>Deduções</v>
      </c>
      <c r="F2530" t="str">
        <f>VLOOKUP(B2530,Tabela_Auxiliar[],3,0)</f>
        <v>Saída</v>
      </c>
      <c r="G2530" t="str">
        <f>UPPER(TEXT(Tabela_DB[[#This Row],[DATA]],"mmm"))</f>
        <v>JUN</v>
      </c>
      <c r="H2530" t="str">
        <f>UPPER(TEXT(Tabela_DB[[#This Row],[DATA]],"aaaa"))</f>
        <v>2021</v>
      </c>
    </row>
    <row r="2531" spans="1:8" x14ac:dyDescent="0.25">
      <c r="A2531" s="2">
        <v>44354</v>
      </c>
      <c r="B2531" t="s">
        <v>4</v>
      </c>
      <c r="C2531">
        <v>14567</v>
      </c>
      <c r="D2531" t="str">
        <f>VLOOKUP(B2531,Tabela_Auxiliar[],2,0)</f>
        <v>1. Receita Operacional Bruta</v>
      </c>
      <c r="E2531" t="str">
        <f>VLOOKUP(B2531,Tabela_Auxiliar[],4,0)</f>
        <v>Receita Bruta</v>
      </c>
      <c r="F2531" t="str">
        <f>VLOOKUP(B2531,Tabela_Auxiliar[],3,0)</f>
        <v>Entrada</v>
      </c>
      <c r="G2531" t="str">
        <f>UPPER(TEXT(Tabela_DB[[#This Row],[DATA]],"mmm"))</f>
        <v>JUN</v>
      </c>
      <c r="H2531" t="str">
        <f>UPPER(TEXT(Tabela_DB[[#This Row],[DATA]],"aaaa"))</f>
        <v>2021</v>
      </c>
    </row>
    <row r="2532" spans="1:8" x14ac:dyDescent="0.25">
      <c r="A2532" s="2">
        <v>44354</v>
      </c>
      <c r="B2532" t="s">
        <v>85</v>
      </c>
      <c r="C2532">
        <v>-2265</v>
      </c>
      <c r="D2532" t="str">
        <f>VLOOKUP(B2532,Tabela_Auxiliar[],2,0)</f>
        <v>4. Despesas Operacionais</v>
      </c>
      <c r="E2532" t="str">
        <f>VLOOKUP(B2532,Tabela_Auxiliar[],4,0)</f>
        <v>Despesa com Veículos</v>
      </c>
      <c r="F2532" t="str">
        <f>VLOOKUP(B2532,Tabela_Auxiliar[],3,0)</f>
        <v>Saída</v>
      </c>
      <c r="G2532" t="str">
        <f>UPPER(TEXT(Tabela_DB[[#This Row],[DATA]],"mmm"))</f>
        <v>JUN</v>
      </c>
      <c r="H2532" t="str">
        <f>UPPER(TEXT(Tabela_DB[[#This Row],[DATA]],"aaaa"))</f>
        <v>2021</v>
      </c>
    </row>
    <row r="2533" spans="1:8" x14ac:dyDescent="0.25">
      <c r="A2533" s="2">
        <v>44354</v>
      </c>
      <c r="B2533" t="s">
        <v>3</v>
      </c>
      <c r="C2533">
        <v>12579</v>
      </c>
      <c r="D2533" t="str">
        <f>VLOOKUP(B2533,Tabela_Auxiliar[],2,0)</f>
        <v>1. Receita Operacional Bruta</v>
      </c>
      <c r="E2533" t="str">
        <f>VLOOKUP(B2533,Tabela_Auxiliar[],4,0)</f>
        <v>Receita Bruta</v>
      </c>
      <c r="F2533" t="str">
        <f>VLOOKUP(B2533,Tabela_Auxiliar[],3,0)</f>
        <v>Entrada</v>
      </c>
      <c r="G2533" t="str">
        <f>UPPER(TEXT(Tabela_DB[[#This Row],[DATA]],"mmm"))</f>
        <v>JUN</v>
      </c>
      <c r="H2533" t="str">
        <f>UPPER(TEXT(Tabela_DB[[#This Row],[DATA]],"aaaa"))</f>
        <v>2021</v>
      </c>
    </row>
    <row r="2534" spans="1:8" x14ac:dyDescent="0.25">
      <c r="A2534" s="2">
        <v>44354</v>
      </c>
      <c r="B2534" t="s">
        <v>3</v>
      </c>
      <c r="C2534">
        <v>10771</v>
      </c>
      <c r="D2534" t="str">
        <f>VLOOKUP(B2534,Tabela_Auxiliar[],2,0)</f>
        <v>1. Receita Operacional Bruta</v>
      </c>
      <c r="E2534" t="str">
        <f>VLOOKUP(B2534,Tabela_Auxiliar[],4,0)</f>
        <v>Receita Bruta</v>
      </c>
      <c r="F2534" t="str">
        <f>VLOOKUP(B2534,Tabela_Auxiliar[],3,0)</f>
        <v>Entrada</v>
      </c>
      <c r="G2534" t="str">
        <f>UPPER(TEXT(Tabela_DB[[#This Row],[DATA]],"mmm"))</f>
        <v>JUN</v>
      </c>
      <c r="H2534" t="str">
        <f>UPPER(TEXT(Tabela_DB[[#This Row],[DATA]],"aaaa"))</f>
        <v>2021</v>
      </c>
    </row>
    <row r="2535" spans="1:8" x14ac:dyDescent="0.25">
      <c r="A2535" s="2">
        <v>44354</v>
      </c>
      <c r="B2535" t="s">
        <v>76</v>
      </c>
      <c r="C2535">
        <v>-2481</v>
      </c>
      <c r="D2535" t="str">
        <f>VLOOKUP(B2535,Tabela_Auxiliar[],2,0)</f>
        <v>4. Despesas Operacionais</v>
      </c>
      <c r="E2535" t="str">
        <f>VLOOKUP(B2535,Tabela_Auxiliar[],4,0)</f>
        <v>Serviços Contratados</v>
      </c>
      <c r="F2535" t="str">
        <f>VLOOKUP(B2535,Tabela_Auxiliar[],3,0)</f>
        <v>Saída</v>
      </c>
      <c r="G2535" t="str">
        <f>UPPER(TEXT(Tabela_DB[[#This Row],[DATA]],"mmm"))</f>
        <v>JUN</v>
      </c>
      <c r="H2535" t="str">
        <f>UPPER(TEXT(Tabela_DB[[#This Row],[DATA]],"aaaa"))</f>
        <v>2021</v>
      </c>
    </row>
    <row r="2536" spans="1:8" x14ac:dyDescent="0.25">
      <c r="A2536" s="2">
        <v>44354</v>
      </c>
      <c r="B2536" t="s">
        <v>34</v>
      </c>
      <c r="C2536">
        <v>-2255</v>
      </c>
      <c r="D2536" t="str">
        <f>VLOOKUP(B2536,Tabela_Auxiliar[],2,0)</f>
        <v>2. Deduções da Receita</v>
      </c>
      <c r="E2536" t="str">
        <f>VLOOKUP(B2536,Tabela_Auxiliar[],4,0)</f>
        <v>Imposto</v>
      </c>
      <c r="F2536" t="str">
        <f>VLOOKUP(B2536,Tabela_Auxiliar[],3,0)</f>
        <v>Saída</v>
      </c>
      <c r="G2536" t="str">
        <f>UPPER(TEXT(Tabela_DB[[#This Row],[DATA]],"mmm"))</f>
        <v>JUN</v>
      </c>
      <c r="H2536" t="str">
        <f>UPPER(TEXT(Tabela_DB[[#This Row],[DATA]],"aaaa"))</f>
        <v>2021</v>
      </c>
    </row>
    <row r="2537" spans="1:8" x14ac:dyDescent="0.25">
      <c r="A2537" s="2">
        <v>44354</v>
      </c>
      <c r="B2537" t="s">
        <v>35</v>
      </c>
      <c r="C2537">
        <v>-2015</v>
      </c>
      <c r="D2537" t="str">
        <f>VLOOKUP(B2537,Tabela_Auxiliar[],2,0)</f>
        <v>2. Deduções da Receita</v>
      </c>
      <c r="E2537" t="str">
        <f>VLOOKUP(B2537,Tabela_Auxiliar[],4,0)</f>
        <v>Imposto</v>
      </c>
      <c r="F2537" t="str">
        <f>VLOOKUP(B2537,Tabela_Auxiliar[],3,0)</f>
        <v>Saída</v>
      </c>
      <c r="G2537" t="str">
        <f>UPPER(TEXT(Tabela_DB[[#This Row],[DATA]],"mmm"))</f>
        <v>JUN</v>
      </c>
      <c r="H2537" t="str">
        <f>UPPER(TEXT(Tabela_DB[[#This Row],[DATA]],"aaaa"))</f>
        <v>2021</v>
      </c>
    </row>
    <row r="2538" spans="1:8" x14ac:dyDescent="0.25">
      <c r="A2538" s="2">
        <v>44354</v>
      </c>
      <c r="B2538" t="s">
        <v>80</v>
      </c>
      <c r="C2538">
        <v>-2294</v>
      </c>
      <c r="D2538" t="str">
        <f>VLOOKUP(B2538,Tabela_Auxiliar[],2,0)</f>
        <v>4. Despesas Operacionais</v>
      </c>
      <c r="E2538" t="str">
        <f>VLOOKUP(B2538,Tabela_Auxiliar[],4,0)</f>
        <v>Serviços Contratados</v>
      </c>
      <c r="F2538" t="str">
        <f>VLOOKUP(B2538,Tabela_Auxiliar[],3,0)</f>
        <v>Saída</v>
      </c>
      <c r="G2538" t="str">
        <f>UPPER(TEXT(Tabela_DB[[#This Row],[DATA]],"mmm"))</f>
        <v>JUN</v>
      </c>
      <c r="H2538" t="str">
        <f>UPPER(TEXT(Tabela_DB[[#This Row],[DATA]],"aaaa"))</f>
        <v>2021</v>
      </c>
    </row>
    <row r="2539" spans="1:8" x14ac:dyDescent="0.25">
      <c r="A2539" s="2">
        <v>44354</v>
      </c>
      <c r="B2539" t="s">
        <v>4</v>
      </c>
      <c r="C2539">
        <v>10364</v>
      </c>
      <c r="D2539" t="str">
        <f>VLOOKUP(B2539,Tabela_Auxiliar[],2,0)</f>
        <v>1. Receita Operacional Bruta</v>
      </c>
      <c r="E2539" t="str">
        <f>VLOOKUP(B2539,Tabela_Auxiliar[],4,0)</f>
        <v>Receita Bruta</v>
      </c>
      <c r="F2539" t="str">
        <f>VLOOKUP(B2539,Tabela_Auxiliar[],3,0)</f>
        <v>Entrada</v>
      </c>
      <c r="G2539" t="str">
        <f>UPPER(TEXT(Tabela_DB[[#This Row],[DATA]],"mmm"))</f>
        <v>JUN</v>
      </c>
      <c r="H2539" t="str">
        <f>UPPER(TEXT(Tabela_DB[[#This Row],[DATA]],"aaaa"))</f>
        <v>2021</v>
      </c>
    </row>
    <row r="2540" spans="1:8" x14ac:dyDescent="0.25">
      <c r="A2540" s="2">
        <v>44354</v>
      </c>
      <c r="B2540" t="s">
        <v>38</v>
      </c>
      <c r="C2540">
        <v>-1549</v>
      </c>
      <c r="D2540" t="str">
        <f>VLOOKUP(B2540,Tabela_Auxiliar[],2,0)</f>
        <v>2. Deduções da Receita</v>
      </c>
      <c r="E2540" t="str">
        <f>VLOOKUP(B2540,Tabela_Auxiliar[],4,0)</f>
        <v>Deduções</v>
      </c>
      <c r="F2540" t="str">
        <f>VLOOKUP(B2540,Tabela_Auxiliar[],3,0)</f>
        <v>Saída</v>
      </c>
      <c r="G2540" t="str">
        <f>UPPER(TEXT(Tabela_DB[[#This Row],[DATA]],"mmm"))</f>
        <v>JUN</v>
      </c>
      <c r="H2540" t="str">
        <f>UPPER(TEXT(Tabela_DB[[#This Row],[DATA]],"aaaa"))</f>
        <v>2021</v>
      </c>
    </row>
    <row r="2541" spans="1:8" x14ac:dyDescent="0.25">
      <c r="A2541" s="2">
        <v>44354</v>
      </c>
      <c r="B2541" t="s">
        <v>34</v>
      </c>
      <c r="C2541">
        <v>-1795</v>
      </c>
      <c r="D2541" t="str">
        <f>VLOOKUP(B2541,Tabela_Auxiliar[],2,0)</f>
        <v>2. Deduções da Receita</v>
      </c>
      <c r="E2541" t="str">
        <f>VLOOKUP(B2541,Tabela_Auxiliar[],4,0)</f>
        <v>Imposto</v>
      </c>
      <c r="F2541" t="str">
        <f>VLOOKUP(B2541,Tabela_Auxiliar[],3,0)</f>
        <v>Saída</v>
      </c>
      <c r="G2541" t="str">
        <f>UPPER(TEXT(Tabela_DB[[#This Row],[DATA]],"mmm"))</f>
        <v>JUN</v>
      </c>
      <c r="H2541" t="str">
        <f>UPPER(TEXT(Tabela_DB[[#This Row],[DATA]],"aaaa"))</f>
        <v>2021</v>
      </c>
    </row>
    <row r="2542" spans="1:8" x14ac:dyDescent="0.25">
      <c r="A2542" s="2">
        <v>44354</v>
      </c>
      <c r="B2542" t="s">
        <v>111</v>
      </c>
      <c r="C2542">
        <v>-2470</v>
      </c>
      <c r="D2542" t="str">
        <f>VLOOKUP(B2542,Tabela_Auxiliar[],2,0)</f>
        <v>2. Deduções da Receita</v>
      </c>
      <c r="E2542" t="str">
        <f>VLOOKUP(B2542,Tabela_Auxiliar[],4,0)</f>
        <v>Imposto</v>
      </c>
      <c r="F2542" t="str">
        <f>VLOOKUP(B2542,Tabela_Auxiliar[],3,0)</f>
        <v>Saída</v>
      </c>
      <c r="G2542" t="str">
        <f>UPPER(TEXT(Tabela_DB[[#This Row],[DATA]],"mmm"))</f>
        <v>JUN</v>
      </c>
      <c r="H2542" t="str">
        <f>UPPER(TEXT(Tabela_DB[[#This Row],[DATA]],"aaaa"))</f>
        <v>2021</v>
      </c>
    </row>
    <row r="2543" spans="1:8" x14ac:dyDescent="0.25">
      <c r="A2543" s="2">
        <v>44354</v>
      </c>
      <c r="B2543" t="s">
        <v>88</v>
      </c>
      <c r="C2543">
        <v>-1160</v>
      </c>
      <c r="D2543" t="str">
        <f>VLOOKUP(B2543,Tabela_Auxiliar[],2,0)</f>
        <v>4. Despesas Operacionais</v>
      </c>
      <c r="E2543" t="str">
        <f>VLOOKUP(B2543,Tabela_Auxiliar[],4,0)</f>
        <v>Despesa Tributária</v>
      </c>
      <c r="F2543" t="str">
        <f>VLOOKUP(B2543,Tabela_Auxiliar[],3,0)</f>
        <v>Saída</v>
      </c>
      <c r="G2543" t="str">
        <f>UPPER(TEXT(Tabela_DB[[#This Row],[DATA]],"mmm"))</f>
        <v>JUN</v>
      </c>
      <c r="H2543" t="str">
        <f>UPPER(TEXT(Tabela_DB[[#This Row],[DATA]],"aaaa"))</f>
        <v>2021</v>
      </c>
    </row>
    <row r="2544" spans="1:8" x14ac:dyDescent="0.25">
      <c r="A2544" s="2">
        <v>44354</v>
      </c>
      <c r="B2544" t="s">
        <v>4</v>
      </c>
      <c r="C2544">
        <v>12622</v>
      </c>
      <c r="D2544" t="str">
        <f>VLOOKUP(B2544,Tabela_Auxiliar[],2,0)</f>
        <v>1. Receita Operacional Bruta</v>
      </c>
      <c r="E2544" t="str">
        <f>VLOOKUP(B2544,Tabela_Auxiliar[],4,0)</f>
        <v>Receita Bruta</v>
      </c>
      <c r="F2544" t="str">
        <f>VLOOKUP(B2544,Tabela_Auxiliar[],3,0)</f>
        <v>Entrada</v>
      </c>
      <c r="G2544" t="str">
        <f>UPPER(TEXT(Tabela_DB[[#This Row],[DATA]],"mmm"))</f>
        <v>JUN</v>
      </c>
      <c r="H2544" t="str">
        <f>UPPER(TEXT(Tabela_DB[[#This Row],[DATA]],"aaaa"))</f>
        <v>2021</v>
      </c>
    </row>
    <row r="2545" spans="1:8" x14ac:dyDescent="0.25">
      <c r="A2545" s="2">
        <v>44354</v>
      </c>
      <c r="B2545" t="s">
        <v>3</v>
      </c>
      <c r="C2545">
        <v>14831</v>
      </c>
      <c r="D2545" t="str">
        <f>VLOOKUP(B2545,Tabela_Auxiliar[],2,0)</f>
        <v>1. Receita Operacional Bruta</v>
      </c>
      <c r="E2545" t="str">
        <f>VLOOKUP(B2545,Tabela_Auxiliar[],4,0)</f>
        <v>Receita Bruta</v>
      </c>
      <c r="F2545" t="str">
        <f>VLOOKUP(B2545,Tabela_Auxiliar[],3,0)</f>
        <v>Entrada</v>
      </c>
      <c r="G2545" t="str">
        <f>UPPER(TEXT(Tabela_DB[[#This Row],[DATA]],"mmm"))</f>
        <v>JUN</v>
      </c>
      <c r="H2545" t="str">
        <f>UPPER(TEXT(Tabela_DB[[#This Row],[DATA]],"aaaa"))</f>
        <v>2021</v>
      </c>
    </row>
    <row r="2546" spans="1:8" x14ac:dyDescent="0.25">
      <c r="A2546" s="2">
        <v>44354</v>
      </c>
      <c r="B2546" t="s">
        <v>63</v>
      </c>
      <c r="C2546">
        <v>-2151</v>
      </c>
      <c r="D2546" t="str">
        <f>VLOOKUP(B2546,Tabela_Auxiliar[],2,0)</f>
        <v>4. Despesas Operacionais</v>
      </c>
      <c r="E2546" t="str">
        <f>VLOOKUP(B2546,Tabela_Auxiliar[],4,0)</f>
        <v>Despesa Gerais</v>
      </c>
      <c r="F2546" t="str">
        <f>VLOOKUP(B2546,Tabela_Auxiliar[],3,0)</f>
        <v>Saída</v>
      </c>
      <c r="G2546" t="str">
        <f>UPPER(TEXT(Tabela_DB[[#This Row],[DATA]],"mmm"))</f>
        <v>JUN</v>
      </c>
      <c r="H2546" t="str">
        <f>UPPER(TEXT(Tabela_DB[[#This Row],[DATA]],"aaaa"))</f>
        <v>2021</v>
      </c>
    </row>
    <row r="2547" spans="1:8" x14ac:dyDescent="0.25">
      <c r="A2547" s="2">
        <v>44354</v>
      </c>
      <c r="B2547" t="s">
        <v>38</v>
      </c>
      <c r="C2547">
        <v>-2162</v>
      </c>
      <c r="D2547" t="str">
        <f>VLOOKUP(B2547,Tabela_Auxiliar[],2,0)</f>
        <v>2. Deduções da Receita</v>
      </c>
      <c r="E2547" t="str">
        <f>VLOOKUP(B2547,Tabela_Auxiliar[],4,0)</f>
        <v>Deduções</v>
      </c>
      <c r="F2547" t="str">
        <f>VLOOKUP(B2547,Tabela_Auxiliar[],3,0)</f>
        <v>Saída</v>
      </c>
      <c r="G2547" t="str">
        <f>UPPER(TEXT(Tabela_DB[[#This Row],[DATA]],"mmm"))</f>
        <v>JUN</v>
      </c>
      <c r="H2547" t="str">
        <f>UPPER(TEXT(Tabela_DB[[#This Row],[DATA]],"aaaa"))</f>
        <v>2021</v>
      </c>
    </row>
    <row r="2548" spans="1:8" x14ac:dyDescent="0.25">
      <c r="A2548" s="2">
        <v>44354</v>
      </c>
      <c r="B2548" t="s">
        <v>37</v>
      </c>
      <c r="C2548">
        <v>-3417</v>
      </c>
      <c r="D2548" t="str">
        <f>VLOOKUP(B2548,Tabela_Auxiliar[],2,0)</f>
        <v>3. Custos do Produto/Mercadoria/Serviço</v>
      </c>
      <c r="E2548" t="str">
        <f>VLOOKUP(B2548,Tabela_Auxiliar[],4,0)</f>
        <v>Despesas c/ Produto</v>
      </c>
      <c r="F2548" t="str">
        <f>VLOOKUP(B2548,Tabela_Auxiliar[],3,0)</f>
        <v>Saída</v>
      </c>
      <c r="G2548" t="str">
        <f>UPPER(TEXT(Tabela_DB[[#This Row],[DATA]],"mmm"))</f>
        <v>JUN</v>
      </c>
      <c r="H2548" t="str">
        <f>UPPER(TEXT(Tabela_DB[[#This Row],[DATA]],"aaaa"))</f>
        <v>2021</v>
      </c>
    </row>
    <row r="2549" spans="1:8" x14ac:dyDescent="0.25">
      <c r="A2549" s="2">
        <v>44354</v>
      </c>
      <c r="B2549" t="s">
        <v>38</v>
      </c>
      <c r="C2549">
        <v>-1454</v>
      </c>
      <c r="D2549" t="str">
        <f>VLOOKUP(B2549,Tabela_Auxiliar[],2,0)</f>
        <v>2. Deduções da Receita</v>
      </c>
      <c r="E2549" t="str">
        <f>VLOOKUP(B2549,Tabela_Auxiliar[],4,0)</f>
        <v>Deduções</v>
      </c>
      <c r="F2549" t="str">
        <f>VLOOKUP(B2549,Tabela_Auxiliar[],3,0)</f>
        <v>Saída</v>
      </c>
      <c r="G2549" t="str">
        <f>UPPER(TEXT(Tabela_DB[[#This Row],[DATA]],"mmm"))</f>
        <v>JUN</v>
      </c>
      <c r="H2549" t="str">
        <f>UPPER(TEXT(Tabela_DB[[#This Row],[DATA]],"aaaa"))</f>
        <v>2021</v>
      </c>
    </row>
    <row r="2550" spans="1:8" x14ac:dyDescent="0.25">
      <c r="A2550" s="2">
        <v>44354</v>
      </c>
      <c r="B2550" t="s">
        <v>4</v>
      </c>
      <c r="C2550">
        <v>10205</v>
      </c>
      <c r="D2550" t="str">
        <f>VLOOKUP(B2550,Tabela_Auxiliar[],2,0)</f>
        <v>1. Receita Operacional Bruta</v>
      </c>
      <c r="E2550" t="str">
        <f>VLOOKUP(B2550,Tabela_Auxiliar[],4,0)</f>
        <v>Receita Bruta</v>
      </c>
      <c r="F2550" t="str">
        <f>VLOOKUP(B2550,Tabela_Auxiliar[],3,0)</f>
        <v>Entrada</v>
      </c>
      <c r="G2550" t="str">
        <f>UPPER(TEXT(Tabela_DB[[#This Row],[DATA]],"mmm"))</f>
        <v>JUN</v>
      </c>
      <c r="H2550" t="str">
        <f>UPPER(TEXT(Tabela_DB[[#This Row],[DATA]],"aaaa"))</f>
        <v>2021</v>
      </c>
    </row>
    <row r="2551" spans="1:8" x14ac:dyDescent="0.25">
      <c r="A2551" s="2">
        <v>44354</v>
      </c>
      <c r="B2551" t="s">
        <v>4</v>
      </c>
      <c r="C2551">
        <v>14432</v>
      </c>
      <c r="D2551" t="str">
        <f>VLOOKUP(B2551,Tabela_Auxiliar[],2,0)</f>
        <v>1. Receita Operacional Bruta</v>
      </c>
      <c r="E2551" t="str">
        <f>VLOOKUP(B2551,Tabela_Auxiliar[],4,0)</f>
        <v>Receita Bruta</v>
      </c>
      <c r="F2551" t="str">
        <f>VLOOKUP(B2551,Tabela_Auxiliar[],3,0)</f>
        <v>Entrada</v>
      </c>
      <c r="G2551" t="str">
        <f>UPPER(TEXT(Tabela_DB[[#This Row],[DATA]],"mmm"))</f>
        <v>JUN</v>
      </c>
      <c r="H2551" t="str">
        <f>UPPER(TEXT(Tabela_DB[[#This Row],[DATA]],"aaaa"))</f>
        <v>2021</v>
      </c>
    </row>
    <row r="2552" spans="1:8" x14ac:dyDescent="0.25">
      <c r="A2552" s="2">
        <v>44354</v>
      </c>
      <c r="B2552" t="s">
        <v>111</v>
      </c>
      <c r="C2552">
        <v>-2450</v>
      </c>
      <c r="D2552" t="str">
        <f>VLOOKUP(B2552,Tabela_Auxiliar[],2,0)</f>
        <v>2. Deduções da Receita</v>
      </c>
      <c r="E2552" t="str">
        <f>VLOOKUP(B2552,Tabela_Auxiliar[],4,0)</f>
        <v>Imposto</v>
      </c>
      <c r="F2552" t="str">
        <f>VLOOKUP(B2552,Tabela_Auxiliar[],3,0)</f>
        <v>Saída</v>
      </c>
      <c r="G2552" t="str">
        <f>UPPER(TEXT(Tabela_DB[[#This Row],[DATA]],"mmm"))</f>
        <v>JUN</v>
      </c>
      <c r="H2552" t="str">
        <f>UPPER(TEXT(Tabela_DB[[#This Row],[DATA]],"aaaa"))</f>
        <v>2021</v>
      </c>
    </row>
    <row r="2553" spans="1:8" x14ac:dyDescent="0.25">
      <c r="A2553" s="2">
        <v>44354</v>
      </c>
      <c r="B2553" t="s">
        <v>4</v>
      </c>
      <c r="C2553">
        <v>10179</v>
      </c>
      <c r="D2553" t="str">
        <f>VLOOKUP(B2553,Tabela_Auxiliar[],2,0)</f>
        <v>1. Receita Operacional Bruta</v>
      </c>
      <c r="E2553" t="str">
        <f>VLOOKUP(B2553,Tabela_Auxiliar[],4,0)</f>
        <v>Receita Bruta</v>
      </c>
      <c r="F2553" t="str">
        <f>VLOOKUP(B2553,Tabela_Auxiliar[],3,0)</f>
        <v>Entrada</v>
      </c>
      <c r="G2553" t="str">
        <f>UPPER(TEXT(Tabela_DB[[#This Row],[DATA]],"mmm"))</f>
        <v>JUN</v>
      </c>
      <c r="H2553" t="str">
        <f>UPPER(TEXT(Tabela_DB[[#This Row],[DATA]],"aaaa"))</f>
        <v>2021</v>
      </c>
    </row>
    <row r="2554" spans="1:8" x14ac:dyDescent="0.25">
      <c r="A2554" s="2">
        <v>44354</v>
      </c>
      <c r="B2554" t="s">
        <v>71</v>
      </c>
      <c r="C2554">
        <v>-1371</v>
      </c>
      <c r="D2554" t="str">
        <f>VLOOKUP(B2554,Tabela_Auxiliar[],2,0)</f>
        <v>4. Despesas Operacionais</v>
      </c>
      <c r="E2554" t="str">
        <f>VLOOKUP(B2554,Tabela_Auxiliar[],4,0)</f>
        <v>Despesa com Ocupação</v>
      </c>
      <c r="F2554" t="str">
        <f>VLOOKUP(B2554,Tabela_Auxiliar[],3,0)</f>
        <v>Saída</v>
      </c>
      <c r="G2554" t="str">
        <f>UPPER(TEXT(Tabela_DB[[#This Row],[DATA]],"mmm"))</f>
        <v>JUN</v>
      </c>
      <c r="H2554" t="str">
        <f>UPPER(TEXT(Tabela_DB[[#This Row],[DATA]],"aaaa"))</f>
        <v>2021</v>
      </c>
    </row>
    <row r="2555" spans="1:8" x14ac:dyDescent="0.25">
      <c r="A2555" s="2">
        <v>44354</v>
      </c>
      <c r="B2555" t="s">
        <v>57</v>
      </c>
      <c r="C2555">
        <v>-1276</v>
      </c>
      <c r="D2555" t="str">
        <f>VLOOKUP(B2555,Tabela_Auxiliar[],2,0)</f>
        <v>4. Despesas Operacionais</v>
      </c>
      <c r="E2555" t="str">
        <f>VLOOKUP(B2555,Tabela_Auxiliar[],4,0)</f>
        <v>Despesa com Pessoal</v>
      </c>
      <c r="F2555" t="str">
        <f>VLOOKUP(B2555,Tabela_Auxiliar[],3,0)</f>
        <v>Saída</v>
      </c>
      <c r="G2555" t="str">
        <f>UPPER(TEXT(Tabela_DB[[#This Row],[DATA]],"mmm"))</f>
        <v>JUN</v>
      </c>
      <c r="H2555" t="str">
        <f>UPPER(TEXT(Tabela_DB[[#This Row],[DATA]],"aaaa"))</f>
        <v>2021</v>
      </c>
    </row>
    <row r="2556" spans="1:8" x14ac:dyDescent="0.25">
      <c r="A2556" s="2">
        <v>44354</v>
      </c>
      <c r="B2556" t="s">
        <v>4</v>
      </c>
      <c r="C2556">
        <v>10480</v>
      </c>
      <c r="D2556" t="str">
        <f>VLOOKUP(B2556,Tabela_Auxiliar[],2,0)</f>
        <v>1. Receita Operacional Bruta</v>
      </c>
      <c r="E2556" t="str">
        <f>VLOOKUP(B2556,Tabela_Auxiliar[],4,0)</f>
        <v>Receita Bruta</v>
      </c>
      <c r="F2556" t="str">
        <f>VLOOKUP(B2556,Tabela_Auxiliar[],3,0)</f>
        <v>Entrada</v>
      </c>
      <c r="G2556" t="str">
        <f>UPPER(TEXT(Tabela_DB[[#This Row],[DATA]],"mmm"))</f>
        <v>JUN</v>
      </c>
      <c r="H2556" t="str">
        <f>UPPER(TEXT(Tabela_DB[[#This Row],[DATA]],"aaaa"))</f>
        <v>2021</v>
      </c>
    </row>
    <row r="2557" spans="1:8" x14ac:dyDescent="0.25">
      <c r="A2557" s="2">
        <v>44354</v>
      </c>
      <c r="B2557" t="s">
        <v>73</v>
      </c>
      <c r="C2557">
        <v>-1162</v>
      </c>
      <c r="D2557" t="str">
        <f>VLOOKUP(B2557,Tabela_Auxiliar[],2,0)</f>
        <v>4. Despesas Operacionais</v>
      </c>
      <c r="E2557" t="str">
        <f>VLOOKUP(B2557,Tabela_Auxiliar[],4,0)</f>
        <v>Despesa com Ocupação</v>
      </c>
      <c r="F2557" t="str">
        <f>VLOOKUP(B2557,Tabela_Auxiliar[],3,0)</f>
        <v>Saída</v>
      </c>
      <c r="G2557" t="str">
        <f>UPPER(TEXT(Tabela_DB[[#This Row],[DATA]],"mmm"))</f>
        <v>JUN</v>
      </c>
      <c r="H2557" t="str">
        <f>UPPER(TEXT(Tabela_DB[[#This Row],[DATA]],"aaaa"))</f>
        <v>2021</v>
      </c>
    </row>
    <row r="2558" spans="1:8" x14ac:dyDescent="0.25">
      <c r="A2558" s="2">
        <v>44354</v>
      </c>
      <c r="B2558" t="s">
        <v>37</v>
      </c>
      <c r="C2558">
        <v>-3447</v>
      </c>
      <c r="D2558" t="str">
        <f>VLOOKUP(B2558,Tabela_Auxiliar[],2,0)</f>
        <v>3. Custos do Produto/Mercadoria/Serviço</v>
      </c>
      <c r="E2558" t="str">
        <f>VLOOKUP(B2558,Tabela_Auxiliar[],4,0)</f>
        <v>Despesas c/ Produto</v>
      </c>
      <c r="F2558" t="str">
        <f>VLOOKUP(B2558,Tabela_Auxiliar[],3,0)</f>
        <v>Saída</v>
      </c>
      <c r="G2558" t="str">
        <f>UPPER(TEXT(Tabela_DB[[#This Row],[DATA]],"mmm"))</f>
        <v>JUN</v>
      </c>
      <c r="H2558" t="str">
        <f>UPPER(TEXT(Tabela_DB[[#This Row],[DATA]],"aaaa"))</f>
        <v>2021</v>
      </c>
    </row>
    <row r="2559" spans="1:8" x14ac:dyDescent="0.25">
      <c r="A2559" s="2">
        <v>44354</v>
      </c>
      <c r="B2559" t="s">
        <v>86</v>
      </c>
      <c r="C2559">
        <v>-1186</v>
      </c>
      <c r="D2559" t="str">
        <f>VLOOKUP(B2559,Tabela_Auxiliar[],2,0)</f>
        <v>4. Despesas Operacionais</v>
      </c>
      <c r="E2559" t="str">
        <f>VLOOKUP(B2559,Tabela_Auxiliar[],4,0)</f>
        <v>Despesa com Veículos</v>
      </c>
      <c r="F2559" t="str">
        <f>VLOOKUP(B2559,Tabela_Auxiliar[],3,0)</f>
        <v>Saída</v>
      </c>
      <c r="G2559" t="str">
        <f>UPPER(TEXT(Tabela_DB[[#This Row],[DATA]],"mmm"))</f>
        <v>JUN</v>
      </c>
      <c r="H2559" t="str">
        <f>UPPER(TEXT(Tabela_DB[[#This Row],[DATA]],"aaaa"))</f>
        <v>2021</v>
      </c>
    </row>
    <row r="2560" spans="1:8" x14ac:dyDescent="0.25">
      <c r="A2560" s="2">
        <v>44355</v>
      </c>
      <c r="B2560" t="s">
        <v>4</v>
      </c>
      <c r="C2560">
        <v>11324</v>
      </c>
      <c r="D2560" t="str">
        <f>VLOOKUP(B2560,Tabela_Auxiliar[],2,0)</f>
        <v>1. Receita Operacional Bruta</v>
      </c>
      <c r="E2560" t="str">
        <f>VLOOKUP(B2560,Tabela_Auxiliar[],4,0)</f>
        <v>Receita Bruta</v>
      </c>
      <c r="F2560" t="str">
        <f>VLOOKUP(B2560,Tabela_Auxiliar[],3,0)</f>
        <v>Entrada</v>
      </c>
      <c r="G2560" t="str">
        <f>UPPER(TEXT(Tabela_DB[[#This Row],[DATA]],"mmm"))</f>
        <v>JUN</v>
      </c>
      <c r="H2560" t="str">
        <f>UPPER(TEXT(Tabela_DB[[#This Row],[DATA]],"aaaa"))</f>
        <v>2021</v>
      </c>
    </row>
    <row r="2561" spans="1:8" x14ac:dyDescent="0.25">
      <c r="A2561" s="2">
        <v>44355</v>
      </c>
      <c r="B2561" t="s">
        <v>111</v>
      </c>
      <c r="C2561">
        <v>-1082</v>
      </c>
      <c r="D2561" t="str">
        <f>VLOOKUP(B2561,Tabela_Auxiliar[],2,0)</f>
        <v>2. Deduções da Receita</v>
      </c>
      <c r="E2561" t="str">
        <f>VLOOKUP(B2561,Tabela_Auxiliar[],4,0)</f>
        <v>Imposto</v>
      </c>
      <c r="F2561" t="str">
        <f>VLOOKUP(B2561,Tabela_Auxiliar[],3,0)</f>
        <v>Saída</v>
      </c>
      <c r="G2561" t="str">
        <f>UPPER(TEXT(Tabela_DB[[#This Row],[DATA]],"mmm"))</f>
        <v>JUN</v>
      </c>
      <c r="H2561" t="str">
        <f>UPPER(TEXT(Tabela_DB[[#This Row],[DATA]],"aaaa"))</f>
        <v>2021</v>
      </c>
    </row>
    <row r="2562" spans="1:8" x14ac:dyDescent="0.25">
      <c r="A2562" s="2">
        <v>44355</v>
      </c>
      <c r="B2562" t="s">
        <v>4</v>
      </c>
      <c r="C2562">
        <v>10654</v>
      </c>
      <c r="D2562" t="str">
        <f>VLOOKUP(B2562,Tabela_Auxiliar[],2,0)</f>
        <v>1. Receita Operacional Bruta</v>
      </c>
      <c r="E2562" t="str">
        <f>VLOOKUP(B2562,Tabela_Auxiliar[],4,0)</f>
        <v>Receita Bruta</v>
      </c>
      <c r="F2562" t="str">
        <f>VLOOKUP(B2562,Tabela_Auxiliar[],3,0)</f>
        <v>Entrada</v>
      </c>
      <c r="G2562" t="str">
        <f>UPPER(TEXT(Tabela_DB[[#This Row],[DATA]],"mmm"))</f>
        <v>JUN</v>
      </c>
      <c r="H2562" t="str">
        <f>UPPER(TEXT(Tabela_DB[[#This Row],[DATA]],"aaaa"))</f>
        <v>2021</v>
      </c>
    </row>
    <row r="2563" spans="1:8" x14ac:dyDescent="0.25">
      <c r="A2563" s="2">
        <v>44355</v>
      </c>
      <c r="B2563" t="s">
        <v>68</v>
      </c>
      <c r="C2563">
        <v>-1715</v>
      </c>
      <c r="D2563" t="str">
        <f>VLOOKUP(B2563,Tabela_Auxiliar[],2,0)</f>
        <v>4. Despesas Operacionais</v>
      </c>
      <c r="E2563" t="str">
        <f>VLOOKUP(B2563,Tabela_Auxiliar[],4,0)</f>
        <v>Despesa com Ocupação</v>
      </c>
      <c r="F2563" t="str">
        <f>VLOOKUP(B2563,Tabela_Auxiliar[],3,0)</f>
        <v>Saída</v>
      </c>
      <c r="G2563" t="str">
        <f>UPPER(TEXT(Tabela_DB[[#This Row],[DATA]],"mmm"))</f>
        <v>JUN</v>
      </c>
      <c r="H2563" t="str">
        <f>UPPER(TEXT(Tabela_DB[[#This Row],[DATA]],"aaaa"))</f>
        <v>2021</v>
      </c>
    </row>
    <row r="2564" spans="1:8" x14ac:dyDescent="0.25">
      <c r="A2564" s="2">
        <v>44355</v>
      </c>
      <c r="B2564" t="s">
        <v>35</v>
      </c>
      <c r="C2564">
        <v>-1628</v>
      </c>
      <c r="D2564" t="str">
        <f>VLOOKUP(B2564,Tabela_Auxiliar[],2,0)</f>
        <v>2. Deduções da Receita</v>
      </c>
      <c r="E2564" t="str">
        <f>VLOOKUP(B2564,Tabela_Auxiliar[],4,0)</f>
        <v>Imposto</v>
      </c>
      <c r="F2564" t="str">
        <f>VLOOKUP(B2564,Tabela_Auxiliar[],3,0)</f>
        <v>Saída</v>
      </c>
      <c r="G2564" t="str">
        <f>UPPER(TEXT(Tabela_DB[[#This Row],[DATA]],"mmm"))</f>
        <v>JUN</v>
      </c>
      <c r="H2564" t="str">
        <f>UPPER(TEXT(Tabela_DB[[#This Row],[DATA]],"aaaa"))</f>
        <v>2021</v>
      </c>
    </row>
    <row r="2565" spans="1:8" x14ac:dyDescent="0.25">
      <c r="A2565" s="2">
        <v>44355</v>
      </c>
      <c r="B2565" t="s">
        <v>77</v>
      </c>
      <c r="C2565">
        <v>-1465</v>
      </c>
      <c r="D2565" t="str">
        <f>VLOOKUP(B2565,Tabela_Auxiliar[],2,0)</f>
        <v>4. Despesas Operacionais</v>
      </c>
      <c r="E2565" t="str">
        <f>VLOOKUP(B2565,Tabela_Auxiliar[],4,0)</f>
        <v>Serviços Contratados</v>
      </c>
      <c r="F2565" t="str">
        <f>VLOOKUP(B2565,Tabela_Auxiliar[],3,0)</f>
        <v>Saída</v>
      </c>
      <c r="G2565" t="str">
        <f>UPPER(TEXT(Tabela_DB[[#This Row],[DATA]],"mmm"))</f>
        <v>JUN</v>
      </c>
      <c r="H2565" t="str">
        <f>UPPER(TEXT(Tabela_DB[[#This Row],[DATA]],"aaaa"))</f>
        <v>2021</v>
      </c>
    </row>
    <row r="2566" spans="1:8" x14ac:dyDescent="0.25">
      <c r="A2566" s="2">
        <v>44355</v>
      </c>
      <c r="B2566" t="s">
        <v>111</v>
      </c>
      <c r="C2566">
        <v>-1653</v>
      </c>
      <c r="D2566" t="str">
        <f>VLOOKUP(B2566,Tabela_Auxiliar[],2,0)</f>
        <v>2. Deduções da Receita</v>
      </c>
      <c r="E2566" t="str">
        <f>VLOOKUP(B2566,Tabela_Auxiliar[],4,0)</f>
        <v>Imposto</v>
      </c>
      <c r="F2566" t="str">
        <f>VLOOKUP(B2566,Tabela_Auxiliar[],3,0)</f>
        <v>Saída</v>
      </c>
      <c r="G2566" t="str">
        <f>UPPER(TEXT(Tabela_DB[[#This Row],[DATA]],"mmm"))</f>
        <v>JUN</v>
      </c>
      <c r="H2566" t="str">
        <f>UPPER(TEXT(Tabela_DB[[#This Row],[DATA]],"aaaa"))</f>
        <v>2021</v>
      </c>
    </row>
    <row r="2567" spans="1:8" x14ac:dyDescent="0.25">
      <c r="A2567" s="2">
        <v>44355</v>
      </c>
      <c r="B2567" t="s">
        <v>40</v>
      </c>
      <c r="C2567">
        <v>-1737</v>
      </c>
      <c r="D2567" t="str">
        <f>VLOOKUP(B2567,Tabela_Auxiliar[],2,0)</f>
        <v>4. Despesas Operacionais</v>
      </c>
      <c r="E2567" t="str">
        <f>VLOOKUP(B2567,Tabela_Auxiliar[],4,0)</f>
        <v>Despesa com Pessoal</v>
      </c>
      <c r="F2567" t="str">
        <f>VLOOKUP(B2567,Tabela_Auxiliar[],3,0)</f>
        <v>Saída</v>
      </c>
      <c r="G2567" t="str">
        <f>UPPER(TEXT(Tabela_DB[[#This Row],[DATA]],"mmm"))</f>
        <v>JUN</v>
      </c>
      <c r="H2567" t="str">
        <f>UPPER(TEXT(Tabela_DB[[#This Row],[DATA]],"aaaa"))</f>
        <v>2021</v>
      </c>
    </row>
    <row r="2568" spans="1:8" x14ac:dyDescent="0.25">
      <c r="A2568" s="2">
        <v>44355</v>
      </c>
      <c r="B2568" t="s">
        <v>80</v>
      </c>
      <c r="C2568">
        <v>-1842</v>
      </c>
      <c r="D2568" t="str">
        <f>VLOOKUP(B2568,Tabela_Auxiliar[],2,0)</f>
        <v>4. Despesas Operacionais</v>
      </c>
      <c r="E2568" t="str">
        <f>VLOOKUP(B2568,Tabela_Auxiliar[],4,0)</f>
        <v>Serviços Contratados</v>
      </c>
      <c r="F2568" t="str">
        <f>VLOOKUP(B2568,Tabela_Auxiliar[],3,0)</f>
        <v>Saída</v>
      </c>
      <c r="G2568" t="str">
        <f>UPPER(TEXT(Tabela_DB[[#This Row],[DATA]],"mmm"))</f>
        <v>JUN</v>
      </c>
      <c r="H2568" t="str">
        <f>UPPER(TEXT(Tabela_DB[[#This Row],[DATA]],"aaaa"))</f>
        <v>2021</v>
      </c>
    </row>
    <row r="2569" spans="1:8" x14ac:dyDescent="0.25">
      <c r="A2569" s="2">
        <v>44355</v>
      </c>
      <c r="B2569" t="s">
        <v>111</v>
      </c>
      <c r="C2569">
        <v>-1735</v>
      </c>
      <c r="D2569" t="str">
        <f>VLOOKUP(B2569,Tabela_Auxiliar[],2,0)</f>
        <v>2. Deduções da Receita</v>
      </c>
      <c r="E2569" t="str">
        <f>VLOOKUP(B2569,Tabela_Auxiliar[],4,0)</f>
        <v>Imposto</v>
      </c>
      <c r="F2569" t="str">
        <f>VLOOKUP(B2569,Tabela_Auxiliar[],3,0)</f>
        <v>Saída</v>
      </c>
      <c r="G2569" t="str">
        <f>UPPER(TEXT(Tabela_DB[[#This Row],[DATA]],"mmm"))</f>
        <v>JUN</v>
      </c>
      <c r="H2569" t="str">
        <f>UPPER(TEXT(Tabela_DB[[#This Row],[DATA]],"aaaa"))</f>
        <v>2021</v>
      </c>
    </row>
    <row r="2570" spans="1:8" x14ac:dyDescent="0.25">
      <c r="A2570" s="2">
        <v>44355</v>
      </c>
      <c r="B2570" t="s">
        <v>34</v>
      </c>
      <c r="C2570">
        <v>-2215</v>
      </c>
      <c r="D2570" t="str">
        <f>VLOOKUP(B2570,Tabela_Auxiliar[],2,0)</f>
        <v>2. Deduções da Receita</v>
      </c>
      <c r="E2570" t="str">
        <f>VLOOKUP(B2570,Tabela_Auxiliar[],4,0)</f>
        <v>Imposto</v>
      </c>
      <c r="F2570" t="str">
        <f>VLOOKUP(B2570,Tabela_Auxiliar[],3,0)</f>
        <v>Saída</v>
      </c>
      <c r="G2570" t="str">
        <f>UPPER(TEXT(Tabela_DB[[#This Row],[DATA]],"mmm"))</f>
        <v>JUN</v>
      </c>
      <c r="H2570" t="str">
        <f>UPPER(TEXT(Tabela_DB[[#This Row],[DATA]],"aaaa"))</f>
        <v>2021</v>
      </c>
    </row>
    <row r="2571" spans="1:8" x14ac:dyDescent="0.25">
      <c r="A2571" s="2">
        <v>44355</v>
      </c>
      <c r="B2571" t="s">
        <v>53</v>
      </c>
      <c r="C2571">
        <v>-1407</v>
      </c>
      <c r="D2571" t="str">
        <f>VLOOKUP(B2571,Tabela_Auxiliar[],2,0)</f>
        <v>4. Despesas Operacionais</v>
      </c>
      <c r="E2571" t="str">
        <f>VLOOKUP(B2571,Tabela_Auxiliar[],4,0)</f>
        <v>Despesa com Pessoal</v>
      </c>
      <c r="F2571" t="str">
        <f>VLOOKUP(B2571,Tabela_Auxiliar[],3,0)</f>
        <v>Saída</v>
      </c>
      <c r="G2571" t="str">
        <f>UPPER(TEXT(Tabela_DB[[#This Row],[DATA]],"mmm"))</f>
        <v>JUN</v>
      </c>
      <c r="H2571" t="str">
        <f>UPPER(TEXT(Tabela_DB[[#This Row],[DATA]],"aaaa"))</f>
        <v>2021</v>
      </c>
    </row>
    <row r="2572" spans="1:8" x14ac:dyDescent="0.25">
      <c r="A2572" s="2">
        <v>44355</v>
      </c>
      <c r="B2572" t="s">
        <v>4</v>
      </c>
      <c r="C2572">
        <v>14013</v>
      </c>
      <c r="D2572" t="str">
        <f>VLOOKUP(B2572,Tabela_Auxiliar[],2,0)</f>
        <v>1. Receita Operacional Bruta</v>
      </c>
      <c r="E2572" t="str">
        <f>VLOOKUP(B2572,Tabela_Auxiliar[],4,0)</f>
        <v>Receita Bruta</v>
      </c>
      <c r="F2572" t="str">
        <f>VLOOKUP(B2572,Tabela_Auxiliar[],3,0)</f>
        <v>Entrada</v>
      </c>
      <c r="G2572" t="str">
        <f>UPPER(TEXT(Tabela_DB[[#This Row],[DATA]],"mmm"))</f>
        <v>JUN</v>
      </c>
      <c r="H2572" t="str">
        <f>UPPER(TEXT(Tabela_DB[[#This Row],[DATA]],"aaaa"))</f>
        <v>2021</v>
      </c>
    </row>
    <row r="2573" spans="1:8" x14ac:dyDescent="0.25">
      <c r="A2573" s="2">
        <v>44355</v>
      </c>
      <c r="B2573" t="s">
        <v>100</v>
      </c>
      <c r="C2573">
        <v>2305</v>
      </c>
      <c r="D2573" t="str">
        <f>VLOOKUP(B2573,Tabela_Auxiliar[],2,0)</f>
        <v>5. Resultado Financeiro</v>
      </c>
      <c r="E2573" t="str">
        <f>VLOOKUP(B2573,Tabela_Auxiliar[],4,0)</f>
        <v>Receita Financeira</v>
      </c>
      <c r="F2573" t="str">
        <f>VLOOKUP(B2573,Tabela_Auxiliar[],3,0)</f>
        <v>Saída</v>
      </c>
      <c r="G2573" t="str">
        <f>UPPER(TEXT(Tabela_DB[[#This Row],[DATA]],"mmm"))</f>
        <v>JUN</v>
      </c>
      <c r="H2573" t="str">
        <f>UPPER(TEXT(Tabela_DB[[#This Row],[DATA]],"aaaa"))</f>
        <v>2021</v>
      </c>
    </row>
    <row r="2574" spans="1:8" x14ac:dyDescent="0.25">
      <c r="A2574" s="2">
        <v>44356</v>
      </c>
      <c r="B2574" t="s">
        <v>85</v>
      </c>
      <c r="C2574">
        <v>-1192</v>
      </c>
      <c r="D2574" t="str">
        <f>VLOOKUP(B2574,Tabela_Auxiliar[],2,0)</f>
        <v>4. Despesas Operacionais</v>
      </c>
      <c r="E2574" t="str">
        <f>VLOOKUP(B2574,Tabela_Auxiliar[],4,0)</f>
        <v>Despesa com Veículos</v>
      </c>
      <c r="F2574" t="str">
        <f>VLOOKUP(B2574,Tabela_Auxiliar[],3,0)</f>
        <v>Saída</v>
      </c>
      <c r="G2574" t="str">
        <f>UPPER(TEXT(Tabela_DB[[#This Row],[DATA]],"mmm"))</f>
        <v>JUN</v>
      </c>
      <c r="H2574" t="str">
        <f>UPPER(TEXT(Tabela_DB[[#This Row],[DATA]],"aaaa"))</f>
        <v>2021</v>
      </c>
    </row>
    <row r="2575" spans="1:8" x14ac:dyDescent="0.25">
      <c r="A2575" s="2">
        <v>44356</v>
      </c>
      <c r="B2575" t="s">
        <v>34</v>
      </c>
      <c r="C2575">
        <v>-1651</v>
      </c>
      <c r="D2575" t="str">
        <f>VLOOKUP(B2575,Tabela_Auxiliar[],2,0)</f>
        <v>2. Deduções da Receita</v>
      </c>
      <c r="E2575" t="str">
        <f>VLOOKUP(B2575,Tabela_Auxiliar[],4,0)</f>
        <v>Imposto</v>
      </c>
      <c r="F2575" t="str">
        <f>VLOOKUP(B2575,Tabela_Auxiliar[],3,0)</f>
        <v>Saída</v>
      </c>
      <c r="G2575" t="str">
        <f>UPPER(TEXT(Tabela_DB[[#This Row],[DATA]],"mmm"))</f>
        <v>JUN</v>
      </c>
      <c r="H2575" t="str">
        <f>UPPER(TEXT(Tabela_DB[[#This Row],[DATA]],"aaaa"))</f>
        <v>2021</v>
      </c>
    </row>
    <row r="2576" spans="1:8" x14ac:dyDescent="0.25">
      <c r="A2576" s="2">
        <v>44356</v>
      </c>
      <c r="B2576" t="s">
        <v>3</v>
      </c>
      <c r="C2576">
        <v>10151</v>
      </c>
      <c r="D2576" t="str">
        <f>VLOOKUP(B2576,Tabela_Auxiliar[],2,0)</f>
        <v>1. Receita Operacional Bruta</v>
      </c>
      <c r="E2576" t="str">
        <f>VLOOKUP(B2576,Tabela_Auxiliar[],4,0)</f>
        <v>Receita Bruta</v>
      </c>
      <c r="F2576" t="str">
        <f>VLOOKUP(B2576,Tabela_Auxiliar[],3,0)</f>
        <v>Entrada</v>
      </c>
      <c r="G2576" t="str">
        <f>UPPER(TEXT(Tabela_DB[[#This Row],[DATA]],"mmm"))</f>
        <v>JUN</v>
      </c>
      <c r="H2576" t="str">
        <f>UPPER(TEXT(Tabela_DB[[#This Row],[DATA]],"aaaa"))</f>
        <v>2021</v>
      </c>
    </row>
    <row r="2577" spans="1:8" x14ac:dyDescent="0.25">
      <c r="A2577" s="2">
        <v>44356</v>
      </c>
      <c r="B2577" t="s">
        <v>111</v>
      </c>
      <c r="C2577">
        <v>-1070</v>
      </c>
      <c r="D2577" t="str">
        <f>VLOOKUP(B2577,Tabela_Auxiliar[],2,0)</f>
        <v>2. Deduções da Receita</v>
      </c>
      <c r="E2577" t="str">
        <f>VLOOKUP(B2577,Tabela_Auxiliar[],4,0)</f>
        <v>Imposto</v>
      </c>
      <c r="F2577" t="str">
        <f>VLOOKUP(B2577,Tabela_Auxiliar[],3,0)</f>
        <v>Saída</v>
      </c>
      <c r="G2577" t="str">
        <f>UPPER(TEXT(Tabela_DB[[#This Row],[DATA]],"mmm"))</f>
        <v>JUN</v>
      </c>
      <c r="H2577" t="str">
        <f>UPPER(TEXT(Tabela_DB[[#This Row],[DATA]],"aaaa"))</f>
        <v>2021</v>
      </c>
    </row>
    <row r="2578" spans="1:8" x14ac:dyDescent="0.25">
      <c r="A2578" s="2">
        <v>44356</v>
      </c>
      <c r="B2578" t="s">
        <v>101</v>
      </c>
      <c r="C2578">
        <v>-2228</v>
      </c>
      <c r="D2578" t="str">
        <f>VLOOKUP(B2578,Tabela_Auxiliar[],2,0)</f>
        <v>5. Resultado Financeiro</v>
      </c>
      <c r="E2578" t="str">
        <f>VLOOKUP(B2578,Tabela_Auxiliar[],4,0)</f>
        <v>Despesa Financeira</v>
      </c>
      <c r="F2578" t="str">
        <f>VLOOKUP(B2578,Tabela_Auxiliar[],3,0)</f>
        <v>Saída</v>
      </c>
      <c r="G2578" t="str">
        <f>UPPER(TEXT(Tabela_DB[[#This Row],[DATA]],"mmm"))</f>
        <v>JUN</v>
      </c>
      <c r="H2578" t="str">
        <f>UPPER(TEXT(Tabela_DB[[#This Row],[DATA]],"aaaa"))</f>
        <v>2021</v>
      </c>
    </row>
    <row r="2579" spans="1:8" x14ac:dyDescent="0.25">
      <c r="A2579" s="2">
        <v>44356</v>
      </c>
      <c r="B2579" t="s">
        <v>35</v>
      </c>
      <c r="C2579">
        <v>-1419</v>
      </c>
      <c r="D2579" t="str">
        <f>VLOOKUP(B2579,Tabela_Auxiliar[],2,0)</f>
        <v>2. Deduções da Receita</v>
      </c>
      <c r="E2579" t="str">
        <f>VLOOKUP(B2579,Tabela_Auxiliar[],4,0)</f>
        <v>Imposto</v>
      </c>
      <c r="F2579" t="str">
        <f>VLOOKUP(B2579,Tabela_Auxiliar[],3,0)</f>
        <v>Saída</v>
      </c>
      <c r="G2579" t="str">
        <f>UPPER(TEXT(Tabela_DB[[#This Row],[DATA]],"mmm"))</f>
        <v>JUN</v>
      </c>
      <c r="H2579" t="str">
        <f>UPPER(TEXT(Tabela_DB[[#This Row],[DATA]],"aaaa"))</f>
        <v>2021</v>
      </c>
    </row>
    <row r="2580" spans="1:8" x14ac:dyDescent="0.25">
      <c r="A2580" s="2">
        <v>44356</v>
      </c>
      <c r="B2580" t="s">
        <v>3</v>
      </c>
      <c r="C2580">
        <v>13311</v>
      </c>
      <c r="D2580" t="str">
        <f>VLOOKUP(B2580,Tabela_Auxiliar[],2,0)</f>
        <v>1. Receita Operacional Bruta</v>
      </c>
      <c r="E2580" t="str">
        <f>VLOOKUP(B2580,Tabela_Auxiliar[],4,0)</f>
        <v>Receita Bruta</v>
      </c>
      <c r="F2580" t="str">
        <f>VLOOKUP(B2580,Tabela_Auxiliar[],3,0)</f>
        <v>Entrada</v>
      </c>
      <c r="G2580" t="str">
        <f>UPPER(TEXT(Tabela_DB[[#This Row],[DATA]],"mmm"))</f>
        <v>JUN</v>
      </c>
      <c r="H2580" t="str">
        <f>UPPER(TEXT(Tabela_DB[[#This Row],[DATA]],"aaaa"))</f>
        <v>2021</v>
      </c>
    </row>
    <row r="2581" spans="1:8" x14ac:dyDescent="0.25">
      <c r="A2581" s="2">
        <v>44356</v>
      </c>
      <c r="B2581" t="s">
        <v>4</v>
      </c>
      <c r="C2581">
        <v>14989</v>
      </c>
      <c r="D2581" t="str">
        <f>VLOOKUP(B2581,Tabela_Auxiliar[],2,0)</f>
        <v>1. Receita Operacional Bruta</v>
      </c>
      <c r="E2581" t="str">
        <f>VLOOKUP(B2581,Tabela_Auxiliar[],4,0)</f>
        <v>Receita Bruta</v>
      </c>
      <c r="F2581" t="str">
        <f>VLOOKUP(B2581,Tabela_Auxiliar[],3,0)</f>
        <v>Entrada</v>
      </c>
      <c r="G2581" t="str">
        <f>UPPER(TEXT(Tabela_DB[[#This Row],[DATA]],"mmm"))</f>
        <v>JUN</v>
      </c>
      <c r="H2581" t="str">
        <f>UPPER(TEXT(Tabela_DB[[#This Row],[DATA]],"aaaa"))</f>
        <v>2021</v>
      </c>
    </row>
    <row r="2582" spans="1:8" x14ac:dyDescent="0.25">
      <c r="A2582" s="2">
        <v>44356</v>
      </c>
      <c r="B2582" t="s">
        <v>4</v>
      </c>
      <c r="C2582">
        <v>11935</v>
      </c>
      <c r="D2582" t="str">
        <f>VLOOKUP(B2582,Tabela_Auxiliar[],2,0)</f>
        <v>1. Receita Operacional Bruta</v>
      </c>
      <c r="E2582" t="str">
        <f>VLOOKUP(B2582,Tabela_Auxiliar[],4,0)</f>
        <v>Receita Bruta</v>
      </c>
      <c r="F2582" t="str">
        <f>VLOOKUP(B2582,Tabela_Auxiliar[],3,0)</f>
        <v>Entrada</v>
      </c>
      <c r="G2582" t="str">
        <f>UPPER(TEXT(Tabela_DB[[#This Row],[DATA]],"mmm"))</f>
        <v>JUN</v>
      </c>
      <c r="H2582" t="str">
        <f>UPPER(TEXT(Tabela_DB[[#This Row],[DATA]],"aaaa"))</f>
        <v>2021</v>
      </c>
    </row>
    <row r="2583" spans="1:8" x14ac:dyDescent="0.25">
      <c r="A2583" s="2">
        <v>44356</v>
      </c>
      <c r="B2583" t="s">
        <v>37</v>
      </c>
      <c r="C2583">
        <v>-4884</v>
      </c>
      <c r="D2583" t="str">
        <f>VLOOKUP(B2583,Tabela_Auxiliar[],2,0)</f>
        <v>3. Custos do Produto/Mercadoria/Serviço</v>
      </c>
      <c r="E2583" t="str">
        <f>VLOOKUP(B2583,Tabela_Auxiliar[],4,0)</f>
        <v>Despesas c/ Produto</v>
      </c>
      <c r="F2583" t="str">
        <f>VLOOKUP(B2583,Tabela_Auxiliar[],3,0)</f>
        <v>Saída</v>
      </c>
      <c r="G2583" t="str">
        <f>UPPER(TEXT(Tabela_DB[[#This Row],[DATA]],"mmm"))</f>
        <v>JUN</v>
      </c>
      <c r="H2583" t="str">
        <f>UPPER(TEXT(Tabela_DB[[#This Row],[DATA]],"aaaa"))</f>
        <v>2021</v>
      </c>
    </row>
    <row r="2584" spans="1:8" x14ac:dyDescent="0.25">
      <c r="A2584" s="2">
        <v>44356</v>
      </c>
      <c r="B2584" t="s">
        <v>38</v>
      </c>
      <c r="C2584">
        <v>-1272</v>
      </c>
      <c r="D2584" t="str">
        <f>VLOOKUP(B2584,Tabela_Auxiliar[],2,0)</f>
        <v>2. Deduções da Receita</v>
      </c>
      <c r="E2584" t="str">
        <f>VLOOKUP(B2584,Tabela_Auxiliar[],4,0)</f>
        <v>Deduções</v>
      </c>
      <c r="F2584" t="str">
        <f>VLOOKUP(B2584,Tabela_Auxiliar[],3,0)</f>
        <v>Saída</v>
      </c>
      <c r="G2584" t="str">
        <f>UPPER(TEXT(Tabela_DB[[#This Row],[DATA]],"mmm"))</f>
        <v>JUN</v>
      </c>
      <c r="H2584" t="str">
        <f>UPPER(TEXT(Tabela_DB[[#This Row],[DATA]],"aaaa"))</f>
        <v>2021</v>
      </c>
    </row>
    <row r="2585" spans="1:8" x14ac:dyDescent="0.25">
      <c r="A2585" s="2">
        <v>44356</v>
      </c>
      <c r="B2585" t="s">
        <v>47</v>
      </c>
      <c r="C2585">
        <v>-1727</v>
      </c>
      <c r="D2585" t="str">
        <f>VLOOKUP(B2585,Tabela_Auxiliar[],2,0)</f>
        <v>4. Despesas Operacionais</v>
      </c>
      <c r="E2585" t="str">
        <f>VLOOKUP(B2585,Tabela_Auxiliar[],4,0)</f>
        <v>Despesa com Pessoal</v>
      </c>
      <c r="F2585" t="str">
        <f>VLOOKUP(B2585,Tabela_Auxiliar[],3,0)</f>
        <v>Saída</v>
      </c>
      <c r="G2585" t="str">
        <f>UPPER(TEXT(Tabela_DB[[#This Row],[DATA]],"mmm"))</f>
        <v>JUN</v>
      </c>
      <c r="H2585" t="str">
        <f>UPPER(TEXT(Tabela_DB[[#This Row],[DATA]],"aaaa"))</f>
        <v>2021</v>
      </c>
    </row>
    <row r="2586" spans="1:8" x14ac:dyDescent="0.25">
      <c r="A2586" s="2">
        <v>44356</v>
      </c>
      <c r="B2586" t="s">
        <v>4</v>
      </c>
      <c r="C2586">
        <v>11622</v>
      </c>
      <c r="D2586" t="str">
        <f>VLOOKUP(B2586,Tabela_Auxiliar[],2,0)</f>
        <v>1. Receita Operacional Bruta</v>
      </c>
      <c r="E2586" t="str">
        <f>VLOOKUP(B2586,Tabela_Auxiliar[],4,0)</f>
        <v>Receita Bruta</v>
      </c>
      <c r="F2586" t="str">
        <f>VLOOKUP(B2586,Tabela_Auxiliar[],3,0)</f>
        <v>Entrada</v>
      </c>
      <c r="G2586" t="str">
        <f>UPPER(TEXT(Tabela_DB[[#This Row],[DATA]],"mmm"))</f>
        <v>JUN</v>
      </c>
      <c r="H2586" t="str">
        <f>UPPER(TEXT(Tabela_DB[[#This Row],[DATA]],"aaaa"))</f>
        <v>2021</v>
      </c>
    </row>
    <row r="2587" spans="1:8" x14ac:dyDescent="0.25">
      <c r="A2587" s="2">
        <v>44356</v>
      </c>
      <c r="B2587" t="s">
        <v>86</v>
      </c>
      <c r="C2587">
        <v>-1002</v>
      </c>
      <c r="D2587" t="str">
        <f>VLOOKUP(B2587,Tabela_Auxiliar[],2,0)</f>
        <v>4. Despesas Operacionais</v>
      </c>
      <c r="E2587" t="str">
        <f>VLOOKUP(B2587,Tabela_Auxiliar[],4,0)</f>
        <v>Despesa com Veículos</v>
      </c>
      <c r="F2587" t="str">
        <f>VLOOKUP(B2587,Tabela_Auxiliar[],3,0)</f>
        <v>Saída</v>
      </c>
      <c r="G2587" t="str">
        <f>UPPER(TEXT(Tabela_DB[[#This Row],[DATA]],"mmm"))</f>
        <v>JUN</v>
      </c>
      <c r="H2587" t="str">
        <f>UPPER(TEXT(Tabela_DB[[#This Row],[DATA]],"aaaa"))</f>
        <v>2021</v>
      </c>
    </row>
    <row r="2588" spans="1:8" x14ac:dyDescent="0.25">
      <c r="A2588" s="2">
        <v>44356</v>
      </c>
      <c r="B2588" t="s">
        <v>38</v>
      </c>
      <c r="C2588">
        <v>-1423</v>
      </c>
      <c r="D2588" t="str">
        <f>VLOOKUP(B2588,Tabela_Auxiliar[],2,0)</f>
        <v>2. Deduções da Receita</v>
      </c>
      <c r="E2588" t="str">
        <f>VLOOKUP(B2588,Tabela_Auxiliar[],4,0)</f>
        <v>Deduções</v>
      </c>
      <c r="F2588" t="str">
        <f>VLOOKUP(B2588,Tabela_Auxiliar[],3,0)</f>
        <v>Saída</v>
      </c>
      <c r="G2588" t="str">
        <f>UPPER(TEXT(Tabela_DB[[#This Row],[DATA]],"mmm"))</f>
        <v>JUN</v>
      </c>
      <c r="H2588" t="str">
        <f>UPPER(TEXT(Tabela_DB[[#This Row],[DATA]],"aaaa"))</f>
        <v>2021</v>
      </c>
    </row>
    <row r="2589" spans="1:8" x14ac:dyDescent="0.25">
      <c r="A2589" s="2">
        <v>44356</v>
      </c>
      <c r="B2589" t="s">
        <v>38</v>
      </c>
      <c r="C2589">
        <v>-1622</v>
      </c>
      <c r="D2589" t="str">
        <f>VLOOKUP(B2589,Tabela_Auxiliar[],2,0)</f>
        <v>2. Deduções da Receita</v>
      </c>
      <c r="E2589" t="str">
        <f>VLOOKUP(B2589,Tabela_Auxiliar[],4,0)</f>
        <v>Deduções</v>
      </c>
      <c r="F2589" t="str">
        <f>VLOOKUP(B2589,Tabela_Auxiliar[],3,0)</f>
        <v>Saída</v>
      </c>
      <c r="G2589" t="str">
        <f>UPPER(TEXT(Tabela_DB[[#This Row],[DATA]],"mmm"))</f>
        <v>JUN</v>
      </c>
      <c r="H2589" t="str">
        <f>UPPER(TEXT(Tabela_DB[[#This Row],[DATA]],"aaaa"))</f>
        <v>2021</v>
      </c>
    </row>
    <row r="2590" spans="1:8" x14ac:dyDescent="0.25">
      <c r="A2590" s="2">
        <v>44356</v>
      </c>
      <c r="B2590" t="s">
        <v>4</v>
      </c>
      <c r="C2590">
        <v>10533</v>
      </c>
      <c r="D2590" t="str">
        <f>VLOOKUP(B2590,Tabela_Auxiliar[],2,0)</f>
        <v>1. Receita Operacional Bruta</v>
      </c>
      <c r="E2590" t="str">
        <f>VLOOKUP(B2590,Tabela_Auxiliar[],4,0)</f>
        <v>Receita Bruta</v>
      </c>
      <c r="F2590" t="str">
        <f>VLOOKUP(B2590,Tabela_Auxiliar[],3,0)</f>
        <v>Entrada</v>
      </c>
      <c r="G2590" t="str">
        <f>UPPER(TEXT(Tabela_DB[[#This Row],[DATA]],"mmm"))</f>
        <v>JUN</v>
      </c>
      <c r="H2590" t="str">
        <f>UPPER(TEXT(Tabela_DB[[#This Row],[DATA]],"aaaa"))</f>
        <v>2021</v>
      </c>
    </row>
    <row r="2591" spans="1:8" x14ac:dyDescent="0.25">
      <c r="A2591" s="2">
        <v>44356</v>
      </c>
      <c r="B2591" t="s">
        <v>34</v>
      </c>
      <c r="C2591">
        <v>-1685</v>
      </c>
      <c r="D2591" t="str">
        <f>VLOOKUP(B2591,Tabela_Auxiliar[],2,0)</f>
        <v>2. Deduções da Receita</v>
      </c>
      <c r="E2591" t="str">
        <f>VLOOKUP(B2591,Tabela_Auxiliar[],4,0)</f>
        <v>Imposto</v>
      </c>
      <c r="F2591" t="str">
        <f>VLOOKUP(B2591,Tabela_Auxiliar[],3,0)</f>
        <v>Saída</v>
      </c>
      <c r="G2591" t="str">
        <f>UPPER(TEXT(Tabela_DB[[#This Row],[DATA]],"mmm"))</f>
        <v>JUN</v>
      </c>
      <c r="H2591" t="str">
        <f>UPPER(TEXT(Tabela_DB[[#This Row],[DATA]],"aaaa"))</f>
        <v>2021</v>
      </c>
    </row>
    <row r="2592" spans="1:8" x14ac:dyDescent="0.25">
      <c r="A2592" s="2">
        <v>44356</v>
      </c>
      <c r="B2592" t="s">
        <v>35</v>
      </c>
      <c r="C2592">
        <v>-1595</v>
      </c>
      <c r="D2592" t="str">
        <f>VLOOKUP(B2592,Tabela_Auxiliar[],2,0)</f>
        <v>2. Deduções da Receita</v>
      </c>
      <c r="E2592" t="str">
        <f>VLOOKUP(B2592,Tabela_Auxiliar[],4,0)</f>
        <v>Imposto</v>
      </c>
      <c r="F2592" t="str">
        <f>VLOOKUP(B2592,Tabela_Auxiliar[],3,0)</f>
        <v>Saída</v>
      </c>
      <c r="G2592" t="str">
        <f>UPPER(TEXT(Tabela_DB[[#This Row],[DATA]],"mmm"))</f>
        <v>JUN</v>
      </c>
      <c r="H2592" t="str">
        <f>UPPER(TEXT(Tabela_DB[[#This Row],[DATA]],"aaaa"))</f>
        <v>2021</v>
      </c>
    </row>
    <row r="2593" spans="1:8" x14ac:dyDescent="0.25">
      <c r="A2593" s="2">
        <v>44356</v>
      </c>
      <c r="B2593" t="s">
        <v>4</v>
      </c>
      <c r="C2593">
        <v>11974</v>
      </c>
      <c r="D2593" t="str">
        <f>VLOOKUP(B2593,Tabela_Auxiliar[],2,0)</f>
        <v>1. Receita Operacional Bruta</v>
      </c>
      <c r="E2593" t="str">
        <f>VLOOKUP(B2593,Tabela_Auxiliar[],4,0)</f>
        <v>Receita Bruta</v>
      </c>
      <c r="F2593" t="str">
        <f>VLOOKUP(B2593,Tabela_Auxiliar[],3,0)</f>
        <v>Entrada</v>
      </c>
      <c r="G2593" t="str">
        <f>UPPER(TEXT(Tabela_DB[[#This Row],[DATA]],"mmm"))</f>
        <v>JUN</v>
      </c>
      <c r="H2593" t="str">
        <f>UPPER(TEXT(Tabela_DB[[#This Row],[DATA]],"aaaa"))</f>
        <v>2021</v>
      </c>
    </row>
    <row r="2594" spans="1:8" x14ac:dyDescent="0.25">
      <c r="A2594" s="2">
        <v>44357</v>
      </c>
      <c r="B2594" t="s">
        <v>42</v>
      </c>
      <c r="C2594">
        <v>-2148</v>
      </c>
      <c r="D2594" t="str">
        <f>VLOOKUP(B2594,Tabela_Auxiliar[],2,0)</f>
        <v>4. Despesas Operacionais</v>
      </c>
      <c r="E2594" t="str">
        <f>VLOOKUP(B2594,Tabela_Auxiliar[],4,0)</f>
        <v>Despesa com Pessoal</v>
      </c>
      <c r="F2594" t="str">
        <f>VLOOKUP(B2594,Tabela_Auxiliar[],3,0)</f>
        <v>Saída</v>
      </c>
      <c r="G2594" t="str">
        <f>UPPER(TEXT(Tabela_DB[[#This Row],[DATA]],"mmm"))</f>
        <v>JUN</v>
      </c>
      <c r="H2594" t="str">
        <f>UPPER(TEXT(Tabela_DB[[#This Row],[DATA]],"aaaa"))</f>
        <v>2021</v>
      </c>
    </row>
    <row r="2595" spans="1:8" x14ac:dyDescent="0.25">
      <c r="A2595" s="2">
        <v>44357</v>
      </c>
      <c r="B2595" t="s">
        <v>4</v>
      </c>
      <c r="C2595">
        <v>13582</v>
      </c>
      <c r="D2595" t="str">
        <f>VLOOKUP(B2595,Tabela_Auxiliar[],2,0)</f>
        <v>1. Receita Operacional Bruta</v>
      </c>
      <c r="E2595" t="str">
        <f>VLOOKUP(B2595,Tabela_Auxiliar[],4,0)</f>
        <v>Receita Bruta</v>
      </c>
      <c r="F2595" t="str">
        <f>VLOOKUP(B2595,Tabela_Auxiliar[],3,0)</f>
        <v>Entrada</v>
      </c>
      <c r="G2595" t="str">
        <f>UPPER(TEXT(Tabela_DB[[#This Row],[DATA]],"mmm"))</f>
        <v>JUN</v>
      </c>
      <c r="H2595" t="str">
        <f>UPPER(TEXT(Tabela_DB[[#This Row],[DATA]],"aaaa"))</f>
        <v>2021</v>
      </c>
    </row>
    <row r="2596" spans="1:8" x14ac:dyDescent="0.25">
      <c r="A2596" s="2">
        <v>44357</v>
      </c>
      <c r="B2596" t="s">
        <v>75</v>
      </c>
      <c r="C2596">
        <v>-2139</v>
      </c>
      <c r="D2596" t="str">
        <f>VLOOKUP(B2596,Tabela_Auxiliar[],2,0)</f>
        <v>4. Despesas Operacionais</v>
      </c>
      <c r="E2596" t="str">
        <f>VLOOKUP(B2596,Tabela_Auxiliar[],4,0)</f>
        <v>Serviços Contratados</v>
      </c>
      <c r="F2596" t="str">
        <f>VLOOKUP(B2596,Tabela_Auxiliar[],3,0)</f>
        <v>Saída</v>
      </c>
      <c r="G2596" t="str">
        <f>UPPER(TEXT(Tabela_DB[[#This Row],[DATA]],"mmm"))</f>
        <v>JUN</v>
      </c>
      <c r="H2596" t="str">
        <f>UPPER(TEXT(Tabela_DB[[#This Row],[DATA]],"aaaa"))</f>
        <v>2021</v>
      </c>
    </row>
    <row r="2597" spans="1:8" x14ac:dyDescent="0.25">
      <c r="A2597" s="2">
        <v>44357</v>
      </c>
      <c r="B2597" t="s">
        <v>35</v>
      </c>
      <c r="C2597">
        <v>-1262</v>
      </c>
      <c r="D2597" t="str">
        <f>VLOOKUP(B2597,Tabela_Auxiliar[],2,0)</f>
        <v>2. Deduções da Receita</v>
      </c>
      <c r="E2597" t="str">
        <f>VLOOKUP(B2597,Tabela_Auxiliar[],4,0)</f>
        <v>Imposto</v>
      </c>
      <c r="F2597" t="str">
        <f>VLOOKUP(B2597,Tabela_Auxiliar[],3,0)</f>
        <v>Saída</v>
      </c>
      <c r="G2597" t="str">
        <f>UPPER(TEXT(Tabela_DB[[#This Row],[DATA]],"mmm"))</f>
        <v>JUN</v>
      </c>
      <c r="H2597" t="str">
        <f>UPPER(TEXT(Tabela_DB[[#This Row],[DATA]],"aaaa"))</f>
        <v>2021</v>
      </c>
    </row>
    <row r="2598" spans="1:8" x14ac:dyDescent="0.25">
      <c r="A2598" s="2">
        <v>44357</v>
      </c>
      <c r="B2598" t="s">
        <v>49</v>
      </c>
      <c r="C2598">
        <v>-2406</v>
      </c>
      <c r="D2598" t="str">
        <f>VLOOKUP(B2598,Tabela_Auxiliar[],2,0)</f>
        <v>4. Despesas Operacionais</v>
      </c>
      <c r="E2598" t="str">
        <f>VLOOKUP(B2598,Tabela_Auxiliar[],4,0)</f>
        <v>Despesa com Pessoal</v>
      </c>
      <c r="F2598" t="str">
        <f>VLOOKUP(B2598,Tabela_Auxiliar[],3,0)</f>
        <v>Saída</v>
      </c>
      <c r="G2598" t="str">
        <f>UPPER(TEXT(Tabela_DB[[#This Row],[DATA]],"mmm"))</f>
        <v>JUN</v>
      </c>
      <c r="H2598" t="str">
        <f>UPPER(TEXT(Tabela_DB[[#This Row],[DATA]],"aaaa"))</f>
        <v>2021</v>
      </c>
    </row>
    <row r="2599" spans="1:8" x14ac:dyDescent="0.25">
      <c r="A2599" s="2">
        <v>44357</v>
      </c>
      <c r="B2599" t="s">
        <v>3</v>
      </c>
      <c r="C2599">
        <v>14725</v>
      </c>
      <c r="D2599" t="str">
        <f>VLOOKUP(B2599,Tabela_Auxiliar[],2,0)</f>
        <v>1. Receita Operacional Bruta</v>
      </c>
      <c r="E2599" t="str">
        <f>VLOOKUP(B2599,Tabela_Auxiliar[],4,0)</f>
        <v>Receita Bruta</v>
      </c>
      <c r="F2599" t="str">
        <f>VLOOKUP(B2599,Tabela_Auxiliar[],3,0)</f>
        <v>Entrada</v>
      </c>
      <c r="G2599" t="str">
        <f>UPPER(TEXT(Tabela_DB[[#This Row],[DATA]],"mmm"))</f>
        <v>JUN</v>
      </c>
      <c r="H2599" t="str">
        <f>UPPER(TEXT(Tabela_DB[[#This Row],[DATA]],"aaaa"))</f>
        <v>2021</v>
      </c>
    </row>
    <row r="2600" spans="1:8" x14ac:dyDescent="0.25">
      <c r="A2600" s="2">
        <v>44357</v>
      </c>
      <c r="B2600" t="s">
        <v>111</v>
      </c>
      <c r="C2600">
        <v>-2232</v>
      </c>
      <c r="D2600" t="str">
        <f>VLOOKUP(B2600,Tabela_Auxiliar[],2,0)</f>
        <v>2. Deduções da Receita</v>
      </c>
      <c r="E2600" t="str">
        <f>VLOOKUP(B2600,Tabela_Auxiliar[],4,0)</f>
        <v>Imposto</v>
      </c>
      <c r="F2600" t="str">
        <f>VLOOKUP(B2600,Tabela_Auxiliar[],3,0)</f>
        <v>Saída</v>
      </c>
      <c r="G2600" t="str">
        <f>UPPER(TEXT(Tabela_DB[[#This Row],[DATA]],"mmm"))</f>
        <v>JUN</v>
      </c>
      <c r="H2600" t="str">
        <f>UPPER(TEXT(Tabela_DB[[#This Row],[DATA]],"aaaa"))</f>
        <v>2021</v>
      </c>
    </row>
    <row r="2601" spans="1:8" x14ac:dyDescent="0.25">
      <c r="A2601" s="2">
        <v>44357</v>
      </c>
      <c r="B2601" t="s">
        <v>4</v>
      </c>
      <c r="C2601">
        <v>10445</v>
      </c>
      <c r="D2601" t="str">
        <f>VLOOKUP(B2601,Tabela_Auxiliar[],2,0)</f>
        <v>1. Receita Operacional Bruta</v>
      </c>
      <c r="E2601" t="str">
        <f>VLOOKUP(B2601,Tabela_Auxiliar[],4,0)</f>
        <v>Receita Bruta</v>
      </c>
      <c r="F2601" t="str">
        <f>VLOOKUP(B2601,Tabela_Auxiliar[],3,0)</f>
        <v>Entrada</v>
      </c>
      <c r="G2601" t="str">
        <f>UPPER(TEXT(Tabela_DB[[#This Row],[DATA]],"mmm"))</f>
        <v>JUN</v>
      </c>
      <c r="H2601" t="str">
        <f>UPPER(TEXT(Tabela_DB[[#This Row],[DATA]],"aaaa"))</f>
        <v>2021</v>
      </c>
    </row>
    <row r="2602" spans="1:8" x14ac:dyDescent="0.25">
      <c r="A2602" s="2">
        <v>44357</v>
      </c>
      <c r="B2602" t="s">
        <v>3</v>
      </c>
      <c r="C2602">
        <v>14799</v>
      </c>
      <c r="D2602" t="str">
        <f>VLOOKUP(B2602,Tabela_Auxiliar[],2,0)</f>
        <v>1. Receita Operacional Bruta</v>
      </c>
      <c r="E2602" t="str">
        <f>VLOOKUP(B2602,Tabela_Auxiliar[],4,0)</f>
        <v>Receita Bruta</v>
      </c>
      <c r="F2602" t="str">
        <f>VLOOKUP(B2602,Tabela_Auxiliar[],3,0)</f>
        <v>Entrada</v>
      </c>
      <c r="G2602" t="str">
        <f>UPPER(TEXT(Tabela_DB[[#This Row],[DATA]],"mmm"))</f>
        <v>JUN</v>
      </c>
      <c r="H2602" t="str">
        <f>UPPER(TEXT(Tabela_DB[[#This Row],[DATA]],"aaaa"))</f>
        <v>2021</v>
      </c>
    </row>
    <row r="2603" spans="1:8" x14ac:dyDescent="0.25">
      <c r="A2603" s="2">
        <v>44357</v>
      </c>
      <c r="B2603" t="s">
        <v>53</v>
      </c>
      <c r="C2603">
        <v>-1730</v>
      </c>
      <c r="D2603" t="str">
        <f>VLOOKUP(B2603,Tabela_Auxiliar[],2,0)</f>
        <v>4. Despesas Operacionais</v>
      </c>
      <c r="E2603" t="str">
        <f>VLOOKUP(B2603,Tabela_Auxiliar[],4,0)</f>
        <v>Despesa com Pessoal</v>
      </c>
      <c r="F2603" t="str">
        <f>VLOOKUP(B2603,Tabela_Auxiliar[],3,0)</f>
        <v>Saída</v>
      </c>
      <c r="G2603" t="str">
        <f>UPPER(TEXT(Tabela_DB[[#This Row],[DATA]],"mmm"))</f>
        <v>JUN</v>
      </c>
      <c r="H2603" t="str">
        <f>UPPER(TEXT(Tabela_DB[[#This Row],[DATA]],"aaaa"))</f>
        <v>2021</v>
      </c>
    </row>
    <row r="2604" spans="1:8" x14ac:dyDescent="0.25">
      <c r="A2604" s="2">
        <v>44357</v>
      </c>
      <c r="B2604" t="s">
        <v>66</v>
      </c>
      <c r="C2604">
        <v>-1147</v>
      </c>
      <c r="D2604" t="str">
        <f>VLOOKUP(B2604,Tabela_Auxiliar[],2,0)</f>
        <v>4. Despesas Operacionais</v>
      </c>
      <c r="E2604" t="str">
        <f>VLOOKUP(B2604,Tabela_Auxiliar[],4,0)</f>
        <v>Despesa com Vendas</v>
      </c>
      <c r="F2604" t="str">
        <f>VLOOKUP(B2604,Tabela_Auxiliar[],3,0)</f>
        <v>Saída</v>
      </c>
      <c r="G2604" t="str">
        <f>UPPER(TEXT(Tabela_DB[[#This Row],[DATA]],"mmm"))</f>
        <v>JUN</v>
      </c>
      <c r="H2604" t="str">
        <f>UPPER(TEXT(Tabela_DB[[#This Row],[DATA]],"aaaa"))</f>
        <v>2021</v>
      </c>
    </row>
    <row r="2605" spans="1:8" x14ac:dyDescent="0.25">
      <c r="A2605" s="2">
        <v>44357</v>
      </c>
      <c r="B2605" t="s">
        <v>3</v>
      </c>
      <c r="C2605">
        <v>11434</v>
      </c>
      <c r="D2605" t="str">
        <f>VLOOKUP(B2605,Tabela_Auxiliar[],2,0)</f>
        <v>1. Receita Operacional Bruta</v>
      </c>
      <c r="E2605" t="str">
        <f>VLOOKUP(B2605,Tabela_Auxiliar[],4,0)</f>
        <v>Receita Bruta</v>
      </c>
      <c r="F2605" t="str">
        <f>VLOOKUP(B2605,Tabela_Auxiliar[],3,0)</f>
        <v>Entrada</v>
      </c>
      <c r="G2605" t="str">
        <f>UPPER(TEXT(Tabela_DB[[#This Row],[DATA]],"mmm"))</f>
        <v>JUN</v>
      </c>
      <c r="H2605" t="str">
        <f>UPPER(TEXT(Tabela_DB[[#This Row],[DATA]],"aaaa"))</f>
        <v>2021</v>
      </c>
    </row>
    <row r="2606" spans="1:8" x14ac:dyDescent="0.25">
      <c r="A2606" s="2">
        <v>44358</v>
      </c>
      <c r="B2606" t="s">
        <v>34</v>
      </c>
      <c r="C2606">
        <v>-2178</v>
      </c>
      <c r="D2606" t="str">
        <f>VLOOKUP(B2606,Tabela_Auxiliar[],2,0)</f>
        <v>2. Deduções da Receita</v>
      </c>
      <c r="E2606" t="str">
        <f>VLOOKUP(B2606,Tabela_Auxiliar[],4,0)</f>
        <v>Imposto</v>
      </c>
      <c r="F2606" t="str">
        <f>VLOOKUP(B2606,Tabela_Auxiliar[],3,0)</f>
        <v>Saída</v>
      </c>
      <c r="G2606" t="str">
        <f>UPPER(TEXT(Tabela_DB[[#This Row],[DATA]],"mmm"))</f>
        <v>JUN</v>
      </c>
      <c r="H2606" t="str">
        <f>UPPER(TEXT(Tabela_DB[[#This Row],[DATA]],"aaaa"))</f>
        <v>2021</v>
      </c>
    </row>
    <row r="2607" spans="1:8" x14ac:dyDescent="0.25">
      <c r="A2607" s="2">
        <v>44358</v>
      </c>
      <c r="B2607" t="s">
        <v>38</v>
      </c>
      <c r="C2607">
        <v>-2150</v>
      </c>
      <c r="D2607" t="str">
        <f>VLOOKUP(B2607,Tabela_Auxiliar[],2,0)</f>
        <v>2. Deduções da Receita</v>
      </c>
      <c r="E2607" t="str">
        <f>VLOOKUP(B2607,Tabela_Auxiliar[],4,0)</f>
        <v>Deduções</v>
      </c>
      <c r="F2607" t="str">
        <f>VLOOKUP(B2607,Tabela_Auxiliar[],3,0)</f>
        <v>Saída</v>
      </c>
      <c r="G2607" t="str">
        <f>UPPER(TEXT(Tabela_DB[[#This Row],[DATA]],"mmm"))</f>
        <v>JUN</v>
      </c>
      <c r="H2607" t="str">
        <f>UPPER(TEXT(Tabela_DB[[#This Row],[DATA]],"aaaa"))</f>
        <v>2021</v>
      </c>
    </row>
    <row r="2608" spans="1:8" x14ac:dyDescent="0.25">
      <c r="A2608" s="2">
        <v>44358</v>
      </c>
      <c r="B2608" t="s">
        <v>35</v>
      </c>
      <c r="C2608">
        <v>-2497</v>
      </c>
      <c r="D2608" t="str">
        <f>VLOOKUP(B2608,Tabela_Auxiliar[],2,0)</f>
        <v>2. Deduções da Receita</v>
      </c>
      <c r="E2608" t="str">
        <f>VLOOKUP(B2608,Tabela_Auxiliar[],4,0)</f>
        <v>Imposto</v>
      </c>
      <c r="F2608" t="str">
        <f>VLOOKUP(B2608,Tabela_Auxiliar[],3,0)</f>
        <v>Saída</v>
      </c>
      <c r="G2608" t="str">
        <f>UPPER(TEXT(Tabela_DB[[#This Row],[DATA]],"mmm"))</f>
        <v>JUN</v>
      </c>
      <c r="H2608" t="str">
        <f>UPPER(TEXT(Tabela_DB[[#This Row],[DATA]],"aaaa"))</f>
        <v>2021</v>
      </c>
    </row>
    <row r="2609" spans="1:8" x14ac:dyDescent="0.25">
      <c r="A2609" s="2">
        <v>44358</v>
      </c>
      <c r="B2609" t="s">
        <v>80</v>
      </c>
      <c r="C2609">
        <v>-1066</v>
      </c>
      <c r="D2609" t="str">
        <f>VLOOKUP(B2609,Tabela_Auxiliar[],2,0)</f>
        <v>4. Despesas Operacionais</v>
      </c>
      <c r="E2609" t="str">
        <f>VLOOKUP(B2609,Tabela_Auxiliar[],4,0)</f>
        <v>Serviços Contratados</v>
      </c>
      <c r="F2609" t="str">
        <f>VLOOKUP(B2609,Tabela_Auxiliar[],3,0)</f>
        <v>Saída</v>
      </c>
      <c r="G2609" t="str">
        <f>UPPER(TEXT(Tabela_DB[[#This Row],[DATA]],"mmm"))</f>
        <v>JUN</v>
      </c>
      <c r="H2609" t="str">
        <f>UPPER(TEXT(Tabela_DB[[#This Row],[DATA]],"aaaa"))</f>
        <v>2021</v>
      </c>
    </row>
    <row r="2610" spans="1:8" x14ac:dyDescent="0.25">
      <c r="A2610" s="2">
        <v>44358</v>
      </c>
      <c r="B2610" t="s">
        <v>35</v>
      </c>
      <c r="C2610">
        <v>-1951</v>
      </c>
      <c r="D2610" t="str">
        <f>VLOOKUP(B2610,Tabela_Auxiliar[],2,0)</f>
        <v>2. Deduções da Receita</v>
      </c>
      <c r="E2610" t="str">
        <f>VLOOKUP(B2610,Tabela_Auxiliar[],4,0)</f>
        <v>Imposto</v>
      </c>
      <c r="F2610" t="str">
        <f>VLOOKUP(B2610,Tabela_Auxiliar[],3,0)</f>
        <v>Saída</v>
      </c>
      <c r="G2610" t="str">
        <f>UPPER(TEXT(Tabela_DB[[#This Row],[DATA]],"mmm"))</f>
        <v>JUN</v>
      </c>
      <c r="H2610" t="str">
        <f>UPPER(TEXT(Tabela_DB[[#This Row],[DATA]],"aaaa"))</f>
        <v>2021</v>
      </c>
    </row>
    <row r="2611" spans="1:8" x14ac:dyDescent="0.25">
      <c r="A2611" s="2">
        <v>44358</v>
      </c>
      <c r="B2611" t="s">
        <v>62</v>
      </c>
      <c r="C2611">
        <v>-1421</v>
      </c>
      <c r="D2611" t="str">
        <f>VLOOKUP(B2611,Tabela_Auxiliar[],2,0)</f>
        <v>4. Despesas Operacionais</v>
      </c>
      <c r="E2611" t="str">
        <f>VLOOKUP(B2611,Tabela_Auxiliar[],4,0)</f>
        <v>Despesa Gerais</v>
      </c>
      <c r="F2611" t="str">
        <f>VLOOKUP(B2611,Tabela_Auxiliar[],3,0)</f>
        <v>Saída</v>
      </c>
      <c r="G2611" t="str">
        <f>UPPER(TEXT(Tabela_DB[[#This Row],[DATA]],"mmm"))</f>
        <v>JUN</v>
      </c>
      <c r="H2611" t="str">
        <f>UPPER(TEXT(Tabela_DB[[#This Row],[DATA]],"aaaa"))</f>
        <v>2021</v>
      </c>
    </row>
    <row r="2612" spans="1:8" x14ac:dyDescent="0.25">
      <c r="A2612" s="2">
        <v>44358</v>
      </c>
      <c r="B2612" t="s">
        <v>83</v>
      </c>
      <c r="C2612">
        <v>-1707</v>
      </c>
      <c r="D2612" t="str">
        <f>VLOOKUP(B2612,Tabela_Auxiliar[],2,0)</f>
        <v>4. Despesas Operacionais</v>
      </c>
      <c r="E2612" t="str">
        <f>VLOOKUP(B2612,Tabela_Auxiliar[],4,0)</f>
        <v>Despesa com Veículos</v>
      </c>
      <c r="F2612" t="str">
        <f>VLOOKUP(B2612,Tabela_Auxiliar[],3,0)</f>
        <v>Saída</v>
      </c>
      <c r="G2612" t="str">
        <f>UPPER(TEXT(Tabela_DB[[#This Row],[DATA]],"mmm"))</f>
        <v>JUN</v>
      </c>
      <c r="H2612" t="str">
        <f>UPPER(TEXT(Tabela_DB[[#This Row],[DATA]],"aaaa"))</f>
        <v>2021</v>
      </c>
    </row>
    <row r="2613" spans="1:8" x14ac:dyDescent="0.25">
      <c r="A2613" s="2">
        <v>44358</v>
      </c>
      <c r="B2613" t="s">
        <v>38</v>
      </c>
      <c r="C2613">
        <v>-1257</v>
      </c>
      <c r="D2613" t="str">
        <f>VLOOKUP(B2613,Tabela_Auxiliar[],2,0)</f>
        <v>2. Deduções da Receita</v>
      </c>
      <c r="E2613" t="str">
        <f>VLOOKUP(B2613,Tabela_Auxiliar[],4,0)</f>
        <v>Deduções</v>
      </c>
      <c r="F2613" t="str">
        <f>VLOOKUP(B2613,Tabela_Auxiliar[],3,0)</f>
        <v>Saída</v>
      </c>
      <c r="G2613" t="str">
        <f>UPPER(TEXT(Tabela_DB[[#This Row],[DATA]],"mmm"))</f>
        <v>JUN</v>
      </c>
      <c r="H2613" t="str">
        <f>UPPER(TEXT(Tabela_DB[[#This Row],[DATA]],"aaaa"))</f>
        <v>2021</v>
      </c>
    </row>
    <row r="2614" spans="1:8" x14ac:dyDescent="0.25">
      <c r="A2614" s="2">
        <v>44358</v>
      </c>
      <c r="B2614" t="s">
        <v>3</v>
      </c>
      <c r="C2614">
        <v>11286</v>
      </c>
      <c r="D2614" t="str">
        <f>VLOOKUP(B2614,Tabela_Auxiliar[],2,0)</f>
        <v>1. Receita Operacional Bruta</v>
      </c>
      <c r="E2614" t="str">
        <f>VLOOKUP(B2614,Tabela_Auxiliar[],4,0)</f>
        <v>Receita Bruta</v>
      </c>
      <c r="F2614" t="str">
        <f>VLOOKUP(B2614,Tabela_Auxiliar[],3,0)</f>
        <v>Entrada</v>
      </c>
      <c r="G2614" t="str">
        <f>UPPER(TEXT(Tabela_DB[[#This Row],[DATA]],"mmm"))</f>
        <v>JUN</v>
      </c>
      <c r="H2614" t="str">
        <f>UPPER(TEXT(Tabela_DB[[#This Row],[DATA]],"aaaa"))</f>
        <v>2021</v>
      </c>
    </row>
    <row r="2615" spans="1:8" x14ac:dyDescent="0.25">
      <c r="A2615" s="2">
        <v>44358</v>
      </c>
      <c r="B2615" t="s">
        <v>73</v>
      </c>
      <c r="C2615">
        <v>-1457</v>
      </c>
      <c r="D2615" t="str">
        <f>VLOOKUP(B2615,Tabela_Auxiliar[],2,0)</f>
        <v>4. Despesas Operacionais</v>
      </c>
      <c r="E2615" t="str">
        <f>VLOOKUP(B2615,Tabela_Auxiliar[],4,0)</f>
        <v>Despesa com Ocupação</v>
      </c>
      <c r="F2615" t="str">
        <f>VLOOKUP(B2615,Tabela_Auxiliar[],3,0)</f>
        <v>Saída</v>
      </c>
      <c r="G2615" t="str">
        <f>UPPER(TEXT(Tabela_DB[[#This Row],[DATA]],"mmm"))</f>
        <v>JUN</v>
      </c>
      <c r="H2615" t="str">
        <f>UPPER(TEXT(Tabela_DB[[#This Row],[DATA]],"aaaa"))</f>
        <v>2021</v>
      </c>
    </row>
    <row r="2616" spans="1:8" x14ac:dyDescent="0.25">
      <c r="A2616" s="2">
        <v>44358</v>
      </c>
      <c r="B2616" t="s">
        <v>111</v>
      </c>
      <c r="C2616">
        <v>-2446</v>
      </c>
      <c r="D2616" t="str">
        <f>VLOOKUP(B2616,Tabela_Auxiliar[],2,0)</f>
        <v>2. Deduções da Receita</v>
      </c>
      <c r="E2616" t="str">
        <f>VLOOKUP(B2616,Tabela_Auxiliar[],4,0)</f>
        <v>Imposto</v>
      </c>
      <c r="F2616" t="str">
        <f>VLOOKUP(B2616,Tabela_Auxiliar[],3,0)</f>
        <v>Saída</v>
      </c>
      <c r="G2616" t="str">
        <f>UPPER(TEXT(Tabela_DB[[#This Row],[DATA]],"mmm"))</f>
        <v>JUN</v>
      </c>
      <c r="H2616" t="str">
        <f>UPPER(TEXT(Tabela_DB[[#This Row],[DATA]],"aaaa"))</f>
        <v>2021</v>
      </c>
    </row>
    <row r="2617" spans="1:8" x14ac:dyDescent="0.25">
      <c r="A2617" s="2">
        <v>44358</v>
      </c>
      <c r="B2617" t="s">
        <v>37</v>
      </c>
      <c r="C2617">
        <v>-4183</v>
      </c>
      <c r="D2617" t="str">
        <f>VLOOKUP(B2617,Tabela_Auxiliar[],2,0)</f>
        <v>3. Custos do Produto/Mercadoria/Serviço</v>
      </c>
      <c r="E2617" t="str">
        <f>VLOOKUP(B2617,Tabela_Auxiliar[],4,0)</f>
        <v>Despesas c/ Produto</v>
      </c>
      <c r="F2617" t="str">
        <f>VLOOKUP(B2617,Tabela_Auxiliar[],3,0)</f>
        <v>Saída</v>
      </c>
      <c r="G2617" t="str">
        <f>UPPER(TEXT(Tabela_DB[[#This Row],[DATA]],"mmm"))</f>
        <v>JUN</v>
      </c>
      <c r="H2617" t="str">
        <f>UPPER(TEXT(Tabela_DB[[#This Row],[DATA]],"aaaa"))</f>
        <v>2021</v>
      </c>
    </row>
    <row r="2618" spans="1:8" x14ac:dyDescent="0.25">
      <c r="A2618" s="2">
        <v>44358</v>
      </c>
      <c r="B2618" t="s">
        <v>75</v>
      </c>
      <c r="C2618">
        <v>-1715</v>
      </c>
      <c r="D2618" t="str">
        <f>VLOOKUP(B2618,Tabela_Auxiliar[],2,0)</f>
        <v>4. Despesas Operacionais</v>
      </c>
      <c r="E2618" t="str">
        <f>VLOOKUP(B2618,Tabela_Auxiliar[],4,0)</f>
        <v>Serviços Contratados</v>
      </c>
      <c r="F2618" t="str">
        <f>VLOOKUP(B2618,Tabela_Auxiliar[],3,0)</f>
        <v>Saída</v>
      </c>
      <c r="G2618" t="str">
        <f>UPPER(TEXT(Tabela_DB[[#This Row],[DATA]],"mmm"))</f>
        <v>JUN</v>
      </c>
      <c r="H2618" t="str">
        <f>UPPER(TEXT(Tabela_DB[[#This Row],[DATA]],"aaaa"))</f>
        <v>2021</v>
      </c>
    </row>
    <row r="2619" spans="1:8" x14ac:dyDescent="0.25">
      <c r="A2619" s="2">
        <v>44358</v>
      </c>
      <c r="B2619" t="s">
        <v>37</v>
      </c>
      <c r="C2619">
        <v>-4865</v>
      </c>
      <c r="D2619" t="str">
        <f>VLOOKUP(B2619,Tabela_Auxiliar[],2,0)</f>
        <v>3. Custos do Produto/Mercadoria/Serviço</v>
      </c>
      <c r="E2619" t="str">
        <f>VLOOKUP(B2619,Tabela_Auxiliar[],4,0)</f>
        <v>Despesas c/ Produto</v>
      </c>
      <c r="F2619" t="str">
        <f>VLOOKUP(B2619,Tabela_Auxiliar[],3,0)</f>
        <v>Saída</v>
      </c>
      <c r="G2619" t="str">
        <f>UPPER(TEXT(Tabela_DB[[#This Row],[DATA]],"mmm"))</f>
        <v>JUN</v>
      </c>
      <c r="H2619" t="str">
        <f>UPPER(TEXT(Tabela_DB[[#This Row],[DATA]],"aaaa"))</f>
        <v>2021</v>
      </c>
    </row>
    <row r="2620" spans="1:8" x14ac:dyDescent="0.25">
      <c r="A2620" s="2">
        <v>44359</v>
      </c>
      <c r="B2620" t="s">
        <v>35</v>
      </c>
      <c r="C2620">
        <v>-1578</v>
      </c>
      <c r="D2620" t="str">
        <f>VLOOKUP(B2620,Tabela_Auxiliar[],2,0)</f>
        <v>2. Deduções da Receita</v>
      </c>
      <c r="E2620" t="str">
        <f>VLOOKUP(B2620,Tabela_Auxiliar[],4,0)</f>
        <v>Imposto</v>
      </c>
      <c r="F2620" t="str">
        <f>VLOOKUP(B2620,Tabela_Auxiliar[],3,0)</f>
        <v>Saída</v>
      </c>
      <c r="G2620" t="str">
        <f>UPPER(TEXT(Tabela_DB[[#This Row],[DATA]],"mmm"))</f>
        <v>JUN</v>
      </c>
      <c r="H2620" t="str">
        <f>UPPER(TEXT(Tabela_DB[[#This Row],[DATA]],"aaaa"))</f>
        <v>2021</v>
      </c>
    </row>
    <row r="2621" spans="1:8" x14ac:dyDescent="0.25">
      <c r="A2621" s="2">
        <v>44359</v>
      </c>
      <c r="B2621" t="s">
        <v>4</v>
      </c>
      <c r="C2621">
        <v>13555</v>
      </c>
      <c r="D2621" t="str">
        <f>VLOOKUP(B2621,Tabela_Auxiliar[],2,0)</f>
        <v>1. Receita Operacional Bruta</v>
      </c>
      <c r="E2621" t="str">
        <f>VLOOKUP(B2621,Tabela_Auxiliar[],4,0)</f>
        <v>Receita Bruta</v>
      </c>
      <c r="F2621" t="str">
        <f>VLOOKUP(B2621,Tabela_Auxiliar[],3,0)</f>
        <v>Entrada</v>
      </c>
      <c r="G2621" t="str">
        <f>UPPER(TEXT(Tabela_DB[[#This Row],[DATA]],"mmm"))</f>
        <v>JUN</v>
      </c>
      <c r="H2621" t="str">
        <f>UPPER(TEXT(Tabela_DB[[#This Row],[DATA]],"aaaa"))</f>
        <v>2021</v>
      </c>
    </row>
    <row r="2622" spans="1:8" x14ac:dyDescent="0.25">
      <c r="A2622" s="2">
        <v>44359</v>
      </c>
      <c r="B2622" t="s">
        <v>38</v>
      </c>
      <c r="C2622">
        <v>-1563</v>
      </c>
      <c r="D2622" t="str">
        <f>VLOOKUP(B2622,Tabela_Auxiliar[],2,0)</f>
        <v>2. Deduções da Receita</v>
      </c>
      <c r="E2622" t="str">
        <f>VLOOKUP(B2622,Tabela_Auxiliar[],4,0)</f>
        <v>Deduções</v>
      </c>
      <c r="F2622" t="str">
        <f>VLOOKUP(B2622,Tabela_Auxiliar[],3,0)</f>
        <v>Saída</v>
      </c>
      <c r="G2622" t="str">
        <f>UPPER(TEXT(Tabela_DB[[#This Row],[DATA]],"mmm"))</f>
        <v>JUN</v>
      </c>
      <c r="H2622" t="str">
        <f>UPPER(TEXT(Tabela_DB[[#This Row],[DATA]],"aaaa"))</f>
        <v>2021</v>
      </c>
    </row>
    <row r="2623" spans="1:8" x14ac:dyDescent="0.25">
      <c r="A2623" s="2">
        <v>44359</v>
      </c>
      <c r="B2623" t="s">
        <v>90</v>
      </c>
      <c r="C2623">
        <v>-2294</v>
      </c>
      <c r="D2623" t="str">
        <f>VLOOKUP(B2623,Tabela_Auxiliar[],2,0)</f>
        <v>4. Despesas Operacionais</v>
      </c>
      <c r="E2623" t="str">
        <f>VLOOKUP(B2623,Tabela_Auxiliar[],4,0)</f>
        <v>Despesa Tributária</v>
      </c>
      <c r="F2623" t="str">
        <f>VLOOKUP(B2623,Tabela_Auxiliar[],3,0)</f>
        <v>Saída</v>
      </c>
      <c r="G2623" t="str">
        <f>UPPER(TEXT(Tabela_DB[[#This Row],[DATA]],"mmm"))</f>
        <v>JUN</v>
      </c>
      <c r="H2623" t="str">
        <f>UPPER(TEXT(Tabela_DB[[#This Row],[DATA]],"aaaa"))</f>
        <v>2021</v>
      </c>
    </row>
    <row r="2624" spans="1:8" x14ac:dyDescent="0.25">
      <c r="A2624" s="2">
        <v>44359</v>
      </c>
      <c r="B2624" t="s">
        <v>65</v>
      </c>
      <c r="C2624">
        <v>-1686</v>
      </c>
      <c r="D2624" t="str">
        <f>VLOOKUP(B2624,Tabela_Auxiliar[],2,0)</f>
        <v>4. Despesas Operacionais</v>
      </c>
      <c r="E2624" t="str">
        <f>VLOOKUP(B2624,Tabela_Auxiliar[],4,0)</f>
        <v>Despesa Gerais</v>
      </c>
      <c r="F2624" t="str">
        <f>VLOOKUP(B2624,Tabela_Auxiliar[],3,0)</f>
        <v>Saída</v>
      </c>
      <c r="G2624" t="str">
        <f>UPPER(TEXT(Tabela_DB[[#This Row],[DATA]],"mmm"))</f>
        <v>JUN</v>
      </c>
      <c r="H2624" t="str">
        <f>UPPER(TEXT(Tabela_DB[[#This Row],[DATA]],"aaaa"))</f>
        <v>2021</v>
      </c>
    </row>
    <row r="2625" spans="1:8" x14ac:dyDescent="0.25">
      <c r="A2625" s="2">
        <v>44359</v>
      </c>
      <c r="B2625" t="s">
        <v>3</v>
      </c>
      <c r="C2625">
        <v>14287</v>
      </c>
      <c r="D2625" t="str">
        <f>VLOOKUP(B2625,Tabela_Auxiliar[],2,0)</f>
        <v>1. Receita Operacional Bruta</v>
      </c>
      <c r="E2625" t="str">
        <f>VLOOKUP(B2625,Tabela_Auxiliar[],4,0)</f>
        <v>Receita Bruta</v>
      </c>
      <c r="F2625" t="str">
        <f>VLOOKUP(B2625,Tabela_Auxiliar[],3,0)</f>
        <v>Entrada</v>
      </c>
      <c r="G2625" t="str">
        <f>UPPER(TEXT(Tabela_DB[[#This Row],[DATA]],"mmm"))</f>
        <v>JUN</v>
      </c>
      <c r="H2625" t="str">
        <f>UPPER(TEXT(Tabela_DB[[#This Row],[DATA]],"aaaa"))</f>
        <v>2021</v>
      </c>
    </row>
    <row r="2626" spans="1:8" x14ac:dyDescent="0.25">
      <c r="A2626" s="2">
        <v>44359</v>
      </c>
      <c r="B2626" t="s">
        <v>66</v>
      </c>
      <c r="C2626">
        <v>-2015</v>
      </c>
      <c r="D2626" t="str">
        <f>VLOOKUP(B2626,Tabela_Auxiliar[],2,0)</f>
        <v>4. Despesas Operacionais</v>
      </c>
      <c r="E2626" t="str">
        <f>VLOOKUP(B2626,Tabela_Auxiliar[],4,0)</f>
        <v>Despesa com Vendas</v>
      </c>
      <c r="F2626" t="str">
        <f>VLOOKUP(B2626,Tabela_Auxiliar[],3,0)</f>
        <v>Saída</v>
      </c>
      <c r="G2626" t="str">
        <f>UPPER(TEXT(Tabela_DB[[#This Row],[DATA]],"mmm"))</f>
        <v>JUN</v>
      </c>
      <c r="H2626" t="str">
        <f>UPPER(TEXT(Tabela_DB[[#This Row],[DATA]],"aaaa"))</f>
        <v>2021</v>
      </c>
    </row>
    <row r="2627" spans="1:8" x14ac:dyDescent="0.25">
      <c r="A2627" s="2">
        <v>44359</v>
      </c>
      <c r="B2627" t="s">
        <v>111</v>
      </c>
      <c r="C2627">
        <v>-1793</v>
      </c>
      <c r="D2627" t="str">
        <f>VLOOKUP(B2627,Tabela_Auxiliar[],2,0)</f>
        <v>2. Deduções da Receita</v>
      </c>
      <c r="E2627" t="str">
        <f>VLOOKUP(B2627,Tabela_Auxiliar[],4,0)</f>
        <v>Imposto</v>
      </c>
      <c r="F2627" t="str">
        <f>VLOOKUP(B2627,Tabela_Auxiliar[],3,0)</f>
        <v>Saída</v>
      </c>
      <c r="G2627" t="str">
        <f>UPPER(TEXT(Tabela_DB[[#This Row],[DATA]],"mmm"))</f>
        <v>JUN</v>
      </c>
      <c r="H2627" t="str">
        <f>UPPER(TEXT(Tabela_DB[[#This Row],[DATA]],"aaaa"))</f>
        <v>2021</v>
      </c>
    </row>
    <row r="2628" spans="1:8" x14ac:dyDescent="0.25">
      <c r="A2628" s="2">
        <v>44359</v>
      </c>
      <c r="B2628" t="s">
        <v>37</v>
      </c>
      <c r="C2628">
        <v>-4694</v>
      </c>
      <c r="D2628" t="str">
        <f>VLOOKUP(B2628,Tabela_Auxiliar[],2,0)</f>
        <v>3. Custos do Produto/Mercadoria/Serviço</v>
      </c>
      <c r="E2628" t="str">
        <f>VLOOKUP(B2628,Tabela_Auxiliar[],4,0)</f>
        <v>Despesas c/ Produto</v>
      </c>
      <c r="F2628" t="str">
        <f>VLOOKUP(B2628,Tabela_Auxiliar[],3,0)</f>
        <v>Saída</v>
      </c>
      <c r="G2628" t="str">
        <f>UPPER(TEXT(Tabela_DB[[#This Row],[DATA]],"mmm"))</f>
        <v>JUN</v>
      </c>
      <c r="H2628" t="str">
        <f>UPPER(TEXT(Tabela_DB[[#This Row],[DATA]],"aaaa"))</f>
        <v>2021</v>
      </c>
    </row>
    <row r="2629" spans="1:8" x14ac:dyDescent="0.25">
      <c r="A2629" s="2">
        <v>44359</v>
      </c>
      <c r="B2629" t="s">
        <v>4</v>
      </c>
      <c r="C2629">
        <v>14721</v>
      </c>
      <c r="D2629" t="str">
        <f>VLOOKUP(B2629,Tabela_Auxiliar[],2,0)</f>
        <v>1. Receita Operacional Bruta</v>
      </c>
      <c r="E2629" t="str">
        <f>VLOOKUP(B2629,Tabela_Auxiliar[],4,0)</f>
        <v>Receita Bruta</v>
      </c>
      <c r="F2629" t="str">
        <f>VLOOKUP(B2629,Tabela_Auxiliar[],3,0)</f>
        <v>Entrada</v>
      </c>
      <c r="G2629" t="str">
        <f>UPPER(TEXT(Tabela_DB[[#This Row],[DATA]],"mmm"))</f>
        <v>JUN</v>
      </c>
      <c r="H2629" t="str">
        <f>UPPER(TEXT(Tabela_DB[[#This Row],[DATA]],"aaaa"))</f>
        <v>2021</v>
      </c>
    </row>
    <row r="2630" spans="1:8" x14ac:dyDescent="0.25">
      <c r="A2630" s="2">
        <v>44359</v>
      </c>
      <c r="B2630" t="s">
        <v>4</v>
      </c>
      <c r="C2630">
        <v>12845</v>
      </c>
      <c r="D2630" t="str">
        <f>VLOOKUP(B2630,Tabela_Auxiliar[],2,0)</f>
        <v>1. Receita Operacional Bruta</v>
      </c>
      <c r="E2630" t="str">
        <f>VLOOKUP(B2630,Tabela_Auxiliar[],4,0)</f>
        <v>Receita Bruta</v>
      </c>
      <c r="F2630" t="str">
        <f>VLOOKUP(B2630,Tabela_Auxiliar[],3,0)</f>
        <v>Entrada</v>
      </c>
      <c r="G2630" t="str">
        <f>UPPER(TEXT(Tabela_DB[[#This Row],[DATA]],"mmm"))</f>
        <v>JUN</v>
      </c>
      <c r="H2630" t="str">
        <f>UPPER(TEXT(Tabela_DB[[#This Row],[DATA]],"aaaa"))</f>
        <v>2021</v>
      </c>
    </row>
    <row r="2631" spans="1:8" x14ac:dyDescent="0.25">
      <c r="A2631" s="2">
        <v>44359</v>
      </c>
      <c r="B2631" t="s">
        <v>4</v>
      </c>
      <c r="C2631">
        <v>13853</v>
      </c>
      <c r="D2631" t="str">
        <f>VLOOKUP(B2631,Tabela_Auxiliar[],2,0)</f>
        <v>1. Receita Operacional Bruta</v>
      </c>
      <c r="E2631" t="str">
        <f>VLOOKUP(B2631,Tabela_Auxiliar[],4,0)</f>
        <v>Receita Bruta</v>
      </c>
      <c r="F2631" t="str">
        <f>VLOOKUP(B2631,Tabela_Auxiliar[],3,0)</f>
        <v>Entrada</v>
      </c>
      <c r="G2631" t="str">
        <f>UPPER(TEXT(Tabela_DB[[#This Row],[DATA]],"mmm"))</f>
        <v>JUN</v>
      </c>
      <c r="H2631" t="str">
        <f>UPPER(TEXT(Tabela_DB[[#This Row],[DATA]],"aaaa"))</f>
        <v>2021</v>
      </c>
    </row>
    <row r="2632" spans="1:8" x14ac:dyDescent="0.25">
      <c r="A2632" s="2">
        <v>44359</v>
      </c>
      <c r="B2632" t="s">
        <v>90</v>
      </c>
      <c r="C2632">
        <v>-1849</v>
      </c>
      <c r="D2632" t="str">
        <f>VLOOKUP(B2632,Tabela_Auxiliar[],2,0)</f>
        <v>4. Despesas Operacionais</v>
      </c>
      <c r="E2632" t="str">
        <f>VLOOKUP(B2632,Tabela_Auxiliar[],4,0)</f>
        <v>Despesa Tributária</v>
      </c>
      <c r="F2632" t="str">
        <f>VLOOKUP(B2632,Tabela_Auxiliar[],3,0)</f>
        <v>Saída</v>
      </c>
      <c r="G2632" t="str">
        <f>UPPER(TEXT(Tabela_DB[[#This Row],[DATA]],"mmm"))</f>
        <v>JUN</v>
      </c>
      <c r="H2632" t="str">
        <f>UPPER(TEXT(Tabela_DB[[#This Row],[DATA]],"aaaa"))</f>
        <v>2021</v>
      </c>
    </row>
    <row r="2633" spans="1:8" x14ac:dyDescent="0.25">
      <c r="A2633" s="2">
        <v>44359</v>
      </c>
      <c r="B2633" t="s">
        <v>37</v>
      </c>
      <c r="C2633">
        <v>-4988</v>
      </c>
      <c r="D2633" t="str">
        <f>VLOOKUP(B2633,Tabela_Auxiliar[],2,0)</f>
        <v>3. Custos do Produto/Mercadoria/Serviço</v>
      </c>
      <c r="E2633" t="str">
        <f>VLOOKUP(B2633,Tabela_Auxiliar[],4,0)</f>
        <v>Despesas c/ Produto</v>
      </c>
      <c r="F2633" t="str">
        <f>VLOOKUP(B2633,Tabela_Auxiliar[],3,0)</f>
        <v>Saída</v>
      </c>
      <c r="G2633" t="str">
        <f>UPPER(TEXT(Tabela_DB[[#This Row],[DATA]],"mmm"))</f>
        <v>JUN</v>
      </c>
      <c r="H2633" t="str">
        <f>UPPER(TEXT(Tabela_DB[[#This Row],[DATA]],"aaaa"))</f>
        <v>2021</v>
      </c>
    </row>
    <row r="2634" spans="1:8" x14ac:dyDescent="0.25">
      <c r="A2634" s="2">
        <v>44359</v>
      </c>
      <c r="B2634" t="s">
        <v>64</v>
      </c>
      <c r="C2634">
        <v>-1502</v>
      </c>
      <c r="D2634" t="str">
        <f>VLOOKUP(B2634,Tabela_Auxiliar[],2,0)</f>
        <v>4. Despesas Operacionais</v>
      </c>
      <c r="E2634" t="str">
        <f>VLOOKUP(B2634,Tabela_Auxiliar[],4,0)</f>
        <v>Despesa Gerais</v>
      </c>
      <c r="F2634" t="str">
        <f>VLOOKUP(B2634,Tabela_Auxiliar[],3,0)</f>
        <v>Saída</v>
      </c>
      <c r="G2634" t="str">
        <f>UPPER(TEXT(Tabela_DB[[#This Row],[DATA]],"mmm"))</f>
        <v>JUN</v>
      </c>
      <c r="H2634" t="str">
        <f>UPPER(TEXT(Tabela_DB[[#This Row],[DATA]],"aaaa"))</f>
        <v>2021</v>
      </c>
    </row>
    <row r="2635" spans="1:8" x14ac:dyDescent="0.25">
      <c r="A2635" s="2">
        <v>44359</v>
      </c>
      <c r="B2635" t="s">
        <v>31</v>
      </c>
      <c r="C2635">
        <v>-1457</v>
      </c>
      <c r="D2635" t="str">
        <f>VLOOKUP(B2635,Tabela_Auxiliar[],2,0)</f>
        <v>5. Resultado Financeiro</v>
      </c>
      <c r="E2635" t="str">
        <f>VLOOKUP(B2635,Tabela_Auxiliar[],4,0)</f>
        <v>Participação nos resultados</v>
      </c>
      <c r="F2635" t="str">
        <f>VLOOKUP(B2635,Tabela_Auxiliar[],3,0)</f>
        <v>Saída</v>
      </c>
      <c r="G2635" t="str">
        <f>UPPER(TEXT(Tabela_DB[[#This Row],[DATA]],"mmm"))</f>
        <v>JUN</v>
      </c>
      <c r="H2635" t="str">
        <f>UPPER(TEXT(Tabela_DB[[#This Row],[DATA]],"aaaa"))</f>
        <v>2021</v>
      </c>
    </row>
    <row r="2636" spans="1:8" x14ac:dyDescent="0.25">
      <c r="A2636" s="2">
        <v>44359</v>
      </c>
      <c r="B2636" t="s">
        <v>64</v>
      </c>
      <c r="C2636">
        <v>-1492</v>
      </c>
      <c r="D2636" t="str">
        <f>VLOOKUP(B2636,Tabela_Auxiliar[],2,0)</f>
        <v>4. Despesas Operacionais</v>
      </c>
      <c r="E2636" t="str">
        <f>VLOOKUP(B2636,Tabela_Auxiliar[],4,0)</f>
        <v>Despesa Gerais</v>
      </c>
      <c r="F2636" t="str">
        <f>VLOOKUP(B2636,Tabela_Auxiliar[],3,0)</f>
        <v>Saída</v>
      </c>
      <c r="G2636" t="str">
        <f>UPPER(TEXT(Tabela_DB[[#This Row],[DATA]],"mmm"))</f>
        <v>JUN</v>
      </c>
      <c r="H2636" t="str">
        <f>UPPER(TEXT(Tabela_DB[[#This Row],[DATA]],"aaaa"))</f>
        <v>2021</v>
      </c>
    </row>
    <row r="2637" spans="1:8" x14ac:dyDescent="0.25">
      <c r="A2637" s="2">
        <v>44359</v>
      </c>
      <c r="B2637" t="s">
        <v>89</v>
      </c>
      <c r="C2637">
        <v>-2051</v>
      </c>
      <c r="D2637" t="str">
        <f>VLOOKUP(B2637,Tabela_Auxiliar[],2,0)</f>
        <v>4. Despesas Operacionais</v>
      </c>
      <c r="E2637" t="str">
        <f>VLOOKUP(B2637,Tabela_Auxiliar[],4,0)</f>
        <v>Despesa Tributária</v>
      </c>
      <c r="F2637" t="str">
        <f>VLOOKUP(B2637,Tabela_Auxiliar[],3,0)</f>
        <v>Saída</v>
      </c>
      <c r="G2637" t="str">
        <f>UPPER(TEXT(Tabela_DB[[#This Row],[DATA]],"mmm"))</f>
        <v>JUN</v>
      </c>
      <c r="H2637" t="str">
        <f>UPPER(TEXT(Tabela_DB[[#This Row],[DATA]],"aaaa"))</f>
        <v>2021</v>
      </c>
    </row>
    <row r="2638" spans="1:8" x14ac:dyDescent="0.25">
      <c r="A2638" s="2">
        <v>44360</v>
      </c>
      <c r="B2638" t="s">
        <v>111</v>
      </c>
      <c r="C2638">
        <v>-1219</v>
      </c>
      <c r="D2638" t="str">
        <f>VLOOKUP(B2638,Tabela_Auxiliar[],2,0)</f>
        <v>2. Deduções da Receita</v>
      </c>
      <c r="E2638" t="str">
        <f>VLOOKUP(B2638,Tabela_Auxiliar[],4,0)</f>
        <v>Imposto</v>
      </c>
      <c r="F2638" t="str">
        <f>VLOOKUP(B2638,Tabela_Auxiliar[],3,0)</f>
        <v>Saída</v>
      </c>
      <c r="G2638" t="str">
        <f>UPPER(TEXT(Tabela_DB[[#This Row],[DATA]],"mmm"))</f>
        <v>JUN</v>
      </c>
      <c r="H2638" t="str">
        <f>UPPER(TEXT(Tabela_DB[[#This Row],[DATA]],"aaaa"))</f>
        <v>2021</v>
      </c>
    </row>
    <row r="2639" spans="1:8" x14ac:dyDescent="0.25">
      <c r="A2639" s="2">
        <v>44360</v>
      </c>
      <c r="B2639" t="s">
        <v>4</v>
      </c>
      <c r="C2639">
        <v>12055</v>
      </c>
      <c r="D2639" t="str">
        <f>VLOOKUP(B2639,Tabela_Auxiliar[],2,0)</f>
        <v>1. Receita Operacional Bruta</v>
      </c>
      <c r="E2639" t="str">
        <f>VLOOKUP(B2639,Tabela_Auxiliar[],4,0)</f>
        <v>Receita Bruta</v>
      </c>
      <c r="F2639" t="str">
        <f>VLOOKUP(B2639,Tabela_Auxiliar[],3,0)</f>
        <v>Entrada</v>
      </c>
      <c r="G2639" t="str">
        <f>UPPER(TEXT(Tabela_DB[[#This Row],[DATA]],"mmm"))</f>
        <v>JUN</v>
      </c>
      <c r="H2639" t="str">
        <f>UPPER(TEXT(Tabela_DB[[#This Row],[DATA]],"aaaa"))</f>
        <v>2021</v>
      </c>
    </row>
    <row r="2640" spans="1:8" x14ac:dyDescent="0.25">
      <c r="A2640" s="2">
        <v>44360</v>
      </c>
      <c r="B2640" t="s">
        <v>4</v>
      </c>
      <c r="C2640">
        <v>11999</v>
      </c>
      <c r="D2640" t="str">
        <f>VLOOKUP(B2640,Tabela_Auxiliar[],2,0)</f>
        <v>1. Receita Operacional Bruta</v>
      </c>
      <c r="E2640" t="str">
        <f>VLOOKUP(B2640,Tabela_Auxiliar[],4,0)</f>
        <v>Receita Bruta</v>
      </c>
      <c r="F2640" t="str">
        <f>VLOOKUP(B2640,Tabela_Auxiliar[],3,0)</f>
        <v>Entrada</v>
      </c>
      <c r="G2640" t="str">
        <f>UPPER(TEXT(Tabela_DB[[#This Row],[DATA]],"mmm"))</f>
        <v>JUN</v>
      </c>
      <c r="H2640" t="str">
        <f>UPPER(TEXT(Tabela_DB[[#This Row],[DATA]],"aaaa"))</f>
        <v>2021</v>
      </c>
    </row>
    <row r="2641" spans="1:8" x14ac:dyDescent="0.25">
      <c r="A2641" s="2">
        <v>44360</v>
      </c>
      <c r="B2641" t="s">
        <v>34</v>
      </c>
      <c r="C2641">
        <v>-1173</v>
      </c>
      <c r="D2641" t="str">
        <f>VLOOKUP(B2641,Tabela_Auxiliar[],2,0)</f>
        <v>2. Deduções da Receita</v>
      </c>
      <c r="E2641" t="str">
        <f>VLOOKUP(B2641,Tabela_Auxiliar[],4,0)</f>
        <v>Imposto</v>
      </c>
      <c r="F2641" t="str">
        <f>VLOOKUP(B2641,Tabela_Auxiliar[],3,0)</f>
        <v>Saída</v>
      </c>
      <c r="G2641" t="str">
        <f>UPPER(TEXT(Tabela_DB[[#This Row],[DATA]],"mmm"))</f>
        <v>JUN</v>
      </c>
      <c r="H2641" t="str">
        <f>UPPER(TEXT(Tabela_DB[[#This Row],[DATA]],"aaaa"))</f>
        <v>2021</v>
      </c>
    </row>
    <row r="2642" spans="1:8" x14ac:dyDescent="0.25">
      <c r="A2642" s="2">
        <v>44360</v>
      </c>
      <c r="B2642" t="s">
        <v>46</v>
      </c>
      <c r="C2642">
        <v>-1520</v>
      </c>
      <c r="D2642" t="str">
        <f>VLOOKUP(B2642,Tabela_Auxiliar[],2,0)</f>
        <v>4. Despesas Operacionais</v>
      </c>
      <c r="E2642" t="str">
        <f>VLOOKUP(B2642,Tabela_Auxiliar[],4,0)</f>
        <v>Despesa com Pessoal</v>
      </c>
      <c r="F2642" t="str">
        <f>VLOOKUP(B2642,Tabela_Auxiliar[],3,0)</f>
        <v>Saída</v>
      </c>
      <c r="G2642" t="str">
        <f>UPPER(TEXT(Tabela_DB[[#This Row],[DATA]],"mmm"))</f>
        <v>JUN</v>
      </c>
      <c r="H2642" t="str">
        <f>UPPER(TEXT(Tabela_DB[[#This Row],[DATA]],"aaaa"))</f>
        <v>2021</v>
      </c>
    </row>
    <row r="2643" spans="1:8" x14ac:dyDescent="0.25">
      <c r="A2643" s="2">
        <v>44360</v>
      </c>
      <c r="B2643" t="s">
        <v>8</v>
      </c>
      <c r="C2643">
        <v>-2277</v>
      </c>
      <c r="D2643" t="str">
        <f>VLOOKUP(B2643,Tabela_Auxiliar[],2,0)</f>
        <v>4. Despesas Operacionais</v>
      </c>
      <c r="E2643" t="str">
        <f>VLOOKUP(B2643,Tabela_Auxiliar[],4,0)</f>
        <v>Despesa com Pessoal</v>
      </c>
      <c r="F2643" t="str">
        <f>VLOOKUP(B2643,Tabela_Auxiliar[],3,0)</f>
        <v>Saída</v>
      </c>
      <c r="G2643" t="str">
        <f>UPPER(TEXT(Tabela_DB[[#This Row],[DATA]],"mmm"))</f>
        <v>JUN</v>
      </c>
      <c r="H2643" t="str">
        <f>UPPER(TEXT(Tabela_DB[[#This Row],[DATA]],"aaaa"))</f>
        <v>2021</v>
      </c>
    </row>
    <row r="2644" spans="1:8" x14ac:dyDescent="0.25">
      <c r="A2644" s="2">
        <v>44360</v>
      </c>
      <c r="B2644" t="s">
        <v>4</v>
      </c>
      <c r="C2644">
        <v>13722</v>
      </c>
      <c r="D2644" t="str">
        <f>VLOOKUP(B2644,Tabela_Auxiliar[],2,0)</f>
        <v>1. Receita Operacional Bruta</v>
      </c>
      <c r="E2644" t="str">
        <f>VLOOKUP(B2644,Tabela_Auxiliar[],4,0)</f>
        <v>Receita Bruta</v>
      </c>
      <c r="F2644" t="str">
        <f>VLOOKUP(B2644,Tabela_Auxiliar[],3,0)</f>
        <v>Entrada</v>
      </c>
      <c r="G2644" t="str">
        <f>UPPER(TEXT(Tabela_DB[[#This Row],[DATA]],"mmm"))</f>
        <v>JUN</v>
      </c>
      <c r="H2644" t="str">
        <f>UPPER(TEXT(Tabela_DB[[#This Row],[DATA]],"aaaa"))</f>
        <v>2021</v>
      </c>
    </row>
    <row r="2645" spans="1:8" x14ac:dyDescent="0.25">
      <c r="A2645" s="2">
        <v>44360</v>
      </c>
      <c r="B2645" t="s">
        <v>3</v>
      </c>
      <c r="C2645">
        <v>10631</v>
      </c>
      <c r="D2645" t="str">
        <f>VLOOKUP(B2645,Tabela_Auxiliar[],2,0)</f>
        <v>1. Receita Operacional Bruta</v>
      </c>
      <c r="E2645" t="str">
        <f>VLOOKUP(B2645,Tabela_Auxiliar[],4,0)</f>
        <v>Receita Bruta</v>
      </c>
      <c r="F2645" t="str">
        <f>VLOOKUP(B2645,Tabela_Auxiliar[],3,0)</f>
        <v>Entrada</v>
      </c>
      <c r="G2645" t="str">
        <f>UPPER(TEXT(Tabela_DB[[#This Row],[DATA]],"mmm"))</f>
        <v>JUN</v>
      </c>
      <c r="H2645" t="str">
        <f>UPPER(TEXT(Tabela_DB[[#This Row],[DATA]],"aaaa"))</f>
        <v>2021</v>
      </c>
    </row>
    <row r="2646" spans="1:8" x14ac:dyDescent="0.25">
      <c r="A2646" s="2">
        <v>44360</v>
      </c>
      <c r="B2646" t="s">
        <v>37</v>
      </c>
      <c r="C2646">
        <v>-2683</v>
      </c>
      <c r="D2646" t="str">
        <f>VLOOKUP(B2646,Tabela_Auxiliar[],2,0)</f>
        <v>3. Custos do Produto/Mercadoria/Serviço</v>
      </c>
      <c r="E2646" t="str">
        <f>VLOOKUP(B2646,Tabela_Auxiliar[],4,0)</f>
        <v>Despesas c/ Produto</v>
      </c>
      <c r="F2646" t="str">
        <f>VLOOKUP(B2646,Tabela_Auxiliar[],3,0)</f>
        <v>Saída</v>
      </c>
      <c r="G2646" t="str">
        <f>UPPER(TEXT(Tabela_DB[[#This Row],[DATA]],"mmm"))</f>
        <v>JUN</v>
      </c>
      <c r="H2646" t="str">
        <f>UPPER(TEXT(Tabela_DB[[#This Row],[DATA]],"aaaa"))</f>
        <v>2021</v>
      </c>
    </row>
    <row r="2647" spans="1:8" x14ac:dyDescent="0.25">
      <c r="A2647" s="2">
        <v>44360</v>
      </c>
      <c r="B2647" t="s">
        <v>74</v>
      </c>
      <c r="C2647">
        <v>-2194</v>
      </c>
      <c r="D2647" t="str">
        <f>VLOOKUP(B2647,Tabela_Auxiliar[],2,0)</f>
        <v>4. Despesas Operacionais</v>
      </c>
      <c r="E2647" t="str">
        <f>VLOOKUP(B2647,Tabela_Auxiliar[],4,0)</f>
        <v>Serviços Contratados</v>
      </c>
      <c r="F2647" t="str">
        <f>VLOOKUP(B2647,Tabela_Auxiliar[],3,0)</f>
        <v>Saída</v>
      </c>
      <c r="G2647" t="str">
        <f>UPPER(TEXT(Tabela_DB[[#This Row],[DATA]],"mmm"))</f>
        <v>JUN</v>
      </c>
      <c r="H2647" t="str">
        <f>UPPER(TEXT(Tabela_DB[[#This Row],[DATA]],"aaaa"))</f>
        <v>2021</v>
      </c>
    </row>
    <row r="2648" spans="1:8" x14ac:dyDescent="0.25">
      <c r="A2648" s="2">
        <v>44360</v>
      </c>
      <c r="B2648" t="s">
        <v>3</v>
      </c>
      <c r="C2648">
        <v>11749</v>
      </c>
      <c r="D2648" t="str">
        <f>VLOOKUP(B2648,Tabela_Auxiliar[],2,0)</f>
        <v>1. Receita Operacional Bruta</v>
      </c>
      <c r="E2648" t="str">
        <f>VLOOKUP(B2648,Tabela_Auxiliar[],4,0)</f>
        <v>Receita Bruta</v>
      </c>
      <c r="F2648" t="str">
        <f>VLOOKUP(B2648,Tabela_Auxiliar[],3,0)</f>
        <v>Entrada</v>
      </c>
      <c r="G2648" t="str">
        <f>UPPER(TEXT(Tabela_DB[[#This Row],[DATA]],"mmm"))</f>
        <v>JUN</v>
      </c>
      <c r="H2648" t="str">
        <f>UPPER(TEXT(Tabela_DB[[#This Row],[DATA]],"aaaa"))</f>
        <v>2021</v>
      </c>
    </row>
    <row r="2649" spans="1:8" x14ac:dyDescent="0.25">
      <c r="A2649" s="2">
        <v>44360</v>
      </c>
      <c r="B2649" t="s">
        <v>70</v>
      </c>
      <c r="C2649">
        <v>-1154</v>
      </c>
      <c r="D2649" t="str">
        <f>VLOOKUP(B2649,Tabela_Auxiliar[],2,0)</f>
        <v>4. Despesas Operacionais</v>
      </c>
      <c r="E2649" t="str">
        <f>VLOOKUP(B2649,Tabela_Auxiliar[],4,0)</f>
        <v>Despesa com Ocupação</v>
      </c>
      <c r="F2649" t="str">
        <f>VLOOKUP(B2649,Tabela_Auxiliar[],3,0)</f>
        <v>Saída</v>
      </c>
      <c r="G2649" t="str">
        <f>UPPER(TEXT(Tabela_DB[[#This Row],[DATA]],"mmm"))</f>
        <v>JUN</v>
      </c>
      <c r="H2649" t="str">
        <f>UPPER(TEXT(Tabela_DB[[#This Row],[DATA]],"aaaa"))</f>
        <v>2021</v>
      </c>
    </row>
    <row r="2650" spans="1:8" x14ac:dyDescent="0.25">
      <c r="A2650" s="2">
        <v>44360</v>
      </c>
      <c r="B2650" t="s">
        <v>4</v>
      </c>
      <c r="C2650">
        <v>14578</v>
      </c>
      <c r="D2650" t="str">
        <f>VLOOKUP(B2650,Tabela_Auxiliar[],2,0)</f>
        <v>1. Receita Operacional Bruta</v>
      </c>
      <c r="E2650" t="str">
        <f>VLOOKUP(B2650,Tabela_Auxiliar[],4,0)</f>
        <v>Receita Bruta</v>
      </c>
      <c r="F2650" t="str">
        <f>VLOOKUP(B2650,Tabela_Auxiliar[],3,0)</f>
        <v>Entrada</v>
      </c>
      <c r="G2650" t="str">
        <f>UPPER(TEXT(Tabela_DB[[#This Row],[DATA]],"mmm"))</f>
        <v>JUN</v>
      </c>
      <c r="H2650" t="str">
        <f>UPPER(TEXT(Tabela_DB[[#This Row],[DATA]],"aaaa"))</f>
        <v>2021</v>
      </c>
    </row>
    <row r="2651" spans="1:8" x14ac:dyDescent="0.25">
      <c r="A2651" s="2">
        <v>44360</v>
      </c>
      <c r="B2651" t="s">
        <v>4</v>
      </c>
      <c r="C2651">
        <v>14960</v>
      </c>
      <c r="D2651" t="str">
        <f>VLOOKUP(B2651,Tabela_Auxiliar[],2,0)</f>
        <v>1. Receita Operacional Bruta</v>
      </c>
      <c r="E2651" t="str">
        <f>VLOOKUP(B2651,Tabela_Auxiliar[],4,0)</f>
        <v>Receita Bruta</v>
      </c>
      <c r="F2651" t="str">
        <f>VLOOKUP(B2651,Tabela_Auxiliar[],3,0)</f>
        <v>Entrada</v>
      </c>
      <c r="G2651" t="str">
        <f>UPPER(TEXT(Tabela_DB[[#This Row],[DATA]],"mmm"))</f>
        <v>JUN</v>
      </c>
      <c r="H2651" t="str">
        <f>UPPER(TEXT(Tabela_DB[[#This Row],[DATA]],"aaaa"))</f>
        <v>2021</v>
      </c>
    </row>
    <row r="2652" spans="1:8" x14ac:dyDescent="0.25">
      <c r="A2652" s="2">
        <v>44360</v>
      </c>
      <c r="B2652" t="s">
        <v>60</v>
      </c>
      <c r="C2652">
        <v>-2377</v>
      </c>
      <c r="D2652" t="str">
        <f>VLOOKUP(B2652,Tabela_Auxiliar[],2,0)</f>
        <v>4. Despesas Operacionais</v>
      </c>
      <c r="E2652" t="str">
        <f>VLOOKUP(B2652,Tabela_Auxiliar[],4,0)</f>
        <v>Despesa de Depreciação</v>
      </c>
      <c r="F2652" t="str">
        <f>VLOOKUP(B2652,Tabela_Auxiliar[],3,0)</f>
        <v>Saída</v>
      </c>
      <c r="G2652" t="str">
        <f>UPPER(TEXT(Tabela_DB[[#This Row],[DATA]],"mmm"))</f>
        <v>JUN</v>
      </c>
      <c r="H2652" t="str">
        <f>UPPER(TEXT(Tabela_DB[[#This Row],[DATA]],"aaaa"))</f>
        <v>2021</v>
      </c>
    </row>
    <row r="2653" spans="1:8" x14ac:dyDescent="0.25">
      <c r="A2653" s="2">
        <v>44360</v>
      </c>
      <c r="B2653" t="s">
        <v>70</v>
      </c>
      <c r="C2653">
        <v>-2411</v>
      </c>
      <c r="D2653" t="str">
        <f>VLOOKUP(B2653,Tabela_Auxiliar[],2,0)</f>
        <v>4. Despesas Operacionais</v>
      </c>
      <c r="E2653" t="str">
        <f>VLOOKUP(B2653,Tabela_Auxiliar[],4,0)</f>
        <v>Despesa com Ocupação</v>
      </c>
      <c r="F2653" t="str">
        <f>VLOOKUP(B2653,Tabela_Auxiliar[],3,0)</f>
        <v>Saída</v>
      </c>
      <c r="G2653" t="str">
        <f>UPPER(TEXT(Tabela_DB[[#This Row],[DATA]],"mmm"))</f>
        <v>JUN</v>
      </c>
      <c r="H2653" t="str">
        <f>UPPER(TEXT(Tabela_DB[[#This Row],[DATA]],"aaaa"))</f>
        <v>2021</v>
      </c>
    </row>
    <row r="2654" spans="1:8" x14ac:dyDescent="0.25">
      <c r="A2654" s="2">
        <v>44360</v>
      </c>
      <c r="B2654" t="s">
        <v>53</v>
      </c>
      <c r="C2654">
        <v>-2418</v>
      </c>
      <c r="D2654" t="str">
        <f>VLOOKUP(B2654,Tabela_Auxiliar[],2,0)</f>
        <v>4. Despesas Operacionais</v>
      </c>
      <c r="E2654" t="str">
        <f>VLOOKUP(B2654,Tabela_Auxiliar[],4,0)</f>
        <v>Despesa com Pessoal</v>
      </c>
      <c r="F2654" t="str">
        <f>VLOOKUP(B2654,Tabela_Auxiliar[],3,0)</f>
        <v>Saída</v>
      </c>
      <c r="G2654" t="str">
        <f>UPPER(TEXT(Tabela_DB[[#This Row],[DATA]],"mmm"))</f>
        <v>JUN</v>
      </c>
      <c r="H2654" t="str">
        <f>UPPER(TEXT(Tabela_DB[[#This Row],[DATA]],"aaaa"))</f>
        <v>2021</v>
      </c>
    </row>
    <row r="2655" spans="1:8" x14ac:dyDescent="0.25">
      <c r="A2655" s="2">
        <v>44360</v>
      </c>
      <c r="B2655" t="s">
        <v>34</v>
      </c>
      <c r="C2655">
        <v>-2186</v>
      </c>
      <c r="D2655" t="str">
        <f>VLOOKUP(B2655,Tabela_Auxiliar[],2,0)</f>
        <v>2. Deduções da Receita</v>
      </c>
      <c r="E2655" t="str">
        <f>VLOOKUP(B2655,Tabela_Auxiliar[],4,0)</f>
        <v>Imposto</v>
      </c>
      <c r="F2655" t="str">
        <f>VLOOKUP(B2655,Tabela_Auxiliar[],3,0)</f>
        <v>Saída</v>
      </c>
      <c r="G2655" t="str">
        <f>UPPER(TEXT(Tabela_DB[[#This Row],[DATA]],"mmm"))</f>
        <v>JUN</v>
      </c>
      <c r="H2655" t="str">
        <f>UPPER(TEXT(Tabela_DB[[#This Row],[DATA]],"aaaa"))</f>
        <v>2021</v>
      </c>
    </row>
    <row r="2656" spans="1:8" x14ac:dyDescent="0.25">
      <c r="A2656" s="2">
        <v>44360</v>
      </c>
      <c r="B2656" t="s">
        <v>69</v>
      </c>
      <c r="C2656">
        <v>-1933</v>
      </c>
      <c r="D2656" t="str">
        <f>VLOOKUP(B2656,Tabela_Auxiliar[],2,0)</f>
        <v>4. Despesas Operacionais</v>
      </c>
      <c r="E2656" t="str">
        <f>VLOOKUP(B2656,Tabela_Auxiliar[],4,0)</f>
        <v>Despesa com Ocupação</v>
      </c>
      <c r="F2656" t="str">
        <f>VLOOKUP(B2656,Tabela_Auxiliar[],3,0)</f>
        <v>Saída</v>
      </c>
      <c r="G2656" t="str">
        <f>UPPER(TEXT(Tabela_DB[[#This Row],[DATA]],"mmm"))</f>
        <v>JUN</v>
      </c>
      <c r="H2656" t="str">
        <f>UPPER(TEXT(Tabela_DB[[#This Row],[DATA]],"aaaa"))</f>
        <v>2021</v>
      </c>
    </row>
    <row r="2657" spans="1:8" x14ac:dyDescent="0.25">
      <c r="A2657" s="2">
        <v>44360</v>
      </c>
      <c r="B2657" t="s">
        <v>4</v>
      </c>
      <c r="C2657">
        <v>14135</v>
      </c>
      <c r="D2657" t="str">
        <f>VLOOKUP(B2657,Tabela_Auxiliar[],2,0)</f>
        <v>1. Receita Operacional Bruta</v>
      </c>
      <c r="E2657" t="str">
        <f>VLOOKUP(B2657,Tabela_Auxiliar[],4,0)</f>
        <v>Receita Bruta</v>
      </c>
      <c r="F2657" t="str">
        <f>VLOOKUP(B2657,Tabela_Auxiliar[],3,0)</f>
        <v>Entrada</v>
      </c>
      <c r="G2657" t="str">
        <f>UPPER(TEXT(Tabela_DB[[#This Row],[DATA]],"mmm"))</f>
        <v>JUN</v>
      </c>
      <c r="H2657" t="str">
        <f>UPPER(TEXT(Tabela_DB[[#This Row],[DATA]],"aaaa"))</f>
        <v>2021</v>
      </c>
    </row>
    <row r="2658" spans="1:8" x14ac:dyDescent="0.25">
      <c r="A2658" s="2">
        <v>44361</v>
      </c>
      <c r="B2658" t="s">
        <v>34</v>
      </c>
      <c r="C2658">
        <v>-1339</v>
      </c>
      <c r="D2658" t="str">
        <f>VLOOKUP(B2658,Tabela_Auxiliar[],2,0)</f>
        <v>2. Deduções da Receita</v>
      </c>
      <c r="E2658" t="str">
        <f>VLOOKUP(B2658,Tabela_Auxiliar[],4,0)</f>
        <v>Imposto</v>
      </c>
      <c r="F2658" t="str">
        <f>VLOOKUP(B2658,Tabela_Auxiliar[],3,0)</f>
        <v>Saída</v>
      </c>
      <c r="G2658" t="str">
        <f>UPPER(TEXT(Tabela_DB[[#This Row],[DATA]],"mmm"))</f>
        <v>JUN</v>
      </c>
      <c r="H2658" t="str">
        <f>UPPER(TEXT(Tabela_DB[[#This Row],[DATA]],"aaaa"))</f>
        <v>2021</v>
      </c>
    </row>
    <row r="2659" spans="1:8" x14ac:dyDescent="0.25">
      <c r="A2659" s="2">
        <v>44361</v>
      </c>
      <c r="B2659" t="s">
        <v>38</v>
      </c>
      <c r="C2659">
        <v>-1487</v>
      </c>
      <c r="D2659" t="str">
        <f>VLOOKUP(B2659,Tabela_Auxiliar[],2,0)</f>
        <v>2. Deduções da Receita</v>
      </c>
      <c r="E2659" t="str">
        <f>VLOOKUP(B2659,Tabela_Auxiliar[],4,0)</f>
        <v>Deduções</v>
      </c>
      <c r="F2659" t="str">
        <f>VLOOKUP(B2659,Tabela_Auxiliar[],3,0)</f>
        <v>Saída</v>
      </c>
      <c r="G2659" t="str">
        <f>UPPER(TEXT(Tabela_DB[[#This Row],[DATA]],"mmm"))</f>
        <v>JUN</v>
      </c>
      <c r="H2659" t="str">
        <f>UPPER(TEXT(Tabela_DB[[#This Row],[DATA]],"aaaa"))</f>
        <v>2021</v>
      </c>
    </row>
    <row r="2660" spans="1:8" x14ac:dyDescent="0.25">
      <c r="A2660" s="2">
        <v>44361</v>
      </c>
      <c r="B2660" t="s">
        <v>111</v>
      </c>
      <c r="C2660">
        <v>-2109</v>
      </c>
      <c r="D2660" t="str">
        <f>VLOOKUP(B2660,Tabela_Auxiliar[],2,0)</f>
        <v>2. Deduções da Receita</v>
      </c>
      <c r="E2660" t="str">
        <f>VLOOKUP(B2660,Tabela_Auxiliar[],4,0)</f>
        <v>Imposto</v>
      </c>
      <c r="F2660" t="str">
        <f>VLOOKUP(B2660,Tabela_Auxiliar[],3,0)</f>
        <v>Saída</v>
      </c>
      <c r="G2660" t="str">
        <f>UPPER(TEXT(Tabela_DB[[#This Row],[DATA]],"mmm"))</f>
        <v>JUN</v>
      </c>
      <c r="H2660" t="str">
        <f>UPPER(TEXT(Tabela_DB[[#This Row],[DATA]],"aaaa"))</f>
        <v>2021</v>
      </c>
    </row>
    <row r="2661" spans="1:8" x14ac:dyDescent="0.25">
      <c r="A2661" s="2">
        <v>44361</v>
      </c>
      <c r="B2661" t="s">
        <v>38</v>
      </c>
      <c r="C2661">
        <v>-1130</v>
      </c>
      <c r="D2661" t="str">
        <f>VLOOKUP(B2661,Tabela_Auxiliar[],2,0)</f>
        <v>2. Deduções da Receita</v>
      </c>
      <c r="E2661" t="str">
        <f>VLOOKUP(B2661,Tabela_Auxiliar[],4,0)</f>
        <v>Deduções</v>
      </c>
      <c r="F2661" t="str">
        <f>VLOOKUP(B2661,Tabela_Auxiliar[],3,0)</f>
        <v>Saída</v>
      </c>
      <c r="G2661" t="str">
        <f>UPPER(TEXT(Tabela_DB[[#This Row],[DATA]],"mmm"))</f>
        <v>JUN</v>
      </c>
      <c r="H2661" t="str">
        <f>UPPER(TEXT(Tabela_DB[[#This Row],[DATA]],"aaaa"))</f>
        <v>2021</v>
      </c>
    </row>
    <row r="2662" spans="1:8" x14ac:dyDescent="0.25">
      <c r="A2662" s="2">
        <v>44361</v>
      </c>
      <c r="B2662" t="s">
        <v>111</v>
      </c>
      <c r="C2662">
        <v>-1315</v>
      </c>
      <c r="D2662" t="str">
        <f>VLOOKUP(B2662,Tabela_Auxiliar[],2,0)</f>
        <v>2. Deduções da Receita</v>
      </c>
      <c r="E2662" t="str">
        <f>VLOOKUP(B2662,Tabela_Auxiliar[],4,0)</f>
        <v>Imposto</v>
      </c>
      <c r="F2662" t="str">
        <f>VLOOKUP(B2662,Tabela_Auxiliar[],3,0)</f>
        <v>Saída</v>
      </c>
      <c r="G2662" t="str">
        <f>UPPER(TEXT(Tabela_DB[[#This Row],[DATA]],"mmm"))</f>
        <v>JUN</v>
      </c>
      <c r="H2662" t="str">
        <f>UPPER(TEXT(Tabela_DB[[#This Row],[DATA]],"aaaa"))</f>
        <v>2021</v>
      </c>
    </row>
    <row r="2663" spans="1:8" x14ac:dyDescent="0.25">
      <c r="A2663" s="2">
        <v>44361</v>
      </c>
      <c r="B2663" t="s">
        <v>38</v>
      </c>
      <c r="C2663">
        <v>-2046</v>
      </c>
      <c r="D2663" t="str">
        <f>VLOOKUP(B2663,Tabela_Auxiliar[],2,0)</f>
        <v>2. Deduções da Receita</v>
      </c>
      <c r="E2663" t="str">
        <f>VLOOKUP(B2663,Tabela_Auxiliar[],4,0)</f>
        <v>Deduções</v>
      </c>
      <c r="F2663" t="str">
        <f>VLOOKUP(B2663,Tabela_Auxiliar[],3,0)</f>
        <v>Saída</v>
      </c>
      <c r="G2663" t="str">
        <f>UPPER(TEXT(Tabela_DB[[#This Row],[DATA]],"mmm"))</f>
        <v>JUN</v>
      </c>
      <c r="H2663" t="str">
        <f>UPPER(TEXT(Tabela_DB[[#This Row],[DATA]],"aaaa"))</f>
        <v>2021</v>
      </c>
    </row>
    <row r="2664" spans="1:8" x14ac:dyDescent="0.25">
      <c r="A2664" s="2">
        <v>44361</v>
      </c>
      <c r="B2664" t="s">
        <v>57</v>
      </c>
      <c r="C2664">
        <v>-2337</v>
      </c>
      <c r="D2664" t="str">
        <f>VLOOKUP(B2664,Tabela_Auxiliar[],2,0)</f>
        <v>4. Despesas Operacionais</v>
      </c>
      <c r="E2664" t="str">
        <f>VLOOKUP(B2664,Tabela_Auxiliar[],4,0)</f>
        <v>Despesa com Pessoal</v>
      </c>
      <c r="F2664" t="str">
        <f>VLOOKUP(B2664,Tabela_Auxiliar[],3,0)</f>
        <v>Saída</v>
      </c>
      <c r="G2664" t="str">
        <f>UPPER(TEXT(Tabela_DB[[#This Row],[DATA]],"mmm"))</f>
        <v>JUN</v>
      </c>
      <c r="H2664" t="str">
        <f>UPPER(TEXT(Tabela_DB[[#This Row],[DATA]],"aaaa"))</f>
        <v>2021</v>
      </c>
    </row>
    <row r="2665" spans="1:8" x14ac:dyDescent="0.25">
      <c r="A2665" s="2">
        <v>44361</v>
      </c>
      <c r="B2665" t="s">
        <v>38</v>
      </c>
      <c r="C2665">
        <v>-1921</v>
      </c>
      <c r="D2665" t="str">
        <f>VLOOKUP(B2665,Tabela_Auxiliar[],2,0)</f>
        <v>2. Deduções da Receita</v>
      </c>
      <c r="E2665" t="str">
        <f>VLOOKUP(B2665,Tabela_Auxiliar[],4,0)</f>
        <v>Deduções</v>
      </c>
      <c r="F2665" t="str">
        <f>VLOOKUP(B2665,Tabela_Auxiliar[],3,0)</f>
        <v>Saída</v>
      </c>
      <c r="G2665" t="str">
        <f>UPPER(TEXT(Tabela_DB[[#This Row],[DATA]],"mmm"))</f>
        <v>JUN</v>
      </c>
      <c r="H2665" t="str">
        <f>UPPER(TEXT(Tabela_DB[[#This Row],[DATA]],"aaaa"))</f>
        <v>2021</v>
      </c>
    </row>
    <row r="2666" spans="1:8" x14ac:dyDescent="0.25">
      <c r="A2666" s="2">
        <v>44361</v>
      </c>
      <c r="B2666" t="s">
        <v>38</v>
      </c>
      <c r="C2666">
        <v>-1451</v>
      </c>
      <c r="D2666" t="str">
        <f>VLOOKUP(B2666,Tabela_Auxiliar[],2,0)</f>
        <v>2. Deduções da Receita</v>
      </c>
      <c r="E2666" t="str">
        <f>VLOOKUP(B2666,Tabela_Auxiliar[],4,0)</f>
        <v>Deduções</v>
      </c>
      <c r="F2666" t="str">
        <f>VLOOKUP(B2666,Tabela_Auxiliar[],3,0)</f>
        <v>Saída</v>
      </c>
      <c r="G2666" t="str">
        <f>UPPER(TEXT(Tabela_DB[[#This Row],[DATA]],"mmm"))</f>
        <v>JUN</v>
      </c>
      <c r="H2666" t="str">
        <f>UPPER(TEXT(Tabela_DB[[#This Row],[DATA]],"aaaa"))</f>
        <v>2021</v>
      </c>
    </row>
    <row r="2667" spans="1:8" x14ac:dyDescent="0.25">
      <c r="A2667" s="2">
        <v>44361</v>
      </c>
      <c r="B2667" t="s">
        <v>34</v>
      </c>
      <c r="C2667">
        <v>-1658</v>
      </c>
      <c r="D2667" t="str">
        <f>VLOOKUP(B2667,Tabela_Auxiliar[],2,0)</f>
        <v>2. Deduções da Receita</v>
      </c>
      <c r="E2667" t="str">
        <f>VLOOKUP(B2667,Tabela_Auxiliar[],4,0)</f>
        <v>Imposto</v>
      </c>
      <c r="F2667" t="str">
        <f>VLOOKUP(B2667,Tabela_Auxiliar[],3,0)</f>
        <v>Saída</v>
      </c>
      <c r="G2667" t="str">
        <f>UPPER(TEXT(Tabela_DB[[#This Row],[DATA]],"mmm"))</f>
        <v>JUN</v>
      </c>
      <c r="H2667" t="str">
        <f>UPPER(TEXT(Tabela_DB[[#This Row],[DATA]],"aaaa"))</f>
        <v>2021</v>
      </c>
    </row>
    <row r="2668" spans="1:8" x14ac:dyDescent="0.25">
      <c r="A2668" s="2">
        <v>44361</v>
      </c>
      <c r="B2668" t="s">
        <v>38</v>
      </c>
      <c r="C2668">
        <v>-1669</v>
      </c>
      <c r="D2668" t="str">
        <f>VLOOKUP(B2668,Tabela_Auxiliar[],2,0)</f>
        <v>2. Deduções da Receita</v>
      </c>
      <c r="E2668" t="str">
        <f>VLOOKUP(B2668,Tabela_Auxiliar[],4,0)</f>
        <v>Deduções</v>
      </c>
      <c r="F2668" t="str">
        <f>VLOOKUP(B2668,Tabela_Auxiliar[],3,0)</f>
        <v>Saída</v>
      </c>
      <c r="G2668" t="str">
        <f>UPPER(TEXT(Tabela_DB[[#This Row],[DATA]],"mmm"))</f>
        <v>JUN</v>
      </c>
      <c r="H2668" t="str">
        <f>UPPER(TEXT(Tabela_DB[[#This Row],[DATA]],"aaaa"))</f>
        <v>2021</v>
      </c>
    </row>
    <row r="2669" spans="1:8" x14ac:dyDescent="0.25">
      <c r="A2669" s="2">
        <v>44361</v>
      </c>
      <c r="B2669" t="s">
        <v>3</v>
      </c>
      <c r="C2669">
        <v>10467</v>
      </c>
      <c r="D2669" t="str">
        <f>VLOOKUP(B2669,Tabela_Auxiliar[],2,0)</f>
        <v>1. Receita Operacional Bruta</v>
      </c>
      <c r="E2669" t="str">
        <f>VLOOKUP(B2669,Tabela_Auxiliar[],4,0)</f>
        <v>Receita Bruta</v>
      </c>
      <c r="F2669" t="str">
        <f>VLOOKUP(B2669,Tabela_Auxiliar[],3,0)</f>
        <v>Entrada</v>
      </c>
      <c r="G2669" t="str">
        <f>UPPER(TEXT(Tabela_DB[[#This Row],[DATA]],"mmm"))</f>
        <v>JUN</v>
      </c>
      <c r="H2669" t="str">
        <f>UPPER(TEXT(Tabela_DB[[#This Row],[DATA]],"aaaa"))</f>
        <v>2021</v>
      </c>
    </row>
    <row r="2670" spans="1:8" x14ac:dyDescent="0.25">
      <c r="A2670" s="2">
        <v>44361</v>
      </c>
      <c r="B2670" t="s">
        <v>33</v>
      </c>
      <c r="C2670">
        <v>-1184</v>
      </c>
      <c r="D2670" t="str">
        <f>VLOOKUP(B2670,Tabela_Auxiliar[],2,0)</f>
        <v>4. Despesas Operacionais</v>
      </c>
      <c r="E2670" t="str">
        <f>VLOOKUP(B2670,Tabela_Auxiliar[],4,0)</f>
        <v>Despesa com Vendas</v>
      </c>
      <c r="F2670" t="str">
        <f>VLOOKUP(B2670,Tabela_Auxiliar[],3,0)</f>
        <v>Saída</v>
      </c>
      <c r="G2670" t="str">
        <f>UPPER(TEXT(Tabela_DB[[#This Row],[DATA]],"mmm"))</f>
        <v>JUN</v>
      </c>
      <c r="H2670" t="str">
        <f>UPPER(TEXT(Tabela_DB[[#This Row],[DATA]],"aaaa"))</f>
        <v>2021</v>
      </c>
    </row>
    <row r="2671" spans="1:8" x14ac:dyDescent="0.25">
      <c r="A2671" s="2">
        <v>44361</v>
      </c>
      <c r="B2671" t="s">
        <v>111</v>
      </c>
      <c r="C2671">
        <v>-1455</v>
      </c>
      <c r="D2671" t="str">
        <f>VLOOKUP(B2671,Tabela_Auxiliar[],2,0)</f>
        <v>2. Deduções da Receita</v>
      </c>
      <c r="E2671" t="str">
        <f>VLOOKUP(B2671,Tabela_Auxiliar[],4,0)</f>
        <v>Imposto</v>
      </c>
      <c r="F2671" t="str">
        <f>VLOOKUP(B2671,Tabela_Auxiliar[],3,0)</f>
        <v>Saída</v>
      </c>
      <c r="G2671" t="str">
        <f>UPPER(TEXT(Tabela_DB[[#This Row],[DATA]],"mmm"))</f>
        <v>JUN</v>
      </c>
      <c r="H2671" t="str">
        <f>UPPER(TEXT(Tabela_DB[[#This Row],[DATA]],"aaaa"))</f>
        <v>2021</v>
      </c>
    </row>
    <row r="2672" spans="1:8" x14ac:dyDescent="0.25">
      <c r="A2672" s="2">
        <v>44361</v>
      </c>
      <c r="B2672" t="s">
        <v>66</v>
      </c>
      <c r="C2672">
        <v>-1957</v>
      </c>
      <c r="D2672" t="str">
        <f>VLOOKUP(B2672,Tabela_Auxiliar[],2,0)</f>
        <v>4. Despesas Operacionais</v>
      </c>
      <c r="E2672" t="str">
        <f>VLOOKUP(B2672,Tabela_Auxiliar[],4,0)</f>
        <v>Despesa com Vendas</v>
      </c>
      <c r="F2672" t="str">
        <f>VLOOKUP(B2672,Tabela_Auxiliar[],3,0)</f>
        <v>Saída</v>
      </c>
      <c r="G2672" t="str">
        <f>UPPER(TEXT(Tabela_DB[[#This Row],[DATA]],"mmm"))</f>
        <v>JUN</v>
      </c>
      <c r="H2672" t="str">
        <f>UPPER(TEXT(Tabela_DB[[#This Row],[DATA]],"aaaa"))</f>
        <v>2021</v>
      </c>
    </row>
    <row r="2673" spans="1:8" x14ac:dyDescent="0.25">
      <c r="A2673" s="2">
        <v>44361</v>
      </c>
      <c r="B2673" t="s">
        <v>38</v>
      </c>
      <c r="C2673">
        <v>-2274</v>
      </c>
      <c r="D2673" t="str">
        <f>VLOOKUP(B2673,Tabela_Auxiliar[],2,0)</f>
        <v>2. Deduções da Receita</v>
      </c>
      <c r="E2673" t="str">
        <f>VLOOKUP(B2673,Tabela_Auxiliar[],4,0)</f>
        <v>Deduções</v>
      </c>
      <c r="F2673" t="str">
        <f>VLOOKUP(B2673,Tabela_Auxiliar[],3,0)</f>
        <v>Saída</v>
      </c>
      <c r="G2673" t="str">
        <f>UPPER(TEXT(Tabela_DB[[#This Row],[DATA]],"mmm"))</f>
        <v>JUN</v>
      </c>
      <c r="H2673" t="str">
        <f>UPPER(TEXT(Tabela_DB[[#This Row],[DATA]],"aaaa"))</f>
        <v>2021</v>
      </c>
    </row>
    <row r="2674" spans="1:8" x14ac:dyDescent="0.25">
      <c r="A2674" s="2">
        <v>44361</v>
      </c>
      <c r="B2674" t="s">
        <v>47</v>
      </c>
      <c r="C2674">
        <v>-1997</v>
      </c>
      <c r="D2674" t="str">
        <f>VLOOKUP(B2674,Tabela_Auxiliar[],2,0)</f>
        <v>4. Despesas Operacionais</v>
      </c>
      <c r="E2674" t="str">
        <f>VLOOKUP(B2674,Tabela_Auxiliar[],4,0)</f>
        <v>Despesa com Pessoal</v>
      </c>
      <c r="F2674" t="str">
        <f>VLOOKUP(B2674,Tabela_Auxiliar[],3,0)</f>
        <v>Saída</v>
      </c>
      <c r="G2674" t="str">
        <f>UPPER(TEXT(Tabela_DB[[#This Row],[DATA]],"mmm"))</f>
        <v>JUN</v>
      </c>
      <c r="H2674" t="str">
        <f>UPPER(TEXT(Tabela_DB[[#This Row],[DATA]],"aaaa"))</f>
        <v>2021</v>
      </c>
    </row>
    <row r="2675" spans="1:8" x14ac:dyDescent="0.25">
      <c r="A2675" s="2">
        <v>44361</v>
      </c>
      <c r="B2675" t="s">
        <v>65</v>
      </c>
      <c r="C2675">
        <v>-1543</v>
      </c>
      <c r="D2675" t="str">
        <f>VLOOKUP(B2675,Tabela_Auxiliar[],2,0)</f>
        <v>4. Despesas Operacionais</v>
      </c>
      <c r="E2675" t="str">
        <f>VLOOKUP(B2675,Tabela_Auxiliar[],4,0)</f>
        <v>Despesa Gerais</v>
      </c>
      <c r="F2675" t="str">
        <f>VLOOKUP(B2675,Tabela_Auxiliar[],3,0)</f>
        <v>Saída</v>
      </c>
      <c r="G2675" t="str">
        <f>UPPER(TEXT(Tabela_DB[[#This Row],[DATA]],"mmm"))</f>
        <v>JUN</v>
      </c>
      <c r="H2675" t="str">
        <f>UPPER(TEXT(Tabela_DB[[#This Row],[DATA]],"aaaa"))</f>
        <v>2021</v>
      </c>
    </row>
    <row r="2676" spans="1:8" x14ac:dyDescent="0.25">
      <c r="A2676" s="2">
        <v>44361</v>
      </c>
      <c r="B2676" t="s">
        <v>111</v>
      </c>
      <c r="C2676">
        <v>-2210</v>
      </c>
      <c r="D2676" t="str">
        <f>VLOOKUP(B2676,Tabela_Auxiliar[],2,0)</f>
        <v>2. Deduções da Receita</v>
      </c>
      <c r="E2676" t="str">
        <f>VLOOKUP(B2676,Tabela_Auxiliar[],4,0)</f>
        <v>Imposto</v>
      </c>
      <c r="F2676" t="str">
        <f>VLOOKUP(B2676,Tabela_Auxiliar[],3,0)</f>
        <v>Saída</v>
      </c>
      <c r="G2676" t="str">
        <f>UPPER(TEXT(Tabela_DB[[#This Row],[DATA]],"mmm"))</f>
        <v>JUN</v>
      </c>
      <c r="H2676" t="str">
        <f>UPPER(TEXT(Tabela_DB[[#This Row],[DATA]],"aaaa"))</f>
        <v>2021</v>
      </c>
    </row>
    <row r="2677" spans="1:8" x14ac:dyDescent="0.25">
      <c r="A2677" s="2">
        <v>44361</v>
      </c>
      <c r="B2677" t="s">
        <v>8</v>
      </c>
      <c r="C2677">
        <v>-1332</v>
      </c>
      <c r="D2677" t="str">
        <f>VLOOKUP(B2677,Tabela_Auxiliar[],2,0)</f>
        <v>4. Despesas Operacionais</v>
      </c>
      <c r="E2677" t="str">
        <f>VLOOKUP(B2677,Tabela_Auxiliar[],4,0)</f>
        <v>Despesa com Pessoal</v>
      </c>
      <c r="F2677" t="str">
        <f>VLOOKUP(B2677,Tabela_Auxiliar[],3,0)</f>
        <v>Saída</v>
      </c>
      <c r="G2677" t="str">
        <f>UPPER(TEXT(Tabela_DB[[#This Row],[DATA]],"mmm"))</f>
        <v>JUN</v>
      </c>
      <c r="H2677" t="str">
        <f>UPPER(TEXT(Tabela_DB[[#This Row],[DATA]],"aaaa"))</f>
        <v>2021</v>
      </c>
    </row>
    <row r="2678" spans="1:8" x14ac:dyDescent="0.25">
      <c r="A2678" s="2">
        <v>44362</v>
      </c>
      <c r="B2678" t="s">
        <v>68</v>
      </c>
      <c r="C2678">
        <v>-2255</v>
      </c>
      <c r="D2678" t="str">
        <f>VLOOKUP(B2678,Tabela_Auxiliar[],2,0)</f>
        <v>4. Despesas Operacionais</v>
      </c>
      <c r="E2678" t="str">
        <f>VLOOKUP(B2678,Tabela_Auxiliar[],4,0)</f>
        <v>Despesa com Ocupação</v>
      </c>
      <c r="F2678" t="str">
        <f>VLOOKUP(B2678,Tabela_Auxiliar[],3,0)</f>
        <v>Saída</v>
      </c>
      <c r="G2678" t="str">
        <f>UPPER(TEXT(Tabela_DB[[#This Row],[DATA]],"mmm"))</f>
        <v>JUN</v>
      </c>
      <c r="H2678" t="str">
        <f>UPPER(TEXT(Tabela_DB[[#This Row],[DATA]],"aaaa"))</f>
        <v>2021</v>
      </c>
    </row>
    <row r="2679" spans="1:8" x14ac:dyDescent="0.25">
      <c r="A2679" s="2">
        <v>44362</v>
      </c>
      <c r="B2679" t="s">
        <v>89</v>
      </c>
      <c r="C2679">
        <v>-2466</v>
      </c>
      <c r="D2679" t="str">
        <f>VLOOKUP(B2679,Tabela_Auxiliar[],2,0)</f>
        <v>4. Despesas Operacionais</v>
      </c>
      <c r="E2679" t="str">
        <f>VLOOKUP(B2679,Tabela_Auxiliar[],4,0)</f>
        <v>Despesa Tributária</v>
      </c>
      <c r="F2679" t="str">
        <f>VLOOKUP(B2679,Tabela_Auxiliar[],3,0)</f>
        <v>Saída</v>
      </c>
      <c r="G2679" t="str">
        <f>UPPER(TEXT(Tabela_DB[[#This Row],[DATA]],"mmm"))</f>
        <v>JUN</v>
      </c>
      <c r="H2679" t="str">
        <f>UPPER(TEXT(Tabela_DB[[#This Row],[DATA]],"aaaa"))</f>
        <v>2021</v>
      </c>
    </row>
    <row r="2680" spans="1:8" x14ac:dyDescent="0.25">
      <c r="A2680" s="2">
        <v>44362</v>
      </c>
      <c r="B2680" t="s">
        <v>111</v>
      </c>
      <c r="C2680">
        <v>-1349</v>
      </c>
      <c r="D2680" t="str">
        <f>VLOOKUP(B2680,Tabela_Auxiliar[],2,0)</f>
        <v>2. Deduções da Receita</v>
      </c>
      <c r="E2680" t="str">
        <f>VLOOKUP(B2680,Tabela_Auxiliar[],4,0)</f>
        <v>Imposto</v>
      </c>
      <c r="F2680" t="str">
        <f>VLOOKUP(B2680,Tabela_Auxiliar[],3,0)</f>
        <v>Saída</v>
      </c>
      <c r="G2680" t="str">
        <f>UPPER(TEXT(Tabela_DB[[#This Row],[DATA]],"mmm"))</f>
        <v>JUN</v>
      </c>
      <c r="H2680" t="str">
        <f>UPPER(TEXT(Tabela_DB[[#This Row],[DATA]],"aaaa"))</f>
        <v>2021</v>
      </c>
    </row>
    <row r="2681" spans="1:8" x14ac:dyDescent="0.25">
      <c r="A2681" s="2">
        <v>44362</v>
      </c>
      <c r="B2681" t="s">
        <v>34</v>
      </c>
      <c r="C2681">
        <v>-2013</v>
      </c>
      <c r="D2681" t="str">
        <f>VLOOKUP(B2681,Tabela_Auxiliar[],2,0)</f>
        <v>2. Deduções da Receita</v>
      </c>
      <c r="E2681" t="str">
        <f>VLOOKUP(B2681,Tabela_Auxiliar[],4,0)</f>
        <v>Imposto</v>
      </c>
      <c r="F2681" t="str">
        <f>VLOOKUP(B2681,Tabela_Auxiliar[],3,0)</f>
        <v>Saída</v>
      </c>
      <c r="G2681" t="str">
        <f>UPPER(TEXT(Tabela_DB[[#This Row],[DATA]],"mmm"))</f>
        <v>JUN</v>
      </c>
      <c r="H2681" t="str">
        <f>UPPER(TEXT(Tabela_DB[[#This Row],[DATA]],"aaaa"))</f>
        <v>2021</v>
      </c>
    </row>
    <row r="2682" spans="1:8" x14ac:dyDescent="0.25">
      <c r="A2682" s="2">
        <v>44362</v>
      </c>
      <c r="B2682" t="s">
        <v>76</v>
      </c>
      <c r="C2682">
        <v>-2071</v>
      </c>
      <c r="D2682" t="str">
        <f>VLOOKUP(B2682,Tabela_Auxiliar[],2,0)</f>
        <v>4. Despesas Operacionais</v>
      </c>
      <c r="E2682" t="str">
        <f>VLOOKUP(B2682,Tabela_Auxiliar[],4,0)</f>
        <v>Serviços Contratados</v>
      </c>
      <c r="F2682" t="str">
        <f>VLOOKUP(B2682,Tabela_Auxiliar[],3,0)</f>
        <v>Saída</v>
      </c>
      <c r="G2682" t="str">
        <f>UPPER(TEXT(Tabela_DB[[#This Row],[DATA]],"mmm"))</f>
        <v>JUN</v>
      </c>
      <c r="H2682" t="str">
        <f>UPPER(TEXT(Tabela_DB[[#This Row],[DATA]],"aaaa"))</f>
        <v>2021</v>
      </c>
    </row>
    <row r="2683" spans="1:8" x14ac:dyDescent="0.25">
      <c r="A2683" s="2">
        <v>44362</v>
      </c>
      <c r="B2683" t="s">
        <v>37</v>
      </c>
      <c r="C2683">
        <v>-4389</v>
      </c>
      <c r="D2683" t="str">
        <f>VLOOKUP(B2683,Tabela_Auxiliar[],2,0)</f>
        <v>3. Custos do Produto/Mercadoria/Serviço</v>
      </c>
      <c r="E2683" t="str">
        <f>VLOOKUP(B2683,Tabela_Auxiliar[],4,0)</f>
        <v>Despesas c/ Produto</v>
      </c>
      <c r="F2683" t="str">
        <f>VLOOKUP(B2683,Tabela_Auxiliar[],3,0)</f>
        <v>Saída</v>
      </c>
      <c r="G2683" t="str">
        <f>UPPER(TEXT(Tabela_DB[[#This Row],[DATA]],"mmm"))</f>
        <v>JUN</v>
      </c>
      <c r="H2683" t="str">
        <f>UPPER(TEXT(Tabela_DB[[#This Row],[DATA]],"aaaa"))</f>
        <v>2021</v>
      </c>
    </row>
    <row r="2684" spans="1:8" x14ac:dyDescent="0.25">
      <c r="A2684" s="2">
        <v>44362</v>
      </c>
      <c r="B2684" t="s">
        <v>111</v>
      </c>
      <c r="C2684">
        <v>-1244</v>
      </c>
      <c r="D2684" t="str">
        <f>VLOOKUP(B2684,Tabela_Auxiliar[],2,0)</f>
        <v>2. Deduções da Receita</v>
      </c>
      <c r="E2684" t="str">
        <f>VLOOKUP(B2684,Tabela_Auxiliar[],4,0)</f>
        <v>Imposto</v>
      </c>
      <c r="F2684" t="str">
        <f>VLOOKUP(B2684,Tabela_Auxiliar[],3,0)</f>
        <v>Saída</v>
      </c>
      <c r="G2684" t="str">
        <f>UPPER(TEXT(Tabela_DB[[#This Row],[DATA]],"mmm"))</f>
        <v>JUN</v>
      </c>
      <c r="H2684" t="str">
        <f>UPPER(TEXT(Tabela_DB[[#This Row],[DATA]],"aaaa"))</f>
        <v>2021</v>
      </c>
    </row>
    <row r="2685" spans="1:8" x14ac:dyDescent="0.25">
      <c r="A2685" s="2">
        <v>44362</v>
      </c>
      <c r="B2685" t="s">
        <v>37</v>
      </c>
      <c r="C2685">
        <v>-4242</v>
      </c>
      <c r="D2685" t="str">
        <f>VLOOKUP(B2685,Tabela_Auxiliar[],2,0)</f>
        <v>3. Custos do Produto/Mercadoria/Serviço</v>
      </c>
      <c r="E2685" t="str">
        <f>VLOOKUP(B2685,Tabela_Auxiliar[],4,0)</f>
        <v>Despesas c/ Produto</v>
      </c>
      <c r="F2685" t="str">
        <f>VLOOKUP(B2685,Tabela_Auxiliar[],3,0)</f>
        <v>Saída</v>
      </c>
      <c r="G2685" t="str">
        <f>UPPER(TEXT(Tabela_DB[[#This Row],[DATA]],"mmm"))</f>
        <v>JUN</v>
      </c>
      <c r="H2685" t="str">
        <f>UPPER(TEXT(Tabela_DB[[#This Row],[DATA]],"aaaa"))</f>
        <v>2021</v>
      </c>
    </row>
    <row r="2686" spans="1:8" x14ac:dyDescent="0.25">
      <c r="A2686" s="2">
        <v>44362</v>
      </c>
      <c r="B2686" t="s">
        <v>55</v>
      </c>
      <c r="C2686">
        <v>-2136</v>
      </c>
      <c r="D2686" t="str">
        <f>VLOOKUP(B2686,Tabela_Auxiliar[],2,0)</f>
        <v>4. Despesas Operacionais</v>
      </c>
      <c r="E2686" t="str">
        <f>VLOOKUP(B2686,Tabela_Auxiliar[],4,0)</f>
        <v>Despesa com Pessoal</v>
      </c>
      <c r="F2686" t="str">
        <f>VLOOKUP(B2686,Tabela_Auxiliar[],3,0)</f>
        <v>Saída</v>
      </c>
      <c r="G2686" t="str">
        <f>UPPER(TEXT(Tabela_DB[[#This Row],[DATA]],"mmm"))</f>
        <v>JUN</v>
      </c>
      <c r="H2686" t="str">
        <f>UPPER(TEXT(Tabela_DB[[#This Row],[DATA]],"aaaa"))</f>
        <v>2021</v>
      </c>
    </row>
    <row r="2687" spans="1:8" x14ac:dyDescent="0.25">
      <c r="A2687" s="2">
        <v>44362</v>
      </c>
      <c r="B2687" t="s">
        <v>34</v>
      </c>
      <c r="C2687">
        <v>-2095</v>
      </c>
      <c r="D2687" t="str">
        <f>VLOOKUP(B2687,Tabela_Auxiliar[],2,0)</f>
        <v>2. Deduções da Receita</v>
      </c>
      <c r="E2687" t="str">
        <f>VLOOKUP(B2687,Tabela_Auxiliar[],4,0)</f>
        <v>Imposto</v>
      </c>
      <c r="F2687" t="str">
        <f>VLOOKUP(B2687,Tabela_Auxiliar[],3,0)</f>
        <v>Saída</v>
      </c>
      <c r="G2687" t="str">
        <f>UPPER(TEXT(Tabela_DB[[#This Row],[DATA]],"mmm"))</f>
        <v>JUN</v>
      </c>
      <c r="H2687" t="str">
        <f>UPPER(TEXT(Tabela_DB[[#This Row],[DATA]],"aaaa"))</f>
        <v>2021</v>
      </c>
    </row>
    <row r="2688" spans="1:8" x14ac:dyDescent="0.25">
      <c r="A2688" s="2">
        <v>44363</v>
      </c>
      <c r="B2688" t="s">
        <v>4</v>
      </c>
      <c r="C2688">
        <v>14708</v>
      </c>
      <c r="D2688" t="str">
        <f>VLOOKUP(B2688,Tabela_Auxiliar[],2,0)</f>
        <v>1. Receita Operacional Bruta</v>
      </c>
      <c r="E2688" t="str">
        <f>VLOOKUP(B2688,Tabela_Auxiliar[],4,0)</f>
        <v>Receita Bruta</v>
      </c>
      <c r="F2688" t="str">
        <f>VLOOKUP(B2688,Tabela_Auxiliar[],3,0)</f>
        <v>Entrada</v>
      </c>
      <c r="G2688" t="str">
        <f>UPPER(TEXT(Tabela_DB[[#This Row],[DATA]],"mmm"))</f>
        <v>JUN</v>
      </c>
      <c r="H2688" t="str">
        <f>UPPER(TEXT(Tabela_DB[[#This Row],[DATA]],"aaaa"))</f>
        <v>2021</v>
      </c>
    </row>
    <row r="2689" spans="1:8" x14ac:dyDescent="0.25">
      <c r="A2689" s="2">
        <v>44363</v>
      </c>
      <c r="B2689" t="s">
        <v>8</v>
      </c>
      <c r="C2689">
        <v>-1729</v>
      </c>
      <c r="D2689" t="str">
        <f>VLOOKUP(B2689,Tabela_Auxiliar[],2,0)</f>
        <v>4. Despesas Operacionais</v>
      </c>
      <c r="E2689" t="str">
        <f>VLOOKUP(B2689,Tabela_Auxiliar[],4,0)</f>
        <v>Despesa com Pessoal</v>
      </c>
      <c r="F2689" t="str">
        <f>VLOOKUP(B2689,Tabela_Auxiliar[],3,0)</f>
        <v>Saída</v>
      </c>
      <c r="G2689" t="str">
        <f>UPPER(TEXT(Tabela_DB[[#This Row],[DATA]],"mmm"))</f>
        <v>JUN</v>
      </c>
      <c r="H2689" t="str">
        <f>UPPER(TEXT(Tabela_DB[[#This Row],[DATA]],"aaaa"))</f>
        <v>2021</v>
      </c>
    </row>
    <row r="2690" spans="1:8" x14ac:dyDescent="0.25">
      <c r="A2690" s="2">
        <v>44363</v>
      </c>
      <c r="B2690" t="s">
        <v>111</v>
      </c>
      <c r="C2690">
        <v>-1433</v>
      </c>
      <c r="D2690" t="str">
        <f>VLOOKUP(B2690,Tabela_Auxiliar[],2,0)</f>
        <v>2. Deduções da Receita</v>
      </c>
      <c r="E2690" t="str">
        <f>VLOOKUP(B2690,Tabela_Auxiliar[],4,0)</f>
        <v>Imposto</v>
      </c>
      <c r="F2690" t="str">
        <f>VLOOKUP(B2690,Tabela_Auxiliar[],3,0)</f>
        <v>Saída</v>
      </c>
      <c r="G2690" t="str">
        <f>UPPER(TEXT(Tabela_DB[[#This Row],[DATA]],"mmm"))</f>
        <v>JUN</v>
      </c>
      <c r="H2690" t="str">
        <f>UPPER(TEXT(Tabela_DB[[#This Row],[DATA]],"aaaa"))</f>
        <v>2021</v>
      </c>
    </row>
    <row r="2691" spans="1:8" x14ac:dyDescent="0.25">
      <c r="A2691" s="2">
        <v>44363</v>
      </c>
      <c r="B2691" t="s">
        <v>63</v>
      </c>
      <c r="C2691">
        <v>-2327</v>
      </c>
      <c r="D2691" t="str">
        <f>VLOOKUP(B2691,Tabela_Auxiliar[],2,0)</f>
        <v>4. Despesas Operacionais</v>
      </c>
      <c r="E2691" t="str">
        <f>VLOOKUP(B2691,Tabela_Auxiliar[],4,0)</f>
        <v>Despesa Gerais</v>
      </c>
      <c r="F2691" t="str">
        <f>VLOOKUP(B2691,Tabela_Auxiliar[],3,0)</f>
        <v>Saída</v>
      </c>
      <c r="G2691" t="str">
        <f>UPPER(TEXT(Tabela_DB[[#This Row],[DATA]],"mmm"))</f>
        <v>JUN</v>
      </c>
      <c r="H2691" t="str">
        <f>UPPER(TEXT(Tabela_DB[[#This Row],[DATA]],"aaaa"))</f>
        <v>2021</v>
      </c>
    </row>
    <row r="2692" spans="1:8" x14ac:dyDescent="0.25">
      <c r="A2692" s="2">
        <v>44363</v>
      </c>
      <c r="B2692" t="s">
        <v>111</v>
      </c>
      <c r="C2692">
        <v>-1054</v>
      </c>
      <c r="D2692" t="str">
        <f>VLOOKUP(B2692,Tabela_Auxiliar[],2,0)</f>
        <v>2. Deduções da Receita</v>
      </c>
      <c r="E2692" t="str">
        <f>VLOOKUP(B2692,Tabela_Auxiliar[],4,0)</f>
        <v>Imposto</v>
      </c>
      <c r="F2692" t="str">
        <f>VLOOKUP(B2692,Tabela_Auxiliar[],3,0)</f>
        <v>Saída</v>
      </c>
      <c r="G2692" t="str">
        <f>UPPER(TEXT(Tabela_DB[[#This Row],[DATA]],"mmm"))</f>
        <v>JUN</v>
      </c>
      <c r="H2692" t="str">
        <f>UPPER(TEXT(Tabela_DB[[#This Row],[DATA]],"aaaa"))</f>
        <v>2021</v>
      </c>
    </row>
    <row r="2693" spans="1:8" x14ac:dyDescent="0.25">
      <c r="A2693" s="2">
        <v>44363</v>
      </c>
      <c r="B2693" t="s">
        <v>35</v>
      </c>
      <c r="C2693">
        <v>-2074</v>
      </c>
      <c r="D2693" t="str">
        <f>VLOOKUP(B2693,Tabela_Auxiliar[],2,0)</f>
        <v>2. Deduções da Receita</v>
      </c>
      <c r="E2693" t="str">
        <f>VLOOKUP(B2693,Tabela_Auxiliar[],4,0)</f>
        <v>Imposto</v>
      </c>
      <c r="F2693" t="str">
        <f>VLOOKUP(B2693,Tabela_Auxiliar[],3,0)</f>
        <v>Saída</v>
      </c>
      <c r="G2693" t="str">
        <f>UPPER(TEXT(Tabela_DB[[#This Row],[DATA]],"mmm"))</f>
        <v>JUN</v>
      </c>
      <c r="H2693" t="str">
        <f>UPPER(TEXT(Tabela_DB[[#This Row],[DATA]],"aaaa"))</f>
        <v>2021</v>
      </c>
    </row>
    <row r="2694" spans="1:8" x14ac:dyDescent="0.25">
      <c r="A2694" s="2">
        <v>44363</v>
      </c>
      <c r="B2694" t="s">
        <v>4</v>
      </c>
      <c r="C2694">
        <v>14853</v>
      </c>
      <c r="D2694" t="str">
        <f>VLOOKUP(B2694,Tabela_Auxiliar[],2,0)</f>
        <v>1. Receita Operacional Bruta</v>
      </c>
      <c r="E2694" t="str">
        <f>VLOOKUP(B2694,Tabela_Auxiliar[],4,0)</f>
        <v>Receita Bruta</v>
      </c>
      <c r="F2694" t="str">
        <f>VLOOKUP(B2694,Tabela_Auxiliar[],3,0)</f>
        <v>Entrada</v>
      </c>
      <c r="G2694" t="str">
        <f>UPPER(TEXT(Tabela_DB[[#This Row],[DATA]],"mmm"))</f>
        <v>JUN</v>
      </c>
      <c r="H2694" t="str">
        <f>UPPER(TEXT(Tabela_DB[[#This Row],[DATA]],"aaaa"))</f>
        <v>2021</v>
      </c>
    </row>
    <row r="2695" spans="1:8" x14ac:dyDescent="0.25">
      <c r="A2695" s="2">
        <v>44363</v>
      </c>
      <c r="B2695" t="s">
        <v>59</v>
      </c>
      <c r="C2695">
        <v>-1209</v>
      </c>
      <c r="D2695" t="str">
        <f>VLOOKUP(B2695,Tabela_Auxiliar[],2,0)</f>
        <v>4. Despesas Operacionais</v>
      </c>
      <c r="E2695" t="str">
        <f>VLOOKUP(B2695,Tabela_Auxiliar[],4,0)</f>
        <v>Despesa de Depreciação</v>
      </c>
      <c r="F2695" t="str">
        <f>VLOOKUP(B2695,Tabela_Auxiliar[],3,0)</f>
        <v>Saída</v>
      </c>
      <c r="G2695" t="str">
        <f>UPPER(TEXT(Tabela_DB[[#This Row],[DATA]],"mmm"))</f>
        <v>JUN</v>
      </c>
      <c r="H2695" t="str">
        <f>UPPER(TEXT(Tabela_DB[[#This Row],[DATA]],"aaaa"))</f>
        <v>2021</v>
      </c>
    </row>
    <row r="2696" spans="1:8" x14ac:dyDescent="0.25">
      <c r="A2696" s="2">
        <v>44363</v>
      </c>
      <c r="B2696" t="s">
        <v>35</v>
      </c>
      <c r="C2696">
        <v>-1844</v>
      </c>
      <c r="D2696" t="str">
        <f>VLOOKUP(B2696,Tabela_Auxiliar[],2,0)</f>
        <v>2. Deduções da Receita</v>
      </c>
      <c r="E2696" t="str">
        <f>VLOOKUP(B2696,Tabela_Auxiliar[],4,0)</f>
        <v>Imposto</v>
      </c>
      <c r="F2696" t="str">
        <f>VLOOKUP(B2696,Tabela_Auxiliar[],3,0)</f>
        <v>Saída</v>
      </c>
      <c r="G2696" t="str">
        <f>UPPER(TEXT(Tabela_DB[[#This Row],[DATA]],"mmm"))</f>
        <v>JUN</v>
      </c>
      <c r="H2696" t="str">
        <f>UPPER(TEXT(Tabela_DB[[#This Row],[DATA]],"aaaa"))</f>
        <v>2021</v>
      </c>
    </row>
    <row r="2697" spans="1:8" x14ac:dyDescent="0.25">
      <c r="A2697" s="2">
        <v>44363</v>
      </c>
      <c r="B2697" t="s">
        <v>3</v>
      </c>
      <c r="C2697">
        <v>12489</v>
      </c>
      <c r="D2697" t="str">
        <f>VLOOKUP(B2697,Tabela_Auxiliar[],2,0)</f>
        <v>1. Receita Operacional Bruta</v>
      </c>
      <c r="E2697" t="str">
        <f>VLOOKUP(B2697,Tabela_Auxiliar[],4,0)</f>
        <v>Receita Bruta</v>
      </c>
      <c r="F2697" t="str">
        <f>VLOOKUP(B2697,Tabela_Auxiliar[],3,0)</f>
        <v>Entrada</v>
      </c>
      <c r="G2697" t="str">
        <f>UPPER(TEXT(Tabela_DB[[#This Row],[DATA]],"mmm"))</f>
        <v>JUN</v>
      </c>
      <c r="H2697" t="str">
        <f>UPPER(TEXT(Tabela_DB[[#This Row],[DATA]],"aaaa"))</f>
        <v>2021</v>
      </c>
    </row>
    <row r="2698" spans="1:8" x14ac:dyDescent="0.25">
      <c r="A2698" s="2">
        <v>44363</v>
      </c>
      <c r="B2698" t="s">
        <v>37</v>
      </c>
      <c r="C2698">
        <v>-4871</v>
      </c>
      <c r="D2698" t="str">
        <f>VLOOKUP(B2698,Tabela_Auxiliar[],2,0)</f>
        <v>3. Custos do Produto/Mercadoria/Serviço</v>
      </c>
      <c r="E2698" t="str">
        <f>VLOOKUP(B2698,Tabela_Auxiliar[],4,0)</f>
        <v>Despesas c/ Produto</v>
      </c>
      <c r="F2698" t="str">
        <f>VLOOKUP(B2698,Tabela_Auxiliar[],3,0)</f>
        <v>Saída</v>
      </c>
      <c r="G2698" t="str">
        <f>UPPER(TEXT(Tabela_DB[[#This Row],[DATA]],"mmm"))</f>
        <v>JUN</v>
      </c>
      <c r="H2698" t="str">
        <f>UPPER(TEXT(Tabela_DB[[#This Row],[DATA]],"aaaa"))</f>
        <v>2021</v>
      </c>
    </row>
    <row r="2699" spans="1:8" x14ac:dyDescent="0.25">
      <c r="A2699" s="2">
        <v>44363</v>
      </c>
      <c r="B2699" t="s">
        <v>3</v>
      </c>
      <c r="C2699">
        <v>14695</v>
      </c>
      <c r="D2699" t="str">
        <f>VLOOKUP(B2699,Tabela_Auxiliar[],2,0)</f>
        <v>1. Receita Operacional Bruta</v>
      </c>
      <c r="E2699" t="str">
        <f>VLOOKUP(B2699,Tabela_Auxiliar[],4,0)</f>
        <v>Receita Bruta</v>
      </c>
      <c r="F2699" t="str">
        <f>VLOOKUP(B2699,Tabela_Auxiliar[],3,0)</f>
        <v>Entrada</v>
      </c>
      <c r="G2699" t="str">
        <f>UPPER(TEXT(Tabela_DB[[#This Row],[DATA]],"mmm"))</f>
        <v>JUN</v>
      </c>
      <c r="H2699" t="str">
        <f>UPPER(TEXT(Tabela_DB[[#This Row],[DATA]],"aaaa"))</f>
        <v>2021</v>
      </c>
    </row>
    <row r="2700" spans="1:8" x14ac:dyDescent="0.25">
      <c r="A2700" s="2">
        <v>44363</v>
      </c>
      <c r="B2700" t="s">
        <v>37</v>
      </c>
      <c r="C2700">
        <v>-2595</v>
      </c>
      <c r="D2700" t="str">
        <f>VLOOKUP(B2700,Tabela_Auxiliar[],2,0)</f>
        <v>3. Custos do Produto/Mercadoria/Serviço</v>
      </c>
      <c r="E2700" t="str">
        <f>VLOOKUP(B2700,Tabela_Auxiliar[],4,0)</f>
        <v>Despesas c/ Produto</v>
      </c>
      <c r="F2700" t="str">
        <f>VLOOKUP(B2700,Tabela_Auxiliar[],3,0)</f>
        <v>Saída</v>
      </c>
      <c r="G2700" t="str">
        <f>UPPER(TEXT(Tabela_DB[[#This Row],[DATA]],"mmm"))</f>
        <v>JUN</v>
      </c>
      <c r="H2700" t="str">
        <f>UPPER(TEXT(Tabela_DB[[#This Row],[DATA]],"aaaa"))</f>
        <v>2021</v>
      </c>
    </row>
    <row r="2701" spans="1:8" x14ac:dyDescent="0.25">
      <c r="A2701" s="2">
        <v>44363</v>
      </c>
      <c r="B2701" t="s">
        <v>37</v>
      </c>
      <c r="C2701">
        <v>-4517</v>
      </c>
      <c r="D2701" t="str">
        <f>VLOOKUP(B2701,Tabela_Auxiliar[],2,0)</f>
        <v>3. Custos do Produto/Mercadoria/Serviço</v>
      </c>
      <c r="E2701" t="str">
        <f>VLOOKUP(B2701,Tabela_Auxiliar[],4,0)</f>
        <v>Despesas c/ Produto</v>
      </c>
      <c r="F2701" t="str">
        <f>VLOOKUP(B2701,Tabela_Auxiliar[],3,0)</f>
        <v>Saída</v>
      </c>
      <c r="G2701" t="str">
        <f>UPPER(TEXT(Tabela_DB[[#This Row],[DATA]],"mmm"))</f>
        <v>JUN</v>
      </c>
      <c r="H2701" t="str">
        <f>UPPER(TEXT(Tabela_DB[[#This Row],[DATA]],"aaaa"))</f>
        <v>2021</v>
      </c>
    </row>
    <row r="2702" spans="1:8" x14ac:dyDescent="0.25">
      <c r="A2702" s="2">
        <v>44364</v>
      </c>
      <c r="B2702" t="s">
        <v>62</v>
      </c>
      <c r="C2702">
        <v>-1009</v>
      </c>
      <c r="D2702" t="str">
        <f>VLOOKUP(B2702,Tabela_Auxiliar[],2,0)</f>
        <v>4. Despesas Operacionais</v>
      </c>
      <c r="E2702" t="str">
        <f>VLOOKUP(B2702,Tabela_Auxiliar[],4,0)</f>
        <v>Despesa Gerais</v>
      </c>
      <c r="F2702" t="str">
        <f>VLOOKUP(B2702,Tabela_Auxiliar[],3,0)</f>
        <v>Saída</v>
      </c>
      <c r="G2702" t="str">
        <f>UPPER(TEXT(Tabela_DB[[#This Row],[DATA]],"mmm"))</f>
        <v>JUN</v>
      </c>
      <c r="H2702" t="str">
        <f>UPPER(TEXT(Tabela_DB[[#This Row],[DATA]],"aaaa"))</f>
        <v>2021</v>
      </c>
    </row>
    <row r="2703" spans="1:8" x14ac:dyDescent="0.25">
      <c r="A2703" s="2">
        <v>44364</v>
      </c>
      <c r="B2703" t="s">
        <v>46</v>
      </c>
      <c r="C2703">
        <v>-1402</v>
      </c>
      <c r="D2703" t="str">
        <f>VLOOKUP(B2703,Tabela_Auxiliar[],2,0)</f>
        <v>4. Despesas Operacionais</v>
      </c>
      <c r="E2703" t="str">
        <f>VLOOKUP(B2703,Tabela_Auxiliar[],4,0)</f>
        <v>Despesa com Pessoal</v>
      </c>
      <c r="F2703" t="str">
        <f>VLOOKUP(B2703,Tabela_Auxiliar[],3,0)</f>
        <v>Saída</v>
      </c>
      <c r="G2703" t="str">
        <f>UPPER(TEXT(Tabela_DB[[#This Row],[DATA]],"mmm"))</f>
        <v>JUN</v>
      </c>
      <c r="H2703" t="str">
        <f>UPPER(TEXT(Tabela_DB[[#This Row],[DATA]],"aaaa"))</f>
        <v>2021</v>
      </c>
    </row>
    <row r="2704" spans="1:8" x14ac:dyDescent="0.25">
      <c r="A2704" s="2">
        <v>44364</v>
      </c>
      <c r="B2704" t="s">
        <v>35</v>
      </c>
      <c r="C2704">
        <v>-1401</v>
      </c>
      <c r="D2704" t="str">
        <f>VLOOKUP(B2704,Tabela_Auxiliar[],2,0)</f>
        <v>2. Deduções da Receita</v>
      </c>
      <c r="E2704" t="str">
        <f>VLOOKUP(B2704,Tabela_Auxiliar[],4,0)</f>
        <v>Imposto</v>
      </c>
      <c r="F2704" t="str">
        <f>VLOOKUP(B2704,Tabela_Auxiliar[],3,0)</f>
        <v>Saída</v>
      </c>
      <c r="G2704" t="str">
        <f>UPPER(TEXT(Tabela_DB[[#This Row],[DATA]],"mmm"))</f>
        <v>JUN</v>
      </c>
      <c r="H2704" t="str">
        <f>UPPER(TEXT(Tabela_DB[[#This Row],[DATA]],"aaaa"))</f>
        <v>2021</v>
      </c>
    </row>
    <row r="2705" spans="1:8" x14ac:dyDescent="0.25">
      <c r="A2705" s="2">
        <v>44364</v>
      </c>
      <c r="B2705" t="s">
        <v>111</v>
      </c>
      <c r="C2705">
        <v>-2391</v>
      </c>
      <c r="D2705" t="str">
        <f>VLOOKUP(B2705,Tabela_Auxiliar[],2,0)</f>
        <v>2. Deduções da Receita</v>
      </c>
      <c r="E2705" t="str">
        <f>VLOOKUP(B2705,Tabela_Auxiliar[],4,0)</f>
        <v>Imposto</v>
      </c>
      <c r="F2705" t="str">
        <f>VLOOKUP(B2705,Tabela_Auxiliar[],3,0)</f>
        <v>Saída</v>
      </c>
      <c r="G2705" t="str">
        <f>UPPER(TEXT(Tabela_DB[[#This Row],[DATA]],"mmm"))</f>
        <v>JUN</v>
      </c>
      <c r="H2705" t="str">
        <f>UPPER(TEXT(Tabela_DB[[#This Row],[DATA]],"aaaa"))</f>
        <v>2021</v>
      </c>
    </row>
    <row r="2706" spans="1:8" x14ac:dyDescent="0.25">
      <c r="A2706" s="2">
        <v>44364</v>
      </c>
      <c r="B2706" t="s">
        <v>37</v>
      </c>
      <c r="C2706">
        <v>-4945</v>
      </c>
      <c r="D2706" t="str">
        <f>VLOOKUP(B2706,Tabela_Auxiliar[],2,0)</f>
        <v>3. Custos do Produto/Mercadoria/Serviço</v>
      </c>
      <c r="E2706" t="str">
        <f>VLOOKUP(B2706,Tabela_Auxiliar[],4,0)</f>
        <v>Despesas c/ Produto</v>
      </c>
      <c r="F2706" t="str">
        <f>VLOOKUP(B2706,Tabela_Auxiliar[],3,0)</f>
        <v>Saída</v>
      </c>
      <c r="G2706" t="str">
        <f>UPPER(TEXT(Tabela_DB[[#This Row],[DATA]],"mmm"))</f>
        <v>JUN</v>
      </c>
      <c r="H2706" t="str">
        <f>UPPER(TEXT(Tabela_DB[[#This Row],[DATA]],"aaaa"))</f>
        <v>2021</v>
      </c>
    </row>
    <row r="2707" spans="1:8" x14ac:dyDescent="0.25">
      <c r="A2707" s="2">
        <v>44364</v>
      </c>
      <c r="B2707" t="s">
        <v>53</v>
      </c>
      <c r="C2707">
        <v>-1802</v>
      </c>
      <c r="D2707" t="str">
        <f>VLOOKUP(B2707,Tabela_Auxiliar[],2,0)</f>
        <v>4. Despesas Operacionais</v>
      </c>
      <c r="E2707" t="str">
        <f>VLOOKUP(B2707,Tabela_Auxiliar[],4,0)</f>
        <v>Despesa com Pessoal</v>
      </c>
      <c r="F2707" t="str">
        <f>VLOOKUP(B2707,Tabela_Auxiliar[],3,0)</f>
        <v>Saída</v>
      </c>
      <c r="G2707" t="str">
        <f>UPPER(TEXT(Tabela_DB[[#This Row],[DATA]],"mmm"))</f>
        <v>JUN</v>
      </c>
      <c r="H2707" t="str">
        <f>UPPER(TEXT(Tabela_DB[[#This Row],[DATA]],"aaaa"))</f>
        <v>2021</v>
      </c>
    </row>
    <row r="2708" spans="1:8" x14ac:dyDescent="0.25">
      <c r="A2708" s="2">
        <v>44364</v>
      </c>
      <c r="B2708" t="s">
        <v>48</v>
      </c>
      <c r="C2708">
        <v>-1928</v>
      </c>
      <c r="D2708" t="str">
        <f>VLOOKUP(B2708,Tabela_Auxiliar[],2,0)</f>
        <v>4. Despesas Operacionais</v>
      </c>
      <c r="E2708" t="str">
        <f>VLOOKUP(B2708,Tabela_Auxiliar[],4,0)</f>
        <v>Despesa com Pessoal</v>
      </c>
      <c r="F2708" t="str">
        <f>VLOOKUP(B2708,Tabela_Auxiliar[],3,0)</f>
        <v>Saída</v>
      </c>
      <c r="G2708" t="str">
        <f>UPPER(TEXT(Tabela_DB[[#This Row],[DATA]],"mmm"))</f>
        <v>JUN</v>
      </c>
      <c r="H2708" t="str">
        <f>UPPER(TEXT(Tabela_DB[[#This Row],[DATA]],"aaaa"))</f>
        <v>2021</v>
      </c>
    </row>
    <row r="2709" spans="1:8" x14ac:dyDescent="0.25">
      <c r="A2709" s="2">
        <v>44364</v>
      </c>
      <c r="B2709" t="s">
        <v>102</v>
      </c>
      <c r="C2709">
        <v>-1245</v>
      </c>
      <c r="D2709" t="str">
        <f>VLOOKUP(B2709,Tabela_Auxiliar[],2,0)</f>
        <v>6. Resultado após o Resultado Financeiro</v>
      </c>
      <c r="E2709" t="str">
        <f>VLOOKUP(B2709,Tabela_Auxiliar[],4,0)</f>
        <v>EBTIDA</v>
      </c>
      <c r="F2709" t="str">
        <f>VLOOKUP(B2709,Tabela_Auxiliar[],3,0)</f>
        <v>Saída</v>
      </c>
      <c r="G2709" t="str">
        <f>UPPER(TEXT(Tabela_DB[[#This Row],[DATA]],"mmm"))</f>
        <v>JUN</v>
      </c>
      <c r="H2709" t="str">
        <f>UPPER(TEXT(Tabela_DB[[#This Row],[DATA]],"aaaa"))</f>
        <v>2021</v>
      </c>
    </row>
    <row r="2710" spans="1:8" x14ac:dyDescent="0.25">
      <c r="A2710" s="2">
        <v>44364</v>
      </c>
      <c r="B2710" t="s">
        <v>37</v>
      </c>
      <c r="C2710">
        <v>-3614</v>
      </c>
      <c r="D2710" t="str">
        <f>VLOOKUP(B2710,Tabela_Auxiliar[],2,0)</f>
        <v>3. Custos do Produto/Mercadoria/Serviço</v>
      </c>
      <c r="E2710" t="str">
        <f>VLOOKUP(B2710,Tabela_Auxiliar[],4,0)</f>
        <v>Despesas c/ Produto</v>
      </c>
      <c r="F2710" t="str">
        <f>VLOOKUP(B2710,Tabela_Auxiliar[],3,0)</f>
        <v>Saída</v>
      </c>
      <c r="G2710" t="str">
        <f>UPPER(TEXT(Tabela_DB[[#This Row],[DATA]],"mmm"))</f>
        <v>JUN</v>
      </c>
      <c r="H2710" t="str">
        <f>UPPER(TEXT(Tabela_DB[[#This Row],[DATA]],"aaaa"))</f>
        <v>2021</v>
      </c>
    </row>
    <row r="2711" spans="1:8" x14ac:dyDescent="0.25">
      <c r="A2711" s="2">
        <v>44364</v>
      </c>
      <c r="B2711" t="s">
        <v>67</v>
      </c>
      <c r="C2711">
        <v>-1586</v>
      </c>
      <c r="D2711" t="str">
        <f>VLOOKUP(B2711,Tabela_Auxiliar[],2,0)</f>
        <v>4. Despesas Operacionais</v>
      </c>
      <c r="E2711" t="str">
        <f>VLOOKUP(B2711,Tabela_Auxiliar[],4,0)</f>
        <v>Despesa com Vendas</v>
      </c>
      <c r="F2711" t="str">
        <f>VLOOKUP(B2711,Tabela_Auxiliar[],3,0)</f>
        <v>Saída</v>
      </c>
      <c r="G2711" t="str">
        <f>UPPER(TEXT(Tabela_DB[[#This Row],[DATA]],"mmm"))</f>
        <v>JUN</v>
      </c>
      <c r="H2711" t="str">
        <f>UPPER(TEXT(Tabela_DB[[#This Row],[DATA]],"aaaa"))</f>
        <v>2021</v>
      </c>
    </row>
    <row r="2712" spans="1:8" x14ac:dyDescent="0.25">
      <c r="A2712" s="2">
        <v>44364</v>
      </c>
      <c r="B2712" t="s">
        <v>4</v>
      </c>
      <c r="C2712">
        <v>13709</v>
      </c>
      <c r="D2712" t="str">
        <f>VLOOKUP(B2712,Tabela_Auxiliar[],2,0)</f>
        <v>1. Receita Operacional Bruta</v>
      </c>
      <c r="E2712" t="str">
        <f>VLOOKUP(B2712,Tabela_Auxiliar[],4,0)</f>
        <v>Receita Bruta</v>
      </c>
      <c r="F2712" t="str">
        <f>VLOOKUP(B2712,Tabela_Auxiliar[],3,0)</f>
        <v>Entrada</v>
      </c>
      <c r="G2712" t="str">
        <f>UPPER(TEXT(Tabela_DB[[#This Row],[DATA]],"mmm"))</f>
        <v>JUN</v>
      </c>
      <c r="H2712" t="str">
        <f>UPPER(TEXT(Tabela_DB[[#This Row],[DATA]],"aaaa"))</f>
        <v>2021</v>
      </c>
    </row>
    <row r="2713" spans="1:8" x14ac:dyDescent="0.25">
      <c r="A2713" s="2">
        <v>44364</v>
      </c>
      <c r="B2713" t="s">
        <v>3</v>
      </c>
      <c r="C2713">
        <v>12493</v>
      </c>
      <c r="D2713" t="str">
        <f>VLOOKUP(B2713,Tabela_Auxiliar[],2,0)</f>
        <v>1. Receita Operacional Bruta</v>
      </c>
      <c r="E2713" t="str">
        <f>VLOOKUP(B2713,Tabela_Auxiliar[],4,0)</f>
        <v>Receita Bruta</v>
      </c>
      <c r="F2713" t="str">
        <f>VLOOKUP(B2713,Tabela_Auxiliar[],3,0)</f>
        <v>Entrada</v>
      </c>
      <c r="G2713" t="str">
        <f>UPPER(TEXT(Tabela_DB[[#This Row],[DATA]],"mmm"))</f>
        <v>JUN</v>
      </c>
      <c r="H2713" t="str">
        <f>UPPER(TEXT(Tabela_DB[[#This Row],[DATA]],"aaaa"))</f>
        <v>2021</v>
      </c>
    </row>
    <row r="2714" spans="1:8" x14ac:dyDescent="0.25">
      <c r="A2714" s="2">
        <v>44364</v>
      </c>
      <c r="B2714" t="s">
        <v>3</v>
      </c>
      <c r="C2714">
        <v>11983</v>
      </c>
      <c r="D2714" t="str">
        <f>VLOOKUP(B2714,Tabela_Auxiliar[],2,0)</f>
        <v>1. Receita Operacional Bruta</v>
      </c>
      <c r="E2714" t="str">
        <f>VLOOKUP(B2714,Tabela_Auxiliar[],4,0)</f>
        <v>Receita Bruta</v>
      </c>
      <c r="F2714" t="str">
        <f>VLOOKUP(B2714,Tabela_Auxiliar[],3,0)</f>
        <v>Entrada</v>
      </c>
      <c r="G2714" t="str">
        <f>UPPER(TEXT(Tabela_DB[[#This Row],[DATA]],"mmm"))</f>
        <v>JUN</v>
      </c>
      <c r="H2714" t="str">
        <f>UPPER(TEXT(Tabela_DB[[#This Row],[DATA]],"aaaa"))</f>
        <v>2021</v>
      </c>
    </row>
    <row r="2715" spans="1:8" x14ac:dyDescent="0.25">
      <c r="A2715" s="2">
        <v>44364</v>
      </c>
      <c r="B2715" t="s">
        <v>34</v>
      </c>
      <c r="C2715">
        <v>-1830</v>
      </c>
      <c r="D2715" t="str">
        <f>VLOOKUP(B2715,Tabela_Auxiliar[],2,0)</f>
        <v>2. Deduções da Receita</v>
      </c>
      <c r="E2715" t="str">
        <f>VLOOKUP(B2715,Tabela_Auxiliar[],4,0)</f>
        <v>Imposto</v>
      </c>
      <c r="F2715" t="str">
        <f>VLOOKUP(B2715,Tabela_Auxiliar[],3,0)</f>
        <v>Saída</v>
      </c>
      <c r="G2715" t="str">
        <f>UPPER(TEXT(Tabela_DB[[#This Row],[DATA]],"mmm"))</f>
        <v>JUN</v>
      </c>
      <c r="H2715" t="str">
        <f>UPPER(TEXT(Tabela_DB[[#This Row],[DATA]],"aaaa"))</f>
        <v>2021</v>
      </c>
    </row>
    <row r="2716" spans="1:8" x14ac:dyDescent="0.25">
      <c r="A2716" s="2">
        <v>44364</v>
      </c>
      <c r="B2716" t="s">
        <v>52</v>
      </c>
      <c r="C2716">
        <v>-2173</v>
      </c>
      <c r="D2716" t="str">
        <f>VLOOKUP(B2716,Tabela_Auxiliar[],2,0)</f>
        <v>4. Despesas Operacionais</v>
      </c>
      <c r="E2716" t="str">
        <f>VLOOKUP(B2716,Tabela_Auxiliar[],4,0)</f>
        <v>Despesa com Pessoal</v>
      </c>
      <c r="F2716" t="str">
        <f>VLOOKUP(B2716,Tabela_Auxiliar[],3,0)</f>
        <v>Saída</v>
      </c>
      <c r="G2716" t="str">
        <f>UPPER(TEXT(Tabela_DB[[#This Row],[DATA]],"mmm"))</f>
        <v>JUN</v>
      </c>
      <c r="H2716" t="str">
        <f>UPPER(TEXT(Tabela_DB[[#This Row],[DATA]],"aaaa"))</f>
        <v>2021</v>
      </c>
    </row>
    <row r="2717" spans="1:8" x14ac:dyDescent="0.25">
      <c r="A2717" s="2">
        <v>44364</v>
      </c>
      <c r="B2717" t="s">
        <v>111</v>
      </c>
      <c r="C2717">
        <v>-1041</v>
      </c>
      <c r="D2717" t="str">
        <f>VLOOKUP(B2717,Tabela_Auxiliar[],2,0)</f>
        <v>2. Deduções da Receita</v>
      </c>
      <c r="E2717" t="str">
        <f>VLOOKUP(B2717,Tabela_Auxiliar[],4,0)</f>
        <v>Imposto</v>
      </c>
      <c r="F2717" t="str">
        <f>VLOOKUP(B2717,Tabela_Auxiliar[],3,0)</f>
        <v>Saída</v>
      </c>
      <c r="G2717" t="str">
        <f>UPPER(TEXT(Tabela_DB[[#This Row],[DATA]],"mmm"))</f>
        <v>JUN</v>
      </c>
      <c r="H2717" t="str">
        <f>UPPER(TEXT(Tabela_DB[[#This Row],[DATA]],"aaaa"))</f>
        <v>2021</v>
      </c>
    </row>
    <row r="2718" spans="1:8" x14ac:dyDescent="0.25">
      <c r="A2718" s="2">
        <v>44365</v>
      </c>
      <c r="B2718" t="s">
        <v>31</v>
      </c>
      <c r="C2718">
        <v>-1647</v>
      </c>
      <c r="D2718" t="str">
        <f>VLOOKUP(B2718,Tabela_Auxiliar[],2,0)</f>
        <v>5. Resultado Financeiro</v>
      </c>
      <c r="E2718" t="str">
        <f>VLOOKUP(B2718,Tabela_Auxiliar[],4,0)</f>
        <v>Participação nos resultados</v>
      </c>
      <c r="F2718" t="str">
        <f>VLOOKUP(B2718,Tabela_Auxiliar[],3,0)</f>
        <v>Saída</v>
      </c>
      <c r="G2718" t="str">
        <f>UPPER(TEXT(Tabela_DB[[#This Row],[DATA]],"mmm"))</f>
        <v>JUN</v>
      </c>
      <c r="H2718" t="str">
        <f>UPPER(TEXT(Tabela_DB[[#This Row],[DATA]],"aaaa"))</f>
        <v>2021</v>
      </c>
    </row>
    <row r="2719" spans="1:8" x14ac:dyDescent="0.25">
      <c r="A2719" s="2">
        <v>44365</v>
      </c>
      <c r="B2719" t="s">
        <v>34</v>
      </c>
      <c r="C2719">
        <v>-1867</v>
      </c>
      <c r="D2719" t="str">
        <f>VLOOKUP(B2719,Tabela_Auxiliar[],2,0)</f>
        <v>2. Deduções da Receita</v>
      </c>
      <c r="E2719" t="str">
        <f>VLOOKUP(B2719,Tabela_Auxiliar[],4,0)</f>
        <v>Imposto</v>
      </c>
      <c r="F2719" t="str">
        <f>VLOOKUP(B2719,Tabela_Auxiliar[],3,0)</f>
        <v>Saída</v>
      </c>
      <c r="G2719" t="str">
        <f>UPPER(TEXT(Tabela_DB[[#This Row],[DATA]],"mmm"))</f>
        <v>JUN</v>
      </c>
      <c r="H2719" t="str">
        <f>UPPER(TEXT(Tabela_DB[[#This Row],[DATA]],"aaaa"))</f>
        <v>2021</v>
      </c>
    </row>
    <row r="2720" spans="1:8" x14ac:dyDescent="0.25">
      <c r="A2720" s="2">
        <v>44365</v>
      </c>
      <c r="B2720" t="s">
        <v>83</v>
      </c>
      <c r="C2720">
        <v>-1310</v>
      </c>
      <c r="D2720" t="str">
        <f>VLOOKUP(B2720,Tabela_Auxiliar[],2,0)</f>
        <v>4. Despesas Operacionais</v>
      </c>
      <c r="E2720" t="str">
        <f>VLOOKUP(B2720,Tabela_Auxiliar[],4,0)</f>
        <v>Despesa com Veículos</v>
      </c>
      <c r="F2720" t="str">
        <f>VLOOKUP(B2720,Tabela_Auxiliar[],3,0)</f>
        <v>Saída</v>
      </c>
      <c r="G2720" t="str">
        <f>UPPER(TEXT(Tabela_DB[[#This Row],[DATA]],"mmm"))</f>
        <v>JUN</v>
      </c>
      <c r="H2720" t="str">
        <f>UPPER(TEXT(Tabela_DB[[#This Row],[DATA]],"aaaa"))</f>
        <v>2021</v>
      </c>
    </row>
    <row r="2721" spans="1:8" x14ac:dyDescent="0.25">
      <c r="A2721" s="2">
        <v>44365</v>
      </c>
      <c r="B2721" t="s">
        <v>56</v>
      </c>
      <c r="C2721">
        <v>-1674</v>
      </c>
      <c r="D2721" t="str">
        <f>VLOOKUP(B2721,Tabela_Auxiliar[],2,0)</f>
        <v>4. Despesas Operacionais</v>
      </c>
      <c r="E2721" t="str">
        <f>VLOOKUP(B2721,Tabela_Auxiliar[],4,0)</f>
        <v>Despesa com Pessoal</v>
      </c>
      <c r="F2721" t="str">
        <f>VLOOKUP(B2721,Tabela_Auxiliar[],3,0)</f>
        <v>Saída</v>
      </c>
      <c r="G2721" t="str">
        <f>UPPER(TEXT(Tabela_DB[[#This Row],[DATA]],"mmm"))</f>
        <v>JUN</v>
      </c>
      <c r="H2721" t="str">
        <f>UPPER(TEXT(Tabela_DB[[#This Row],[DATA]],"aaaa"))</f>
        <v>2021</v>
      </c>
    </row>
    <row r="2722" spans="1:8" x14ac:dyDescent="0.25">
      <c r="A2722" s="2">
        <v>44365</v>
      </c>
      <c r="B2722" t="s">
        <v>77</v>
      </c>
      <c r="C2722">
        <v>-1621</v>
      </c>
      <c r="D2722" t="str">
        <f>VLOOKUP(B2722,Tabela_Auxiliar[],2,0)</f>
        <v>4. Despesas Operacionais</v>
      </c>
      <c r="E2722" t="str">
        <f>VLOOKUP(B2722,Tabela_Auxiliar[],4,0)</f>
        <v>Serviços Contratados</v>
      </c>
      <c r="F2722" t="str">
        <f>VLOOKUP(B2722,Tabela_Auxiliar[],3,0)</f>
        <v>Saída</v>
      </c>
      <c r="G2722" t="str">
        <f>UPPER(TEXT(Tabela_DB[[#This Row],[DATA]],"mmm"))</f>
        <v>JUN</v>
      </c>
      <c r="H2722" t="str">
        <f>UPPER(TEXT(Tabela_DB[[#This Row],[DATA]],"aaaa"))</f>
        <v>2021</v>
      </c>
    </row>
    <row r="2723" spans="1:8" x14ac:dyDescent="0.25">
      <c r="A2723" s="2">
        <v>44365</v>
      </c>
      <c r="B2723" t="s">
        <v>3</v>
      </c>
      <c r="C2723">
        <v>11804</v>
      </c>
      <c r="D2723" t="str">
        <f>VLOOKUP(B2723,Tabela_Auxiliar[],2,0)</f>
        <v>1. Receita Operacional Bruta</v>
      </c>
      <c r="E2723" t="str">
        <f>VLOOKUP(B2723,Tabela_Auxiliar[],4,0)</f>
        <v>Receita Bruta</v>
      </c>
      <c r="F2723" t="str">
        <f>VLOOKUP(B2723,Tabela_Auxiliar[],3,0)</f>
        <v>Entrada</v>
      </c>
      <c r="G2723" t="str">
        <f>UPPER(TEXT(Tabela_DB[[#This Row],[DATA]],"mmm"))</f>
        <v>JUN</v>
      </c>
      <c r="H2723" t="str">
        <f>UPPER(TEXT(Tabela_DB[[#This Row],[DATA]],"aaaa"))</f>
        <v>2021</v>
      </c>
    </row>
    <row r="2724" spans="1:8" x14ac:dyDescent="0.25">
      <c r="A2724" s="2">
        <v>44365</v>
      </c>
      <c r="B2724" t="s">
        <v>111</v>
      </c>
      <c r="C2724">
        <v>-2147</v>
      </c>
      <c r="D2724" t="str">
        <f>VLOOKUP(B2724,Tabela_Auxiliar[],2,0)</f>
        <v>2. Deduções da Receita</v>
      </c>
      <c r="E2724" t="str">
        <f>VLOOKUP(B2724,Tabela_Auxiliar[],4,0)</f>
        <v>Imposto</v>
      </c>
      <c r="F2724" t="str">
        <f>VLOOKUP(B2724,Tabela_Auxiliar[],3,0)</f>
        <v>Saída</v>
      </c>
      <c r="G2724" t="str">
        <f>UPPER(TEXT(Tabela_DB[[#This Row],[DATA]],"mmm"))</f>
        <v>JUN</v>
      </c>
      <c r="H2724" t="str">
        <f>UPPER(TEXT(Tabela_DB[[#This Row],[DATA]],"aaaa"))</f>
        <v>2021</v>
      </c>
    </row>
    <row r="2725" spans="1:8" x14ac:dyDescent="0.25">
      <c r="A2725" s="2">
        <v>44365</v>
      </c>
      <c r="B2725" t="s">
        <v>67</v>
      </c>
      <c r="C2725">
        <v>-2383</v>
      </c>
      <c r="D2725" t="str">
        <f>VLOOKUP(B2725,Tabela_Auxiliar[],2,0)</f>
        <v>4. Despesas Operacionais</v>
      </c>
      <c r="E2725" t="str">
        <f>VLOOKUP(B2725,Tabela_Auxiliar[],4,0)</f>
        <v>Despesa com Vendas</v>
      </c>
      <c r="F2725" t="str">
        <f>VLOOKUP(B2725,Tabela_Auxiliar[],3,0)</f>
        <v>Saída</v>
      </c>
      <c r="G2725" t="str">
        <f>UPPER(TEXT(Tabela_DB[[#This Row],[DATA]],"mmm"))</f>
        <v>JUN</v>
      </c>
      <c r="H2725" t="str">
        <f>UPPER(TEXT(Tabela_DB[[#This Row],[DATA]],"aaaa"))</f>
        <v>2021</v>
      </c>
    </row>
    <row r="2726" spans="1:8" x14ac:dyDescent="0.25">
      <c r="A2726" s="2">
        <v>44365</v>
      </c>
      <c r="B2726" t="s">
        <v>111</v>
      </c>
      <c r="C2726">
        <v>-1003</v>
      </c>
      <c r="D2726" t="str">
        <f>VLOOKUP(B2726,Tabela_Auxiliar[],2,0)</f>
        <v>2. Deduções da Receita</v>
      </c>
      <c r="E2726" t="str">
        <f>VLOOKUP(B2726,Tabela_Auxiliar[],4,0)</f>
        <v>Imposto</v>
      </c>
      <c r="F2726" t="str">
        <f>VLOOKUP(B2726,Tabela_Auxiliar[],3,0)</f>
        <v>Saída</v>
      </c>
      <c r="G2726" t="str">
        <f>UPPER(TEXT(Tabela_DB[[#This Row],[DATA]],"mmm"))</f>
        <v>JUN</v>
      </c>
      <c r="H2726" t="str">
        <f>UPPER(TEXT(Tabela_DB[[#This Row],[DATA]],"aaaa"))</f>
        <v>2021</v>
      </c>
    </row>
    <row r="2727" spans="1:8" x14ac:dyDescent="0.25">
      <c r="A2727" s="2">
        <v>44365</v>
      </c>
      <c r="B2727" t="s">
        <v>37</v>
      </c>
      <c r="C2727">
        <v>-4815</v>
      </c>
      <c r="D2727" t="str">
        <f>VLOOKUP(B2727,Tabela_Auxiliar[],2,0)</f>
        <v>3. Custos do Produto/Mercadoria/Serviço</v>
      </c>
      <c r="E2727" t="str">
        <f>VLOOKUP(B2727,Tabela_Auxiliar[],4,0)</f>
        <v>Despesas c/ Produto</v>
      </c>
      <c r="F2727" t="str">
        <f>VLOOKUP(B2727,Tabela_Auxiliar[],3,0)</f>
        <v>Saída</v>
      </c>
      <c r="G2727" t="str">
        <f>UPPER(TEXT(Tabela_DB[[#This Row],[DATA]],"mmm"))</f>
        <v>JUN</v>
      </c>
      <c r="H2727" t="str">
        <f>UPPER(TEXT(Tabela_DB[[#This Row],[DATA]],"aaaa"))</f>
        <v>2021</v>
      </c>
    </row>
    <row r="2728" spans="1:8" x14ac:dyDescent="0.25">
      <c r="A2728" s="2">
        <v>44365</v>
      </c>
      <c r="B2728" t="s">
        <v>4</v>
      </c>
      <c r="C2728">
        <v>12721</v>
      </c>
      <c r="D2728" t="str">
        <f>VLOOKUP(B2728,Tabela_Auxiliar[],2,0)</f>
        <v>1. Receita Operacional Bruta</v>
      </c>
      <c r="E2728" t="str">
        <f>VLOOKUP(B2728,Tabela_Auxiliar[],4,0)</f>
        <v>Receita Bruta</v>
      </c>
      <c r="F2728" t="str">
        <f>VLOOKUP(B2728,Tabela_Auxiliar[],3,0)</f>
        <v>Entrada</v>
      </c>
      <c r="G2728" t="str">
        <f>UPPER(TEXT(Tabela_DB[[#This Row],[DATA]],"mmm"))</f>
        <v>JUN</v>
      </c>
      <c r="H2728" t="str">
        <f>UPPER(TEXT(Tabela_DB[[#This Row],[DATA]],"aaaa"))</f>
        <v>2021</v>
      </c>
    </row>
    <row r="2729" spans="1:8" x14ac:dyDescent="0.25">
      <c r="A2729" s="2">
        <v>44365</v>
      </c>
      <c r="B2729" t="s">
        <v>35</v>
      </c>
      <c r="C2729">
        <v>-1456</v>
      </c>
      <c r="D2729" t="str">
        <f>VLOOKUP(B2729,Tabela_Auxiliar[],2,0)</f>
        <v>2. Deduções da Receita</v>
      </c>
      <c r="E2729" t="str">
        <f>VLOOKUP(B2729,Tabela_Auxiliar[],4,0)</f>
        <v>Imposto</v>
      </c>
      <c r="F2729" t="str">
        <f>VLOOKUP(B2729,Tabela_Auxiliar[],3,0)</f>
        <v>Saída</v>
      </c>
      <c r="G2729" t="str">
        <f>UPPER(TEXT(Tabela_DB[[#This Row],[DATA]],"mmm"))</f>
        <v>JUN</v>
      </c>
      <c r="H2729" t="str">
        <f>UPPER(TEXT(Tabela_DB[[#This Row],[DATA]],"aaaa"))</f>
        <v>2021</v>
      </c>
    </row>
    <row r="2730" spans="1:8" x14ac:dyDescent="0.25">
      <c r="A2730" s="2">
        <v>44365</v>
      </c>
      <c r="B2730" t="s">
        <v>74</v>
      </c>
      <c r="C2730">
        <v>-1984</v>
      </c>
      <c r="D2730" t="str">
        <f>VLOOKUP(B2730,Tabela_Auxiliar[],2,0)</f>
        <v>4. Despesas Operacionais</v>
      </c>
      <c r="E2730" t="str">
        <f>VLOOKUP(B2730,Tabela_Auxiliar[],4,0)</f>
        <v>Serviços Contratados</v>
      </c>
      <c r="F2730" t="str">
        <f>VLOOKUP(B2730,Tabela_Auxiliar[],3,0)</f>
        <v>Saída</v>
      </c>
      <c r="G2730" t="str">
        <f>UPPER(TEXT(Tabela_DB[[#This Row],[DATA]],"mmm"))</f>
        <v>JUN</v>
      </c>
      <c r="H2730" t="str">
        <f>UPPER(TEXT(Tabela_DB[[#This Row],[DATA]],"aaaa"))</f>
        <v>2021</v>
      </c>
    </row>
    <row r="2731" spans="1:8" x14ac:dyDescent="0.25">
      <c r="A2731" s="2">
        <v>44365</v>
      </c>
      <c r="B2731" t="s">
        <v>34</v>
      </c>
      <c r="C2731">
        <v>-2022</v>
      </c>
      <c r="D2731" t="str">
        <f>VLOOKUP(B2731,Tabela_Auxiliar[],2,0)</f>
        <v>2. Deduções da Receita</v>
      </c>
      <c r="E2731" t="str">
        <f>VLOOKUP(B2731,Tabela_Auxiliar[],4,0)</f>
        <v>Imposto</v>
      </c>
      <c r="F2731" t="str">
        <f>VLOOKUP(B2731,Tabela_Auxiliar[],3,0)</f>
        <v>Saída</v>
      </c>
      <c r="G2731" t="str">
        <f>UPPER(TEXT(Tabela_DB[[#This Row],[DATA]],"mmm"))</f>
        <v>JUN</v>
      </c>
      <c r="H2731" t="str">
        <f>UPPER(TEXT(Tabela_DB[[#This Row],[DATA]],"aaaa"))</f>
        <v>2021</v>
      </c>
    </row>
    <row r="2732" spans="1:8" x14ac:dyDescent="0.25">
      <c r="A2732" s="2">
        <v>44365</v>
      </c>
      <c r="B2732" t="s">
        <v>37</v>
      </c>
      <c r="C2732">
        <v>-4054</v>
      </c>
      <c r="D2732" t="str">
        <f>VLOOKUP(B2732,Tabela_Auxiliar[],2,0)</f>
        <v>3. Custos do Produto/Mercadoria/Serviço</v>
      </c>
      <c r="E2732" t="str">
        <f>VLOOKUP(B2732,Tabela_Auxiliar[],4,0)</f>
        <v>Despesas c/ Produto</v>
      </c>
      <c r="F2732" t="str">
        <f>VLOOKUP(B2732,Tabela_Auxiliar[],3,0)</f>
        <v>Saída</v>
      </c>
      <c r="G2732" t="str">
        <f>UPPER(TEXT(Tabela_DB[[#This Row],[DATA]],"mmm"))</f>
        <v>JUN</v>
      </c>
      <c r="H2732" t="str">
        <f>UPPER(TEXT(Tabela_DB[[#This Row],[DATA]],"aaaa"))</f>
        <v>2021</v>
      </c>
    </row>
    <row r="2733" spans="1:8" x14ac:dyDescent="0.25">
      <c r="A2733" s="2">
        <v>44365</v>
      </c>
      <c r="B2733" t="s">
        <v>37</v>
      </c>
      <c r="C2733">
        <v>-3664</v>
      </c>
      <c r="D2733" t="str">
        <f>VLOOKUP(B2733,Tabela_Auxiliar[],2,0)</f>
        <v>3. Custos do Produto/Mercadoria/Serviço</v>
      </c>
      <c r="E2733" t="str">
        <f>VLOOKUP(B2733,Tabela_Auxiliar[],4,0)</f>
        <v>Despesas c/ Produto</v>
      </c>
      <c r="F2733" t="str">
        <f>VLOOKUP(B2733,Tabela_Auxiliar[],3,0)</f>
        <v>Saída</v>
      </c>
      <c r="G2733" t="str">
        <f>UPPER(TEXT(Tabela_DB[[#This Row],[DATA]],"mmm"))</f>
        <v>JUN</v>
      </c>
      <c r="H2733" t="str">
        <f>UPPER(TEXT(Tabela_DB[[#This Row],[DATA]],"aaaa"))</f>
        <v>2021</v>
      </c>
    </row>
    <row r="2734" spans="1:8" x14ac:dyDescent="0.25">
      <c r="A2734" s="2">
        <v>44365</v>
      </c>
      <c r="B2734" t="s">
        <v>34</v>
      </c>
      <c r="C2734">
        <v>-1120</v>
      </c>
      <c r="D2734" t="str">
        <f>VLOOKUP(B2734,Tabela_Auxiliar[],2,0)</f>
        <v>2. Deduções da Receita</v>
      </c>
      <c r="E2734" t="str">
        <f>VLOOKUP(B2734,Tabela_Auxiliar[],4,0)</f>
        <v>Imposto</v>
      </c>
      <c r="F2734" t="str">
        <f>VLOOKUP(B2734,Tabela_Auxiliar[],3,0)</f>
        <v>Saída</v>
      </c>
      <c r="G2734" t="str">
        <f>UPPER(TEXT(Tabela_DB[[#This Row],[DATA]],"mmm"))</f>
        <v>JUN</v>
      </c>
      <c r="H2734" t="str">
        <f>UPPER(TEXT(Tabela_DB[[#This Row],[DATA]],"aaaa"))</f>
        <v>2021</v>
      </c>
    </row>
    <row r="2735" spans="1:8" x14ac:dyDescent="0.25">
      <c r="A2735" s="2">
        <v>44365</v>
      </c>
      <c r="B2735" t="s">
        <v>57</v>
      </c>
      <c r="C2735">
        <v>-1950</v>
      </c>
      <c r="D2735" t="str">
        <f>VLOOKUP(B2735,Tabela_Auxiliar[],2,0)</f>
        <v>4. Despesas Operacionais</v>
      </c>
      <c r="E2735" t="str">
        <f>VLOOKUP(B2735,Tabela_Auxiliar[],4,0)</f>
        <v>Despesa com Pessoal</v>
      </c>
      <c r="F2735" t="str">
        <f>VLOOKUP(B2735,Tabela_Auxiliar[],3,0)</f>
        <v>Saída</v>
      </c>
      <c r="G2735" t="str">
        <f>UPPER(TEXT(Tabela_DB[[#This Row],[DATA]],"mmm"))</f>
        <v>JUN</v>
      </c>
      <c r="H2735" t="str">
        <f>UPPER(TEXT(Tabela_DB[[#This Row],[DATA]],"aaaa"))</f>
        <v>2021</v>
      </c>
    </row>
    <row r="2736" spans="1:8" x14ac:dyDescent="0.25">
      <c r="A2736" s="2">
        <v>44366</v>
      </c>
      <c r="B2736" t="s">
        <v>77</v>
      </c>
      <c r="C2736">
        <v>-2237</v>
      </c>
      <c r="D2736" t="str">
        <f>VLOOKUP(B2736,Tabela_Auxiliar[],2,0)</f>
        <v>4. Despesas Operacionais</v>
      </c>
      <c r="E2736" t="str">
        <f>VLOOKUP(B2736,Tabela_Auxiliar[],4,0)</f>
        <v>Serviços Contratados</v>
      </c>
      <c r="F2736" t="str">
        <f>VLOOKUP(B2736,Tabela_Auxiliar[],3,0)</f>
        <v>Saída</v>
      </c>
      <c r="G2736" t="str">
        <f>UPPER(TEXT(Tabela_DB[[#This Row],[DATA]],"mmm"))</f>
        <v>JUN</v>
      </c>
      <c r="H2736" t="str">
        <f>UPPER(TEXT(Tabela_DB[[#This Row],[DATA]],"aaaa"))</f>
        <v>2021</v>
      </c>
    </row>
    <row r="2737" spans="1:8" x14ac:dyDescent="0.25">
      <c r="A2737" s="2">
        <v>44366</v>
      </c>
      <c r="B2737" t="s">
        <v>55</v>
      </c>
      <c r="C2737">
        <v>-2179</v>
      </c>
      <c r="D2737" t="str">
        <f>VLOOKUP(B2737,Tabela_Auxiliar[],2,0)</f>
        <v>4. Despesas Operacionais</v>
      </c>
      <c r="E2737" t="str">
        <f>VLOOKUP(B2737,Tabela_Auxiliar[],4,0)</f>
        <v>Despesa com Pessoal</v>
      </c>
      <c r="F2737" t="str">
        <f>VLOOKUP(B2737,Tabela_Auxiliar[],3,0)</f>
        <v>Saída</v>
      </c>
      <c r="G2737" t="str">
        <f>UPPER(TEXT(Tabela_DB[[#This Row],[DATA]],"mmm"))</f>
        <v>JUN</v>
      </c>
      <c r="H2737" t="str">
        <f>UPPER(TEXT(Tabela_DB[[#This Row],[DATA]],"aaaa"))</f>
        <v>2021</v>
      </c>
    </row>
    <row r="2738" spans="1:8" x14ac:dyDescent="0.25">
      <c r="A2738" s="2">
        <v>44366</v>
      </c>
      <c r="B2738" t="s">
        <v>70</v>
      </c>
      <c r="C2738">
        <v>-1226</v>
      </c>
      <c r="D2738" t="str">
        <f>VLOOKUP(B2738,Tabela_Auxiliar[],2,0)</f>
        <v>4. Despesas Operacionais</v>
      </c>
      <c r="E2738" t="str">
        <f>VLOOKUP(B2738,Tabela_Auxiliar[],4,0)</f>
        <v>Despesa com Ocupação</v>
      </c>
      <c r="F2738" t="str">
        <f>VLOOKUP(B2738,Tabela_Auxiliar[],3,0)</f>
        <v>Saída</v>
      </c>
      <c r="G2738" t="str">
        <f>UPPER(TEXT(Tabela_DB[[#This Row],[DATA]],"mmm"))</f>
        <v>JUN</v>
      </c>
      <c r="H2738" t="str">
        <f>UPPER(TEXT(Tabela_DB[[#This Row],[DATA]],"aaaa"))</f>
        <v>2021</v>
      </c>
    </row>
    <row r="2739" spans="1:8" x14ac:dyDescent="0.25">
      <c r="A2739" s="2">
        <v>44366</v>
      </c>
      <c r="B2739" t="s">
        <v>4</v>
      </c>
      <c r="C2739">
        <v>13335</v>
      </c>
      <c r="D2739" t="str">
        <f>VLOOKUP(B2739,Tabela_Auxiliar[],2,0)</f>
        <v>1. Receita Operacional Bruta</v>
      </c>
      <c r="E2739" t="str">
        <f>VLOOKUP(B2739,Tabela_Auxiliar[],4,0)</f>
        <v>Receita Bruta</v>
      </c>
      <c r="F2739" t="str">
        <f>VLOOKUP(B2739,Tabela_Auxiliar[],3,0)</f>
        <v>Entrada</v>
      </c>
      <c r="G2739" t="str">
        <f>UPPER(TEXT(Tabela_DB[[#This Row],[DATA]],"mmm"))</f>
        <v>JUN</v>
      </c>
      <c r="H2739" t="str">
        <f>UPPER(TEXT(Tabela_DB[[#This Row],[DATA]],"aaaa"))</f>
        <v>2021</v>
      </c>
    </row>
    <row r="2740" spans="1:8" x14ac:dyDescent="0.25">
      <c r="A2740" s="2">
        <v>44366</v>
      </c>
      <c r="B2740" t="s">
        <v>111</v>
      </c>
      <c r="C2740">
        <v>-1948</v>
      </c>
      <c r="D2740" t="str">
        <f>VLOOKUP(B2740,Tabela_Auxiliar[],2,0)</f>
        <v>2. Deduções da Receita</v>
      </c>
      <c r="E2740" t="str">
        <f>VLOOKUP(B2740,Tabela_Auxiliar[],4,0)</f>
        <v>Imposto</v>
      </c>
      <c r="F2740" t="str">
        <f>VLOOKUP(B2740,Tabela_Auxiliar[],3,0)</f>
        <v>Saída</v>
      </c>
      <c r="G2740" t="str">
        <f>UPPER(TEXT(Tabela_DB[[#This Row],[DATA]],"mmm"))</f>
        <v>JUN</v>
      </c>
      <c r="H2740" t="str">
        <f>UPPER(TEXT(Tabela_DB[[#This Row],[DATA]],"aaaa"))</f>
        <v>2021</v>
      </c>
    </row>
    <row r="2741" spans="1:8" x14ac:dyDescent="0.25">
      <c r="A2741" s="2">
        <v>44366</v>
      </c>
      <c r="B2741" t="s">
        <v>111</v>
      </c>
      <c r="C2741">
        <v>-1630</v>
      </c>
      <c r="D2741" t="str">
        <f>VLOOKUP(B2741,Tabela_Auxiliar[],2,0)</f>
        <v>2. Deduções da Receita</v>
      </c>
      <c r="E2741" t="str">
        <f>VLOOKUP(B2741,Tabela_Auxiliar[],4,0)</f>
        <v>Imposto</v>
      </c>
      <c r="F2741" t="str">
        <f>VLOOKUP(B2741,Tabela_Auxiliar[],3,0)</f>
        <v>Saída</v>
      </c>
      <c r="G2741" t="str">
        <f>UPPER(TEXT(Tabela_DB[[#This Row],[DATA]],"mmm"))</f>
        <v>JUN</v>
      </c>
      <c r="H2741" t="str">
        <f>UPPER(TEXT(Tabela_DB[[#This Row],[DATA]],"aaaa"))</f>
        <v>2021</v>
      </c>
    </row>
    <row r="2742" spans="1:8" x14ac:dyDescent="0.25">
      <c r="A2742" s="2">
        <v>44366</v>
      </c>
      <c r="B2742" t="s">
        <v>38</v>
      </c>
      <c r="C2742">
        <v>-1416</v>
      </c>
      <c r="D2742" t="str">
        <f>VLOOKUP(B2742,Tabela_Auxiliar[],2,0)</f>
        <v>2. Deduções da Receita</v>
      </c>
      <c r="E2742" t="str">
        <f>VLOOKUP(B2742,Tabela_Auxiliar[],4,0)</f>
        <v>Deduções</v>
      </c>
      <c r="F2742" t="str">
        <f>VLOOKUP(B2742,Tabela_Auxiliar[],3,0)</f>
        <v>Saída</v>
      </c>
      <c r="G2742" t="str">
        <f>UPPER(TEXT(Tabela_DB[[#This Row],[DATA]],"mmm"))</f>
        <v>JUN</v>
      </c>
      <c r="H2742" t="str">
        <f>UPPER(TEXT(Tabela_DB[[#This Row],[DATA]],"aaaa"))</f>
        <v>2021</v>
      </c>
    </row>
    <row r="2743" spans="1:8" x14ac:dyDescent="0.25">
      <c r="A2743" s="2">
        <v>44366</v>
      </c>
      <c r="B2743" t="s">
        <v>37</v>
      </c>
      <c r="C2743">
        <v>-4684</v>
      </c>
      <c r="D2743" t="str">
        <f>VLOOKUP(B2743,Tabela_Auxiliar[],2,0)</f>
        <v>3. Custos do Produto/Mercadoria/Serviço</v>
      </c>
      <c r="E2743" t="str">
        <f>VLOOKUP(B2743,Tabela_Auxiliar[],4,0)</f>
        <v>Despesas c/ Produto</v>
      </c>
      <c r="F2743" t="str">
        <f>VLOOKUP(B2743,Tabela_Auxiliar[],3,0)</f>
        <v>Saída</v>
      </c>
      <c r="G2743" t="str">
        <f>UPPER(TEXT(Tabela_DB[[#This Row],[DATA]],"mmm"))</f>
        <v>JUN</v>
      </c>
      <c r="H2743" t="str">
        <f>UPPER(TEXT(Tabela_DB[[#This Row],[DATA]],"aaaa"))</f>
        <v>2021</v>
      </c>
    </row>
    <row r="2744" spans="1:8" x14ac:dyDescent="0.25">
      <c r="A2744" s="2">
        <v>44366</v>
      </c>
      <c r="B2744" t="s">
        <v>58</v>
      </c>
      <c r="C2744">
        <v>-1034</v>
      </c>
      <c r="D2744" t="str">
        <f>VLOOKUP(B2744,Tabela_Auxiliar[],2,0)</f>
        <v>4. Despesas Operacionais</v>
      </c>
      <c r="E2744" t="str">
        <f>VLOOKUP(B2744,Tabela_Auxiliar[],4,0)</f>
        <v>Despesa de Depreciação</v>
      </c>
      <c r="F2744" t="str">
        <f>VLOOKUP(B2744,Tabela_Auxiliar[],3,0)</f>
        <v>Saída</v>
      </c>
      <c r="G2744" t="str">
        <f>UPPER(TEXT(Tabela_DB[[#This Row],[DATA]],"mmm"))</f>
        <v>JUN</v>
      </c>
      <c r="H2744" t="str">
        <f>UPPER(TEXT(Tabela_DB[[#This Row],[DATA]],"aaaa"))</f>
        <v>2021</v>
      </c>
    </row>
    <row r="2745" spans="1:8" x14ac:dyDescent="0.25">
      <c r="A2745" s="2">
        <v>44366</v>
      </c>
      <c r="B2745" t="s">
        <v>3</v>
      </c>
      <c r="C2745">
        <v>10519</v>
      </c>
      <c r="D2745" t="str">
        <f>VLOOKUP(B2745,Tabela_Auxiliar[],2,0)</f>
        <v>1. Receita Operacional Bruta</v>
      </c>
      <c r="E2745" t="str">
        <f>VLOOKUP(B2745,Tabela_Auxiliar[],4,0)</f>
        <v>Receita Bruta</v>
      </c>
      <c r="F2745" t="str">
        <f>VLOOKUP(B2745,Tabela_Auxiliar[],3,0)</f>
        <v>Entrada</v>
      </c>
      <c r="G2745" t="str">
        <f>UPPER(TEXT(Tabela_DB[[#This Row],[DATA]],"mmm"))</f>
        <v>JUN</v>
      </c>
      <c r="H2745" t="str">
        <f>UPPER(TEXT(Tabela_DB[[#This Row],[DATA]],"aaaa"))</f>
        <v>2021</v>
      </c>
    </row>
    <row r="2746" spans="1:8" x14ac:dyDescent="0.25">
      <c r="A2746" s="2">
        <v>44367</v>
      </c>
      <c r="B2746" t="s">
        <v>49</v>
      </c>
      <c r="C2746">
        <v>-2498</v>
      </c>
      <c r="D2746" t="str">
        <f>VLOOKUP(B2746,Tabela_Auxiliar[],2,0)</f>
        <v>4. Despesas Operacionais</v>
      </c>
      <c r="E2746" t="str">
        <f>VLOOKUP(B2746,Tabela_Auxiliar[],4,0)</f>
        <v>Despesa com Pessoal</v>
      </c>
      <c r="F2746" t="str">
        <f>VLOOKUP(B2746,Tabela_Auxiliar[],3,0)</f>
        <v>Saída</v>
      </c>
      <c r="G2746" t="str">
        <f>UPPER(TEXT(Tabela_DB[[#This Row],[DATA]],"mmm"))</f>
        <v>JUN</v>
      </c>
      <c r="H2746" t="str">
        <f>UPPER(TEXT(Tabela_DB[[#This Row],[DATA]],"aaaa"))</f>
        <v>2021</v>
      </c>
    </row>
    <row r="2747" spans="1:8" x14ac:dyDescent="0.25">
      <c r="A2747" s="2">
        <v>44367</v>
      </c>
      <c r="B2747" t="s">
        <v>111</v>
      </c>
      <c r="C2747">
        <v>-2053</v>
      </c>
      <c r="D2747" t="str">
        <f>VLOOKUP(B2747,Tabela_Auxiliar[],2,0)</f>
        <v>2. Deduções da Receita</v>
      </c>
      <c r="E2747" t="str">
        <f>VLOOKUP(B2747,Tabela_Auxiliar[],4,0)</f>
        <v>Imposto</v>
      </c>
      <c r="F2747" t="str">
        <f>VLOOKUP(B2747,Tabela_Auxiliar[],3,0)</f>
        <v>Saída</v>
      </c>
      <c r="G2747" t="str">
        <f>UPPER(TEXT(Tabela_DB[[#This Row],[DATA]],"mmm"))</f>
        <v>JUN</v>
      </c>
      <c r="H2747" t="str">
        <f>UPPER(TEXT(Tabela_DB[[#This Row],[DATA]],"aaaa"))</f>
        <v>2021</v>
      </c>
    </row>
    <row r="2748" spans="1:8" x14ac:dyDescent="0.25">
      <c r="A2748" s="2">
        <v>44367</v>
      </c>
      <c r="B2748" t="s">
        <v>90</v>
      </c>
      <c r="C2748">
        <v>-1636</v>
      </c>
      <c r="D2748" t="str">
        <f>VLOOKUP(B2748,Tabela_Auxiliar[],2,0)</f>
        <v>4. Despesas Operacionais</v>
      </c>
      <c r="E2748" t="str">
        <f>VLOOKUP(B2748,Tabela_Auxiliar[],4,0)</f>
        <v>Despesa Tributária</v>
      </c>
      <c r="F2748" t="str">
        <f>VLOOKUP(B2748,Tabela_Auxiliar[],3,0)</f>
        <v>Saída</v>
      </c>
      <c r="G2748" t="str">
        <f>UPPER(TEXT(Tabela_DB[[#This Row],[DATA]],"mmm"))</f>
        <v>JUN</v>
      </c>
      <c r="H2748" t="str">
        <f>UPPER(TEXT(Tabela_DB[[#This Row],[DATA]],"aaaa"))</f>
        <v>2021</v>
      </c>
    </row>
    <row r="2749" spans="1:8" x14ac:dyDescent="0.25">
      <c r="A2749" s="2">
        <v>44367</v>
      </c>
      <c r="B2749" t="s">
        <v>35</v>
      </c>
      <c r="C2749">
        <v>-2096</v>
      </c>
      <c r="D2749" t="str">
        <f>VLOOKUP(B2749,Tabela_Auxiliar[],2,0)</f>
        <v>2. Deduções da Receita</v>
      </c>
      <c r="E2749" t="str">
        <f>VLOOKUP(B2749,Tabela_Auxiliar[],4,0)</f>
        <v>Imposto</v>
      </c>
      <c r="F2749" t="str">
        <f>VLOOKUP(B2749,Tabela_Auxiliar[],3,0)</f>
        <v>Saída</v>
      </c>
      <c r="G2749" t="str">
        <f>UPPER(TEXT(Tabela_DB[[#This Row],[DATA]],"mmm"))</f>
        <v>JUN</v>
      </c>
      <c r="H2749" t="str">
        <f>UPPER(TEXT(Tabela_DB[[#This Row],[DATA]],"aaaa"))</f>
        <v>2021</v>
      </c>
    </row>
    <row r="2750" spans="1:8" x14ac:dyDescent="0.25">
      <c r="A2750" s="2">
        <v>44367</v>
      </c>
      <c r="B2750" t="s">
        <v>37</v>
      </c>
      <c r="C2750">
        <v>-3287</v>
      </c>
      <c r="D2750" t="str">
        <f>VLOOKUP(B2750,Tabela_Auxiliar[],2,0)</f>
        <v>3. Custos do Produto/Mercadoria/Serviço</v>
      </c>
      <c r="E2750" t="str">
        <f>VLOOKUP(B2750,Tabela_Auxiliar[],4,0)</f>
        <v>Despesas c/ Produto</v>
      </c>
      <c r="F2750" t="str">
        <f>VLOOKUP(B2750,Tabela_Auxiliar[],3,0)</f>
        <v>Saída</v>
      </c>
      <c r="G2750" t="str">
        <f>UPPER(TEXT(Tabela_DB[[#This Row],[DATA]],"mmm"))</f>
        <v>JUN</v>
      </c>
      <c r="H2750" t="str">
        <f>UPPER(TEXT(Tabela_DB[[#This Row],[DATA]],"aaaa"))</f>
        <v>2021</v>
      </c>
    </row>
    <row r="2751" spans="1:8" x14ac:dyDescent="0.25">
      <c r="A2751" s="2">
        <v>44367</v>
      </c>
      <c r="B2751" t="s">
        <v>101</v>
      </c>
      <c r="C2751">
        <v>-1175</v>
      </c>
      <c r="D2751" t="str">
        <f>VLOOKUP(B2751,Tabela_Auxiliar[],2,0)</f>
        <v>5. Resultado Financeiro</v>
      </c>
      <c r="E2751" t="str">
        <f>VLOOKUP(B2751,Tabela_Auxiliar[],4,0)</f>
        <v>Despesa Financeira</v>
      </c>
      <c r="F2751" t="str">
        <f>VLOOKUP(B2751,Tabela_Auxiliar[],3,0)</f>
        <v>Saída</v>
      </c>
      <c r="G2751" t="str">
        <f>UPPER(TEXT(Tabela_DB[[#This Row],[DATA]],"mmm"))</f>
        <v>JUN</v>
      </c>
      <c r="H2751" t="str">
        <f>UPPER(TEXT(Tabela_DB[[#This Row],[DATA]],"aaaa"))</f>
        <v>2021</v>
      </c>
    </row>
    <row r="2752" spans="1:8" x14ac:dyDescent="0.25">
      <c r="A2752" s="2">
        <v>44367</v>
      </c>
      <c r="B2752" t="s">
        <v>34</v>
      </c>
      <c r="C2752">
        <v>-2345</v>
      </c>
      <c r="D2752" t="str">
        <f>VLOOKUP(B2752,Tabela_Auxiliar[],2,0)</f>
        <v>2. Deduções da Receita</v>
      </c>
      <c r="E2752" t="str">
        <f>VLOOKUP(B2752,Tabela_Auxiliar[],4,0)</f>
        <v>Imposto</v>
      </c>
      <c r="F2752" t="str">
        <f>VLOOKUP(B2752,Tabela_Auxiliar[],3,0)</f>
        <v>Saída</v>
      </c>
      <c r="G2752" t="str">
        <f>UPPER(TEXT(Tabela_DB[[#This Row],[DATA]],"mmm"))</f>
        <v>JUN</v>
      </c>
      <c r="H2752" t="str">
        <f>UPPER(TEXT(Tabela_DB[[#This Row],[DATA]],"aaaa"))</f>
        <v>2021</v>
      </c>
    </row>
    <row r="2753" spans="1:8" x14ac:dyDescent="0.25">
      <c r="A2753" s="2">
        <v>44367</v>
      </c>
      <c r="B2753" t="s">
        <v>4</v>
      </c>
      <c r="C2753">
        <v>13485</v>
      </c>
      <c r="D2753" t="str">
        <f>VLOOKUP(B2753,Tabela_Auxiliar[],2,0)</f>
        <v>1. Receita Operacional Bruta</v>
      </c>
      <c r="E2753" t="str">
        <f>VLOOKUP(B2753,Tabela_Auxiliar[],4,0)</f>
        <v>Receita Bruta</v>
      </c>
      <c r="F2753" t="str">
        <f>VLOOKUP(B2753,Tabela_Auxiliar[],3,0)</f>
        <v>Entrada</v>
      </c>
      <c r="G2753" t="str">
        <f>UPPER(TEXT(Tabela_DB[[#This Row],[DATA]],"mmm"))</f>
        <v>JUN</v>
      </c>
      <c r="H2753" t="str">
        <f>UPPER(TEXT(Tabela_DB[[#This Row],[DATA]],"aaaa"))</f>
        <v>2021</v>
      </c>
    </row>
    <row r="2754" spans="1:8" x14ac:dyDescent="0.25">
      <c r="A2754" s="2">
        <v>44367</v>
      </c>
      <c r="B2754" t="s">
        <v>34</v>
      </c>
      <c r="C2754">
        <v>-1655</v>
      </c>
      <c r="D2754" t="str">
        <f>VLOOKUP(B2754,Tabela_Auxiliar[],2,0)</f>
        <v>2. Deduções da Receita</v>
      </c>
      <c r="E2754" t="str">
        <f>VLOOKUP(B2754,Tabela_Auxiliar[],4,0)</f>
        <v>Imposto</v>
      </c>
      <c r="F2754" t="str">
        <f>VLOOKUP(B2754,Tabela_Auxiliar[],3,0)</f>
        <v>Saída</v>
      </c>
      <c r="G2754" t="str">
        <f>UPPER(TEXT(Tabela_DB[[#This Row],[DATA]],"mmm"))</f>
        <v>JUN</v>
      </c>
      <c r="H2754" t="str">
        <f>UPPER(TEXT(Tabela_DB[[#This Row],[DATA]],"aaaa"))</f>
        <v>2021</v>
      </c>
    </row>
    <row r="2755" spans="1:8" x14ac:dyDescent="0.25">
      <c r="A2755" s="2">
        <v>44367</v>
      </c>
      <c r="B2755" t="s">
        <v>3</v>
      </c>
      <c r="C2755">
        <v>10715</v>
      </c>
      <c r="D2755" t="str">
        <f>VLOOKUP(B2755,Tabela_Auxiliar[],2,0)</f>
        <v>1. Receita Operacional Bruta</v>
      </c>
      <c r="E2755" t="str">
        <f>VLOOKUP(B2755,Tabela_Auxiliar[],4,0)</f>
        <v>Receita Bruta</v>
      </c>
      <c r="F2755" t="str">
        <f>VLOOKUP(B2755,Tabela_Auxiliar[],3,0)</f>
        <v>Entrada</v>
      </c>
      <c r="G2755" t="str">
        <f>UPPER(TEXT(Tabela_DB[[#This Row],[DATA]],"mmm"))</f>
        <v>JUN</v>
      </c>
      <c r="H2755" t="str">
        <f>UPPER(TEXT(Tabela_DB[[#This Row],[DATA]],"aaaa"))</f>
        <v>2021</v>
      </c>
    </row>
    <row r="2756" spans="1:8" x14ac:dyDescent="0.25">
      <c r="A2756" s="2">
        <v>44367</v>
      </c>
      <c r="B2756" t="s">
        <v>8</v>
      </c>
      <c r="C2756">
        <v>-2073</v>
      </c>
      <c r="D2756" t="str">
        <f>VLOOKUP(B2756,Tabela_Auxiliar[],2,0)</f>
        <v>4. Despesas Operacionais</v>
      </c>
      <c r="E2756" t="str">
        <f>VLOOKUP(B2756,Tabela_Auxiliar[],4,0)</f>
        <v>Despesa com Pessoal</v>
      </c>
      <c r="F2756" t="str">
        <f>VLOOKUP(B2756,Tabela_Auxiliar[],3,0)</f>
        <v>Saída</v>
      </c>
      <c r="G2756" t="str">
        <f>UPPER(TEXT(Tabela_DB[[#This Row],[DATA]],"mmm"))</f>
        <v>JUN</v>
      </c>
      <c r="H2756" t="str">
        <f>UPPER(TEXT(Tabela_DB[[#This Row],[DATA]],"aaaa"))</f>
        <v>2021</v>
      </c>
    </row>
    <row r="2757" spans="1:8" x14ac:dyDescent="0.25">
      <c r="A2757" s="2">
        <v>44367</v>
      </c>
      <c r="B2757" t="s">
        <v>38</v>
      </c>
      <c r="C2757">
        <v>-1999</v>
      </c>
      <c r="D2757" t="str">
        <f>VLOOKUP(B2757,Tabela_Auxiliar[],2,0)</f>
        <v>2. Deduções da Receita</v>
      </c>
      <c r="E2757" t="str">
        <f>VLOOKUP(B2757,Tabela_Auxiliar[],4,0)</f>
        <v>Deduções</v>
      </c>
      <c r="F2757" t="str">
        <f>VLOOKUP(B2757,Tabela_Auxiliar[],3,0)</f>
        <v>Saída</v>
      </c>
      <c r="G2757" t="str">
        <f>UPPER(TEXT(Tabela_DB[[#This Row],[DATA]],"mmm"))</f>
        <v>JUN</v>
      </c>
      <c r="H2757" t="str">
        <f>UPPER(TEXT(Tabela_DB[[#This Row],[DATA]],"aaaa"))</f>
        <v>2021</v>
      </c>
    </row>
    <row r="2758" spans="1:8" x14ac:dyDescent="0.25">
      <c r="A2758" s="2">
        <v>44367</v>
      </c>
      <c r="B2758" t="s">
        <v>78</v>
      </c>
      <c r="C2758">
        <v>-2385</v>
      </c>
      <c r="D2758" t="str">
        <f>VLOOKUP(B2758,Tabela_Auxiliar[],2,0)</f>
        <v>4. Despesas Operacionais</v>
      </c>
      <c r="E2758" t="str">
        <f>VLOOKUP(B2758,Tabela_Auxiliar[],4,0)</f>
        <v>Serviços Contratados</v>
      </c>
      <c r="F2758" t="str">
        <f>VLOOKUP(B2758,Tabela_Auxiliar[],3,0)</f>
        <v>Saída</v>
      </c>
      <c r="G2758" t="str">
        <f>UPPER(TEXT(Tabela_DB[[#This Row],[DATA]],"mmm"))</f>
        <v>JUN</v>
      </c>
      <c r="H2758" t="str">
        <f>UPPER(TEXT(Tabela_DB[[#This Row],[DATA]],"aaaa"))</f>
        <v>2021</v>
      </c>
    </row>
    <row r="2759" spans="1:8" x14ac:dyDescent="0.25">
      <c r="A2759" s="2">
        <v>44367</v>
      </c>
      <c r="B2759" t="s">
        <v>35</v>
      </c>
      <c r="C2759">
        <v>-1460</v>
      </c>
      <c r="D2759" t="str">
        <f>VLOOKUP(B2759,Tabela_Auxiliar[],2,0)</f>
        <v>2. Deduções da Receita</v>
      </c>
      <c r="E2759" t="str">
        <f>VLOOKUP(B2759,Tabela_Auxiliar[],4,0)</f>
        <v>Imposto</v>
      </c>
      <c r="F2759" t="str">
        <f>VLOOKUP(B2759,Tabela_Auxiliar[],3,0)</f>
        <v>Saída</v>
      </c>
      <c r="G2759" t="str">
        <f>UPPER(TEXT(Tabela_DB[[#This Row],[DATA]],"mmm"))</f>
        <v>JUN</v>
      </c>
      <c r="H2759" t="str">
        <f>UPPER(TEXT(Tabela_DB[[#This Row],[DATA]],"aaaa"))</f>
        <v>2021</v>
      </c>
    </row>
    <row r="2760" spans="1:8" x14ac:dyDescent="0.25">
      <c r="A2760" s="2">
        <v>44368</v>
      </c>
      <c r="B2760" t="s">
        <v>74</v>
      </c>
      <c r="C2760">
        <v>-2006</v>
      </c>
      <c r="D2760" t="str">
        <f>VLOOKUP(B2760,Tabela_Auxiliar[],2,0)</f>
        <v>4. Despesas Operacionais</v>
      </c>
      <c r="E2760" t="str">
        <f>VLOOKUP(B2760,Tabela_Auxiliar[],4,0)</f>
        <v>Serviços Contratados</v>
      </c>
      <c r="F2760" t="str">
        <f>VLOOKUP(B2760,Tabela_Auxiliar[],3,0)</f>
        <v>Saída</v>
      </c>
      <c r="G2760" t="str">
        <f>UPPER(TEXT(Tabela_DB[[#This Row],[DATA]],"mmm"))</f>
        <v>JUN</v>
      </c>
      <c r="H2760" t="str">
        <f>UPPER(TEXT(Tabela_DB[[#This Row],[DATA]],"aaaa"))</f>
        <v>2021</v>
      </c>
    </row>
    <row r="2761" spans="1:8" x14ac:dyDescent="0.25">
      <c r="A2761" s="2">
        <v>44368</v>
      </c>
      <c r="B2761" t="s">
        <v>67</v>
      </c>
      <c r="C2761">
        <v>-2297</v>
      </c>
      <c r="D2761" t="str">
        <f>VLOOKUP(B2761,Tabela_Auxiliar[],2,0)</f>
        <v>4. Despesas Operacionais</v>
      </c>
      <c r="E2761" t="str">
        <f>VLOOKUP(B2761,Tabela_Auxiliar[],4,0)</f>
        <v>Despesa com Vendas</v>
      </c>
      <c r="F2761" t="str">
        <f>VLOOKUP(B2761,Tabela_Auxiliar[],3,0)</f>
        <v>Saída</v>
      </c>
      <c r="G2761" t="str">
        <f>UPPER(TEXT(Tabela_DB[[#This Row],[DATA]],"mmm"))</f>
        <v>JUN</v>
      </c>
      <c r="H2761" t="str">
        <f>UPPER(TEXT(Tabela_DB[[#This Row],[DATA]],"aaaa"))</f>
        <v>2021</v>
      </c>
    </row>
    <row r="2762" spans="1:8" x14ac:dyDescent="0.25">
      <c r="A2762" s="2">
        <v>44368</v>
      </c>
      <c r="B2762" t="s">
        <v>4</v>
      </c>
      <c r="C2762">
        <v>13293</v>
      </c>
      <c r="D2762" t="str">
        <f>VLOOKUP(B2762,Tabela_Auxiliar[],2,0)</f>
        <v>1. Receita Operacional Bruta</v>
      </c>
      <c r="E2762" t="str">
        <f>VLOOKUP(B2762,Tabela_Auxiliar[],4,0)</f>
        <v>Receita Bruta</v>
      </c>
      <c r="F2762" t="str">
        <f>VLOOKUP(B2762,Tabela_Auxiliar[],3,0)</f>
        <v>Entrada</v>
      </c>
      <c r="G2762" t="str">
        <f>UPPER(TEXT(Tabela_DB[[#This Row],[DATA]],"mmm"))</f>
        <v>JUN</v>
      </c>
      <c r="H2762" t="str">
        <f>UPPER(TEXT(Tabela_DB[[#This Row],[DATA]],"aaaa"))</f>
        <v>2021</v>
      </c>
    </row>
    <row r="2763" spans="1:8" x14ac:dyDescent="0.25">
      <c r="A2763" s="2">
        <v>44368</v>
      </c>
      <c r="B2763" t="s">
        <v>3</v>
      </c>
      <c r="C2763">
        <v>13629</v>
      </c>
      <c r="D2763" t="str">
        <f>VLOOKUP(B2763,Tabela_Auxiliar[],2,0)</f>
        <v>1. Receita Operacional Bruta</v>
      </c>
      <c r="E2763" t="str">
        <f>VLOOKUP(B2763,Tabela_Auxiliar[],4,0)</f>
        <v>Receita Bruta</v>
      </c>
      <c r="F2763" t="str">
        <f>VLOOKUP(B2763,Tabela_Auxiliar[],3,0)</f>
        <v>Entrada</v>
      </c>
      <c r="G2763" t="str">
        <f>UPPER(TEXT(Tabela_DB[[#This Row],[DATA]],"mmm"))</f>
        <v>JUN</v>
      </c>
      <c r="H2763" t="str">
        <f>UPPER(TEXT(Tabela_DB[[#This Row],[DATA]],"aaaa"))</f>
        <v>2021</v>
      </c>
    </row>
    <row r="2764" spans="1:8" x14ac:dyDescent="0.25">
      <c r="A2764" s="2">
        <v>44368</v>
      </c>
      <c r="B2764" t="s">
        <v>54</v>
      </c>
      <c r="C2764">
        <v>-1398</v>
      </c>
      <c r="D2764" t="str">
        <f>VLOOKUP(B2764,Tabela_Auxiliar[],2,0)</f>
        <v>4. Despesas Operacionais</v>
      </c>
      <c r="E2764" t="str">
        <f>VLOOKUP(B2764,Tabela_Auxiliar[],4,0)</f>
        <v>Despesa com Pessoal</v>
      </c>
      <c r="F2764" t="str">
        <f>VLOOKUP(B2764,Tabela_Auxiliar[],3,0)</f>
        <v>Saída</v>
      </c>
      <c r="G2764" t="str">
        <f>UPPER(TEXT(Tabela_DB[[#This Row],[DATA]],"mmm"))</f>
        <v>JUN</v>
      </c>
      <c r="H2764" t="str">
        <f>UPPER(TEXT(Tabela_DB[[#This Row],[DATA]],"aaaa"))</f>
        <v>2021</v>
      </c>
    </row>
    <row r="2765" spans="1:8" x14ac:dyDescent="0.25">
      <c r="A2765" s="2">
        <v>44368</v>
      </c>
      <c r="B2765" t="s">
        <v>34</v>
      </c>
      <c r="C2765">
        <v>-1882</v>
      </c>
      <c r="D2765" t="str">
        <f>VLOOKUP(B2765,Tabela_Auxiliar[],2,0)</f>
        <v>2. Deduções da Receita</v>
      </c>
      <c r="E2765" t="str">
        <f>VLOOKUP(B2765,Tabela_Auxiliar[],4,0)</f>
        <v>Imposto</v>
      </c>
      <c r="F2765" t="str">
        <f>VLOOKUP(B2765,Tabela_Auxiliar[],3,0)</f>
        <v>Saída</v>
      </c>
      <c r="G2765" t="str">
        <f>UPPER(TEXT(Tabela_DB[[#This Row],[DATA]],"mmm"))</f>
        <v>JUN</v>
      </c>
      <c r="H2765" t="str">
        <f>UPPER(TEXT(Tabela_DB[[#This Row],[DATA]],"aaaa"))</f>
        <v>2021</v>
      </c>
    </row>
    <row r="2766" spans="1:8" x14ac:dyDescent="0.25">
      <c r="A2766" s="2">
        <v>44368</v>
      </c>
      <c r="B2766" t="s">
        <v>3</v>
      </c>
      <c r="C2766">
        <v>10749</v>
      </c>
      <c r="D2766" t="str">
        <f>VLOOKUP(B2766,Tabela_Auxiliar[],2,0)</f>
        <v>1. Receita Operacional Bruta</v>
      </c>
      <c r="E2766" t="str">
        <f>VLOOKUP(B2766,Tabela_Auxiliar[],4,0)</f>
        <v>Receita Bruta</v>
      </c>
      <c r="F2766" t="str">
        <f>VLOOKUP(B2766,Tabela_Auxiliar[],3,0)</f>
        <v>Entrada</v>
      </c>
      <c r="G2766" t="str">
        <f>UPPER(TEXT(Tabela_DB[[#This Row],[DATA]],"mmm"))</f>
        <v>JUN</v>
      </c>
      <c r="H2766" t="str">
        <f>UPPER(TEXT(Tabela_DB[[#This Row],[DATA]],"aaaa"))</f>
        <v>2021</v>
      </c>
    </row>
    <row r="2767" spans="1:8" x14ac:dyDescent="0.25">
      <c r="A2767" s="2">
        <v>44368</v>
      </c>
      <c r="B2767" t="s">
        <v>3</v>
      </c>
      <c r="C2767">
        <v>10573</v>
      </c>
      <c r="D2767" t="str">
        <f>VLOOKUP(B2767,Tabela_Auxiliar[],2,0)</f>
        <v>1. Receita Operacional Bruta</v>
      </c>
      <c r="E2767" t="str">
        <f>VLOOKUP(B2767,Tabela_Auxiliar[],4,0)</f>
        <v>Receita Bruta</v>
      </c>
      <c r="F2767" t="str">
        <f>VLOOKUP(B2767,Tabela_Auxiliar[],3,0)</f>
        <v>Entrada</v>
      </c>
      <c r="G2767" t="str">
        <f>UPPER(TEXT(Tabela_DB[[#This Row],[DATA]],"mmm"))</f>
        <v>JUN</v>
      </c>
      <c r="H2767" t="str">
        <f>UPPER(TEXT(Tabela_DB[[#This Row],[DATA]],"aaaa"))</f>
        <v>2021</v>
      </c>
    </row>
    <row r="2768" spans="1:8" x14ac:dyDescent="0.25">
      <c r="A2768" s="2">
        <v>44368</v>
      </c>
      <c r="B2768" t="s">
        <v>40</v>
      </c>
      <c r="C2768">
        <v>-1090</v>
      </c>
      <c r="D2768" t="str">
        <f>VLOOKUP(B2768,Tabela_Auxiliar[],2,0)</f>
        <v>4. Despesas Operacionais</v>
      </c>
      <c r="E2768" t="str">
        <f>VLOOKUP(B2768,Tabela_Auxiliar[],4,0)</f>
        <v>Despesa com Pessoal</v>
      </c>
      <c r="F2768" t="str">
        <f>VLOOKUP(B2768,Tabela_Auxiliar[],3,0)</f>
        <v>Saída</v>
      </c>
      <c r="G2768" t="str">
        <f>UPPER(TEXT(Tabela_DB[[#This Row],[DATA]],"mmm"))</f>
        <v>JUN</v>
      </c>
      <c r="H2768" t="str">
        <f>UPPER(TEXT(Tabela_DB[[#This Row],[DATA]],"aaaa"))</f>
        <v>2021</v>
      </c>
    </row>
    <row r="2769" spans="1:8" x14ac:dyDescent="0.25">
      <c r="A2769" s="2">
        <v>44368</v>
      </c>
      <c r="B2769" t="s">
        <v>111</v>
      </c>
      <c r="C2769">
        <v>-1222</v>
      </c>
      <c r="D2769" t="str">
        <f>VLOOKUP(B2769,Tabela_Auxiliar[],2,0)</f>
        <v>2. Deduções da Receita</v>
      </c>
      <c r="E2769" t="str">
        <f>VLOOKUP(B2769,Tabela_Auxiliar[],4,0)</f>
        <v>Imposto</v>
      </c>
      <c r="F2769" t="str">
        <f>VLOOKUP(B2769,Tabela_Auxiliar[],3,0)</f>
        <v>Saída</v>
      </c>
      <c r="G2769" t="str">
        <f>UPPER(TEXT(Tabela_DB[[#This Row],[DATA]],"mmm"))</f>
        <v>JUN</v>
      </c>
      <c r="H2769" t="str">
        <f>UPPER(TEXT(Tabela_DB[[#This Row],[DATA]],"aaaa"))</f>
        <v>2021</v>
      </c>
    </row>
    <row r="2770" spans="1:8" x14ac:dyDescent="0.25">
      <c r="A2770" s="2">
        <v>44368</v>
      </c>
      <c r="B2770" t="s">
        <v>79</v>
      </c>
      <c r="C2770">
        <v>-1870</v>
      </c>
      <c r="D2770" t="str">
        <f>VLOOKUP(B2770,Tabela_Auxiliar[],2,0)</f>
        <v>4. Despesas Operacionais</v>
      </c>
      <c r="E2770" t="str">
        <f>VLOOKUP(B2770,Tabela_Auxiliar[],4,0)</f>
        <v>Serviços Contratados</v>
      </c>
      <c r="F2770" t="str">
        <f>VLOOKUP(B2770,Tabela_Auxiliar[],3,0)</f>
        <v>Saída</v>
      </c>
      <c r="G2770" t="str">
        <f>UPPER(TEXT(Tabela_DB[[#This Row],[DATA]],"mmm"))</f>
        <v>JUN</v>
      </c>
      <c r="H2770" t="str">
        <f>UPPER(TEXT(Tabela_DB[[#This Row],[DATA]],"aaaa"))</f>
        <v>2021</v>
      </c>
    </row>
    <row r="2771" spans="1:8" x14ac:dyDescent="0.25">
      <c r="A2771" s="2">
        <v>44368</v>
      </c>
      <c r="B2771" t="s">
        <v>76</v>
      </c>
      <c r="C2771">
        <v>-2011</v>
      </c>
      <c r="D2771" t="str">
        <f>VLOOKUP(B2771,Tabela_Auxiliar[],2,0)</f>
        <v>4. Despesas Operacionais</v>
      </c>
      <c r="E2771" t="str">
        <f>VLOOKUP(B2771,Tabela_Auxiliar[],4,0)</f>
        <v>Serviços Contratados</v>
      </c>
      <c r="F2771" t="str">
        <f>VLOOKUP(B2771,Tabela_Auxiliar[],3,0)</f>
        <v>Saída</v>
      </c>
      <c r="G2771" t="str">
        <f>UPPER(TEXT(Tabela_DB[[#This Row],[DATA]],"mmm"))</f>
        <v>JUN</v>
      </c>
      <c r="H2771" t="str">
        <f>UPPER(TEXT(Tabela_DB[[#This Row],[DATA]],"aaaa"))</f>
        <v>2021</v>
      </c>
    </row>
    <row r="2772" spans="1:8" x14ac:dyDescent="0.25">
      <c r="A2772" s="2">
        <v>44368</v>
      </c>
      <c r="B2772" t="s">
        <v>83</v>
      </c>
      <c r="C2772">
        <v>-2320</v>
      </c>
      <c r="D2772" t="str">
        <f>VLOOKUP(B2772,Tabela_Auxiliar[],2,0)</f>
        <v>4. Despesas Operacionais</v>
      </c>
      <c r="E2772" t="str">
        <f>VLOOKUP(B2772,Tabela_Auxiliar[],4,0)</f>
        <v>Despesa com Veículos</v>
      </c>
      <c r="F2772" t="str">
        <f>VLOOKUP(B2772,Tabela_Auxiliar[],3,0)</f>
        <v>Saída</v>
      </c>
      <c r="G2772" t="str">
        <f>UPPER(TEXT(Tabela_DB[[#This Row],[DATA]],"mmm"))</f>
        <v>JUN</v>
      </c>
      <c r="H2772" t="str">
        <f>UPPER(TEXT(Tabela_DB[[#This Row],[DATA]],"aaaa"))</f>
        <v>2021</v>
      </c>
    </row>
    <row r="2773" spans="1:8" x14ac:dyDescent="0.25">
      <c r="A2773" s="2">
        <v>44368</v>
      </c>
      <c r="B2773" t="s">
        <v>102</v>
      </c>
      <c r="C2773">
        <v>-2255</v>
      </c>
      <c r="D2773" t="str">
        <f>VLOOKUP(B2773,Tabela_Auxiliar[],2,0)</f>
        <v>6. Resultado após o Resultado Financeiro</v>
      </c>
      <c r="E2773" t="str">
        <f>VLOOKUP(B2773,Tabela_Auxiliar[],4,0)</f>
        <v>EBTIDA</v>
      </c>
      <c r="F2773" t="str">
        <f>VLOOKUP(B2773,Tabela_Auxiliar[],3,0)</f>
        <v>Saída</v>
      </c>
      <c r="G2773" t="str">
        <f>UPPER(TEXT(Tabela_DB[[#This Row],[DATA]],"mmm"))</f>
        <v>JUN</v>
      </c>
      <c r="H2773" t="str">
        <f>UPPER(TEXT(Tabela_DB[[#This Row],[DATA]],"aaaa"))</f>
        <v>2021</v>
      </c>
    </row>
    <row r="2774" spans="1:8" x14ac:dyDescent="0.25">
      <c r="A2774" s="2">
        <v>44368</v>
      </c>
      <c r="B2774" t="s">
        <v>37</v>
      </c>
      <c r="C2774">
        <v>-4371</v>
      </c>
      <c r="D2774" t="str">
        <f>VLOOKUP(B2774,Tabela_Auxiliar[],2,0)</f>
        <v>3. Custos do Produto/Mercadoria/Serviço</v>
      </c>
      <c r="E2774" t="str">
        <f>VLOOKUP(B2774,Tabela_Auxiliar[],4,0)</f>
        <v>Despesas c/ Produto</v>
      </c>
      <c r="F2774" t="str">
        <f>VLOOKUP(B2774,Tabela_Auxiliar[],3,0)</f>
        <v>Saída</v>
      </c>
      <c r="G2774" t="str">
        <f>UPPER(TEXT(Tabela_DB[[#This Row],[DATA]],"mmm"))</f>
        <v>JUN</v>
      </c>
      <c r="H2774" t="str">
        <f>UPPER(TEXT(Tabela_DB[[#This Row],[DATA]],"aaaa"))</f>
        <v>2021</v>
      </c>
    </row>
    <row r="2775" spans="1:8" x14ac:dyDescent="0.25">
      <c r="A2775" s="2">
        <v>44368</v>
      </c>
      <c r="B2775" t="s">
        <v>35</v>
      </c>
      <c r="C2775">
        <v>-2246</v>
      </c>
      <c r="D2775" t="str">
        <f>VLOOKUP(B2775,Tabela_Auxiliar[],2,0)</f>
        <v>2. Deduções da Receita</v>
      </c>
      <c r="E2775" t="str">
        <f>VLOOKUP(B2775,Tabela_Auxiliar[],4,0)</f>
        <v>Imposto</v>
      </c>
      <c r="F2775" t="str">
        <f>VLOOKUP(B2775,Tabela_Auxiliar[],3,0)</f>
        <v>Saída</v>
      </c>
      <c r="G2775" t="str">
        <f>UPPER(TEXT(Tabela_DB[[#This Row],[DATA]],"mmm"))</f>
        <v>JUN</v>
      </c>
      <c r="H2775" t="str">
        <f>UPPER(TEXT(Tabela_DB[[#This Row],[DATA]],"aaaa"))</f>
        <v>2021</v>
      </c>
    </row>
    <row r="2776" spans="1:8" x14ac:dyDescent="0.25">
      <c r="A2776" s="2">
        <v>44368</v>
      </c>
      <c r="B2776" t="s">
        <v>34</v>
      </c>
      <c r="C2776">
        <v>-1558</v>
      </c>
      <c r="D2776" t="str">
        <f>VLOOKUP(B2776,Tabela_Auxiliar[],2,0)</f>
        <v>2. Deduções da Receita</v>
      </c>
      <c r="E2776" t="str">
        <f>VLOOKUP(B2776,Tabela_Auxiliar[],4,0)</f>
        <v>Imposto</v>
      </c>
      <c r="F2776" t="str">
        <f>VLOOKUP(B2776,Tabela_Auxiliar[],3,0)</f>
        <v>Saída</v>
      </c>
      <c r="G2776" t="str">
        <f>UPPER(TEXT(Tabela_DB[[#This Row],[DATA]],"mmm"))</f>
        <v>JUN</v>
      </c>
      <c r="H2776" t="str">
        <f>UPPER(TEXT(Tabela_DB[[#This Row],[DATA]],"aaaa"))</f>
        <v>2021</v>
      </c>
    </row>
    <row r="2777" spans="1:8" x14ac:dyDescent="0.25">
      <c r="A2777" s="2">
        <v>44368</v>
      </c>
      <c r="B2777" t="s">
        <v>35</v>
      </c>
      <c r="C2777">
        <v>-1853</v>
      </c>
      <c r="D2777" t="str">
        <f>VLOOKUP(B2777,Tabela_Auxiliar[],2,0)</f>
        <v>2. Deduções da Receita</v>
      </c>
      <c r="E2777" t="str">
        <f>VLOOKUP(B2777,Tabela_Auxiliar[],4,0)</f>
        <v>Imposto</v>
      </c>
      <c r="F2777" t="str">
        <f>VLOOKUP(B2777,Tabela_Auxiliar[],3,0)</f>
        <v>Saída</v>
      </c>
      <c r="G2777" t="str">
        <f>UPPER(TEXT(Tabela_DB[[#This Row],[DATA]],"mmm"))</f>
        <v>JUN</v>
      </c>
      <c r="H2777" t="str">
        <f>UPPER(TEXT(Tabela_DB[[#This Row],[DATA]],"aaaa"))</f>
        <v>2021</v>
      </c>
    </row>
    <row r="2778" spans="1:8" x14ac:dyDescent="0.25">
      <c r="A2778" s="2">
        <v>44368</v>
      </c>
      <c r="B2778" t="s">
        <v>37</v>
      </c>
      <c r="C2778">
        <v>-4619</v>
      </c>
      <c r="D2778" t="str">
        <f>VLOOKUP(B2778,Tabela_Auxiliar[],2,0)</f>
        <v>3. Custos do Produto/Mercadoria/Serviço</v>
      </c>
      <c r="E2778" t="str">
        <f>VLOOKUP(B2778,Tabela_Auxiliar[],4,0)</f>
        <v>Despesas c/ Produto</v>
      </c>
      <c r="F2778" t="str">
        <f>VLOOKUP(B2778,Tabela_Auxiliar[],3,0)</f>
        <v>Saída</v>
      </c>
      <c r="G2778" t="str">
        <f>UPPER(TEXT(Tabela_DB[[#This Row],[DATA]],"mmm"))</f>
        <v>JUN</v>
      </c>
      <c r="H2778" t="str">
        <f>UPPER(TEXT(Tabela_DB[[#This Row],[DATA]],"aaaa"))</f>
        <v>2021</v>
      </c>
    </row>
    <row r="2779" spans="1:8" x14ac:dyDescent="0.25">
      <c r="A2779" s="2">
        <v>44368</v>
      </c>
      <c r="B2779" t="s">
        <v>4</v>
      </c>
      <c r="C2779">
        <v>11312</v>
      </c>
      <c r="D2779" t="str">
        <f>VLOOKUP(B2779,Tabela_Auxiliar[],2,0)</f>
        <v>1. Receita Operacional Bruta</v>
      </c>
      <c r="E2779" t="str">
        <f>VLOOKUP(B2779,Tabela_Auxiliar[],4,0)</f>
        <v>Receita Bruta</v>
      </c>
      <c r="F2779" t="str">
        <f>VLOOKUP(B2779,Tabela_Auxiliar[],3,0)</f>
        <v>Entrada</v>
      </c>
      <c r="G2779" t="str">
        <f>UPPER(TEXT(Tabela_DB[[#This Row],[DATA]],"mmm"))</f>
        <v>JUN</v>
      </c>
      <c r="H2779" t="str">
        <f>UPPER(TEXT(Tabela_DB[[#This Row],[DATA]],"aaaa"))</f>
        <v>2021</v>
      </c>
    </row>
    <row r="2780" spans="1:8" x14ac:dyDescent="0.25">
      <c r="A2780" s="2">
        <v>44368</v>
      </c>
      <c r="B2780" t="s">
        <v>35</v>
      </c>
      <c r="C2780">
        <v>-1078</v>
      </c>
      <c r="D2780" t="str">
        <f>VLOOKUP(B2780,Tabela_Auxiliar[],2,0)</f>
        <v>2. Deduções da Receita</v>
      </c>
      <c r="E2780" t="str">
        <f>VLOOKUP(B2780,Tabela_Auxiliar[],4,0)</f>
        <v>Imposto</v>
      </c>
      <c r="F2780" t="str">
        <f>VLOOKUP(B2780,Tabela_Auxiliar[],3,0)</f>
        <v>Saída</v>
      </c>
      <c r="G2780" t="str">
        <f>UPPER(TEXT(Tabela_DB[[#This Row],[DATA]],"mmm"))</f>
        <v>JUN</v>
      </c>
      <c r="H2780" t="str">
        <f>UPPER(TEXT(Tabela_DB[[#This Row],[DATA]],"aaaa"))</f>
        <v>2021</v>
      </c>
    </row>
    <row r="2781" spans="1:8" x14ac:dyDescent="0.25">
      <c r="A2781" s="2">
        <v>44368</v>
      </c>
      <c r="B2781" t="s">
        <v>35</v>
      </c>
      <c r="C2781">
        <v>-1731</v>
      </c>
      <c r="D2781" t="str">
        <f>VLOOKUP(B2781,Tabela_Auxiliar[],2,0)</f>
        <v>2. Deduções da Receita</v>
      </c>
      <c r="E2781" t="str">
        <f>VLOOKUP(B2781,Tabela_Auxiliar[],4,0)</f>
        <v>Imposto</v>
      </c>
      <c r="F2781" t="str">
        <f>VLOOKUP(B2781,Tabela_Auxiliar[],3,0)</f>
        <v>Saída</v>
      </c>
      <c r="G2781" t="str">
        <f>UPPER(TEXT(Tabela_DB[[#This Row],[DATA]],"mmm"))</f>
        <v>JUN</v>
      </c>
      <c r="H2781" t="str">
        <f>UPPER(TEXT(Tabela_DB[[#This Row],[DATA]],"aaaa"))</f>
        <v>2021</v>
      </c>
    </row>
    <row r="2782" spans="1:8" x14ac:dyDescent="0.25">
      <c r="A2782" s="2">
        <v>44368</v>
      </c>
      <c r="B2782" t="s">
        <v>84</v>
      </c>
      <c r="C2782">
        <v>-1058</v>
      </c>
      <c r="D2782" t="str">
        <f>VLOOKUP(B2782,Tabela_Auxiliar[],2,0)</f>
        <v>4. Despesas Operacionais</v>
      </c>
      <c r="E2782" t="str">
        <f>VLOOKUP(B2782,Tabela_Auxiliar[],4,0)</f>
        <v>Despesa com Veículos</v>
      </c>
      <c r="F2782" t="str">
        <f>VLOOKUP(B2782,Tabela_Auxiliar[],3,0)</f>
        <v>Saída</v>
      </c>
      <c r="G2782" t="str">
        <f>UPPER(TEXT(Tabela_DB[[#This Row],[DATA]],"mmm"))</f>
        <v>JUN</v>
      </c>
      <c r="H2782" t="str">
        <f>UPPER(TEXT(Tabela_DB[[#This Row],[DATA]],"aaaa"))</f>
        <v>2021</v>
      </c>
    </row>
    <row r="2783" spans="1:8" x14ac:dyDescent="0.25">
      <c r="A2783" s="2">
        <v>44368</v>
      </c>
      <c r="B2783" t="s">
        <v>77</v>
      </c>
      <c r="C2783">
        <v>-1616</v>
      </c>
      <c r="D2783" t="str">
        <f>VLOOKUP(B2783,Tabela_Auxiliar[],2,0)</f>
        <v>4. Despesas Operacionais</v>
      </c>
      <c r="E2783" t="str">
        <f>VLOOKUP(B2783,Tabela_Auxiliar[],4,0)</f>
        <v>Serviços Contratados</v>
      </c>
      <c r="F2783" t="str">
        <f>VLOOKUP(B2783,Tabela_Auxiliar[],3,0)</f>
        <v>Saída</v>
      </c>
      <c r="G2783" t="str">
        <f>UPPER(TEXT(Tabela_DB[[#This Row],[DATA]],"mmm"))</f>
        <v>JUN</v>
      </c>
      <c r="H2783" t="str">
        <f>UPPER(TEXT(Tabela_DB[[#This Row],[DATA]],"aaaa"))</f>
        <v>2021</v>
      </c>
    </row>
    <row r="2784" spans="1:8" x14ac:dyDescent="0.25">
      <c r="A2784" s="2">
        <v>44368</v>
      </c>
      <c r="B2784" t="s">
        <v>4</v>
      </c>
      <c r="C2784">
        <v>11951</v>
      </c>
      <c r="D2784" t="str">
        <f>VLOOKUP(B2784,Tabela_Auxiliar[],2,0)</f>
        <v>1. Receita Operacional Bruta</v>
      </c>
      <c r="E2784" t="str">
        <f>VLOOKUP(B2784,Tabela_Auxiliar[],4,0)</f>
        <v>Receita Bruta</v>
      </c>
      <c r="F2784" t="str">
        <f>VLOOKUP(B2784,Tabela_Auxiliar[],3,0)</f>
        <v>Entrada</v>
      </c>
      <c r="G2784" t="str">
        <f>UPPER(TEXT(Tabela_DB[[#This Row],[DATA]],"mmm"))</f>
        <v>JUN</v>
      </c>
      <c r="H2784" t="str">
        <f>UPPER(TEXT(Tabela_DB[[#This Row],[DATA]],"aaaa"))</f>
        <v>2021</v>
      </c>
    </row>
    <row r="2785" spans="1:8" x14ac:dyDescent="0.25">
      <c r="A2785" s="2">
        <v>44368</v>
      </c>
      <c r="B2785" t="s">
        <v>34</v>
      </c>
      <c r="C2785">
        <v>-1302</v>
      </c>
      <c r="D2785" t="str">
        <f>VLOOKUP(B2785,Tabela_Auxiliar[],2,0)</f>
        <v>2. Deduções da Receita</v>
      </c>
      <c r="E2785" t="str">
        <f>VLOOKUP(B2785,Tabela_Auxiliar[],4,0)</f>
        <v>Imposto</v>
      </c>
      <c r="F2785" t="str">
        <f>VLOOKUP(B2785,Tabela_Auxiliar[],3,0)</f>
        <v>Saída</v>
      </c>
      <c r="G2785" t="str">
        <f>UPPER(TEXT(Tabela_DB[[#This Row],[DATA]],"mmm"))</f>
        <v>JUN</v>
      </c>
      <c r="H2785" t="str">
        <f>UPPER(TEXT(Tabela_DB[[#This Row],[DATA]],"aaaa"))</f>
        <v>2021</v>
      </c>
    </row>
    <row r="2786" spans="1:8" x14ac:dyDescent="0.25">
      <c r="A2786" s="2">
        <v>44368</v>
      </c>
      <c r="B2786" t="s">
        <v>4</v>
      </c>
      <c r="C2786">
        <v>13322</v>
      </c>
      <c r="D2786" t="str">
        <f>VLOOKUP(B2786,Tabela_Auxiliar[],2,0)</f>
        <v>1. Receita Operacional Bruta</v>
      </c>
      <c r="E2786" t="str">
        <f>VLOOKUP(B2786,Tabela_Auxiliar[],4,0)</f>
        <v>Receita Bruta</v>
      </c>
      <c r="F2786" t="str">
        <f>VLOOKUP(B2786,Tabela_Auxiliar[],3,0)</f>
        <v>Entrada</v>
      </c>
      <c r="G2786" t="str">
        <f>UPPER(TEXT(Tabela_DB[[#This Row],[DATA]],"mmm"))</f>
        <v>JUN</v>
      </c>
      <c r="H2786" t="str">
        <f>UPPER(TEXT(Tabela_DB[[#This Row],[DATA]],"aaaa"))</f>
        <v>2021</v>
      </c>
    </row>
    <row r="2787" spans="1:8" x14ac:dyDescent="0.25">
      <c r="A2787" s="2">
        <v>44368</v>
      </c>
      <c r="B2787" t="s">
        <v>52</v>
      </c>
      <c r="C2787">
        <v>-2386</v>
      </c>
      <c r="D2787" t="str">
        <f>VLOOKUP(B2787,Tabela_Auxiliar[],2,0)</f>
        <v>4. Despesas Operacionais</v>
      </c>
      <c r="E2787" t="str">
        <f>VLOOKUP(B2787,Tabela_Auxiliar[],4,0)</f>
        <v>Despesa com Pessoal</v>
      </c>
      <c r="F2787" t="str">
        <f>VLOOKUP(B2787,Tabela_Auxiliar[],3,0)</f>
        <v>Saída</v>
      </c>
      <c r="G2787" t="str">
        <f>UPPER(TEXT(Tabela_DB[[#This Row],[DATA]],"mmm"))</f>
        <v>JUN</v>
      </c>
      <c r="H2787" t="str">
        <f>UPPER(TEXT(Tabela_DB[[#This Row],[DATA]],"aaaa"))</f>
        <v>2021</v>
      </c>
    </row>
    <row r="2788" spans="1:8" x14ac:dyDescent="0.25">
      <c r="A2788" s="2">
        <v>44369</v>
      </c>
      <c r="B2788" t="s">
        <v>35</v>
      </c>
      <c r="C2788">
        <v>-1543</v>
      </c>
      <c r="D2788" t="str">
        <f>VLOOKUP(B2788,Tabela_Auxiliar[],2,0)</f>
        <v>2. Deduções da Receita</v>
      </c>
      <c r="E2788" t="str">
        <f>VLOOKUP(B2788,Tabela_Auxiliar[],4,0)</f>
        <v>Imposto</v>
      </c>
      <c r="F2788" t="str">
        <f>VLOOKUP(B2788,Tabela_Auxiliar[],3,0)</f>
        <v>Saída</v>
      </c>
      <c r="G2788" t="str">
        <f>UPPER(TEXT(Tabela_DB[[#This Row],[DATA]],"mmm"))</f>
        <v>JUN</v>
      </c>
      <c r="H2788" t="str">
        <f>UPPER(TEXT(Tabela_DB[[#This Row],[DATA]],"aaaa"))</f>
        <v>2021</v>
      </c>
    </row>
    <row r="2789" spans="1:8" x14ac:dyDescent="0.25">
      <c r="A2789" s="2">
        <v>44369</v>
      </c>
      <c r="B2789" t="s">
        <v>35</v>
      </c>
      <c r="C2789">
        <v>-1400</v>
      </c>
      <c r="D2789" t="str">
        <f>VLOOKUP(B2789,Tabela_Auxiliar[],2,0)</f>
        <v>2. Deduções da Receita</v>
      </c>
      <c r="E2789" t="str">
        <f>VLOOKUP(B2789,Tabela_Auxiliar[],4,0)</f>
        <v>Imposto</v>
      </c>
      <c r="F2789" t="str">
        <f>VLOOKUP(B2789,Tabela_Auxiliar[],3,0)</f>
        <v>Saída</v>
      </c>
      <c r="G2789" t="str">
        <f>UPPER(TEXT(Tabela_DB[[#This Row],[DATA]],"mmm"))</f>
        <v>JUN</v>
      </c>
      <c r="H2789" t="str">
        <f>UPPER(TEXT(Tabela_DB[[#This Row],[DATA]],"aaaa"))</f>
        <v>2021</v>
      </c>
    </row>
    <row r="2790" spans="1:8" x14ac:dyDescent="0.25">
      <c r="A2790" s="2">
        <v>44369</v>
      </c>
      <c r="B2790" t="s">
        <v>3</v>
      </c>
      <c r="C2790">
        <v>11797</v>
      </c>
      <c r="D2790" t="str">
        <f>VLOOKUP(B2790,Tabela_Auxiliar[],2,0)</f>
        <v>1. Receita Operacional Bruta</v>
      </c>
      <c r="E2790" t="str">
        <f>VLOOKUP(B2790,Tabela_Auxiliar[],4,0)</f>
        <v>Receita Bruta</v>
      </c>
      <c r="F2790" t="str">
        <f>VLOOKUP(B2790,Tabela_Auxiliar[],3,0)</f>
        <v>Entrada</v>
      </c>
      <c r="G2790" t="str">
        <f>UPPER(TEXT(Tabela_DB[[#This Row],[DATA]],"mmm"))</f>
        <v>JUN</v>
      </c>
      <c r="H2790" t="str">
        <f>UPPER(TEXT(Tabela_DB[[#This Row],[DATA]],"aaaa"))</f>
        <v>2021</v>
      </c>
    </row>
    <row r="2791" spans="1:8" x14ac:dyDescent="0.25">
      <c r="A2791" s="2">
        <v>44369</v>
      </c>
      <c r="B2791" t="s">
        <v>76</v>
      </c>
      <c r="C2791">
        <v>-1878</v>
      </c>
      <c r="D2791" t="str">
        <f>VLOOKUP(B2791,Tabela_Auxiliar[],2,0)</f>
        <v>4. Despesas Operacionais</v>
      </c>
      <c r="E2791" t="str">
        <f>VLOOKUP(B2791,Tabela_Auxiliar[],4,0)</f>
        <v>Serviços Contratados</v>
      </c>
      <c r="F2791" t="str">
        <f>VLOOKUP(B2791,Tabela_Auxiliar[],3,0)</f>
        <v>Saída</v>
      </c>
      <c r="G2791" t="str">
        <f>UPPER(TEXT(Tabela_DB[[#This Row],[DATA]],"mmm"))</f>
        <v>JUN</v>
      </c>
      <c r="H2791" t="str">
        <f>UPPER(TEXT(Tabela_DB[[#This Row],[DATA]],"aaaa"))</f>
        <v>2021</v>
      </c>
    </row>
    <row r="2792" spans="1:8" x14ac:dyDescent="0.25">
      <c r="A2792" s="2">
        <v>44369</v>
      </c>
      <c r="B2792" t="s">
        <v>66</v>
      </c>
      <c r="C2792">
        <v>-2468</v>
      </c>
      <c r="D2792" t="str">
        <f>VLOOKUP(B2792,Tabela_Auxiliar[],2,0)</f>
        <v>4. Despesas Operacionais</v>
      </c>
      <c r="E2792" t="str">
        <f>VLOOKUP(B2792,Tabela_Auxiliar[],4,0)</f>
        <v>Despesa com Vendas</v>
      </c>
      <c r="F2792" t="str">
        <f>VLOOKUP(B2792,Tabela_Auxiliar[],3,0)</f>
        <v>Saída</v>
      </c>
      <c r="G2792" t="str">
        <f>UPPER(TEXT(Tabela_DB[[#This Row],[DATA]],"mmm"))</f>
        <v>JUN</v>
      </c>
      <c r="H2792" t="str">
        <f>UPPER(TEXT(Tabela_DB[[#This Row],[DATA]],"aaaa"))</f>
        <v>2021</v>
      </c>
    </row>
    <row r="2793" spans="1:8" x14ac:dyDescent="0.25">
      <c r="A2793" s="2">
        <v>44369</v>
      </c>
      <c r="B2793" t="s">
        <v>3</v>
      </c>
      <c r="C2793">
        <v>10308</v>
      </c>
      <c r="D2793" t="str">
        <f>VLOOKUP(B2793,Tabela_Auxiliar[],2,0)</f>
        <v>1. Receita Operacional Bruta</v>
      </c>
      <c r="E2793" t="str">
        <f>VLOOKUP(B2793,Tabela_Auxiliar[],4,0)</f>
        <v>Receita Bruta</v>
      </c>
      <c r="F2793" t="str">
        <f>VLOOKUP(B2793,Tabela_Auxiliar[],3,0)</f>
        <v>Entrada</v>
      </c>
      <c r="G2793" t="str">
        <f>UPPER(TEXT(Tabela_DB[[#This Row],[DATA]],"mmm"))</f>
        <v>JUN</v>
      </c>
      <c r="H2793" t="str">
        <f>UPPER(TEXT(Tabela_DB[[#This Row],[DATA]],"aaaa"))</f>
        <v>2021</v>
      </c>
    </row>
    <row r="2794" spans="1:8" x14ac:dyDescent="0.25">
      <c r="A2794" s="2">
        <v>44369</v>
      </c>
      <c r="B2794" t="s">
        <v>37</v>
      </c>
      <c r="C2794">
        <v>-3752</v>
      </c>
      <c r="D2794" t="str">
        <f>VLOOKUP(B2794,Tabela_Auxiliar[],2,0)</f>
        <v>3. Custos do Produto/Mercadoria/Serviço</v>
      </c>
      <c r="E2794" t="str">
        <f>VLOOKUP(B2794,Tabela_Auxiliar[],4,0)</f>
        <v>Despesas c/ Produto</v>
      </c>
      <c r="F2794" t="str">
        <f>VLOOKUP(B2794,Tabela_Auxiliar[],3,0)</f>
        <v>Saída</v>
      </c>
      <c r="G2794" t="str">
        <f>UPPER(TEXT(Tabela_DB[[#This Row],[DATA]],"mmm"))</f>
        <v>JUN</v>
      </c>
      <c r="H2794" t="str">
        <f>UPPER(TEXT(Tabela_DB[[#This Row],[DATA]],"aaaa"))</f>
        <v>2021</v>
      </c>
    </row>
    <row r="2795" spans="1:8" x14ac:dyDescent="0.25">
      <c r="A2795" s="2">
        <v>44369</v>
      </c>
      <c r="B2795" t="s">
        <v>37</v>
      </c>
      <c r="C2795">
        <v>-3628</v>
      </c>
      <c r="D2795" t="str">
        <f>VLOOKUP(B2795,Tabela_Auxiliar[],2,0)</f>
        <v>3. Custos do Produto/Mercadoria/Serviço</v>
      </c>
      <c r="E2795" t="str">
        <f>VLOOKUP(B2795,Tabela_Auxiliar[],4,0)</f>
        <v>Despesas c/ Produto</v>
      </c>
      <c r="F2795" t="str">
        <f>VLOOKUP(B2795,Tabela_Auxiliar[],3,0)</f>
        <v>Saída</v>
      </c>
      <c r="G2795" t="str">
        <f>UPPER(TEXT(Tabela_DB[[#This Row],[DATA]],"mmm"))</f>
        <v>JUN</v>
      </c>
      <c r="H2795" t="str">
        <f>UPPER(TEXT(Tabela_DB[[#This Row],[DATA]],"aaaa"))</f>
        <v>2021</v>
      </c>
    </row>
    <row r="2796" spans="1:8" x14ac:dyDescent="0.25">
      <c r="A2796" s="2">
        <v>44369</v>
      </c>
      <c r="B2796" t="s">
        <v>101</v>
      </c>
      <c r="C2796">
        <v>-1160</v>
      </c>
      <c r="D2796" t="str">
        <f>VLOOKUP(B2796,Tabela_Auxiliar[],2,0)</f>
        <v>5. Resultado Financeiro</v>
      </c>
      <c r="E2796" t="str">
        <f>VLOOKUP(B2796,Tabela_Auxiliar[],4,0)</f>
        <v>Despesa Financeira</v>
      </c>
      <c r="F2796" t="str">
        <f>VLOOKUP(B2796,Tabela_Auxiliar[],3,0)</f>
        <v>Saída</v>
      </c>
      <c r="G2796" t="str">
        <f>UPPER(TEXT(Tabela_DB[[#This Row],[DATA]],"mmm"))</f>
        <v>JUN</v>
      </c>
      <c r="H2796" t="str">
        <f>UPPER(TEXT(Tabela_DB[[#This Row],[DATA]],"aaaa"))</f>
        <v>2021</v>
      </c>
    </row>
    <row r="2797" spans="1:8" x14ac:dyDescent="0.25">
      <c r="A2797" s="2">
        <v>44369</v>
      </c>
      <c r="B2797" t="s">
        <v>4</v>
      </c>
      <c r="C2797">
        <v>10518</v>
      </c>
      <c r="D2797" t="str">
        <f>VLOOKUP(B2797,Tabela_Auxiliar[],2,0)</f>
        <v>1. Receita Operacional Bruta</v>
      </c>
      <c r="E2797" t="str">
        <f>VLOOKUP(B2797,Tabela_Auxiliar[],4,0)</f>
        <v>Receita Bruta</v>
      </c>
      <c r="F2797" t="str">
        <f>VLOOKUP(B2797,Tabela_Auxiliar[],3,0)</f>
        <v>Entrada</v>
      </c>
      <c r="G2797" t="str">
        <f>UPPER(TEXT(Tabela_DB[[#This Row],[DATA]],"mmm"))</f>
        <v>JUN</v>
      </c>
      <c r="H2797" t="str">
        <f>UPPER(TEXT(Tabela_DB[[#This Row],[DATA]],"aaaa"))</f>
        <v>2021</v>
      </c>
    </row>
    <row r="2798" spans="1:8" x14ac:dyDescent="0.25">
      <c r="A2798" s="2">
        <v>44369</v>
      </c>
      <c r="B2798" t="s">
        <v>38</v>
      </c>
      <c r="C2798">
        <v>-1357</v>
      </c>
      <c r="D2798" t="str">
        <f>VLOOKUP(B2798,Tabela_Auxiliar[],2,0)</f>
        <v>2. Deduções da Receita</v>
      </c>
      <c r="E2798" t="str">
        <f>VLOOKUP(B2798,Tabela_Auxiliar[],4,0)</f>
        <v>Deduções</v>
      </c>
      <c r="F2798" t="str">
        <f>VLOOKUP(B2798,Tabela_Auxiliar[],3,0)</f>
        <v>Saída</v>
      </c>
      <c r="G2798" t="str">
        <f>UPPER(TEXT(Tabela_DB[[#This Row],[DATA]],"mmm"))</f>
        <v>JUN</v>
      </c>
      <c r="H2798" t="str">
        <f>UPPER(TEXT(Tabela_DB[[#This Row],[DATA]],"aaaa"))</f>
        <v>2021</v>
      </c>
    </row>
    <row r="2799" spans="1:8" x14ac:dyDescent="0.25">
      <c r="A2799" s="2">
        <v>44369</v>
      </c>
      <c r="B2799" t="s">
        <v>62</v>
      </c>
      <c r="C2799">
        <v>-1857</v>
      </c>
      <c r="D2799" t="str">
        <f>VLOOKUP(B2799,Tabela_Auxiliar[],2,0)</f>
        <v>4. Despesas Operacionais</v>
      </c>
      <c r="E2799" t="str">
        <f>VLOOKUP(B2799,Tabela_Auxiliar[],4,0)</f>
        <v>Despesa Gerais</v>
      </c>
      <c r="F2799" t="str">
        <f>VLOOKUP(B2799,Tabela_Auxiliar[],3,0)</f>
        <v>Saída</v>
      </c>
      <c r="G2799" t="str">
        <f>UPPER(TEXT(Tabela_DB[[#This Row],[DATA]],"mmm"))</f>
        <v>JUN</v>
      </c>
      <c r="H2799" t="str">
        <f>UPPER(TEXT(Tabela_DB[[#This Row],[DATA]],"aaaa"))</f>
        <v>2021</v>
      </c>
    </row>
    <row r="2800" spans="1:8" x14ac:dyDescent="0.25">
      <c r="A2800" s="2">
        <v>44369</v>
      </c>
      <c r="B2800" t="s">
        <v>38</v>
      </c>
      <c r="C2800">
        <v>-1145</v>
      </c>
      <c r="D2800" t="str">
        <f>VLOOKUP(B2800,Tabela_Auxiliar[],2,0)</f>
        <v>2. Deduções da Receita</v>
      </c>
      <c r="E2800" t="str">
        <f>VLOOKUP(B2800,Tabela_Auxiliar[],4,0)</f>
        <v>Deduções</v>
      </c>
      <c r="F2800" t="str">
        <f>VLOOKUP(B2800,Tabela_Auxiliar[],3,0)</f>
        <v>Saída</v>
      </c>
      <c r="G2800" t="str">
        <f>UPPER(TEXT(Tabela_DB[[#This Row],[DATA]],"mmm"))</f>
        <v>JUN</v>
      </c>
      <c r="H2800" t="str">
        <f>UPPER(TEXT(Tabela_DB[[#This Row],[DATA]],"aaaa"))</f>
        <v>2021</v>
      </c>
    </row>
    <row r="2801" spans="1:8" x14ac:dyDescent="0.25">
      <c r="A2801" s="2">
        <v>44369</v>
      </c>
      <c r="B2801" t="s">
        <v>3</v>
      </c>
      <c r="C2801">
        <v>14074</v>
      </c>
      <c r="D2801" t="str">
        <f>VLOOKUP(B2801,Tabela_Auxiliar[],2,0)</f>
        <v>1. Receita Operacional Bruta</v>
      </c>
      <c r="E2801" t="str">
        <f>VLOOKUP(B2801,Tabela_Auxiliar[],4,0)</f>
        <v>Receita Bruta</v>
      </c>
      <c r="F2801" t="str">
        <f>VLOOKUP(B2801,Tabela_Auxiliar[],3,0)</f>
        <v>Entrada</v>
      </c>
      <c r="G2801" t="str">
        <f>UPPER(TEXT(Tabela_DB[[#This Row],[DATA]],"mmm"))</f>
        <v>JUN</v>
      </c>
      <c r="H2801" t="str">
        <f>UPPER(TEXT(Tabela_DB[[#This Row],[DATA]],"aaaa"))</f>
        <v>2021</v>
      </c>
    </row>
    <row r="2802" spans="1:8" x14ac:dyDescent="0.25">
      <c r="A2802" s="2">
        <v>44370</v>
      </c>
      <c r="B2802" t="s">
        <v>58</v>
      </c>
      <c r="C2802">
        <v>-2156</v>
      </c>
      <c r="D2802" t="str">
        <f>VLOOKUP(B2802,Tabela_Auxiliar[],2,0)</f>
        <v>4. Despesas Operacionais</v>
      </c>
      <c r="E2802" t="str">
        <f>VLOOKUP(B2802,Tabela_Auxiliar[],4,0)</f>
        <v>Despesa de Depreciação</v>
      </c>
      <c r="F2802" t="str">
        <f>VLOOKUP(B2802,Tabela_Auxiliar[],3,0)</f>
        <v>Saída</v>
      </c>
      <c r="G2802" t="str">
        <f>UPPER(TEXT(Tabela_DB[[#This Row],[DATA]],"mmm"))</f>
        <v>JUN</v>
      </c>
      <c r="H2802" t="str">
        <f>UPPER(TEXT(Tabela_DB[[#This Row],[DATA]],"aaaa"))</f>
        <v>2021</v>
      </c>
    </row>
    <row r="2803" spans="1:8" x14ac:dyDescent="0.25">
      <c r="A2803" s="2">
        <v>44370</v>
      </c>
      <c r="B2803" t="s">
        <v>37</v>
      </c>
      <c r="C2803">
        <v>-3444</v>
      </c>
      <c r="D2803" t="str">
        <f>VLOOKUP(B2803,Tabela_Auxiliar[],2,0)</f>
        <v>3. Custos do Produto/Mercadoria/Serviço</v>
      </c>
      <c r="E2803" t="str">
        <f>VLOOKUP(B2803,Tabela_Auxiliar[],4,0)</f>
        <v>Despesas c/ Produto</v>
      </c>
      <c r="F2803" t="str">
        <f>VLOOKUP(B2803,Tabela_Auxiliar[],3,0)</f>
        <v>Saída</v>
      </c>
      <c r="G2803" t="str">
        <f>UPPER(TEXT(Tabela_DB[[#This Row],[DATA]],"mmm"))</f>
        <v>JUN</v>
      </c>
      <c r="H2803" t="str">
        <f>UPPER(TEXT(Tabela_DB[[#This Row],[DATA]],"aaaa"))</f>
        <v>2021</v>
      </c>
    </row>
    <row r="2804" spans="1:8" x14ac:dyDescent="0.25">
      <c r="A2804" s="2">
        <v>44370</v>
      </c>
      <c r="B2804" t="s">
        <v>38</v>
      </c>
      <c r="C2804">
        <v>-1846</v>
      </c>
      <c r="D2804" t="str">
        <f>VLOOKUP(B2804,Tabela_Auxiliar[],2,0)</f>
        <v>2. Deduções da Receita</v>
      </c>
      <c r="E2804" t="str">
        <f>VLOOKUP(B2804,Tabela_Auxiliar[],4,0)</f>
        <v>Deduções</v>
      </c>
      <c r="F2804" t="str">
        <f>VLOOKUP(B2804,Tabela_Auxiliar[],3,0)</f>
        <v>Saída</v>
      </c>
      <c r="G2804" t="str">
        <f>UPPER(TEXT(Tabela_DB[[#This Row],[DATA]],"mmm"))</f>
        <v>JUN</v>
      </c>
      <c r="H2804" t="str">
        <f>UPPER(TEXT(Tabela_DB[[#This Row],[DATA]],"aaaa"))</f>
        <v>2021</v>
      </c>
    </row>
    <row r="2805" spans="1:8" x14ac:dyDescent="0.25">
      <c r="A2805" s="2">
        <v>44370</v>
      </c>
      <c r="B2805" t="s">
        <v>3</v>
      </c>
      <c r="C2805">
        <v>13480</v>
      </c>
      <c r="D2805" t="str">
        <f>VLOOKUP(B2805,Tabela_Auxiliar[],2,0)</f>
        <v>1. Receita Operacional Bruta</v>
      </c>
      <c r="E2805" t="str">
        <f>VLOOKUP(B2805,Tabela_Auxiliar[],4,0)</f>
        <v>Receita Bruta</v>
      </c>
      <c r="F2805" t="str">
        <f>VLOOKUP(B2805,Tabela_Auxiliar[],3,0)</f>
        <v>Entrada</v>
      </c>
      <c r="G2805" t="str">
        <f>UPPER(TEXT(Tabela_DB[[#This Row],[DATA]],"mmm"))</f>
        <v>JUN</v>
      </c>
      <c r="H2805" t="str">
        <f>UPPER(TEXT(Tabela_DB[[#This Row],[DATA]],"aaaa"))</f>
        <v>2021</v>
      </c>
    </row>
    <row r="2806" spans="1:8" x14ac:dyDescent="0.25">
      <c r="A2806" s="2">
        <v>44370</v>
      </c>
      <c r="B2806" t="s">
        <v>35</v>
      </c>
      <c r="C2806">
        <v>-2432</v>
      </c>
      <c r="D2806" t="str">
        <f>VLOOKUP(B2806,Tabela_Auxiliar[],2,0)</f>
        <v>2. Deduções da Receita</v>
      </c>
      <c r="E2806" t="str">
        <f>VLOOKUP(B2806,Tabela_Auxiliar[],4,0)</f>
        <v>Imposto</v>
      </c>
      <c r="F2806" t="str">
        <f>VLOOKUP(B2806,Tabela_Auxiliar[],3,0)</f>
        <v>Saída</v>
      </c>
      <c r="G2806" t="str">
        <f>UPPER(TEXT(Tabela_DB[[#This Row],[DATA]],"mmm"))</f>
        <v>JUN</v>
      </c>
      <c r="H2806" t="str">
        <f>UPPER(TEXT(Tabela_DB[[#This Row],[DATA]],"aaaa"))</f>
        <v>2021</v>
      </c>
    </row>
    <row r="2807" spans="1:8" x14ac:dyDescent="0.25">
      <c r="A2807" s="2">
        <v>44370</v>
      </c>
      <c r="B2807" t="s">
        <v>37</v>
      </c>
      <c r="C2807">
        <v>-4456</v>
      </c>
      <c r="D2807" t="str">
        <f>VLOOKUP(B2807,Tabela_Auxiliar[],2,0)</f>
        <v>3. Custos do Produto/Mercadoria/Serviço</v>
      </c>
      <c r="E2807" t="str">
        <f>VLOOKUP(B2807,Tabela_Auxiliar[],4,0)</f>
        <v>Despesas c/ Produto</v>
      </c>
      <c r="F2807" t="str">
        <f>VLOOKUP(B2807,Tabela_Auxiliar[],3,0)</f>
        <v>Saída</v>
      </c>
      <c r="G2807" t="str">
        <f>UPPER(TEXT(Tabela_DB[[#This Row],[DATA]],"mmm"))</f>
        <v>JUN</v>
      </c>
      <c r="H2807" t="str">
        <f>UPPER(TEXT(Tabela_DB[[#This Row],[DATA]],"aaaa"))</f>
        <v>2021</v>
      </c>
    </row>
    <row r="2808" spans="1:8" x14ac:dyDescent="0.25">
      <c r="A2808" s="2">
        <v>44370</v>
      </c>
      <c r="B2808" t="s">
        <v>100</v>
      </c>
      <c r="C2808">
        <v>1245</v>
      </c>
      <c r="D2808" t="str">
        <f>VLOOKUP(B2808,Tabela_Auxiliar[],2,0)</f>
        <v>5. Resultado Financeiro</v>
      </c>
      <c r="E2808" t="str">
        <f>VLOOKUP(B2808,Tabela_Auxiliar[],4,0)</f>
        <v>Receita Financeira</v>
      </c>
      <c r="F2808" t="str">
        <f>VLOOKUP(B2808,Tabela_Auxiliar[],3,0)</f>
        <v>Saída</v>
      </c>
      <c r="G2808" t="str">
        <f>UPPER(TEXT(Tabela_DB[[#This Row],[DATA]],"mmm"))</f>
        <v>JUN</v>
      </c>
      <c r="H2808" t="str">
        <f>UPPER(TEXT(Tabela_DB[[#This Row],[DATA]],"aaaa"))</f>
        <v>2021</v>
      </c>
    </row>
    <row r="2809" spans="1:8" x14ac:dyDescent="0.25">
      <c r="A2809" s="2">
        <v>44370</v>
      </c>
      <c r="B2809" t="s">
        <v>34</v>
      </c>
      <c r="C2809">
        <v>-1435</v>
      </c>
      <c r="D2809" t="str">
        <f>VLOOKUP(B2809,Tabela_Auxiliar[],2,0)</f>
        <v>2. Deduções da Receita</v>
      </c>
      <c r="E2809" t="str">
        <f>VLOOKUP(B2809,Tabela_Auxiliar[],4,0)</f>
        <v>Imposto</v>
      </c>
      <c r="F2809" t="str">
        <f>VLOOKUP(B2809,Tabela_Auxiliar[],3,0)</f>
        <v>Saída</v>
      </c>
      <c r="G2809" t="str">
        <f>UPPER(TEXT(Tabela_DB[[#This Row],[DATA]],"mmm"))</f>
        <v>JUN</v>
      </c>
      <c r="H2809" t="str">
        <f>UPPER(TEXT(Tabela_DB[[#This Row],[DATA]],"aaaa"))</f>
        <v>2021</v>
      </c>
    </row>
    <row r="2810" spans="1:8" x14ac:dyDescent="0.25">
      <c r="A2810" s="2">
        <v>44370</v>
      </c>
      <c r="B2810" t="s">
        <v>38</v>
      </c>
      <c r="C2810">
        <v>-1777</v>
      </c>
      <c r="D2810" t="str">
        <f>VLOOKUP(B2810,Tabela_Auxiliar[],2,0)</f>
        <v>2. Deduções da Receita</v>
      </c>
      <c r="E2810" t="str">
        <f>VLOOKUP(B2810,Tabela_Auxiliar[],4,0)</f>
        <v>Deduções</v>
      </c>
      <c r="F2810" t="str">
        <f>VLOOKUP(B2810,Tabela_Auxiliar[],3,0)</f>
        <v>Saída</v>
      </c>
      <c r="G2810" t="str">
        <f>UPPER(TEXT(Tabela_DB[[#This Row],[DATA]],"mmm"))</f>
        <v>JUN</v>
      </c>
      <c r="H2810" t="str">
        <f>UPPER(TEXT(Tabela_DB[[#This Row],[DATA]],"aaaa"))</f>
        <v>2021</v>
      </c>
    </row>
    <row r="2811" spans="1:8" x14ac:dyDescent="0.25">
      <c r="A2811" s="2">
        <v>44370</v>
      </c>
      <c r="B2811" t="s">
        <v>111</v>
      </c>
      <c r="C2811">
        <v>-1558</v>
      </c>
      <c r="D2811" t="str">
        <f>VLOOKUP(B2811,Tabela_Auxiliar[],2,0)</f>
        <v>2. Deduções da Receita</v>
      </c>
      <c r="E2811" t="str">
        <f>VLOOKUP(B2811,Tabela_Auxiliar[],4,0)</f>
        <v>Imposto</v>
      </c>
      <c r="F2811" t="str">
        <f>VLOOKUP(B2811,Tabela_Auxiliar[],3,0)</f>
        <v>Saída</v>
      </c>
      <c r="G2811" t="str">
        <f>UPPER(TEXT(Tabela_DB[[#This Row],[DATA]],"mmm"))</f>
        <v>JUN</v>
      </c>
      <c r="H2811" t="str">
        <f>UPPER(TEXT(Tabela_DB[[#This Row],[DATA]],"aaaa"))</f>
        <v>2021</v>
      </c>
    </row>
    <row r="2812" spans="1:8" x14ac:dyDescent="0.25">
      <c r="A2812" s="2">
        <v>44370</v>
      </c>
      <c r="B2812" t="s">
        <v>37</v>
      </c>
      <c r="C2812">
        <v>-4197</v>
      </c>
      <c r="D2812" t="str">
        <f>VLOOKUP(B2812,Tabela_Auxiliar[],2,0)</f>
        <v>3. Custos do Produto/Mercadoria/Serviço</v>
      </c>
      <c r="E2812" t="str">
        <f>VLOOKUP(B2812,Tabela_Auxiliar[],4,0)</f>
        <v>Despesas c/ Produto</v>
      </c>
      <c r="F2812" t="str">
        <f>VLOOKUP(B2812,Tabela_Auxiliar[],3,0)</f>
        <v>Saída</v>
      </c>
      <c r="G2812" t="str">
        <f>UPPER(TEXT(Tabela_DB[[#This Row],[DATA]],"mmm"))</f>
        <v>JUN</v>
      </c>
      <c r="H2812" t="str">
        <f>UPPER(TEXT(Tabela_DB[[#This Row],[DATA]],"aaaa"))</f>
        <v>2021</v>
      </c>
    </row>
    <row r="2813" spans="1:8" x14ac:dyDescent="0.25">
      <c r="A2813" s="2">
        <v>44370</v>
      </c>
      <c r="B2813" t="s">
        <v>3</v>
      </c>
      <c r="C2813">
        <v>14844</v>
      </c>
      <c r="D2813" t="str">
        <f>VLOOKUP(B2813,Tabela_Auxiliar[],2,0)</f>
        <v>1. Receita Operacional Bruta</v>
      </c>
      <c r="E2813" t="str">
        <f>VLOOKUP(B2813,Tabela_Auxiliar[],4,0)</f>
        <v>Receita Bruta</v>
      </c>
      <c r="F2813" t="str">
        <f>VLOOKUP(B2813,Tabela_Auxiliar[],3,0)</f>
        <v>Entrada</v>
      </c>
      <c r="G2813" t="str">
        <f>UPPER(TEXT(Tabela_DB[[#This Row],[DATA]],"mmm"))</f>
        <v>JUN</v>
      </c>
      <c r="H2813" t="str">
        <f>UPPER(TEXT(Tabela_DB[[#This Row],[DATA]],"aaaa"))</f>
        <v>2021</v>
      </c>
    </row>
    <row r="2814" spans="1:8" x14ac:dyDescent="0.25">
      <c r="A2814" s="2">
        <v>44370</v>
      </c>
      <c r="B2814" t="s">
        <v>4</v>
      </c>
      <c r="C2814">
        <v>13025</v>
      </c>
      <c r="D2814" t="str">
        <f>VLOOKUP(B2814,Tabela_Auxiliar[],2,0)</f>
        <v>1. Receita Operacional Bruta</v>
      </c>
      <c r="E2814" t="str">
        <f>VLOOKUP(B2814,Tabela_Auxiliar[],4,0)</f>
        <v>Receita Bruta</v>
      </c>
      <c r="F2814" t="str">
        <f>VLOOKUP(B2814,Tabela_Auxiliar[],3,0)</f>
        <v>Entrada</v>
      </c>
      <c r="G2814" t="str">
        <f>UPPER(TEXT(Tabela_DB[[#This Row],[DATA]],"mmm"))</f>
        <v>JUN</v>
      </c>
      <c r="H2814" t="str">
        <f>UPPER(TEXT(Tabela_DB[[#This Row],[DATA]],"aaaa"))</f>
        <v>2021</v>
      </c>
    </row>
    <row r="2815" spans="1:8" x14ac:dyDescent="0.25">
      <c r="A2815" s="2">
        <v>44370</v>
      </c>
      <c r="B2815" t="s">
        <v>72</v>
      </c>
      <c r="C2815">
        <v>-1428</v>
      </c>
      <c r="D2815" t="str">
        <f>VLOOKUP(B2815,Tabela_Auxiliar[],2,0)</f>
        <v>4. Despesas Operacionais</v>
      </c>
      <c r="E2815" t="str">
        <f>VLOOKUP(B2815,Tabela_Auxiliar[],4,0)</f>
        <v>Despesa com Ocupação</v>
      </c>
      <c r="F2815" t="str">
        <f>VLOOKUP(B2815,Tabela_Auxiliar[],3,0)</f>
        <v>Saída</v>
      </c>
      <c r="G2815" t="str">
        <f>UPPER(TEXT(Tabela_DB[[#This Row],[DATA]],"mmm"))</f>
        <v>JUN</v>
      </c>
      <c r="H2815" t="str">
        <f>UPPER(TEXT(Tabela_DB[[#This Row],[DATA]],"aaaa"))</f>
        <v>2021</v>
      </c>
    </row>
    <row r="2816" spans="1:8" x14ac:dyDescent="0.25">
      <c r="A2816" s="2">
        <v>44370</v>
      </c>
      <c r="B2816" t="s">
        <v>111</v>
      </c>
      <c r="C2816">
        <v>-1001</v>
      </c>
      <c r="D2816" t="str">
        <f>VLOOKUP(B2816,Tabela_Auxiliar[],2,0)</f>
        <v>2. Deduções da Receita</v>
      </c>
      <c r="E2816" t="str">
        <f>VLOOKUP(B2816,Tabela_Auxiliar[],4,0)</f>
        <v>Imposto</v>
      </c>
      <c r="F2816" t="str">
        <f>VLOOKUP(B2816,Tabela_Auxiliar[],3,0)</f>
        <v>Saída</v>
      </c>
      <c r="G2816" t="str">
        <f>UPPER(TEXT(Tabela_DB[[#This Row],[DATA]],"mmm"))</f>
        <v>JUN</v>
      </c>
      <c r="H2816" t="str">
        <f>UPPER(TEXT(Tabela_DB[[#This Row],[DATA]],"aaaa"))</f>
        <v>2021</v>
      </c>
    </row>
    <row r="2817" spans="1:8" x14ac:dyDescent="0.25">
      <c r="A2817" s="2">
        <v>44370</v>
      </c>
      <c r="B2817" t="s">
        <v>55</v>
      </c>
      <c r="C2817">
        <v>-1516</v>
      </c>
      <c r="D2817" t="str">
        <f>VLOOKUP(B2817,Tabela_Auxiliar[],2,0)</f>
        <v>4. Despesas Operacionais</v>
      </c>
      <c r="E2817" t="str">
        <f>VLOOKUP(B2817,Tabela_Auxiliar[],4,0)</f>
        <v>Despesa com Pessoal</v>
      </c>
      <c r="F2817" t="str">
        <f>VLOOKUP(B2817,Tabela_Auxiliar[],3,0)</f>
        <v>Saída</v>
      </c>
      <c r="G2817" t="str">
        <f>UPPER(TEXT(Tabela_DB[[#This Row],[DATA]],"mmm"))</f>
        <v>JUN</v>
      </c>
      <c r="H2817" t="str">
        <f>UPPER(TEXT(Tabela_DB[[#This Row],[DATA]],"aaaa"))</f>
        <v>2021</v>
      </c>
    </row>
    <row r="2818" spans="1:8" x14ac:dyDescent="0.25">
      <c r="A2818" s="2">
        <v>44370</v>
      </c>
      <c r="B2818" t="s">
        <v>4</v>
      </c>
      <c r="C2818">
        <v>13220</v>
      </c>
      <c r="D2818" t="str">
        <f>VLOOKUP(B2818,Tabela_Auxiliar[],2,0)</f>
        <v>1. Receita Operacional Bruta</v>
      </c>
      <c r="E2818" t="str">
        <f>VLOOKUP(B2818,Tabela_Auxiliar[],4,0)</f>
        <v>Receita Bruta</v>
      </c>
      <c r="F2818" t="str">
        <f>VLOOKUP(B2818,Tabela_Auxiliar[],3,0)</f>
        <v>Entrada</v>
      </c>
      <c r="G2818" t="str">
        <f>UPPER(TEXT(Tabela_DB[[#This Row],[DATA]],"mmm"))</f>
        <v>JUN</v>
      </c>
      <c r="H2818" t="str">
        <f>UPPER(TEXT(Tabela_DB[[#This Row],[DATA]],"aaaa"))</f>
        <v>2021</v>
      </c>
    </row>
    <row r="2819" spans="1:8" x14ac:dyDescent="0.25">
      <c r="A2819" s="2">
        <v>44370</v>
      </c>
      <c r="B2819" t="s">
        <v>37</v>
      </c>
      <c r="C2819">
        <v>-4148</v>
      </c>
      <c r="D2819" t="str">
        <f>VLOOKUP(B2819,Tabela_Auxiliar[],2,0)</f>
        <v>3. Custos do Produto/Mercadoria/Serviço</v>
      </c>
      <c r="E2819" t="str">
        <f>VLOOKUP(B2819,Tabela_Auxiliar[],4,0)</f>
        <v>Despesas c/ Produto</v>
      </c>
      <c r="F2819" t="str">
        <f>VLOOKUP(B2819,Tabela_Auxiliar[],3,0)</f>
        <v>Saída</v>
      </c>
      <c r="G2819" t="str">
        <f>UPPER(TEXT(Tabela_DB[[#This Row],[DATA]],"mmm"))</f>
        <v>JUN</v>
      </c>
      <c r="H2819" t="str">
        <f>UPPER(TEXT(Tabela_DB[[#This Row],[DATA]],"aaaa"))</f>
        <v>2021</v>
      </c>
    </row>
    <row r="2820" spans="1:8" x14ac:dyDescent="0.25">
      <c r="A2820" s="2">
        <v>44371</v>
      </c>
      <c r="B2820" t="s">
        <v>83</v>
      </c>
      <c r="C2820">
        <v>-2474</v>
      </c>
      <c r="D2820" t="str">
        <f>VLOOKUP(B2820,Tabela_Auxiliar[],2,0)</f>
        <v>4. Despesas Operacionais</v>
      </c>
      <c r="E2820" t="str">
        <f>VLOOKUP(B2820,Tabela_Auxiliar[],4,0)</f>
        <v>Despesa com Veículos</v>
      </c>
      <c r="F2820" t="str">
        <f>VLOOKUP(B2820,Tabela_Auxiliar[],3,0)</f>
        <v>Saída</v>
      </c>
      <c r="G2820" t="str">
        <f>UPPER(TEXT(Tabela_DB[[#This Row],[DATA]],"mmm"))</f>
        <v>JUN</v>
      </c>
      <c r="H2820" t="str">
        <f>UPPER(TEXT(Tabela_DB[[#This Row],[DATA]],"aaaa"))</f>
        <v>2021</v>
      </c>
    </row>
    <row r="2821" spans="1:8" x14ac:dyDescent="0.25">
      <c r="A2821" s="2">
        <v>44371</v>
      </c>
      <c r="B2821" t="s">
        <v>34</v>
      </c>
      <c r="C2821">
        <v>-1742</v>
      </c>
      <c r="D2821" t="str">
        <f>VLOOKUP(B2821,Tabela_Auxiliar[],2,0)</f>
        <v>2. Deduções da Receita</v>
      </c>
      <c r="E2821" t="str">
        <f>VLOOKUP(B2821,Tabela_Auxiliar[],4,0)</f>
        <v>Imposto</v>
      </c>
      <c r="F2821" t="str">
        <f>VLOOKUP(B2821,Tabela_Auxiliar[],3,0)</f>
        <v>Saída</v>
      </c>
      <c r="G2821" t="str">
        <f>UPPER(TEXT(Tabela_DB[[#This Row],[DATA]],"mmm"))</f>
        <v>JUN</v>
      </c>
      <c r="H2821" t="str">
        <f>UPPER(TEXT(Tabela_DB[[#This Row],[DATA]],"aaaa"))</f>
        <v>2021</v>
      </c>
    </row>
    <row r="2822" spans="1:8" x14ac:dyDescent="0.25">
      <c r="A2822" s="2">
        <v>44371</v>
      </c>
      <c r="B2822" t="s">
        <v>35</v>
      </c>
      <c r="C2822">
        <v>-1962</v>
      </c>
      <c r="D2822" t="str">
        <f>VLOOKUP(B2822,Tabela_Auxiliar[],2,0)</f>
        <v>2. Deduções da Receita</v>
      </c>
      <c r="E2822" t="str">
        <f>VLOOKUP(B2822,Tabela_Auxiliar[],4,0)</f>
        <v>Imposto</v>
      </c>
      <c r="F2822" t="str">
        <f>VLOOKUP(B2822,Tabela_Auxiliar[],3,0)</f>
        <v>Saída</v>
      </c>
      <c r="G2822" t="str">
        <f>UPPER(TEXT(Tabela_DB[[#This Row],[DATA]],"mmm"))</f>
        <v>JUN</v>
      </c>
      <c r="H2822" t="str">
        <f>UPPER(TEXT(Tabela_DB[[#This Row],[DATA]],"aaaa"))</f>
        <v>2021</v>
      </c>
    </row>
    <row r="2823" spans="1:8" x14ac:dyDescent="0.25">
      <c r="A2823" s="2">
        <v>44371</v>
      </c>
      <c r="B2823" t="s">
        <v>34</v>
      </c>
      <c r="C2823">
        <v>-1130</v>
      </c>
      <c r="D2823" t="str">
        <f>VLOOKUP(B2823,Tabela_Auxiliar[],2,0)</f>
        <v>2. Deduções da Receita</v>
      </c>
      <c r="E2823" t="str">
        <f>VLOOKUP(B2823,Tabela_Auxiliar[],4,0)</f>
        <v>Imposto</v>
      </c>
      <c r="F2823" t="str">
        <f>VLOOKUP(B2823,Tabela_Auxiliar[],3,0)</f>
        <v>Saída</v>
      </c>
      <c r="G2823" t="str">
        <f>UPPER(TEXT(Tabela_DB[[#This Row],[DATA]],"mmm"))</f>
        <v>JUN</v>
      </c>
      <c r="H2823" t="str">
        <f>UPPER(TEXT(Tabela_DB[[#This Row],[DATA]],"aaaa"))</f>
        <v>2021</v>
      </c>
    </row>
    <row r="2824" spans="1:8" x14ac:dyDescent="0.25">
      <c r="A2824" s="2">
        <v>44371</v>
      </c>
      <c r="B2824" t="s">
        <v>111</v>
      </c>
      <c r="C2824">
        <v>-1900</v>
      </c>
      <c r="D2824" t="str">
        <f>VLOOKUP(B2824,Tabela_Auxiliar[],2,0)</f>
        <v>2. Deduções da Receita</v>
      </c>
      <c r="E2824" t="str">
        <f>VLOOKUP(B2824,Tabela_Auxiliar[],4,0)</f>
        <v>Imposto</v>
      </c>
      <c r="F2824" t="str">
        <f>VLOOKUP(B2824,Tabela_Auxiliar[],3,0)</f>
        <v>Saída</v>
      </c>
      <c r="G2824" t="str">
        <f>UPPER(TEXT(Tabela_DB[[#This Row],[DATA]],"mmm"))</f>
        <v>JUN</v>
      </c>
      <c r="H2824" t="str">
        <f>UPPER(TEXT(Tabela_DB[[#This Row],[DATA]],"aaaa"))</f>
        <v>2021</v>
      </c>
    </row>
    <row r="2825" spans="1:8" x14ac:dyDescent="0.25">
      <c r="A2825" s="2">
        <v>44371</v>
      </c>
      <c r="B2825" t="s">
        <v>90</v>
      </c>
      <c r="C2825">
        <v>-1173</v>
      </c>
      <c r="D2825" t="str">
        <f>VLOOKUP(B2825,Tabela_Auxiliar[],2,0)</f>
        <v>4. Despesas Operacionais</v>
      </c>
      <c r="E2825" t="str">
        <f>VLOOKUP(B2825,Tabela_Auxiliar[],4,0)</f>
        <v>Despesa Tributária</v>
      </c>
      <c r="F2825" t="str">
        <f>VLOOKUP(B2825,Tabela_Auxiliar[],3,0)</f>
        <v>Saída</v>
      </c>
      <c r="G2825" t="str">
        <f>UPPER(TEXT(Tabela_DB[[#This Row],[DATA]],"mmm"))</f>
        <v>JUN</v>
      </c>
      <c r="H2825" t="str">
        <f>UPPER(TEXT(Tabela_DB[[#This Row],[DATA]],"aaaa"))</f>
        <v>2021</v>
      </c>
    </row>
    <row r="2826" spans="1:8" x14ac:dyDescent="0.25">
      <c r="A2826" s="2">
        <v>44371</v>
      </c>
      <c r="B2826" t="s">
        <v>38</v>
      </c>
      <c r="C2826">
        <v>-2396</v>
      </c>
      <c r="D2826" t="str">
        <f>VLOOKUP(B2826,Tabela_Auxiliar[],2,0)</f>
        <v>2. Deduções da Receita</v>
      </c>
      <c r="E2826" t="str">
        <f>VLOOKUP(B2826,Tabela_Auxiliar[],4,0)</f>
        <v>Deduções</v>
      </c>
      <c r="F2826" t="str">
        <f>VLOOKUP(B2826,Tabela_Auxiliar[],3,0)</f>
        <v>Saída</v>
      </c>
      <c r="G2826" t="str">
        <f>UPPER(TEXT(Tabela_DB[[#This Row],[DATA]],"mmm"))</f>
        <v>JUN</v>
      </c>
      <c r="H2826" t="str">
        <f>UPPER(TEXT(Tabela_DB[[#This Row],[DATA]],"aaaa"))</f>
        <v>2021</v>
      </c>
    </row>
    <row r="2827" spans="1:8" x14ac:dyDescent="0.25">
      <c r="A2827" s="2">
        <v>44371</v>
      </c>
      <c r="B2827" t="s">
        <v>4</v>
      </c>
      <c r="C2827">
        <v>10999</v>
      </c>
      <c r="D2827" t="str">
        <f>VLOOKUP(B2827,Tabela_Auxiliar[],2,0)</f>
        <v>1. Receita Operacional Bruta</v>
      </c>
      <c r="E2827" t="str">
        <f>VLOOKUP(B2827,Tabela_Auxiliar[],4,0)</f>
        <v>Receita Bruta</v>
      </c>
      <c r="F2827" t="str">
        <f>VLOOKUP(B2827,Tabela_Auxiliar[],3,0)</f>
        <v>Entrada</v>
      </c>
      <c r="G2827" t="str">
        <f>UPPER(TEXT(Tabela_DB[[#This Row],[DATA]],"mmm"))</f>
        <v>JUN</v>
      </c>
      <c r="H2827" t="str">
        <f>UPPER(TEXT(Tabela_DB[[#This Row],[DATA]],"aaaa"))</f>
        <v>2021</v>
      </c>
    </row>
    <row r="2828" spans="1:8" x14ac:dyDescent="0.25">
      <c r="A2828" s="2">
        <v>44372</v>
      </c>
      <c r="B2828" t="s">
        <v>76</v>
      </c>
      <c r="C2828">
        <v>-1826</v>
      </c>
      <c r="D2828" t="str">
        <f>VLOOKUP(B2828,Tabela_Auxiliar[],2,0)</f>
        <v>4. Despesas Operacionais</v>
      </c>
      <c r="E2828" t="str">
        <f>VLOOKUP(B2828,Tabela_Auxiliar[],4,0)</f>
        <v>Serviços Contratados</v>
      </c>
      <c r="F2828" t="str">
        <f>VLOOKUP(B2828,Tabela_Auxiliar[],3,0)</f>
        <v>Saída</v>
      </c>
      <c r="G2828" t="str">
        <f>UPPER(TEXT(Tabela_DB[[#This Row],[DATA]],"mmm"))</f>
        <v>JUN</v>
      </c>
      <c r="H2828" t="str">
        <f>UPPER(TEXT(Tabela_DB[[#This Row],[DATA]],"aaaa"))</f>
        <v>2021</v>
      </c>
    </row>
    <row r="2829" spans="1:8" x14ac:dyDescent="0.25">
      <c r="A2829" s="2">
        <v>44372</v>
      </c>
      <c r="B2829" t="s">
        <v>4</v>
      </c>
      <c r="C2829">
        <v>14240</v>
      </c>
      <c r="D2829" t="str">
        <f>VLOOKUP(B2829,Tabela_Auxiliar[],2,0)</f>
        <v>1. Receita Operacional Bruta</v>
      </c>
      <c r="E2829" t="str">
        <f>VLOOKUP(B2829,Tabela_Auxiliar[],4,0)</f>
        <v>Receita Bruta</v>
      </c>
      <c r="F2829" t="str">
        <f>VLOOKUP(B2829,Tabela_Auxiliar[],3,0)</f>
        <v>Entrada</v>
      </c>
      <c r="G2829" t="str">
        <f>UPPER(TEXT(Tabela_DB[[#This Row],[DATA]],"mmm"))</f>
        <v>JUN</v>
      </c>
      <c r="H2829" t="str">
        <f>UPPER(TEXT(Tabela_DB[[#This Row],[DATA]],"aaaa"))</f>
        <v>2021</v>
      </c>
    </row>
    <row r="2830" spans="1:8" x14ac:dyDescent="0.25">
      <c r="A2830" s="2">
        <v>44372</v>
      </c>
      <c r="B2830" t="s">
        <v>5</v>
      </c>
      <c r="C2830">
        <v>-1160</v>
      </c>
      <c r="D2830" t="str">
        <f>VLOOKUP(B2830,Tabela_Auxiliar[],2,0)</f>
        <v>4. Despesas Operacionais</v>
      </c>
      <c r="E2830" t="str">
        <f>VLOOKUP(B2830,Tabela_Auxiliar[],4,0)</f>
        <v>Despesa com Pessoal</v>
      </c>
      <c r="F2830" t="str">
        <f>VLOOKUP(B2830,Tabela_Auxiliar[],3,0)</f>
        <v>Saída</v>
      </c>
      <c r="G2830" t="str">
        <f>UPPER(TEXT(Tabela_DB[[#This Row],[DATA]],"mmm"))</f>
        <v>JUN</v>
      </c>
      <c r="H2830" t="str">
        <f>UPPER(TEXT(Tabela_DB[[#This Row],[DATA]],"aaaa"))</f>
        <v>2021</v>
      </c>
    </row>
    <row r="2831" spans="1:8" x14ac:dyDescent="0.25">
      <c r="A2831" s="2">
        <v>44372</v>
      </c>
      <c r="B2831" t="s">
        <v>69</v>
      </c>
      <c r="C2831">
        <v>-1691</v>
      </c>
      <c r="D2831" t="str">
        <f>VLOOKUP(B2831,Tabela_Auxiliar[],2,0)</f>
        <v>4. Despesas Operacionais</v>
      </c>
      <c r="E2831" t="str">
        <f>VLOOKUP(B2831,Tabela_Auxiliar[],4,0)</f>
        <v>Despesa com Ocupação</v>
      </c>
      <c r="F2831" t="str">
        <f>VLOOKUP(B2831,Tabela_Auxiliar[],3,0)</f>
        <v>Saída</v>
      </c>
      <c r="G2831" t="str">
        <f>UPPER(TEXT(Tabela_DB[[#This Row],[DATA]],"mmm"))</f>
        <v>JUN</v>
      </c>
      <c r="H2831" t="str">
        <f>UPPER(TEXT(Tabela_DB[[#This Row],[DATA]],"aaaa"))</f>
        <v>2021</v>
      </c>
    </row>
    <row r="2832" spans="1:8" x14ac:dyDescent="0.25">
      <c r="A2832" s="2">
        <v>44372</v>
      </c>
      <c r="B2832" t="s">
        <v>38</v>
      </c>
      <c r="C2832">
        <v>-1417</v>
      </c>
      <c r="D2832" t="str">
        <f>VLOOKUP(B2832,Tabela_Auxiliar[],2,0)</f>
        <v>2. Deduções da Receita</v>
      </c>
      <c r="E2832" t="str">
        <f>VLOOKUP(B2832,Tabela_Auxiliar[],4,0)</f>
        <v>Deduções</v>
      </c>
      <c r="F2832" t="str">
        <f>VLOOKUP(B2832,Tabela_Auxiliar[],3,0)</f>
        <v>Saída</v>
      </c>
      <c r="G2832" t="str">
        <f>UPPER(TEXT(Tabela_DB[[#This Row],[DATA]],"mmm"))</f>
        <v>JUN</v>
      </c>
      <c r="H2832" t="str">
        <f>UPPER(TEXT(Tabela_DB[[#This Row],[DATA]],"aaaa"))</f>
        <v>2021</v>
      </c>
    </row>
    <row r="2833" spans="1:8" x14ac:dyDescent="0.25">
      <c r="A2833" s="2">
        <v>44372</v>
      </c>
      <c r="B2833" t="s">
        <v>35</v>
      </c>
      <c r="C2833">
        <v>-2309</v>
      </c>
      <c r="D2833" t="str">
        <f>VLOOKUP(B2833,Tabela_Auxiliar[],2,0)</f>
        <v>2. Deduções da Receita</v>
      </c>
      <c r="E2833" t="str">
        <f>VLOOKUP(B2833,Tabela_Auxiliar[],4,0)</f>
        <v>Imposto</v>
      </c>
      <c r="F2833" t="str">
        <f>VLOOKUP(B2833,Tabela_Auxiliar[],3,0)</f>
        <v>Saída</v>
      </c>
      <c r="G2833" t="str">
        <f>UPPER(TEXT(Tabela_DB[[#This Row],[DATA]],"mmm"))</f>
        <v>JUN</v>
      </c>
      <c r="H2833" t="str">
        <f>UPPER(TEXT(Tabela_DB[[#This Row],[DATA]],"aaaa"))</f>
        <v>2021</v>
      </c>
    </row>
    <row r="2834" spans="1:8" x14ac:dyDescent="0.25">
      <c r="A2834" s="2">
        <v>44372</v>
      </c>
      <c r="B2834" t="s">
        <v>111</v>
      </c>
      <c r="C2834">
        <v>-1157</v>
      </c>
      <c r="D2834" t="str">
        <f>VLOOKUP(B2834,Tabela_Auxiliar[],2,0)</f>
        <v>2. Deduções da Receita</v>
      </c>
      <c r="E2834" t="str">
        <f>VLOOKUP(B2834,Tabela_Auxiliar[],4,0)</f>
        <v>Imposto</v>
      </c>
      <c r="F2834" t="str">
        <f>VLOOKUP(B2834,Tabela_Auxiliar[],3,0)</f>
        <v>Saída</v>
      </c>
      <c r="G2834" t="str">
        <f>UPPER(TEXT(Tabela_DB[[#This Row],[DATA]],"mmm"))</f>
        <v>JUN</v>
      </c>
      <c r="H2834" t="str">
        <f>UPPER(TEXT(Tabela_DB[[#This Row],[DATA]],"aaaa"))</f>
        <v>2021</v>
      </c>
    </row>
    <row r="2835" spans="1:8" x14ac:dyDescent="0.25">
      <c r="A2835" s="2">
        <v>44372</v>
      </c>
      <c r="B2835" t="s">
        <v>35</v>
      </c>
      <c r="C2835">
        <v>-1747</v>
      </c>
      <c r="D2835" t="str">
        <f>VLOOKUP(B2835,Tabela_Auxiliar[],2,0)</f>
        <v>2. Deduções da Receita</v>
      </c>
      <c r="E2835" t="str">
        <f>VLOOKUP(B2835,Tabela_Auxiliar[],4,0)</f>
        <v>Imposto</v>
      </c>
      <c r="F2835" t="str">
        <f>VLOOKUP(B2835,Tabela_Auxiliar[],3,0)</f>
        <v>Saída</v>
      </c>
      <c r="G2835" t="str">
        <f>UPPER(TEXT(Tabela_DB[[#This Row],[DATA]],"mmm"))</f>
        <v>JUN</v>
      </c>
      <c r="H2835" t="str">
        <f>UPPER(TEXT(Tabela_DB[[#This Row],[DATA]],"aaaa"))</f>
        <v>2021</v>
      </c>
    </row>
    <row r="2836" spans="1:8" x14ac:dyDescent="0.25">
      <c r="A2836" s="2">
        <v>44372</v>
      </c>
      <c r="B2836" t="s">
        <v>37</v>
      </c>
      <c r="C2836">
        <v>-2661</v>
      </c>
      <c r="D2836" t="str">
        <f>VLOOKUP(B2836,Tabela_Auxiliar[],2,0)</f>
        <v>3. Custos do Produto/Mercadoria/Serviço</v>
      </c>
      <c r="E2836" t="str">
        <f>VLOOKUP(B2836,Tabela_Auxiliar[],4,0)</f>
        <v>Despesas c/ Produto</v>
      </c>
      <c r="F2836" t="str">
        <f>VLOOKUP(B2836,Tabela_Auxiliar[],3,0)</f>
        <v>Saída</v>
      </c>
      <c r="G2836" t="str">
        <f>UPPER(TEXT(Tabela_DB[[#This Row],[DATA]],"mmm"))</f>
        <v>JUN</v>
      </c>
      <c r="H2836" t="str">
        <f>UPPER(TEXT(Tabela_DB[[#This Row],[DATA]],"aaaa"))</f>
        <v>2021</v>
      </c>
    </row>
    <row r="2837" spans="1:8" x14ac:dyDescent="0.25">
      <c r="A2837" s="2">
        <v>44372</v>
      </c>
      <c r="B2837" t="s">
        <v>4</v>
      </c>
      <c r="C2837">
        <v>11203</v>
      </c>
      <c r="D2837" t="str">
        <f>VLOOKUP(B2837,Tabela_Auxiliar[],2,0)</f>
        <v>1. Receita Operacional Bruta</v>
      </c>
      <c r="E2837" t="str">
        <f>VLOOKUP(B2837,Tabela_Auxiliar[],4,0)</f>
        <v>Receita Bruta</v>
      </c>
      <c r="F2837" t="str">
        <f>VLOOKUP(B2837,Tabela_Auxiliar[],3,0)</f>
        <v>Entrada</v>
      </c>
      <c r="G2837" t="str">
        <f>UPPER(TEXT(Tabela_DB[[#This Row],[DATA]],"mmm"))</f>
        <v>JUN</v>
      </c>
      <c r="H2837" t="str">
        <f>UPPER(TEXT(Tabela_DB[[#This Row],[DATA]],"aaaa"))</f>
        <v>2021</v>
      </c>
    </row>
    <row r="2838" spans="1:8" x14ac:dyDescent="0.25">
      <c r="A2838" s="2">
        <v>44372</v>
      </c>
      <c r="B2838" t="s">
        <v>70</v>
      </c>
      <c r="C2838">
        <v>-1011</v>
      </c>
      <c r="D2838" t="str">
        <f>VLOOKUP(B2838,Tabela_Auxiliar[],2,0)</f>
        <v>4. Despesas Operacionais</v>
      </c>
      <c r="E2838" t="str">
        <f>VLOOKUP(B2838,Tabela_Auxiliar[],4,0)</f>
        <v>Despesa com Ocupação</v>
      </c>
      <c r="F2838" t="str">
        <f>VLOOKUP(B2838,Tabela_Auxiliar[],3,0)</f>
        <v>Saída</v>
      </c>
      <c r="G2838" t="str">
        <f>UPPER(TEXT(Tabela_DB[[#This Row],[DATA]],"mmm"))</f>
        <v>JUN</v>
      </c>
      <c r="H2838" t="str">
        <f>UPPER(TEXT(Tabela_DB[[#This Row],[DATA]],"aaaa"))</f>
        <v>2021</v>
      </c>
    </row>
    <row r="2839" spans="1:8" x14ac:dyDescent="0.25">
      <c r="A2839" s="2">
        <v>44372</v>
      </c>
      <c r="B2839" t="s">
        <v>3</v>
      </c>
      <c r="C2839">
        <v>14703</v>
      </c>
      <c r="D2839" t="str">
        <f>VLOOKUP(B2839,Tabela_Auxiliar[],2,0)</f>
        <v>1. Receita Operacional Bruta</v>
      </c>
      <c r="E2839" t="str">
        <f>VLOOKUP(B2839,Tabela_Auxiliar[],4,0)</f>
        <v>Receita Bruta</v>
      </c>
      <c r="F2839" t="str">
        <f>VLOOKUP(B2839,Tabela_Auxiliar[],3,0)</f>
        <v>Entrada</v>
      </c>
      <c r="G2839" t="str">
        <f>UPPER(TEXT(Tabela_DB[[#This Row],[DATA]],"mmm"))</f>
        <v>JUN</v>
      </c>
      <c r="H2839" t="str">
        <f>UPPER(TEXT(Tabela_DB[[#This Row],[DATA]],"aaaa"))</f>
        <v>2021</v>
      </c>
    </row>
    <row r="2840" spans="1:8" x14ac:dyDescent="0.25">
      <c r="A2840" s="2">
        <v>44372</v>
      </c>
      <c r="B2840" t="s">
        <v>3</v>
      </c>
      <c r="C2840">
        <v>12660</v>
      </c>
      <c r="D2840" t="str">
        <f>VLOOKUP(B2840,Tabela_Auxiliar[],2,0)</f>
        <v>1. Receita Operacional Bruta</v>
      </c>
      <c r="E2840" t="str">
        <f>VLOOKUP(B2840,Tabela_Auxiliar[],4,0)</f>
        <v>Receita Bruta</v>
      </c>
      <c r="F2840" t="str">
        <f>VLOOKUP(B2840,Tabela_Auxiliar[],3,0)</f>
        <v>Entrada</v>
      </c>
      <c r="G2840" t="str">
        <f>UPPER(TEXT(Tabela_DB[[#This Row],[DATA]],"mmm"))</f>
        <v>JUN</v>
      </c>
      <c r="H2840" t="str">
        <f>UPPER(TEXT(Tabela_DB[[#This Row],[DATA]],"aaaa"))</f>
        <v>2021</v>
      </c>
    </row>
    <row r="2841" spans="1:8" x14ac:dyDescent="0.25">
      <c r="A2841" s="2">
        <v>44372</v>
      </c>
      <c r="B2841" t="s">
        <v>101</v>
      </c>
      <c r="C2841">
        <v>-2237</v>
      </c>
      <c r="D2841" t="str">
        <f>VLOOKUP(B2841,Tabela_Auxiliar[],2,0)</f>
        <v>5. Resultado Financeiro</v>
      </c>
      <c r="E2841" t="str">
        <f>VLOOKUP(B2841,Tabela_Auxiliar[],4,0)</f>
        <v>Despesa Financeira</v>
      </c>
      <c r="F2841" t="str">
        <f>VLOOKUP(B2841,Tabela_Auxiliar[],3,0)</f>
        <v>Saída</v>
      </c>
      <c r="G2841" t="str">
        <f>UPPER(TEXT(Tabela_DB[[#This Row],[DATA]],"mmm"))</f>
        <v>JUN</v>
      </c>
      <c r="H2841" t="str">
        <f>UPPER(TEXT(Tabela_DB[[#This Row],[DATA]],"aaaa"))</f>
        <v>2021</v>
      </c>
    </row>
    <row r="2842" spans="1:8" x14ac:dyDescent="0.25">
      <c r="A2842" s="2">
        <v>44372</v>
      </c>
      <c r="B2842" t="s">
        <v>111</v>
      </c>
      <c r="C2842">
        <v>-1189</v>
      </c>
      <c r="D2842" t="str">
        <f>VLOOKUP(B2842,Tabela_Auxiliar[],2,0)</f>
        <v>2. Deduções da Receita</v>
      </c>
      <c r="E2842" t="str">
        <f>VLOOKUP(B2842,Tabela_Auxiliar[],4,0)</f>
        <v>Imposto</v>
      </c>
      <c r="F2842" t="str">
        <f>VLOOKUP(B2842,Tabela_Auxiliar[],3,0)</f>
        <v>Saída</v>
      </c>
      <c r="G2842" t="str">
        <f>UPPER(TEXT(Tabela_DB[[#This Row],[DATA]],"mmm"))</f>
        <v>JUN</v>
      </c>
      <c r="H2842" t="str">
        <f>UPPER(TEXT(Tabela_DB[[#This Row],[DATA]],"aaaa"))</f>
        <v>2021</v>
      </c>
    </row>
    <row r="2843" spans="1:8" x14ac:dyDescent="0.25">
      <c r="A2843" s="2">
        <v>44372</v>
      </c>
      <c r="B2843" t="s">
        <v>3</v>
      </c>
      <c r="C2843">
        <v>13814</v>
      </c>
      <c r="D2843" t="str">
        <f>VLOOKUP(B2843,Tabela_Auxiliar[],2,0)</f>
        <v>1. Receita Operacional Bruta</v>
      </c>
      <c r="E2843" t="str">
        <f>VLOOKUP(B2843,Tabela_Auxiliar[],4,0)</f>
        <v>Receita Bruta</v>
      </c>
      <c r="F2843" t="str">
        <f>VLOOKUP(B2843,Tabela_Auxiliar[],3,0)</f>
        <v>Entrada</v>
      </c>
      <c r="G2843" t="str">
        <f>UPPER(TEXT(Tabela_DB[[#This Row],[DATA]],"mmm"))</f>
        <v>JUN</v>
      </c>
      <c r="H2843" t="str">
        <f>UPPER(TEXT(Tabela_DB[[#This Row],[DATA]],"aaaa"))</f>
        <v>2021</v>
      </c>
    </row>
    <row r="2844" spans="1:8" x14ac:dyDescent="0.25">
      <c r="A2844" s="2">
        <v>44372</v>
      </c>
      <c r="B2844" t="s">
        <v>35</v>
      </c>
      <c r="C2844">
        <v>-1743</v>
      </c>
      <c r="D2844" t="str">
        <f>VLOOKUP(B2844,Tabela_Auxiliar[],2,0)</f>
        <v>2. Deduções da Receita</v>
      </c>
      <c r="E2844" t="str">
        <f>VLOOKUP(B2844,Tabela_Auxiliar[],4,0)</f>
        <v>Imposto</v>
      </c>
      <c r="F2844" t="str">
        <f>VLOOKUP(B2844,Tabela_Auxiliar[],3,0)</f>
        <v>Saída</v>
      </c>
      <c r="G2844" t="str">
        <f>UPPER(TEXT(Tabela_DB[[#This Row],[DATA]],"mmm"))</f>
        <v>JUN</v>
      </c>
      <c r="H2844" t="str">
        <f>UPPER(TEXT(Tabela_DB[[#This Row],[DATA]],"aaaa"))</f>
        <v>2021</v>
      </c>
    </row>
    <row r="2845" spans="1:8" x14ac:dyDescent="0.25">
      <c r="A2845" s="2">
        <v>44372</v>
      </c>
      <c r="B2845" t="s">
        <v>77</v>
      </c>
      <c r="C2845">
        <v>-1387</v>
      </c>
      <c r="D2845" t="str">
        <f>VLOOKUP(B2845,Tabela_Auxiliar[],2,0)</f>
        <v>4. Despesas Operacionais</v>
      </c>
      <c r="E2845" t="str">
        <f>VLOOKUP(B2845,Tabela_Auxiliar[],4,0)</f>
        <v>Serviços Contratados</v>
      </c>
      <c r="F2845" t="str">
        <f>VLOOKUP(B2845,Tabela_Auxiliar[],3,0)</f>
        <v>Saída</v>
      </c>
      <c r="G2845" t="str">
        <f>UPPER(TEXT(Tabela_DB[[#This Row],[DATA]],"mmm"))</f>
        <v>JUN</v>
      </c>
      <c r="H2845" t="str">
        <f>UPPER(TEXT(Tabela_DB[[#This Row],[DATA]],"aaaa"))</f>
        <v>2021</v>
      </c>
    </row>
    <row r="2846" spans="1:8" x14ac:dyDescent="0.25">
      <c r="A2846" s="2">
        <v>44372</v>
      </c>
      <c r="B2846" t="s">
        <v>3</v>
      </c>
      <c r="C2846">
        <v>10466</v>
      </c>
      <c r="D2846" t="str">
        <f>VLOOKUP(B2846,Tabela_Auxiliar[],2,0)</f>
        <v>1. Receita Operacional Bruta</v>
      </c>
      <c r="E2846" t="str">
        <f>VLOOKUP(B2846,Tabela_Auxiliar[],4,0)</f>
        <v>Receita Bruta</v>
      </c>
      <c r="F2846" t="str">
        <f>VLOOKUP(B2846,Tabela_Auxiliar[],3,0)</f>
        <v>Entrada</v>
      </c>
      <c r="G2846" t="str">
        <f>UPPER(TEXT(Tabela_DB[[#This Row],[DATA]],"mmm"))</f>
        <v>JUN</v>
      </c>
      <c r="H2846" t="str">
        <f>UPPER(TEXT(Tabela_DB[[#This Row],[DATA]],"aaaa"))</f>
        <v>2021</v>
      </c>
    </row>
    <row r="2847" spans="1:8" x14ac:dyDescent="0.25">
      <c r="A2847" s="2">
        <v>44372</v>
      </c>
      <c r="B2847" t="s">
        <v>65</v>
      </c>
      <c r="C2847">
        <v>-1858</v>
      </c>
      <c r="D2847" t="str">
        <f>VLOOKUP(B2847,Tabela_Auxiliar[],2,0)</f>
        <v>4. Despesas Operacionais</v>
      </c>
      <c r="E2847" t="str">
        <f>VLOOKUP(B2847,Tabela_Auxiliar[],4,0)</f>
        <v>Despesa Gerais</v>
      </c>
      <c r="F2847" t="str">
        <f>VLOOKUP(B2847,Tabela_Auxiliar[],3,0)</f>
        <v>Saída</v>
      </c>
      <c r="G2847" t="str">
        <f>UPPER(TEXT(Tabela_DB[[#This Row],[DATA]],"mmm"))</f>
        <v>JUN</v>
      </c>
      <c r="H2847" t="str">
        <f>UPPER(TEXT(Tabela_DB[[#This Row],[DATA]],"aaaa"))</f>
        <v>2021</v>
      </c>
    </row>
    <row r="2848" spans="1:8" x14ac:dyDescent="0.25">
      <c r="A2848" s="2">
        <v>44373</v>
      </c>
      <c r="B2848" t="s">
        <v>48</v>
      </c>
      <c r="C2848">
        <v>-1100</v>
      </c>
      <c r="D2848" t="str">
        <f>VLOOKUP(B2848,Tabela_Auxiliar[],2,0)</f>
        <v>4. Despesas Operacionais</v>
      </c>
      <c r="E2848" t="str">
        <f>VLOOKUP(B2848,Tabela_Auxiliar[],4,0)</f>
        <v>Despesa com Pessoal</v>
      </c>
      <c r="F2848" t="str">
        <f>VLOOKUP(B2848,Tabela_Auxiliar[],3,0)</f>
        <v>Saída</v>
      </c>
      <c r="G2848" t="str">
        <f>UPPER(TEXT(Tabela_DB[[#This Row],[DATA]],"mmm"))</f>
        <v>JUN</v>
      </c>
      <c r="H2848" t="str">
        <f>UPPER(TEXT(Tabela_DB[[#This Row],[DATA]],"aaaa"))</f>
        <v>2021</v>
      </c>
    </row>
    <row r="2849" spans="1:8" x14ac:dyDescent="0.25">
      <c r="A2849" s="2">
        <v>44373</v>
      </c>
      <c r="B2849" t="s">
        <v>38</v>
      </c>
      <c r="C2849">
        <v>-1563</v>
      </c>
      <c r="D2849" t="str">
        <f>VLOOKUP(B2849,Tabela_Auxiliar[],2,0)</f>
        <v>2. Deduções da Receita</v>
      </c>
      <c r="E2849" t="str">
        <f>VLOOKUP(B2849,Tabela_Auxiliar[],4,0)</f>
        <v>Deduções</v>
      </c>
      <c r="F2849" t="str">
        <f>VLOOKUP(B2849,Tabela_Auxiliar[],3,0)</f>
        <v>Saída</v>
      </c>
      <c r="G2849" t="str">
        <f>UPPER(TEXT(Tabela_DB[[#This Row],[DATA]],"mmm"))</f>
        <v>JUN</v>
      </c>
      <c r="H2849" t="str">
        <f>UPPER(TEXT(Tabela_DB[[#This Row],[DATA]],"aaaa"))</f>
        <v>2021</v>
      </c>
    </row>
    <row r="2850" spans="1:8" x14ac:dyDescent="0.25">
      <c r="A2850" s="2">
        <v>44373</v>
      </c>
      <c r="B2850" t="s">
        <v>38</v>
      </c>
      <c r="C2850">
        <v>-1524</v>
      </c>
      <c r="D2850" t="str">
        <f>VLOOKUP(B2850,Tabela_Auxiliar[],2,0)</f>
        <v>2. Deduções da Receita</v>
      </c>
      <c r="E2850" t="str">
        <f>VLOOKUP(B2850,Tabela_Auxiliar[],4,0)</f>
        <v>Deduções</v>
      </c>
      <c r="F2850" t="str">
        <f>VLOOKUP(B2850,Tabela_Auxiliar[],3,0)</f>
        <v>Saída</v>
      </c>
      <c r="G2850" t="str">
        <f>UPPER(TEXT(Tabela_DB[[#This Row],[DATA]],"mmm"))</f>
        <v>JUN</v>
      </c>
      <c r="H2850" t="str">
        <f>UPPER(TEXT(Tabela_DB[[#This Row],[DATA]],"aaaa"))</f>
        <v>2021</v>
      </c>
    </row>
    <row r="2851" spans="1:8" x14ac:dyDescent="0.25">
      <c r="A2851" s="2">
        <v>44373</v>
      </c>
      <c r="B2851" t="s">
        <v>48</v>
      </c>
      <c r="C2851">
        <v>-1256</v>
      </c>
      <c r="D2851" t="str">
        <f>VLOOKUP(B2851,Tabela_Auxiliar[],2,0)</f>
        <v>4. Despesas Operacionais</v>
      </c>
      <c r="E2851" t="str">
        <f>VLOOKUP(B2851,Tabela_Auxiliar[],4,0)</f>
        <v>Despesa com Pessoal</v>
      </c>
      <c r="F2851" t="str">
        <f>VLOOKUP(B2851,Tabela_Auxiliar[],3,0)</f>
        <v>Saída</v>
      </c>
      <c r="G2851" t="str">
        <f>UPPER(TEXT(Tabela_DB[[#This Row],[DATA]],"mmm"))</f>
        <v>JUN</v>
      </c>
      <c r="H2851" t="str">
        <f>UPPER(TEXT(Tabela_DB[[#This Row],[DATA]],"aaaa"))</f>
        <v>2021</v>
      </c>
    </row>
    <row r="2852" spans="1:8" x14ac:dyDescent="0.25">
      <c r="A2852" s="2">
        <v>44373</v>
      </c>
      <c r="B2852" t="s">
        <v>35</v>
      </c>
      <c r="C2852">
        <v>-2432</v>
      </c>
      <c r="D2852" t="str">
        <f>VLOOKUP(B2852,Tabela_Auxiliar[],2,0)</f>
        <v>2. Deduções da Receita</v>
      </c>
      <c r="E2852" t="str">
        <f>VLOOKUP(B2852,Tabela_Auxiliar[],4,0)</f>
        <v>Imposto</v>
      </c>
      <c r="F2852" t="str">
        <f>VLOOKUP(B2852,Tabela_Auxiliar[],3,0)</f>
        <v>Saída</v>
      </c>
      <c r="G2852" t="str">
        <f>UPPER(TEXT(Tabela_DB[[#This Row],[DATA]],"mmm"))</f>
        <v>JUN</v>
      </c>
      <c r="H2852" t="str">
        <f>UPPER(TEXT(Tabela_DB[[#This Row],[DATA]],"aaaa"))</f>
        <v>2021</v>
      </c>
    </row>
    <row r="2853" spans="1:8" x14ac:dyDescent="0.25">
      <c r="A2853" s="2">
        <v>44373</v>
      </c>
      <c r="B2853" t="s">
        <v>3</v>
      </c>
      <c r="C2853">
        <v>14605</v>
      </c>
      <c r="D2853" t="str">
        <f>VLOOKUP(B2853,Tabela_Auxiliar[],2,0)</f>
        <v>1. Receita Operacional Bruta</v>
      </c>
      <c r="E2853" t="str">
        <f>VLOOKUP(B2853,Tabela_Auxiliar[],4,0)</f>
        <v>Receita Bruta</v>
      </c>
      <c r="F2853" t="str">
        <f>VLOOKUP(B2853,Tabela_Auxiliar[],3,0)</f>
        <v>Entrada</v>
      </c>
      <c r="G2853" t="str">
        <f>UPPER(TEXT(Tabela_DB[[#This Row],[DATA]],"mmm"))</f>
        <v>JUN</v>
      </c>
      <c r="H2853" t="str">
        <f>UPPER(TEXT(Tabela_DB[[#This Row],[DATA]],"aaaa"))</f>
        <v>2021</v>
      </c>
    </row>
    <row r="2854" spans="1:8" x14ac:dyDescent="0.25">
      <c r="A2854" s="2">
        <v>44373</v>
      </c>
      <c r="B2854" t="s">
        <v>50</v>
      </c>
      <c r="C2854">
        <v>-1574</v>
      </c>
      <c r="D2854" t="str">
        <f>VLOOKUP(B2854,Tabela_Auxiliar[],2,0)</f>
        <v>4. Despesas Operacionais</v>
      </c>
      <c r="E2854" t="str">
        <f>VLOOKUP(B2854,Tabela_Auxiliar[],4,0)</f>
        <v>Despesa com Pessoal</v>
      </c>
      <c r="F2854" t="str">
        <f>VLOOKUP(B2854,Tabela_Auxiliar[],3,0)</f>
        <v>Saída</v>
      </c>
      <c r="G2854" t="str">
        <f>UPPER(TEXT(Tabela_DB[[#This Row],[DATA]],"mmm"))</f>
        <v>JUN</v>
      </c>
      <c r="H2854" t="str">
        <f>UPPER(TEXT(Tabela_DB[[#This Row],[DATA]],"aaaa"))</f>
        <v>2021</v>
      </c>
    </row>
    <row r="2855" spans="1:8" x14ac:dyDescent="0.25">
      <c r="A2855" s="2">
        <v>44373</v>
      </c>
      <c r="B2855" t="s">
        <v>111</v>
      </c>
      <c r="C2855">
        <v>-2161</v>
      </c>
      <c r="D2855" t="str">
        <f>VLOOKUP(B2855,Tabela_Auxiliar[],2,0)</f>
        <v>2. Deduções da Receita</v>
      </c>
      <c r="E2855" t="str">
        <f>VLOOKUP(B2855,Tabela_Auxiliar[],4,0)</f>
        <v>Imposto</v>
      </c>
      <c r="F2855" t="str">
        <f>VLOOKUP(B2855,Tabela_Auxiliar[],3,0)</f>
        <v>Saída</v>
      </c>
      <c r="G2855" t="str">
        <f>UPPER(TEXT(Tabela_DB[[#This Row],[DATA]],"mmm"))</f>
        <v>JUN</v>
      </c>
      <c r="H2855" t="str">
        <f>UPPER(TEXT(Tabela_DB[[#This Row],[DATA]],"aaaa"))</f>
        <v>2021</v>
      </c>
    </row>
    <row r="2856" spans="1:8" x14ac:dyDescent="0.25">
      <c r="A2856" s="2">
        <v>44373</v>
      </c>
      <c r="B2856" t="s">
        <v>57</v>
      </c>
      <c r="C2856">
        <v>-2436</v>
      </c>
      <c r="D2856" t="str">
        <f>VLOOKUP(B2856,Tabela_Auxiliar[],2,0)</f>
        <v>4. Despesas Operacionais</v>
      </c>
      <c r="E2856" t="str">
        <f>VLOOKUP(B2856,Tabela_Auxiliar[],4,0)</f>
        <v>Despesa com Pessoal</v>
      </c>
      <c r="F2856" t="str">
        <f>VLOOKUP(B2856,Tabela_Auxiliar[],3,0)</f>
        <v>Saída</v>
      </c>
      <c r="G2856" t="str">
        <f>UPPER(TEXT(Tabela_DB[[#This Row],[DATA]],"mmm"))</f>
        <v>JUN</v>
      </c>
      <c r="H2856" t="str">
        <f>UPPER(TEXT(Tabela_DB[[#This Row],[DATA]],"aaaa"))</f>
        <v>2021</v>
      </c>
    </row>
    <row r="2857" spans="1:8" x14ac:dyDescent="0.25">
      <c r="A2857" s="2">
        <v>44373</v>
      </c>
      <c r="B2857" t="s">
        <v>33</v>
      </c>
      <c r="C2857">
        <v>-1171</v>
      </c>
      <c r="D2857" t="str">
        <f>VLOOKUP(B2857,Tabela_Auxiliar[],2,0)</f>
        <v>4. Despesas Operacionais</v>
      </c>
      <c r="E2857" t="str">
        <f>VLOOKUP(B2857,Tabela_Auxiliar[],4,0)</f>
        <v>Despesa com Vendas</v>
      </c>
      <c r="F2857" t="str">
        <f>VLOOKUP(B2857,Tabela_Auxiliar[],3,0)</f>
        <v>Saída</v>
      </c>
      <c r="G2857" t="str">
        <f>UPPER(TEXT(Tabela_DB[[#This Row],[DATA]],"mmm"))</f>
        <v>JUN</v>
      </c>
      <c r="H2857" t="str">
        <f>UPPER(TEXT(Tabela_DB[[#This Row],[DATA]],"aaaa"))</f>
        <v>2021</v>
      </c>
    </row>
    <row r="2858" spans="1:8" x14ac:dyDescent="0.25">
      <c r="A2858" s="2">
        <v>44373</v>
      </c>
      <c r="B2858" t="s">
        <v>55</v>
      </c>
      <c r="C2858">
        <v>-1206</v>
      </c>
      <c r="D2858" t="str">
        <f>VLOOKUP(B2858,Tabela_Auxiliar[],2,0)</f>
        <v>4. Despesas Operacionais</v>
      </c>
      <c r="E2858" t="str">
        <f>VLOOKUP(B2858,Tabela_Auxiliar[],4,0)</f>
        <v>Despesa com Pessoal</v>
      </c>
      <c r="F2858" t="str">
        <f>VLOOKUP(B2858,Tabela_Auxiliar[],3,0)</f>
        <v>Saída</v>
      </c>
      <c r="G2858" t="str">
        <f>UPPER(TEXT(Tabela_DB[[#This Row],[DATA]],"mmm"))</f>
        <v>JUN</v>
      </c>
      <c r="H2858" t="str">
        <f>UPPER(TEXT(Tabela_DB[[#This Row],[DATA]],"aaaa"))</f>
        <v>2021</v>
      </c>
    </row>
    <row r="2859" spans="1:8" x14ac:dyDescent="0.25">
      <c r="A2859" s="2">
        <v>44373</v>
      </c>
      <c r="B2859" t="s">
        <v>35</v>
      </c>
      <c r="C2859">
        <v>-1795</v>
      </c>
      <c r="D2859" t="str">
        <f>VLOOKUP(B2859,Tabela_Auxiliar[],2,0)</f>
        <v>2. Deduções da Receita</v>
      </c>
      <c r="E2859" t="str">
        <f>VLOOKUP(B2859,Tabela_Auxiliar[],4,0)</f>
        <v>Imposto</v>
      </c>
      <c r="F2859" t="str">
        <f>VLOOKUP(B2859,Tabela_Auxiliar[],3,0)</f>
        <v>Saída</v>
      </c>
      <c r="G2859" t="str">
        <f>UPPER(TEXT(Tabela_DB[[#This Row],[DATA]],"mmm"))</f>
        <v>JUN</v>
      </c>
      <c r="H2859" t="str">
        <f>UPPER(TEXT(Tabela_DB[[#This Row],[DATA]],"aaaa"))</f>
        <v>2021</v>
      </c>
    </row>
    <row r="2860" spans="1:8" x14ac:dyDescent="0.25">
      <c r="A2860" s="2">
        <v>44373</v>
      </c>
      <c r="B2860" t="s">
        <v>4</v>
      </c>
      <c r="C2860">
        <v>10835</v>
      </c>
      <c r="D2860" t="str">
        <f>VLOOKUP(B2860,Tabela_Auxiliar[],2,0)</f>
        <v>1. Receita Operacional Bruta</v>
      </c>
      <c r="E2860" t="str">
        <f>VLOOKUP(B2860,Tabela_Auxiliar[],4,0)</f>
        <v>Receita Bruta</v>
      </c>
      <c r="F2860" t="str">
        <f>VLOOKUP(B2860,Tabela_Auxiliar[],3,0)</f>
        <v>Entrada</v>
      </c>
      <c r="G2860" t="str">
        <f>UPPER(TEXT(Tabela_DB[[#This Row],[DATA]],"mmm"))</f>
        <v>JUN</v>
      </c>
      <c r="H2860" t="str">
        <f>UPPER(TEXT(Tabela_DB[[#This Row],[DATA]],"aaaa"))</f>
        <v>2021</v>
      </c>
    </row>
    <row r="2861" spans="1:8" x14ac:dyDescent="0.25">
      <c r="A2861" s="2">
        <v>44373</v>
      </c>
      <c r="B2861" t="s">
        <v>65</v>
      </c>
      <c r="C2861">
        <v>-2101</v>
      </c>
      <c r="D2861" t="str">
        <f>VLOOKUP(B2861,Tabela_Auxiliar[],2,0)</f>
        <v>4. Despesas Operacionais</v>
      </c>
      <c r="E2861" t="str">
        <f>VLOOKUP(B2861,Tabela_Auxiliar[],4,0)</f>
        <v>Despesa Gerais</v>
      </c>
      <c r="F2861" t="str">
        <f>VLOOKUP(B2861,Tabela_Auxiliar[],3,0)</f>
        <v>Saída</v>
      </c>
      <c r="G2861" t="str">
        <f>UPPER(TEXT(Tabela_DB[[#This Row],[DATA]],"mmm"))</f>
        <v>JUN</v>
      </c>
      <c r="H2861" t="str">
        <f>UPPER(TEXT(Tabela_DB[[#This Row],[DATA]],"aaaa"))</f>
        <v>2021</v>
      </c>
    </row>
    <row r="2862" spans="1:8" x14ac:dyDescent="0.25">
      <c r="A2862" s="2">
        <v>44373</v>
      </c>
      <c r="B2862" t="s">
        <v>111</v>
      </c>
      <c r="C2862">
        <v>-1271</v>
      </c>
      <c r="D2862" t="str">
        <f>VLOOKUP(B2862,Tabela_Auxiliar[],2,0)</f>
        <v>2. Deduções da Receita</v>
      </c>
      <c r="E2862" t="str">
        <f>VLOOKUP(B2862,Tabela_Auxiliar[],4,0)</f>
        <v>Imposto</v>
      </c>
      <c r="F2862" t="str">
        <f>VLOOKUP(B2862,Tabela_Auxiliar[],3,0)</f>
        <v>Saída</v>
      </c>
      <c r="G2862" t="str">
        <f>UPPER(TEXT(Tabela_DB[[#This Row],[DATA]],"mmm"))</f>
        <v>JUN</v>
      </c>
      <c r="H2862" t="str">
        <f>UPPER(TEXT(Tabela_DB[[#This Row],[DATA]],"aaaa"))</f>
        <v>2021</v>
      </c>
    </row>
    <row r="2863" spans="1:8" x14ac:dyDescent="0.25">
      <c r="A2863" s="2">
        <v>44373</v>
      </c>
      <c r="B2863" t="s">
        <v>34</v>
      </c>
      <c r="C2863">
        <v>-1316</v>
      </c>
      <c r="D2863" t="str">
        <f>VLOOKUP(B2863,Tabela_Auxiliar[],2,0)</f>
        <v>2. Deduções da Receita</v>
      </c>
      <c r="E2863" t="str">
        <f>VLOOKUP(B2863,Tabela_Auxiliar[],4,0)</f>
        <v>Imposto</v>
      </c>
      <c r="F2863" t="str">
        <f>VLOOKUP(B2863,Tabela_Auxiliar[],3,0)</f>
        <v>Saída</v>
      </c>
      <c r="G2863" t="str">
        <f>UPPER(TEXT(Tabela_DB[[#This Row],[DATA]],"mmm"))</f>
        <v>JUN</v>
      </c>
      <c r="H2863" t="str">
        <f>UPPER(TEXT(Tabela_DB[[#This Row],[DATA]],"aaaa"))</f>
        <v>2021</v>
      </c>
    </row>
    <row r="2864" spans="1:8" x14ac:dyDescent="0.25">
      <c r="A2864" s="2">
        <v>44373</v>
      </c>
      <c r="B2864" t="s">
        <v>4</v>
      </c>
      <c r="C2864">
        <v>11464</v>
      </c>
      <c r="D2864" t="str">
        <f>VLOOKUP(B2864,Tabela_Auxiliar[],2,0)</f>
        <v>1. Receita Operacional Bruta</v>
      </c>
      <c r="E2864" t="str">
        <f>VLOOKUP(B2864,Tabela_Auxiliar[],4,0)</f>
        <v>Receita Bruta</v>
      </c>
      <c r="F2864" t="str">
        <f>VLOOKUP(B2864,Tabela_Auxiliar[],3,0)</f>
        <v>Entrada</v>
      </c>
      <c r="G2864" t="str">
        <f>UPPER(TEXT(Tabela_DB[[#This Row],[DATA]],"mmm"))</f>
        <v>JUN</v>
      </c>
      <c r="H2864" t="str">
        <f>UPPER(TEXT(Tabela_DB[[#This Row],[DATA]],"aaaa"))</f>
        <v>2021</v>
      </c>
    </row>
    <row r="2865" spans="1:8" x14ac:dyDescent="0.25">
      <c r="A2865" s="2">
        <v>44373</v>
      </c>
      <c r="B2865" t="s">
        <v>111</v>
      </c>
      <c r="C2865">
        <v>-1304</v>
      </c>
      <c r="D2865" t="str">
        <f>VLOOKUP(B2865,Tabela_Auxiliar[],2,0)</f>
        <v>2. Deduções da Receita</v>
      </c>
      <c r="E2865" t="str">
        <f>VLOOKUP(B2865,Tabela_Auxiliar[],4,0)</f>
        <v>Imposto</v>
      </c>
      <c r="F2865" t="str">
        <f>VLOOKUP(B2865,Tabela_Auxiliar[],3,0)</f>
        <v>Saída</v>
      </c>
      <c r="G2865" t="str">
        <f>UPPER(TEXT(Tabela_DB[[#This Row],[DATA]],"mmm"))</f>
        <v>JUN</v>
      </c>
      <c r="H2865" t="str">
        <f>UPPER(TEXT(Tabela_DB[[#This Row],[DATA]],"aaaa"))</f>
        <v>2021</v>
      </c>
    </row>
    <row r="2866" spans="1:8" x14ac:dyDescent="0.25">
      <c r="A2866" s="2">
        <v>44373</v>
      </c>
      <c r="B2866" t="s">
        <v>111</v>
      </c>
      <c r="C2866">
        <v>-1437</v>
      </c>
      <c r="D2866" t="str">
        <f>VLOOKUP(B2866,Tabela_Auxiliar[],2,0)</f>
        <v>2. Deduções da Receita</v>
      </c>
      <c r="E2866" t="str">
        <f>VLOOKUP(B2866,Tabela_Auxiliar[],4,0)</f>
        <v>Imposto</v>
      </c>
      <c r="F2866" t="str">
        <f>VLOOKUP(B2866,Tabela_Auxiliar[],3,0)</f>
        <v>Saída</v>
      </c>
      <c r="G2866" t="str">
        <f>UPPER(TEXT(Tabela_DB[[#This Row],[DATA]],"mmm"))</f>
        <v>JUN</v>
      </c>
      <c r="H2866" t="str">
        <f>UPPER(TEXT(Tabela_DB[[#This Row],[DATA]],"aaaa"))</f>
        <v>2021</v>
      </c>
    </row>
    <row r="2867" spans="1:8" x14ac:dyDescent="0.25">
      <c r="A2867" s="2">
        <v>44373</v>
      </c>
      <c r="B2867" t="s">
        <v>4</v>
      </c>
      <c r="C2867">
        <v>11979</v>
      </c>
      <c r="D2867" t="str">
        <f>VLOOKUP(B2867,Tabela_Auxiliar[],2,0)</f>
        <v>1. Receita Operacional Bruta</v>
      </c>
      <c r="E2867" t="str">
        <f>VLOOKUP(B2867,Tabela_Auxiliar[],4,0)</f>
        <v>Receita Bruta</v>
      </c>
      <c r="F2867" t="str">
        <f>VLOOKUP(B2867,Tabela_Auxiliar[],3,0)</f>
        <v>Entrada</v>
      </c>
      <c r="G2867" t="str">
        <f>UPPER(TEXT(Tabela_DB[[#This Row],[DATA]],"mmm"))</f>
        <v>JUN</v>
      </c>
      <c r="H2867" t="str">
        <f>UPPER(TEXT(Tabela_DB[[#This Row],[DATA]],"aaaa"))</f>
        <v>2021</v>
      </c>
    </row>
    <row r="2868" spans="1:8" x14ac:dyDescent="0.25">
      <c r="A2868" s="2">
        <v>44373</v>
      </c>
      <c r="B2868" t="s">
        <v>75</v>
      </c>
      <c r="C2868">
        <v>-1891</v>
      </c>
      <c r="D2868" t="str">
        <f>VLOOKUP(B2868,Tabela_Auxiliar[],2,0)</f>
        <v>4. Despesas Operacionais</v>
      </c>
      <c r="E2868" t="str">
        <f>VLOOKUP(B2868,Tabela_Auxiliar[],4,0)</f>
        <v>Serviços Contratados</v>
      </c>
      <c r="F2868" t="str">
        <f>VLOOKUP(B2868,Tabela_Auxiliar[],3,0)</f>
        <v>Saída</v>
      </c>
      <c r="G2868" t="str">
        <f>UPPER(TEXT(Tabela_DB[[#This Row],[DATA]],"mmm"))</f>
        <v>JUN</v>
      </c>
      <c r="H2868" t="str">
        <f>UPPER(TEXT(Tabela_DB[[#This Row],[DATA]],"aaaa"))</f>
        <v>2021</v>
      </c>
    </row>
    <row r="2869" spans="1:8" x14ac:dyDescent="0.25">
      <c r="A2869" s="2">
        <v>44373</v>
      </c>
      <c r="B2869" t="s">
        <v>111</v>
      </c>
      <c r="C2869">
        <v>-1174</v>
      </c>
      <c r="D2869" t="str">
        <f>VLOOKUP(B2869,Tabela_Auxiliar[],2,0)</f>
        <v>2. Deduções da Receita</v>
      </c>
      <c r="E2869" t="str">
        <f>VLOOKUP(B2869,Tabela_Auxiliar[],4,0)</f>
        <v>Imposto</v>
      </c>
      <c r="F2869" t="str">
        <f>VLOOKUP(B2869,Tabela_Auxiliar[],3,0)</f>
        <v>Saída</v>
      </c>
      <c r="G2869" t="str">
        <f>UPPER(TEXT(Tabela_DB[[#This Row],[DATA]],"mmm"))</f>
        <v>JUN</v>
      </c>
      <c r="H2869" t="str">
        <f>UPPER(TEXT(Tabela_DB[[#This Row],[DATA]],"aaaa"))</f>
        <v>2021</v>
      </c>
    </row>
    <row r="2870" spans="1:8" x14ac:dyDescent="0.25">
      <c r="A2870" s="2">
        <v>44373</v>
      </c>
      <c r="B2870" t="s">
        <v>38</v>
      </c>
      <c r="C2870">
        <v>-1424</v>
      </c>
      <c r="D2870" t="str">
        <f>VLOOKUP(B2870,Tabela_Auxiliar[],2,0)</f>
        <v>2. Deduções da Receita</v>
      </c>
      <c r="E2870" t="str">
        <f>VLOOKUP(B2870,Tabela_Auxiliar[],4,0)</f>
        <v>Deduções</v>
      </c>
      <c r="F2870" t="str">
        <f>VLOOKUP(B2870,Tabela_Auxiliar[],3,0)</f>
        <v>Saída</v>
      </c>
      <c r="G2870" t="str">
        <f>UPPER(TEXT(Tabela_DB[[#This Row],[DATA]],"mmm"))</f>
        <v>JUN</v>
      </c>
      <c r="H2870" t="str">
        <f>UPPER(TEXT(Tabela_DB[[#This Row],[DATA]],"aaaa"))</f>
        <v>2021</v>
      </c>
    </row>
    <row r="2871" spans="1:8" x14ac:dyDescent="0.25">
      <c r="A2871" s="2">
        <v>44373</v>
      </c>
      <c r="B2871" t="s">
        <v>3</v>
      </c>
      <c r="C2871">
        <v>12644</v>
      </c>
      <c r="D2871" t="str">
        <f>VLOOKUP(B2871,Tabela_Auxiliar[],2,0)</f>
        <v>1. Receita Operacional Bruta</v>
      </c>
      <c r="E2871" t="str">
        <f>VLOOKUP(B2871,Tabela_Auxiliar[],4,0)</f>
        <v>Receita Bruta</v>
      </c>
      <c r="F2871" t="str">
        <f>VLOOKUP(B2871,Tabela_Auxiliar[],3,0)</f>
        <v>Entrada</v>
      </c>
      <c r="G2871" t="str">
        <f>UPPER(TEXT(Tabela_DB[[#This Row],[DATA]],"mmm"))</f>
        <v>JUN</v>
      </c>
      <c r="H2871" t="str">
        <f>UPPER(TEXT(Tabela_DB[[#This Row],[DATA]],"aaaa"))</f>
        <v>2021</v>
      </c>
    </row>
    <row r="2872" spans="1:8" x14ac:dyDescent="0.25">
      <c r="A2872" s="2">
        <v>44373</v>
      </c>
      <c r="B2872" t="s">
        <v>85</v>
      </c>
      <c r="C2872">
        <v>-1828</v>
      </c>
      <c r="D2872" t="str">
        <f>VLOOKUP(B2872,Tabela_Auxiliar[],2,0)</f>
        <v>4. Despesas Operacionais</v>
      </c>
      <c r="E2872" t="str">
        <f>VLOOKUP(B2872,Tabela_Auxiliar[],4,0)</f>
        <v>Despesa com Veículos</v>
      </c>
      <c r="F2872" t="str">
        <f>VLOOKUP(B2872,Tabela_Auxiliar[],3,0)</f>
        <v>Saída</v>
      </c>
      <c r="G2872" t="str">
        <f>UPPER(TEXT(Tabela_DB[[#This Row],[DATA]],"mmm"))</f>
        <v>JUN</v>
      </c>
      <c r="H2872" t="str">
        <f>UPPER(TEXT(Tabela_DB[[#This Row],[DATA]],"aaaa"))</f>
        <v>2021</v>
      </c>
    </row>
    <row r="2873" spans="1:8" x14ac:dyDescent="0.25">
      <c r="A2873" s="2">
        <v>44373</v>
      </c>
      <c r="B2873" t="s">
        <v>111</v>
      </c>
      <c r="C2873">
        <v>-1785</v>
      </c>
      <c r="D2873" t="str">
        <f>VLOOKUP(B2873,Tabela_Auxiliar[],2,0)</f>
        <v>2. Deduções da Receita</v>
      </c>
      <c r="E2873" t="str">
        <f>VLOOKUP(B2873,Tabela_Auxiliar[],4,0)</f>
        <v>Imposto</v>
      </c>
      <c r="F2873" t="str">
        <f>VLOOKUP(B2873,Tabela_Auxiliar[],3,0)</f>
        <v>Saída</v>
      </c>
      <c r="G2873" t="str">
        <f>UPPER(TEXT(Tabela_DB[[#This Row],[DATA]],"mmm"))</f>
        <v>JUN</v>
      </c>
      <c r="H2873" t="str">
        <f>UPPER(TEXT(Tabela_DB[[#This Row],[DATA]],"aaaa"))</f>
        <v>2021</v>
      </c>
    </row>
    <row r="2874" spans="1:8" x14ac:dyDescent="0.25">
      <c r="A2874" s="2">
        <v>44374</v>
      </c>
      <c r="B2874" t="s">
        <v>37</v>
      </c>
      <c r="C2874">
        <v>-3520</v>
      </c>
      <c r="D2874" t="str">
        <f>VLOOKUP(B2874,Tabela_Auxiliar[],2,0)</f>
        <v>3. Custos do Produto/Mercadoria/Serviço</v>
      </c>
      <c r="E2874" t="str">
        <f>VLOOKUP(B2874,Tabela_Auxiliar[],4,0)</f>
        <v>Despesas c/ Produto</v>
      </c>
      <c r="F2874" t="str">
        <f>VLOOKUP(B2874,Tabela_Auxiliar[],3,0)</f>
        <v>Saída</v>
      </c>
      <c r="G2874" t="str">
        <f>UPPER(TEXT(Tabela_DB[[#This Row],[DATA]],"mmm"))</f>
        <v>JUN</v>
      </c>
      <c r="H2874" t="str">
        <f>UPPER(TEXT(Tabela_DB[[#This Row],[DATA]],"aaaa"))</f>
        <v>2021</v>
      </c>
    </row>
    <row r="2875" spans="1:8" x14ac:dyDescent="0.25">
      <c r="A2875" s="2">
        <v>44374</v>
      </c>
      <c r="B2875" t="s">
        <v>37</v>
      </c>
      <c r="C2875">
        <v>-3913</v>
      </c>
      <c r="D2875" t="str">
        <f>VLOOKUP(B2875,Tabela_Auxiliar[],2,0)</f>
        <v>3. Custos do Produto/Mercadoria/Serviço</v>
      </c>
      <c r="E2875" t="str">
        <f>VLOOKUP(B2875,Tabela_Auxiliar[],4,0)</f>
        <v>Despesas c/ Produto</v>
      </c>
      <c r="F2875" t="str">
        <f>VLOOKUP(B2875,Tabela_Auxiliar[],3,0)</f>
        <v>Saída</v>
      </c>
      <c r="G2875" t="str">
        <f>UPPER(TEXT(Tabela_DB[[#This Row],[DATA]],"mmm"))</f>
        <v>JUN</v>
      </c>
      <c r="H2875" t="str">
        <f>UPPER(TEXT(Tabela_DB[[#This Row],[DATA]],"aaaa"))</f>
        <v>2021</v>
      </c>
    </row>
    <row r="2876" spans="1:8" x14ac:dyDescent="0.25">
      <c r="A2876" s="2">
        <v>44374</v>
      </c>
      <c r="B2876" t="s">
        <v>4</v>
      </c>
      <c r="C2876">
        <v>14710</v>
      </c>
      <c r="D2876" t="str">
        <f>VLOOKUP(B2876,Tabela_Auxiliar[],2,0)</f>
        <v>1. Receita Operacional Bruta</v>
      </c>
      <c r="E2876" t="str">
        <f>VLOOKUP(B2876,Tabela_Auxiliar[],4,0)</f>
        <v>Receita Bruta</v>
      </c>
      <c r="F2876" t="str">
        <f>VLOOKUP(B2876,Tabela_Auxiliar[],3,0)</f>
        <v>Entrada</v>
      </c>
      <c r="G2876" t="str">
        <f>UPPER(TEXT(Tabela_DB[[#This Row],[DATA]],"mmm"))</f>
        <v>JUN</v>
      </c>
      <c r="H2876" t="str">
        <f>UPPER(TEXT(Tabela_DB[[#This Row],[DATA]],"aaaa"))</f>
        <v>2021</v>
      </c>
    </row>
    <row r="2877" spans="1:8" x14ac:dyDescent="0.25">
      <c r="A2877" s="2">
        <v>44374</v>
      </c>
      <c r="B2877" t="s">
        <v>34</v>
      </c>
      <c r="C2877">
        <v>-1593</v>
      </c>
      <c r="D2877" t="str">
        <f>VLOOKUP(B2877,Tabela_Auxiliar[],2,0)</f>
        <v>2. Deduções da Receita</v>
      </c>
      <c r="E2877" t="str">
        <f>VLOOKUP(B2877,Tabela_Auxiliar[],4,0)</f>
        <v>Imposto</v>
      </c>
      <c r="F2877" t="str">
        <f>VLOOKUP(B2877,Tabela_Auxiliar[],3,0)</f>
        <v>Saída</v>
      </c>
      <c r="G2877" t="str">
        <f>UPPER(TEXT(Tabela_DB[[#This Row],[DATA]],"mmm"))</f>
        <v>JUN</v>
      </c>
      <c r="H2877" t="str">
        <f>UPPER(TEXT(Tabela_DB[[#This Row],[DATA]],"aaaa"))</f>
        <v>2021</v>
      </c>
    </row>
    <row r="2878" spans="1:8" x14ac:dyDescent="0.25">
      <c r="A2878" s="2">
        <v>44374</v>
      </c>
      <c r="B2878" t="s">
        <v>80</v>
      </c>
      <c r="C2878">
        <v>-2325</v>
      </c>
      <c r="D2878" t="str">
        <f>VLOOKUP(B2878,Tabela_Auxiliar[],2,0)</f>
        <v>4. Despesas Operacionais</v>
      </c>
      <c r="E2878" t="str">
        <f>VLOOKUP(B2878,Tabela_Auxiliar[],4,0)</f>
        <v>Serviços Contratados</v>
      </c>
      <c r="F2878" t="str">
        <f>VLOOKUP(B2878,Tabela_Auxiliar[],3,0)</f>
        <v>Saída</v>
      </c>
      <c r="G2878" t="str">
        <f>UPPER(TEXT(Tabela_DB[[#This Row],[DATA]],"mmm"))</f>
        <v>JUN</v>
      </c>
      <c r="H2878" t="str">
        <f>UPPER(TEXT(Tabela_DB[[#This Row],[DATA]],"aaaa"))</f>
        <v>2021</v>
      </c>
    </row>
    <row r="2879" spans="1:8" x14ac:dyDescent="0.25">
      <c r="A2879" s="2">
        <v>44374</v>
      </c>
      <c r="B2879" t="s">
        <v>46</v>
      </c>
      <c r="C2879">
        <v>-1255</v>
      </c>
      <c r="D2879" t="str">
        <f>VLOOKUP(B2879,Tabela_Auxiliar[],2,0)</f>
        <v>4. Despesas Operacionais</v>
      </c>
      <c r="E2879" t="str">
        <f>VLOOKUP(B2879,Tabela_Auxiliar[],4,0)</f>
        <v>Despesa com Pessoal</v>
      </c>
      <c r="F2879" t="str">
        <f>VLOOKUP(B2879,Tabela_Auxiliar[],3,0)</f>
        <v>Saída</v>
      </c>
      <c r="G2879" t="str">
        <f>UPPER(TEXT(Tabela_DB[[#This Row],[DATA]],"mmm"))</f>
        <v>JUN</v>
      </c>
      <c r="H2879" t="str">
        <f>UPPER(TEXT(Tabela_DB[[#This Row],[DATA]],"aaaa"))</f>
        <v>2021</v>
      </c>
    </row>
    <row r="2880" spans="1:8" x14ac:dyDescent="0.25">
      <c r="A2880" s="2">
        <v>44374</v>
      </c>
      <c r="B2880" t="s">
        <v>81</v>
      </c>
      <c r="C2880">
        <v>-1331</v>
      </c>
      <c r="D2880" t="str">
        <f>VLOOKUP(B2880,Tabela_Auxiliar[],2,0)</f>
        <v>4. Despesas Operacionais</v>
      </c>
      <c r="E2880" t="str">
        <f>VLOOKUP(B2880,Tabela_Auxiliar[],4,0)</f>
        <v>Serviços Contratados</v>
      </c>
      <c r="F2880" t="str">
        <f>VLOOKUP(B2880,Tabela_Auxiliar[],3,0)</f>
        <v>Saída</v>
      </c>
      <c r="G2880" t="str">
        <f>UPPER(TEXT(Tabela_DB[[#This Row],[DATA]],"mmm"))</f>
        <v>JUN</v>
      </c>
      <c r="H2880" t="str">
        <f>UPPER(TEXT(Tabela_DB[[#This Row],[DATA]],"aaaa"))</f>
        <v>2021</v>
      </c>
    </row>
    <row r="2881" spans="1:8" x14ac:dyDescent="0.25">
      <c r="A2881" s="2">
        <v>44374</v>
      </c>
      <c r="B2881" t="s">
        <v>111</v>
      </c>
      <c r="C2881">
        <v>-2325</v>
      </c>
      <c r="D2881" t="str">
        <f>VLOOKUP(B2881,Tabela_Auxiliar[],2,0)</f>
        <v>2. Deduções da Receita</v>
      </c>
      <c r="E2881" t="str">
        <f>VLOOKUP(B2881,Tabela_Auxiliar[],4,0)</f>
        <v>Imposto</v>
      </c>
      <c r="F2881" t="str">
        <f>VLOOKUP(B2881,Tabela_Auxiliar[],3,0)</f>
        <v>Saída</v>
      </c>
      <c r="G2881" t="str">
        <f>UPPER(TEXT(Tabela_DB[[#This Row],[DATA]],"mmm"))</f>
        <v>JUN</v>
      </c>
      <c r="H2881" t="str">
        <f>UPPER(TEXT(Tabela_DB[[#This Row],[DATA]],"aaaa"))</f>
        <v>2021</v>
      </c>
    </row>
    <row r="2882" spans="1:8" x14ac:dyDescent="0.25">
      <c r="A2882" s="2">
        <v>44374</v>
      </c>
      <c r="B2882" t="s">
        <v>38</v>
      </c>
      <c r="C2882">
        <v>-2268</v>
      </c>
      <c r="D2882" t="str">
        <f>VLOOKUP(B2882,Tabela_Auxiliar[],2,0)</f>
        <v>2. Deduções da Receita</v>
      </c>
      <c r="E2882" t="str">
        <f>VLOOKUP(B2882,Tabela_Auxiliar[],4,0)</f>
        <v>Deduções</v>
      </c>
      <c r="F2882" t="str">
        <f>VLOOKUP(B2882,Tabela_Auxiliar[],3,0)</f>
        <v>Saída</v>
      </c>
      <c r="G2882" t="str">
        <f>UPPER(TEXT(Tabela_DB[[#This Row],[DATA]],"mmm"))</f>
        <v>JUN</v>
      </c>
      <c r="H2882" t="str">
        <f>UPPER(TEXT(Tabela_DB[[#This Row],[DATA]],"aaaa"))</f>
        <v>2021</v>
      </c>
    </row>
    <row r="2883" spans="1:8" x14ac:dyDescent="0.25">
      <c r="A2883" s="2">
        <v>44374</v>
      </c>
      <c r="B2883" t="s">
        <v>37</v>
      </c>
      <c r="C2883">
        <v>-4785</v>
      </c>
      <c r="D2883" t="str">
        <f>VLOOKUP(B2883,Tabela_Auxiliar[],2,0)</f>
        <v>3. Custos do Produto/Mercadoria/Serviço</v>
      </c>
      <c r="E2883" t="str">
        <f>VLOOKUP(B2883,Tabela_Auxiliar[],4,0)</f>
        <v>Despesas c/ Produto</v>
      </c>
      <c r="F2883" t="str">
        <f>VLOOKUP(B2883,Tabela_Auxiliar[],3,0)</f>
        <v>Saída</v>
      </c>
      <c r="G2883" t="str">
        <f>UPPER(TEXT(Tabela_DB[[#This Row],[DATA]],"mmm"))</f>
        <v>JUN</v>
      </c>
      <c r="H2883" t="str">
        <f>UPPER(TEXT(Tabela_DB[[#This Row],[DATA]],"aaaa"))</f>
        <v>2021</v>
      </c>
    </row>
    <row r="2884" spans="1:8" x14ac:dyDescent="0.25">
      <c r="A2884" s="2">
        <v>44374</v>
      </c>
      <c r="B2884" t="s">
        <v>48</v>
      </c>
      <c r="C2884">
        <v>-1256</v>
      </c>
      <c r="D2884" t="str">
        <f>VLOOKUP(B2884,Tabela_Auxiliar[],2,0)</f>
        <v>4. Despesas Operacionais</v>
      </c>
      <c r="E2884" t="str">
        <f>VLOOKUP(B2884,Tabela_Auxiliar[],4,0)</f>
        <v>Despesa com Pessoal</v>
      </c>
      <c r="F2884" t="str">
        <f>VLOOKUP(B2884,Tabela_Auxiliar[],3,0)</f>
        <v>Saída</v>
      </c>
      <c r="G2884" t="str">
        <f>UPPER(TEXT(Tabela_DB[[#This Row],[DATA]],"mmm"))</f>
        <v>JUN</v>
      </c>
      <c r="H2884" t="str">
        <f>UPPER(TEXT(Tabela_DB[[#This Row],[DATA]],"aaaa"))</f>
        <v>2021</v>
      </c>
    </row>
    <row r="2885" spans="1:8" x14ac:dyDescent="0.25">
      <c r="A2885" s="2">
        <v>44374</v>
      </c>
      <c r="B2885" t="s">
        <v>4</v>
      </c>
      <c r="C2885">
        <v>10702</v>
      </c>
      <c r="D2885" t="str">
        <f>VLOOKUP(B2885,Tabela_Auxiliar[],2,0)</f>
        <v>1. Receita Operacional Bruta</v>
      </c>
      <c r="E2885" t="str">
        <f>VLOOKUP(B2885,Tabela_Auxiliar[],4,0)</f>
        <v>Receita Bruta</v>
      </c>
      <c r="F2885" t="str">
        <f>VLOOKUP(B2885,Tabela_Auxiliar[],3,0)</f>
        <v>Entrada</v>
      </c>
      <c r="G2885" t="str">
        <f>UPPER(TEXT(Tabela_DB[[#This Row],[DATA]],"mmm"))</f>
        <v>JUN</v>
      </c>
      <c r="H2885" t="str">
        <f>UPPER(TEXT(Tabela_DB[[#This Row],[DATA]],"aaaa"))</f>
        <v>2021</v>
      </c>
    </row>
    <row r="2886" spans="1:8" x14ac:dyDescent="0.25">
      <c r="A2886" s="2">
        <v>44374</v>
      </c>
      <c r="B2886" t="s">
        <v>35</v>
      </c>
      <c r="C2886">
        <v>-1510</v>
      </c>
      <c r="D2886" t="str">
        <f>VLOOKUP(B2886,Tabela_Auxiliar[],2,0)</f>
        <v>2. Deduções da Receita</v>
      </c>
      <c r="E2886" t="str">
        <f>VLOOKUP(B2886,Tabela_Auxiliar[],4,0)</f>
        <v>Imposto</v>
      </c>
      <c r="F2886" t="str">
        <f>VLOOKUP(B2886,Tabela_Auxiliar[],3,0)</f>
        <v>Saída</v>
      </c>
      <c r="G2886" t="str">
        <f>UPPER(TEXT(Tabela_DB[[#This Row],[DATA]],"mmm"))</f>
        <v>JUN</v>
      </c>
      <c r="H2886" t="str">
        <f>UPPER(TEXT(Tabela_DB[[#This Row],[DATA]],"aaaa"))</f>
        <v>2021</v>
      </c>
    </row>
    <row r="2887" spans="1:8" x14ac:dyDescent="0.25">
      <c r="A2887" s="2">
        <v>44374</v>
      </c>
      <c r="B2887" t="s">
        <v>64</v>
      </c>
      <c r="C2887">
        <v>-1323</v>
      </c>
      <c r="D2887" t="str">
        <f>VLOOKUP(B2887,Tabela_Auxiliar[],2,0)</f>
        <v>4. Despesas Operacionais</v>
      </c>
      <c r="E2887" t="str">
        <f>VLOOKUP(B2887,Tabela_Auxiliar[],4,0)</f>
        <v>Despesa Gerais</v>
      </c>
      <c r="F2887" t="str">
        <f>VLOOKUP(B2887,Tabela_Auxiliar[],3,0)</f>
        <v>Saída</v>
      </c>
      <c r="G2887" t="str">
        <f>UPPER(TEXT(Tabela_DB[[#This Row],[DATA]],"mmm"))</f>
        <v>JUN</v>
      </c>
      <c r="H2887" t="str">
        <f>UPPER(TEXT(Tabela_DB[[#This Row],[DATA]],"aaaa"))</f>
        <v>2021</v>
      </c>
    </row>
    <row r="2888" spans="1:8" x14ac:dyDescent="0.25">
      <c r="A2888" s="2">
        <v>44375</v>
      </c>
      <c r="B2888" t="s">
        <v>38</v>
      </c>
      <c r="C2888">
        <v>-1983</v>
      </c>
      <c r="D2888" t="str">
        <f>VLOOKUP(B2888,Tabela_Auxiliar[],2,0)</f>
        <v>2. Deduções da Receita</v>
      </c>
      <c r="E2888" t="str">
        <f>VLOOKUP(B2888,Tabela_Auxiliar[],4,0)</f>
        <v>Deduções</v>
      </c>
      <c r="F2888" t="str">
        <f>VLOOKUP(B2888,Tabela_Auxiliar[],3,0)</f>
        <v>Saída</v>
      </c>
      <c r="G2888" t="str">
        <f>UPPER(TEXT(Tabela_DB[[#This Row],[DATA]],"mmm"))</f>
        <v>JUN</v>
      </c>
      <c r="H2888" t="str">
        <f>UPPER(TEXT(Tabela_DB[[#This Row],[DATA]],"aaaa"))</f>
        <v>2021</v>
      </c>
    </row>
    <row r="2889" spans="1:8" x14ac:dyDescent="0.25">
      <c r="A2889" s="2">
        <v>44375</v>
      </c>
      <c r="B2889" t="s">
        <v>4</v>
      </c>
      <c r="C2889">
        <v>14788</v>
      </c>
      <c r="D2889" t="str">
        <f>VLOOKUP(B2889,Tabela_Auxiliar[],2,0)</f>
        <v>1. Receita Operacional Bruta</v>
      </c>
      <c r="E2889" t="str">
        <f>VLOOKUP(B2889,Tabela_Auxiliar[],4,0)</f>
        <v>Receita Bruta</v>
      </c>
      <c r="F2889" t="str">
        <f>VLOOKUP(B2889,Tabela_Auxiliar[],3,0)</f>
        <v>Entrada</v>
      </c>
      <c r="G2889" t="str">
        <f>UPPER(TEXT(Tabela_DB[[#This Row],[DATA]],"mmm"))</f>
        <v>JUN</v>
      </c>
      <c r="H2889" t="str">
        <f>UPPER(TEXT(Tabela_DB[[#This Row],[DATA]],"aaaa"))</f>
        <v>2021</v>
      </c>
    </row>
    <row r="2890" spans="1:8" x14ac:dyDescent="0.25">
      <c r="A2890" s="2">
        <v>44375</v>
      </c>
      <c r="B2890" t="s">
        <v>3</v>
      </c>
      <c r="C2890">
        <v>13146</v>
      </c>
      <c r="D2890" t="str">
        <f>VLOOKUP(B2890,Tabela_Auxiliar[],2,0)</f>
        <v>1. Receita Operacional Bruta</v>
      </c>
      <c r="E2890" t="str">
        <f>VLOOKUP(B2890,Tabela_Auxiliar[],4,0)</f>
        <v>Receita Bruta</v>
      </c>
      <c r="F2890" t="str">
        <f>VLOOKUP(B2890,Tabela_Auxiliar[],3,0)</f>
        <v>Entrada</v>
      </c>
      <c r="G2890" t="str">
        <f>UPPER(TEXT(Tabela_DB[[#This Row],[DATA]],"mmm"))</f>
        <v>JUN</v>
      </c>
      <c r="H2890" t="str">
        <f>UPPER(TEXT(Tabela_DB[[#This Row],[DATA]],"aaaa"))</f>
        <v>2021</v>
      </c>
    </row>
    <row r="2891" spans="1:8" x14ac:dyDescent="0.25">
      <c r="A2891" s="2">
        <v>44375</v>
      </c>
      <c r="B2891" t="s">
        <v>67</v>
      </c>
      <c r="C2891">
        <v>-2236</v>
      </c>
      <c r="D2891" t="str">
        <f>VLOOKUP(B2891,Tabela_Auxiliar[],2,0)</f>
        <v>4. Despesas Operacionais</v>
      </c>
      <c r="E2891" t="str">
        <f>VLOOKUP(B2891,Tabela_Auxiliar[],4,0)</f>
        <v>Despesa com Vendas</v>
      </c>
      <c r="F2891" t="str">
        <f>VLOOKUP(B2891,Tabela_Auxiliar[],3,0)</f>
        <v>Saída</v>
      </c>
      <c r="G2891" t="str">
        <f>UPPER(TEXT(Tabela_DB[[#This Row],[DATA]],"mmm"))</f>
        <v>JUN</v>
      </c>
      <c r="H2891" t="str">
        <f>UPPER(TEXT(Tabela_DB[[#This Row],[DATA]],"aaaa"))</f>
        <v>2021</v>
      </c>
    </row>
    <row r="2892" spans="1:8" x14ac:dyDescent="0.25">
      <c r="A2892" s="2">
        <v>44375</v>
      </c>
      <c r="B2892" t="s">
        <v>43</v>
      </c>
      <c r="C2892">
        <v>-1349</v>
      </c>
      <c r="D2892" t="str">
        <f>VLOOKUP(B2892,Tabela_Auxiliar[],2,0)</f>
        <v>4. Despesas Operacionais</v>
      </c>
      <c r="E2892" t="str">
        <f>VLOOKUP(B2892,Tabela_Auxiliar[],4,0)</f>
        <v>Despesa com Pessoal</v>
      </c>
      <c r="F2892" t="str">
        <f>VLOOKUP(B2892,Tabela_Auxiliar[],3,0)</f>
        <v>Saída</v>
      </c>
      <c r="G2892" t="str">
        <f>UPPER(TEXT(Tabela_DB[[#This Row],[DATA]],"mmm"))</f>
        <v>JUN</v>
      </c>
      <c r="H2892" t="str">
        <f>UPPER(TEXT(Tabela_DB[[#This Row],[DATA]],"aaaa"))</f>
        <v>2021</v>
      </c>
    </row>
    <row r="2893" spans="1:8" x14ac:dyDescent="0.25">
      <c r="A2893" s="2">
        <v>44375</v>
      </c>
      <c r="B2893" t="s">
        <v>4</v>
      </c>
      <c r="C2893">
        <v>14202</v>
      </c>
      <c r="D2893" t="str">
        <f>VLOOKUP(B2893,Tabela_Auxiliar[],2,0)</f>
        <v>1. Receita Operacional Bruta</v>
      </c>
      <c r="E2893" t="str">
        <f>VLOOKUP(B2893,Tabela_Auxiliar[],4,0)</f>
        <v>Receita Bruta</v>
      </c>
      <c r="F2893" t="str">
        <f>VLOOKUP(B2893,Tabela_Auxiliar[],3,0)</f>
        <v>Entrada</v>
      </c>
      <c r="G2893" t="str">
        <f>UPPER(TEXT(Tabela_DB[[#This Row],[DATA]],"mmm"))</f>
        <v>JUN</v>
      </c>
      <c r="H2893" t="str">
        <f>UPPER(TEXT(Tabela_DB[[#This Row],[DATA]],"aaaa"))</f>
        <v>2021</v>
      </c>
    </row>
    <row r="2894" spans="1:8" x14ac:dyDescent="0.25">
      <c r="A2894" s="2">
        <v>44375</v>
      </c>
      <c r="B2894" t="s">
        <v>3</v>
      </c>
      <c r="C2894">
        <v>14280</v>
      </c>
      <c r="D2894" t="str">
        <f>VLOOKUP(B2894,Tabela_Auxiliar[],2,0)</f>
        <v>1. Receita Operacional Bruta</v>
      </c>
      <c r="E2894" t="str">
        <f>VLOOKUP(B2894,Tabela_Auxiliar[],4,0)</f>
        <v>Receita Bruta</v>
      </c>
      <c r="F2894" t="str">
        <f>VLOOKUP(B2894,Tabela_Auxiliar[],3,0)</f>
        <v>Entrada</v>
      </c>
      <c r="G2894" t="str">
        <f>UPPER(TEXT(Tabela_DB[[#This Row],[DATA]],"mmm"))</f>
        <v>JUN</v>
      </c>
      <c r="H2894" t="str">
        <f>UPPER(TEXT(Tabela_DB[[#This Row],[DATA]],"aaaa"))</f>
        <v>2021</v>
      </c>
    </row>
    <row r="2895" spans="1:8" x14ac:dyDescent="0.25">
      <c r="A2895" s="2">
        <v>44375</v>
      </c>
      <c r="B2895" t="s">
        <v>81</v>
      </c>
      <c r="C2895">
        <v>-2259</v>
      </c>
      <c r="D2895" t="str">
        <f>VLOOKUP(B2895,Tabela_Auxiliar[],2,0)</f>
        <v>4. Despesas Operacionais</v>
      </c>
      <c r="E2895" t="str">
        <f>VLOOKUP(B2895,Tabela_Auxiliar[],4,0)</f>
        <v>Serviços Contratados</v>
      </c>
      <c r="F2895" t="str">
        <f>VLOOKUP(B2895,Tabela_Auxiliar[],3,0)</f>
        <v>Saída</v>
      </c>
      <c r="G2895" t="str">
        <f>UPPER(TEXT(Tabela_DB[[#This Row],[DATA]],"mmm"))</f>
        <v>JUN</v>
      </c>
      <c r="H2895" t="str">
        <f>UPPER(TEXT(Tabela_DB[[#This Row],[DATA]],"aaaa"))</f>
        <v>2021</v>
      </c>
    </row>
    <row r="2896" spans="1:8" x14ac:dyDescent="0.25">
      <c r="A2896" s="2">
        <v>44375</v>
      </c>
      <c r="B2896" t="s">
        <v>35</v>
      </c>
      <c r="C2896">
        <v>-2049</v>
      </c>
      <c r="D2896" t="str">
        <f>VLOOKUP(B2896,Tabela_Auxiliar[],2,0)</f>
        <v>2. Deduções da Receita</v>
      </c>
      <c r="E2896" t="str">
        <f>VLOOKUP(B2896,Tabela_Auxiliar[],4,0)</f>
        <v>Imposto</v>
      </c>
      <c r="F2896" t="str">
        <f>VLOOKUP(B2896,Tabela_Auxiliar[],3,0)</f>
        <v>Saída</v>
      </c>
      <c r="G2896" t="str">
        <f>UPPER(TEXT(Tabela_DB[[#This Row],[DATA]],"mmm"))</f>
        <v>JUN</v>
      </c>
      <c r="H2896" t="str">
        <f>UPPER(TEXT(Tabela_DB[[#This Row],[DATA]],"aaaa"))</f>
        <v>2021</v>
      </c>
    </row>
    <row r="2897" spans="1:8" x14ac:dyDescent="0.25">
      <c r="A2897" s="2">
        <v>44375</v>
      </c>
      <c r="B2897" t="s">
        <v>4</v>
      </c>
      <c r="C2897">
        <v>13551</v>
      </c>
      <c r="D2897" t="str">
        <f>VLOOKUP(B2897,Tabela_Auxiliar[],2,0)</f>
        <v>1. Receita Operacional Bruta</v>
      </c>
      <c r="E2897" t="str">
        <f>VLOOKUP(B2897,Tabela_Auxiliar[],4,0)</f>
        <v>Receita Bruta</v>
      </c>
      <c r="F2897" t="str">
        <f>VLOOKUP(B2897,Tabela_Auxiliar[],3,0)</f>
        <v>Entrada</v>
      </c>
      <c r="G2897" t="str">
        <f>UPPER(TEXT(Tabela_DB[[#This Row],[DATA]],"mmm"))</f>
        <v>JUN</v>
      </c>
      <c r="H2897" t="str">
        <f>UPPER(TEXT(Tabela_DB[[#This Row],[DATA]],"aaaa"))</f>
        <v>2021</v>
      </c>
    </row>
    <row r="2898" spans="1:8" x14ac:dyDescent="0.25">
      <c r="A2898" s="2">
        <v>44376</v>
      </c>
      <c r="B2898" t="s">
        <v>4</v>
      </c>
      <c r="C2898">
        <v>14398</v>
      </c>
      <c r="D2898" t="str">
        <f>VLOOKUP(B2898,Tabela_Auxiliar[],2,0)</f>
        <v>1. Receita Operacional Bruta</v>
      </c>
      <c r="E2898" t="str">
        <f>VLOOKUP(B2898,Tabela_Auxiliar[],4,0)</f>
        <v>Receita Bruta</v>
      </c>
      <c r="F2898" t="str">
        <f>VLOOKUP(B2898,Tabela_Auxiliar[],3,0)</f>
        <v>Entrada</v>
      </c>
      <c r="G2898" t="str">
        <f>UPPER(TEXT(Tabela_DB[[#This Row],[DATA]],"mmm"))</f>
        <v>JUN</v>
      </c>
      <c r="H2898" t="str">
        <f>UPPER(TEXT(Tabela_DB[[#This Row],[DATA]],"aaaa"))</f>
        <v>2021</v>
      </c>
    </row>
    <row r="2899" spans="1:8" x14ac:dyDescent="0.25">
      <c r="A2899" s="2">
        <v>44376</v>
      </c>
      <c r="B2899" t="s">
        <v>76</v>
      </c>
      <c r="C2899">
        <v>-2225</v>
      </c>
      <c r="D2899" t="str">
        <f>VLOOKUP(B2899,Tabela_Auxiliar[],2,0)</f>
        <v>4. Despesas Operacionais</v>
      </c>
      <c r="E2899" t="str">
        <f>VLOOKUP(B2899,Tabela_Auxiliar[],4,0)</f>
        <v>Serviços Contratados</v>
      </c>
      <c r="F2899" t="str">
        <f>VLOOKUP(B2899,Tabela_Auxiliar[],3,0)</f>
        <v>Saída</v>
      </c>
      <c r="G2899" t="str">
        <f>UPPER(TEXT(Tabela_DB[[#This Row],[DATA]],"mmm"))</f>
        <v>JUN</v>
      </c>
      <c r="H2899" t="str">
        <f>UPPER(TEXT(Tabela_DB[[#This Row],[DATA]],"aaaa"))</f>
        <v>2021</v>
      </c>
    </row>
    <row r="2900" spans="1:8" x14ac:dyDescent="0.25">
      <c r="A2900" s="2">
        <v>44376</v>
      </c>
      <c r="B2900" t="s">
        <v>3</v>
      </c>
      <c r="C2900">
        <v>13378</v>
      </c>
      <c r="D2900" t="str">
        <f>VLOOKUP(B2900,Tabela_Auxiliar[],2,0)</f>
        <v>1. Receita Operacional Bruta</v>
      </c>
      <c r="E2900" t="str">
        <f>VLOOKUP(B2900,Tabela_Auxiliar[],4,0)</f>
        <v>Receita Bruta</v>
      </c>
      <c r="F2900" t="str">
        <f>VLOOKUP(B2900,Tabela_Auxiliar[],3,0)</f>
        <v>Entrada</v>
      </c>
      <c r="G2900" t="str">
        <f>UPPER(TEXT(Tabela_DB[[#This Row],[DATA]],"mmm"))</f>
        <v>JUN</v>
      </c>
      <c r="H2900" t="str">
        <f>UPPER(TEXT(Tabela_DB[[#This Row],[DATA]],"aaaa"))</f>
        <v>2021</v>
      </c>
    </row>
    <row r="2901" spans="1:8" x14ac:dyDescent="0.25">
      <c r="A2901" s="2">
        <v>44376</v>
      </c>
      <c r="B2901" t="s">
        <v>4</v>
      </c>
      <c r="C2901">
        <v>12519</v>
      </c>
      <c r="D2901" t="str">
        <f>VLOOKUP(B2901,Tabela_Auxiliar[],2,0)</f>
        <v>1. Receita Operacional Bruta</v>
      </c>
      <c r="E2901" t="str">
        <f>VLOOKUP(B2901,Tabela_Auxiliar[],4,0)</f>
        <v>Receita Bruta</v>
      </c>
      <c r="F2901" t="str">
        <f>VLOOKUP(B2901,Tabela_Auxiliar[],3,0)</f>
        <v>Entrada</v>
      </c>
      <c r="G2901" t="str">
        <f>UPPER(TEXT(Tabela_DB[[#This Row],[DATA]],"mmm"))</f>
        <v>JUN</v>
      </c>
      <c r="H2901" t="str">
        <f>UPPER(TEXT(Tabela_DB[[#This Row],[DATA]],"aaaa"))</f>
        <v>2021</v>
      </c>
    </row>
    <row r="2902" spans="1:8" x14ac:dyDescent="0.25">
      <c r="A2902" s="2">
        <v>44376</v>
      </c>
      <c r="B2902" t="s">
        <v>3</v>
      </c>
      <c r="C2902">
        <v>12030</v>
      </c>
      <c r="D2902" t="str">
        <f>VLOOKUP(B2902,Tabela_Auxiliar[],2,0)</f>
        <v>1. Receita Operacional Bruta</v>
      </c>
      <c r="E2902" t="str">
        <f>VLOOKUP(B2902,Tabela_Auxiliar[],4,0)</f>
        <v>Receita Bruta</v>
      </c>
      <c r="F2902" t="str">
        <f>VLOOKUP(B2902,Tabela_Auxiliar[],3,0)</f>
        <v>Entrada</v>
      </c>
      <c r="G2902" t="str">
        <f>UPPER(TEXT(Tabela_DB[[#This Row],[DATA]],"mmm"))</f>
        <v>JUN</v>
      </c>
      <c r="H2902" t="str">
        <f>UPPER(TEXT(Tabela_DB[[#This Row],[DATA]],"aaaa"))</f>
        <v>2021</v>
      </c>
    </row>
    <row r="2903" spans="1:8" x14ac:dyDescent="0.25">
      <c r="A2903" s="2">
        <v>44376</v>
      </c>
      <c r="B2903" t="s">
        <v>34</v>
      </c>
      <c r="C2903">
        <v>-2486</v>
      </c>
      <c r="D2903" t="str">
        <f>VLOOKUP(B2903,Tabela_Auxiliar[],2,0)</f>
        <v>2. Deduções da Receita</v>
      </c>
      <c r="E2903" t="str">
        <f>VLOOKUP(B2903,Tabela_Auxiliar[],4,0)</f>
        <v>Imposto</v>
      </c>
      <c r="F2903" t="str">
        <f>VLOOKUP(B2903,Tabela_Auxiliar[],3,0)</f>
        <v>Saída</v>
      </c>
      <c r="G2903" t="str">
        <f>UPPER(TEXT(Tabela_DB[[#This Row],[DATA]],"mmm"))</f>
        <v>JUN</v>
      </c>
      <c r="H2903" t="str">
        <f>UPPER(TEXT(Tabela_DB[[#This Row],[DATA]],"aaaa"))</f>
        <v>2021</v>
      </c>
    </row>
    <row r="2904" spans="1:8" x14ac:dyDescent="0.25">
      <c r="A2904" s="2">
        <v>44376</v>
      </c>
      <c r="B2904" t="s">
        <v>34</v>
      </c>
      <c r="C2904">
        <v>-1633</v>
      </c>
      <c r="D2904" t="str">
        <f>VLOOKUP(B2904,Tabela_Auxiliar[],2,0)</f>
        <v>2. Deduções da Receita</v>
      </c>
      <c r="E2904" t="str">
        <f>VLOOKUP(B2904,Tabela_Auxiliar[],4,0)</f>
        <v>Imposto</v>
      </c>
      <c r="F2904" t="str">
        <f>VLOOKUP(B2904,Tabela_Auxiliar[],3,0)</f>
        <v>Saída</v>
      </c>
      <c r="G2904" t="str">
        <f>UPPER(TEXT(Tabela_DB[[#This Row],[DATA]],"mmm"))</f>
        <v>JUN</v>
      </c>
      <c r="H2904" t="str">
        <f>UPPER(TEXT(Tabela_DB[[#This Row],[DATA]],"aaaa"))</f>
        <v>2021</v>
      </c>
    </row>
    <row r="2905" spans="1:8" x14ac:dyDescent="0.25">
      <c r="A2905" s="2">
        <v>44376</v>
      </c>
      <c r="B2905" t="s">
        <v>37</v>
      </c>
      <c r="C2905">
        <v>-3606</v>
      </c>
      <c r="D2905" t="str">
        <f>VLOOKUP(B2905,Tabela_Auxiliar[],2,0)</f>
        <v>3. Custos do Produto/Mercadoria/Serviço</v>
      </c>
      <c r="E2905" t="str">
        <f>VLOOKUP(B2905,Tabela_Auxiliar[],4,0)</f>
        <v>Despesas c/ Produto</v>
      </c>
      <c r="F2905" t="str">
        <f>VLOOKUP(B2905,Tabela_Auxiliar[],3,0)</f>
        <v>Saída</v>
      </c>
      <c r="G2905" t="str">
        <f>UPPER(TEXT(Tabela_DB[[#This Row],[DATA]],"mmm"))</f>
        <v>JUN</v>
      </c>
      <c r="H2905" t="str">
        <f>UPPER(TEXT(Tabela_DB[[#This Row],[DATA]],"aaaa"))</f>
        <v>2021</v>
      </c>
    </row>
    <row r="2906" spans="1:8" x14ac:dyDescent="0.25">
      <c r="A2906" s="2">
        <v>44376</v>
      </c>
      <c r="B2906" t="s">
        <v>66</v>
      </c>
      <c r="C2906">
        <v>-2178</v>
      </c>
      <c r="D2906" t="str">
        <f>VLOOKUP(B2906,Tabela_Auxiliar[],2,0)</f>
        <v>4. Despesas Operacionais</v>
      </c>
      <c r="E2906" t="str">
        <f>VLOOKUP(B2906,Tabela_Auxiliar[],4,0)</f>
        <v>Despesa com Vendas</v>
      </c>
      <c r="F2906" t="str">
        <f>VLOOKUP(B2906,Tabela_Auxiliar[],3,0)</f>
        <v>Saída</v>
      </c>
      <c r="G2906" t="str">
        <f>UPPER(TEXT(Tabela_DB[[#This Row],[DATA]],"mmm"))</f>
        <v>JUN</v>
      </c>
      <c r="H2906" t="str">
        <f>UPPER(TEXT(Tabela_DB[[#This Row],[DATA]],"aaaa"))</f>
        <v>2021</v>
      </c>
    </row>
    <row r="2907" spans="1:8" x14ac:dyDescent="0.25">
      <c r="A2907" s="2">
        <v>44376</v>
      </c>
      <c r="B2907" t="s">
        <v>68</v>
      </c>
      <c r="C2907">
        <v>-1540</v>
      </c>
      <c r="D2907" t="str">
        <f>VLOOKUP(B2907,Tabela_Auxiliar[],2,0)</f>
        <v>4. Despesas Operacionais</v>
      </c>
      <c r="E2907" t="str">
        <f>VLOOKUP(B2907,Tabela_Auxiliar[],4,0)</f>
        <v>Despesa com Ocupação</v>
      </c>
      <c r="F2907" t="str">
        <f>VLOOKUP(B2907,Tabela_Auxiliar[],3,0)</f>
        <v>Saída</v>
      </c>
      <c r="G2907" t="str">
        <f>UPPER(TEXT(Tabela_DB[[#This Row],[DATA]],"mmm"))</f>
        <v>JUN</v>
      </c>
      <c r="H2907" t="str">
        <f>UPPER(TEXT(Tabela_DB[[#This Row],[DATA]],"aaaa"))</f>
        <v>2021</v>
      </c>
    </row>
    <row r="2908" spans="1:8" x14ac:dyDescent="0.25">
      <c r="A2908" s="2">
        <v>44376</v>
      </c>
      <c r="B2908" t="s">
        <v>38</v>
      </c>
      <c r="C2908">
        <v>-1865</v>
      </c>
      <c r="D2908" t="str">
        <f>VLOOKUP(B2908,Tabela_Auxiliar[],2,0)</f>
        <v>2. Deduções da Receita</v>
      </c>
      <c r="E2908" t="str">
        <f>VLOOKUP(B2908,Tabela_Auxiliar[],4,0)</f>
        <v>Deduções</v>
      </c>
      <c r="F2908" t="str">
        <f>VLOOKUP(B2908,Tabela_Auxiliar[],3,0)</f>
        <v>Saída</v>
      </c>
      <c r="G2908" t="str">
        <f>UPPER(TEXT(Tabela_DB[[#This Row],[DATA]],"mmm"))</f>
        <v>JUN</v>
      </c>
      <c r="H2908" t="str">
        <f>UPPER(TEXT(Tabela_DB[[#This Row],[DATA]],"aaaa"))</f>
        <v>2021</v>
      </c>
    </row>
    <row r="2909" spans="1:8" x14ac:dyDescent="0.25">
      <c r="A2909" s="2">
        <v>44376</v>
      </c>
      <c r="B2909" t="s">
        <v>3</v>
      </c>
      <c r="C2909">
        <v>13659</v>
      </c>
      <c r="D2909" t="str">
        <f>VLOOKUP(B2909,Tabela_Auxiliar[],2,0)</f>
        <v>1. Receita Operacional Bruta</v>
      </c>
      <c r="E2909" t="str">
        <f>VLOOKUP(B2909,Tabela_Auxiliar[],4,0)</f>
        <v>Receita Bruta</v>
      </c>
      <c r="F2909" t="str">
        <f>VLOOKUP(B2909,Tabela_Auxiliar[],3,0)</f>
        <v>Entrada</v>
      </c>
      <c r="G2909" t="str">
        <f>UPPER(TEXT(Tabela_DB[[#This Row],[DATA]],"mmm"))</f>
        <v>JUN</v>
      </c>
      <c r="H2909" t="str">
        <f>UPPER(TEXT(Tabela_DB[[#This Row],[DATA]],"aaaa"))</f>
        <v>2021</v>
      </c>
    </row>
    <row r="2910" spans="1:8" x14ac:dyDescent="0.25">
      <c r="A2910" s="2">
        <v>44376</v>
      </c>
      <c r="B2910" t="s">
        <v>4</v>
      </c>
      <c r="C2910">
        <v>14683</v>
      </c>
      <c r="D2910" t="str">
        <f>VLOOKUP(B2910,Tabela_Auxiliar[],2,0)</f>
        <v>1. Receita Operacional Bruta</v>
      </c>
      <c r="E2910" t="str">
        <f>VLOOKUP(B2910,Tabela_Auxiliar[],4,0)</f>
        <v>Receita Bruta</v>
      </c>
      <c r="F2910" t="str">
        <f>VLOOKUP(B2910,Tabela_Auxiliar[],3,0)</f>
        <v>Entrada</v>
      </c>
      <c r="G2910" t="str">
        <f>UPPER(TEXT(Tabela_DB[[#This Row],[DATA]],"mmm"))</f>
        <v>JUN</v>
      </c>
      <c r="H2910" t="str">
        <f>UPPER(TEXT(Tabela_DB[[#This Row],[DATA]],"aaaa"))</f>
        <v>2021</v>
      </c>
    </row>
    <row r="2911" spans="1:8" x14ac:dyDescent="0.25">
      <c r="A2911" s="2">
        <v>44376</v>
      </c>
      <c r="B2911" t="s">
        <v>37</v>
      </c>
      <c r="C2911">
        <v>-4009</v>
      </c>
      <c r="D2911" t="str">
        <f>VLOOKUP(B2911,Tabela_Auxiliar[],2,0)</f>
        <v>3. Custos do Produto/Mercadoria/Serviço</v>
      </c>
      <c r="E2911" t="str">
        <f>VLOOKUP(B2911,Tabela_Auxiliar[],4,0)</f>
        <v>Despesas c/ Produto</v>
      </c>
      <c r="F2911" t="str">
        <f>VLOOKUP(B2911,Tabela_Auxiliar[],3,0)</f>
        <v>Saída</v>
      </c>
      <c r="G2911" t="str">
        <f>UPPER(TEXT(Tabela_DB[[#This Row],[DATA]],"mmm"))</f>
        <v>JUN</v>
      </c>
      <c r="H2911" t="str">
        <f>UPPER(TEXT(Tabela_DB[[#This Row],[DATA]],"aaaa"))</f>
        <v>2021</v>
      </c>
    </row>
    <row r="2912" spans="1:8" x14ac:dyDescent="0.25">
      <c r="A2912" s="2">
        <v>44376</v>
      </c>
      <c r="B2912" t="s">
        <v>34</v>
      </c>
      <c r="C2912">
        <v>-1370</v>
      </c>
      <c r="D2912" t="str">
        <f>VLOOKUP(B2912,Tabela_Auxiliar[],2,0)</f>
        <v>2. Deduções da Receita</v>
      </c>
      <c r="E2912" t="str">
        <f>VLOOKUP(B2912,Tabela_Auxiliar[],4,0)</f>
        <v>Imposto</v>
      </c>
      <c r="F2912" t="str">
        <f>VLOOKUP(B2912,Tabela_Auxiliar[],3,0)</f>
        <v>Saída</v>
      </c>
      <c r="G2912" t="str">
        <f>UPPER(TEXT(Tabela_DB[[#This Row],[DATA]],"mmm"))</f>
        <v>JUN</v>
      </c>
      <c r="H2912" t="str">
        <f>UPPER(TEXT(Tabela_DB[[#This Row],[DATA]],"aaaa"))</f>
        <v>2021</v>
      </c>
    </row>
    <row r="2913" spans="1:8" x14ac:dyDescent="0.25">
      <c r="A2913" s="2">
        <v>44376</v>
      </c>
      <c r="B2913" t="s">
        <v>35</v>
      </c>
      <c r="C2913">
        <v>-1879</v>
      </c>
      <c r="D2913" t="str">
        <f>VLOOKUP(B2913,Tabela_Auxiliar[],2,0)</f>
        <v>2. Deduções da Receita</v>
      </c>
      <c r="E2913" t="str">
        <f>VLOOKUP(B2913,Tabela_Auxiliar[],4,0)</f>
        <v>Imposto</v>
      </c>
      <c r="F2913" t="str">
        <f>VLOOKUP(B2913,Tabela_Auxiliar[],3,0)</f>
        <v>Saída</v>
      </c>
      <c r="G2913" t="str">
        <f>UPPER(TEXT(Tabela_DB[[#This Row],[DATA]],"mmm"))</f>
        <v>JUN</v>
      </c>
      <c r="H2913" t="str">
        <f>UPPER(TEXT(Tabela_DB[[#This Row],[DATA]],"aaaa"))</f>
        <v>2021</v>
      </c>
    </row>
    <row r="2914" spans="1:8" x14ac:dyDescent="0.25">
      <c r="A2914" s="2">
        <v>44376</v>
      </c>
      <c r="B2914" t="s">
        <v>3</v>
      </c>
      <c r="C2914">
        <v>14607</v>
      </c>
      <c r="D2914" t="str">
        <f>VLOOKUP(B2914,Tabela_Auxiliar[],2,0)</f>
        <v>1. Receita Operacional Bruta</v>
      </c>
      <c r="E2914" t="str">
        <f>VLOOKUP(B2914,Tabela_Auxiliar[],4,0)</f>
        <v>Receita Bruta</v>
      </c>
      <c r="F2914" t="str">
        <f>VLOOKUP(B2914,Tabela_Auxiliar[],3,0)</f>
        <v>Entrada</v>
      </c>
      <c r="G2914" t="str">
        <f>UPPER(TEXT(Tabela_DB[[#This Row],[DATA]],"mmm"))</f>
        <v>JUN</v>
      </c>
      <c r="H2914" t="str">
        <f>UPPER(TEXT(Tabela_DB[[#This Row],[DATA]],"aaaa"))</f>
        <v>2021</v>
      </c>
    </row>
    <row r="2915" spans="1:8" x14ac:dyDescent="0.25">
      <c r="A2915" s="2">
        <v>44376</v>
      </c>
      <c r="B2915" t="s">
        <v>77</v>
      </c>
      <c r="C2915">
        <v>-1240</v>
      </c>
      <c r="D2915" t="str">
        <f>VLOOKUP(B2915,Tabela_Auxiliar[],2,0)</f>
        <v>4. Despesas Operacionais</v>
      </c>
      <c r="E2915" t="str">
        <f>VLOOKUP(B2915,Tabela_Auxiliar[],4,0)</f>
        <v>Serviços Contratados</v>
      </c>
      <c r="F2915" t="str">
        <f>VLOOKUP(B2915,Tabela_Auxiliar[],3,0)</f>
        <v>Saída</v>
      </c>
      <c r="G2915" t="str">
        <f>UPPER(TEXT(Tabela_DB[[#This Row],[DATA]],"mmm"))</f>
        <v>JUN</v>
      </c>
      <c r="H2915" t="str">
        <f>UPPER(TEXT(Tabela_DB[[#This Row],[DATA]],"aaaa"))</f>
        <v>2021</v>
      </c>
    </row>
    <row r="2916" spans="1:8" x14ac:dyDescent="0.25">
      <c r="A2916" s="2">
        <v>44376</v>
      </c>
      <c r="B2916" t="s">
        <v>4</v>
      </c>
      <c r="C2916">
        <v>13288</v>
      </c>
      <c r="D2916" t="str">
        <f>VLOOKUP(B2916,Tabela_Auxiliar[],2,0)</f>
        <v>1. Receita Operacional Bruta</v>
      </c>
      <c r="E2916" t="str">
        <f>VLOOKUP(B2916,Tabela_Auxiliar[],4,0)</f>
        <v>Receita Bruta</v>
      </c>
      <c r="F2916" t="str">
        <f>VLOOKUP(B2916,Tabela_Auxiliar[],3,0)</f>
        <v>Entrada</v>
      </c>
      <c r="G2916" t="str">
        <f>UPPER(TEXT(Tabela_DB[[#This Row],[DATA]],"mmm"))</f>
        <v>JUN</v>
      </c>
      <c r="H2916" t="str">
        <f>UPPER(TEXT(Tabela_DB[[#This Row],[DATA]],"aaaa"))</f>
        <v>2021</v>
      </c>
    </row>
    <row r="2917" spans="1:8" x14ac:dyDescent="0.25">
      <c r="A2917" s="2">
        <v>44376</v>
      </c>
      <c r="B2917" t="s">
        <v>3</v>
      </c>
      <c r="C2917">
        <v>12100</v>
      </c>
      <c r="D2917" t="str">
        <f>VLOOKUP(B2917,Tabela_Auxiliar[],2,0)</f>
        <v>1. Receita Operacional Bruta</v>
      </c>
      <c r="E2917" t="str">
        <f>VLOOKUP(B2917,Tabela_Auxiliar[],4,0)</f>
        <v>Receita Bruta</v>
      </c>
      <c r="F2917" t="str">
        <f>VLOOKUP(B2917,Tabela_Auxiliar[],3,0)</f>
        <v>Entrada</v>
      </c>
      <c r="G2917" t="str">
        <f>UPPER(TEXT(Tabela_DB[[#This Row],[DATA]],"mmm"))</f>
        <v>JUN</v>
      </c>
      <c r="H2917" t="str">
        <f>UPPER(TEXT(Tabela_DB[[#This Row],[DATA]],"aaaa"))</f>
        <v>2021</v>
      </c>
    </row>
    <row r="2918" spans="1:8" x14ac:dyDescent="0.25">
      <c r="A2918" s="2">
        <v>44376</v>
      </c>
      <c r="B2918" t="s">
        <v>3</v>
      </c>
      <c r="C2918">
        <v>11228</v>
      </c>
      <c r="D2918" t="str">
        <f>VLOOKUP(B2918,Tabela_Auxiliar[],2,0)</f>
        <v>1. Receita Operacional Bruta</v>
      </c>
      <c r="E2918" t="str">
        <f>VLOOKUP(B2918,Tabela_Auxiliar[],4,0)</f>
        <v>Receita Bruta</v>
      </c>
      <c r="F2918" t="str">
        <f>VLOOKUP(B2918,Tabela_Auxiliar[],3,0)</f>
        <v>Entrada</v>
      </c>
      <c r="G2918" t="str">
        <f>UPPER(TEXT(Tabela_DB[[#This Row],[DATA]],"mmm"))</f>
        <v>JUN</v>
      </c>
      <c r="H2918" t="str">
        <f>UPPER(TEXT(Tabela_DB[[#This Row],[DATA]],"aaaa"))</f>
        <v>2021</v>
      </c>
    </row>
    <row r="2919" spans="1:8" x14ac:dyDescent="0.25">
      <c r="A2919" s="2">
        <v>44376</v>
      </c>
      <c r="B2919" t="s">
        <v>38</v>
      </c>
      <c r="C2919">
        <v>-2036</v>
      </c>
      <c r="D2919" t="str">
        <f>VLOOKUP(B2919,Tabela_Auxiliar[],2,0)</f>
        <v>2. Deduções da Receita</v>
      </c>
      <c r="E2919" t="str">
        <f>VLOOKUP(B2919,Tabela_Auxiliar[],4,0)</f>
        <v>Deduções</v>
      </c>
      <c r="F2919" t="str">
        <f>VLOOKUP(B2919,Tabela_Auxiliar[],3,0)</f>
        <v>Saída</v>
      </c>
      <c r="G2919" t="str">
        <f>UPPER(TEXT(Tabela_DB[[#This Row],[DATA]],"mmm"))</f>
        <v>JUN</v>
      </c>
      <c r="H2919" t="str">
        <f>UPPER(TEXT(Tabela_DB[[#This Row],[DATA]],"aaaa"))</f>
        <v>2021</v>
      </c>
    </row>
    <row r="2920" spans="1:8" x14ac:dyDescent="0.25">
      <c r="A2920" s="2">
        <v>44376</v>
      </c>
      <c r="B2920" t="s">
        <v>4</v>
      </c>
      <c r="C2920">
        <v>10203</v>
      </c>
      <c r="D2920" t="str">
        <f>VLOOKUP(B2920,Tabela_Auxiliar[],2,0)</f>
        <v>1. Receita Operacional Bruta</v>
      </c>
      <c r="E2920" t="str">
        <f>VLOOKUP(B2920,Tabela_Auxiliar[],4,0)</f>
        <v>Receita Bruta</v>
      </c>
      <c r="F2920" t="str">
        <f>VLOOKUP(B2920,Tabela_Auxiliar[],3,0)</f>
        <v>Entrada</v>
      </c>
      <c r="G2920" t="str">
        <f>UPPER(TEXT(Tabela_DB[[#This Row],[DATA]],"mmm"))</f>
        <v>JUN</v>
      </c>
      <c r="H2920" t="str">
        <f>UPPER(TEXT(Tabela_DB[[#This Row],[DATA]],"aaaa"))</f>
        <v>2021</v>
      </c>
    </row>
    <row r="2921" spans="1:8" x14ac:dyDescent="0.25">
      <c r="A2921" s="2">
        <v>44376</v>
      </c>
      <c r="B2921" t="s">
        <v>37</v>
      </c>
      <c r="C2921">
        <v>-3773</v>
      </c>
      <c r="D2921" t="str">
        <f>VLOOKUP(B2921,Tabela_Auxiliar[],2,0)</f>
        <v>3. Custos do Produto/Mercadoria/Serviço</v>
      </c>
      <c r="E2921" t="str">
        <f>VLOOKUP(B2921,Tabela_Auxiliar[],4,0)</f>
        <v>Despesas c/ Produto</v>
      </c>
      <c r="F2921" t="str">
        <f>VLOOKUP(B2921,Tabela_Auxiliar[],3,0)</f>
        <v>Saída</v>
      </c>
      <c r="G2921" t="str">
        <f>UPPER(TEXT(Tabela_DB[[#This Row],[DATA]],"mmm"))</f>
        <v>JUN</v>
      </c>
      <c r="H2921" t="str">
        <f>UPPER(TEXT(Tabela_DB[[#This Row],[DATA]],"aaaa"))</f>
        <v>2021</v>
      </c>
    </row>
    <row r="2922" spans="1:8" x14ac:dyDescent="0.25">
      <c r="A2922" s="2">
        <v>44376</v>
      </c>
      <c r="B2922" t="s">
        <v>57</v>
      </c>
      <c r="C2922">
        <v>-1353</v>
      </c>
      <c r="D2922" t="str">
        <f>VLOOKUP(B2922,Tabela_Auxiliar[],2,0)</f>
        <v>4. Despesas Operacionais</v>
      </c>
      <c r="E2922" t="str">
        <f>VLOOKUP(B2922,Tabela_Auxiliar[],4,0)</f>
        <v>Despesa com Pessoal</v>
      </c>
      <c r="F2922" t="str">
        <f>VLOOKUP(B2922,Tabela_Auxiliar[],3,0)</f>
        <v>Saída</v>
      </c>
      <c r="G2922" t="str">
        <f>UPPER(TEXT(Tabela_DB[[#This Row],[DATA]],"mmm"))</f>
        <v>JUN</v>
      </c>
      <c r="H2922" t="str">
        <f>UPPER(TEXT(Tabela_DB[[#This Row],[DATA]],"aaaa"))</f>
        <v>2021</v>
      </c>
    </row>
    <row r="2923" spans="1:8" x14ac:dyDescent="0.25">
      <c r="A2923" s="2">
        <v>44376</v>
      </c>
      <c r="B2923" t="s">
        <v>37</v>
      </c>
      <c r="C2923">
        <v>-3882</v>
      </c>
      <c r="D2923" t="str">
        <f>VLOOKUP(B2923,Tabela_Auxiliar[],2,0)</f>
        <v>3. Custos do Produto/Mercadoria/Serviço</v>
      </c>
      <c r="E2923" t="str">
        <f>VLOOKUP(B2923,Tabela_Auxiliar[],4,0)</f>
        <v>Despesas c/ Produto</v>
      </c>
      <c r="F2923" t="str">
        <f>VLOOKUP(B2923,Tabela_Auxiliar[],3,0)</f>
        <v>Saída</v>
      </c>
      <c r="G2923" t="str">
        <f>UPPER(TEXT(Tabela_DB[[#This Row],[DATA]],"mmm"))</f>
        <v>JUN</v>
      </c>
      <c r="H2923" t="str">
        <f>UPPER(TEXT(Tabela_DB[[#This Row],[DATA]],"aaaa"))</f>
        <v>2021</v>
      </c>
    </row>
    <row r="2924" spans="1:8" x14ac:dyDescent="0.25">
      <c r="A2924" s="2">
        <v>44377</v>
      </c>
      <c r="B2924" t="s">
        <v>60</v>
      </c>
      <c r="C2924">
        <v>-2391</v>
      </c>
      <c r="D2924" t="str">
        <f>VLOOKUP(B2924,Tabela_Auxiliar[],2,0)</f>
        <v>4. Despesas Operacionais</v>
      </c>
      <c r="E2924" t="str">
        <f>VLOOKUP(B2924,Tabela_Auxiliar[],4,0)</f>
        <v>Despesa de Depreciação</v>
      </c>
      <c r="F2924" t="str">
        <f>VLOOKUP(B2924,Tabela_Auxiliar[],3,0)</f>
        <v>Saída</v>
      </c>
      <c r="G2924" t="str">
        <f>UPPER(TEXT(Tabela_DB[[#This Row],[DATA]],"mmm"))</f>
        <v>JUN</v>
      </c>
      <c r="H2924" t="str">
        <f>UPPER(TEXT(Tabela_DB[[#This Row],[DATA]],"aaaa"))</f>
        <v>2021</v>
      </c>
    </row>
    <row r="2925" spans="1:8" x14ac:dyDescent="0.25">
      <c r="A2925" s="2">
        <v>44377</v>
      </c>
      <c r="B2925" t="s">
        <v>33</v>
      </c>
      <c r="C2925">
        <v>-2049</v>
      </c>
      <c r="D2925" t="str">
        <f>VLOOKUP(B2925,Tabela_Auxiliar[],2,0)</f>
        <v>4. Despesas Operacionais</v>
      </c>
      <c r="E2925" t="str">
        <f>VLOOKUP(B2925,Tabela_Auxiliar[],4,0)</f>
        <v>Despesa com Vendas</v>
      </c>
      <c r="F2925" t="str">
        <f>VLOOKUP(B2925,Tabela_Auxiliar[],3,0)</f>
        <v>Saída</v>
      </c>
      <c r="G2925" t="str">
        <f>UPPER(TEXT(Tabela_DB[[#This Row],[DATA]],"mmm"))</f>
        <v>JUN</v>
      </c>
      <c r="H2925" t="str">
        <f>UPPER(TEXT(Tabela_DB[[#This Row],[DATA]],"aaaa"))</f>
        <v>2021</v>
      </c>
    </row>
    <row r="2926" spans="1:8" x14ac:dyDescent="0.25">
      <c r="A2926" s="2">
        <v>44377</v>
      </c>
      <c r="B2926" t="s">
        <v>35</v>
      </c>
      <c r="C2926">
        <v>-1946</v>
      </c>
      <c r="D2926" t="str">
        <f>VLOOKUP(B2926,Tabela_Auxiliar[],2,0)</f>
        <v>2. Deduções da Receita</v>
      </c>
      <c r="E2926" t="str">
        <f>VLOOKUP(B2926,Tabela_Auxiliar[],4,0)</f>
        <v>Imposto</v>
      </c>
      <c r="F2926" t="str">
        <f>VLOOKUP(B2926,Tabela_Auxiliar[],3,0)</f>
        <v>Saída</v>
      </c>
      <c r="G2926" t="str">
        <f>UPPER(TEXT(Tabela_DB[[#This Row],[DATA]],"mmm"))</f>
        <v>JUN</v>
      </c>
      <c r="H2926" t="str">
        <f>UPPER(TEXT(Tabela_DB[[#This Row],[DATA]],"aaaa"))</f>
        <v>2021</v>
      </c>
    </row>
    <row r="2927" spans="1:8" x14ac:dyDescent="0.25">
      <c r="A2927" s="2">
        <v>44377</v>
      </c>
      <c r="B2927" t="s">
        <v>3</v>
      </c>
      <c r="C2927">
        <v>14151</v>
      </c>
      <c r="D2927" t="str">
        <f>VLOOKUP(B2927,Tabela_Auxiliar[],2,0)</f>
        <v>1. Receita Operacional Bruta</v>
      </c>
      <c r="E2927" t="str">
        <f>VLOOKUP(B2927,Tabela_Auxiliar[],4,0)</f>
        <v>Receita Bruta</v>
      </c>
      <c r="F2927" t="str">
        <f>VLOOKUP(B2927,Tabela_Auxiliar[],3,0)</f>
        <v>Entrada</v>
      </c>
      <c r="G2927" t="str">
        <f>UPPER(TEXT(Tabela_DB[[#This Row],[DATA]],"mmm"))</f>
        <v>JUN</v>
      </c>
      <c r="H2927" t="str">
        <f>UPPER(TEXT(Tabela_DB[[#This Row],[DATA]],"aaaa"))</f>
        <v>2021</v>
      </c>
    </row>
    <row r="2928" spans="1:8" x14ac:dyDescent="0.25">
      <c r="A2928" s="2">
        <v>44377</v>
      </c>
      <c r="B2928" t="s">
        <v>84</v>
      </c>
      <c r="C2928">
        <v>-2431</v>
      </c>
      <c r="D2928" t="str">
        <f>VLOOKUP(B2928,Tabela_Auxiliar[],2,0)</f>
        <v>4. Despesas Operacionais</v>
      </c>
      <c r="E2928" t="str">
        <f>VLOOKUP(B2928,Tabela_Auxiliar[],4,0)</f>
        <v>Despesa com Veículos</v>
      </c>
      <c r="F2928" t="str">
        <f>VLOOKUP(B2928,Tabela_Auxiliar[],3,0)</f>
        <v>Saída</v>
      </c>
      <c r="G2928" t="str">
        <f>UPPER(TEXT(Tabela_DB[[#This Row],[DATA]],"mmm"))</f>
        <v>JUN</v>
      </c>
      <c r="H2928" t="str">
        <f>UPPER(TEXT(Tabela_DB[[#This Row],[DATA]],"aaaa"))</f>
        <v>2021</v>
      </c>
    </row>
    <row r="2929" spans="1:8" x14ac:dyDescent="0.25">
      <c r="A2929" s="2">
        <v>44377</v>
      </c>
      <c r="B2929" t="s">
        <v>38</v>
      </c>
      <c r="C2929">
        <v>-1631</v>
      </c>
      <c r="D2929" t="str">
        <f>VLOOKUP(B2929,Tabela_Auxiliar[],2,0)</f>
        <v>2. Deduções da Receita</v>
      </c>
      <c r="E2929" t="str">
        <f>VLOOKUP(B2929,Tabela_Auxiliar[],4,0)</f>
        <v>Deduções</v>
      </c>
      <c r="F2929" t="str">
        <f>VLOOKUP(B2929,Tabela_Auxiliar[],3,0)</f>
        <v>Saída</v>
      </c>
      <c r="G2929" t="str">
        <f>UPPER(TEXT(Tabela_DB[[#This Row],[DATA]],"mmm"))</f>
        <v>JUN</v>
      </c>
      <c r="H2929" t="str">
        <f>UPPER(TEXT(Tabela_DB[[#This Row],[DATA]],"aaaa"))</f>
        <v>2021</v>
      </c>
    </row>
    <row r="2930" spans="1:8" x14ac:dyDescent="0.25">
      <c r="A2930" s="2">
        <v>44377</v>
      </c>
      <c r="B2930" t="s">
        <v>4</v>
      </c>
      <c r="C2930">
        <v>13012</v>
      </c>
      <c r="D2930" t="str">
        <f>VLOOKUP(B2930,Tabela_Auxiliar[],2,0)</f>
        <v>1. Receita Operacional Bruta</v>
      </c>
      <c r="E2930" t="str">
        <f>VLOOKUP(B2930,Tabela_Auxiliar[],4,0)</f>
        <v>Receita Bruta</v>
      </c>
      <c r="F2930" t="str">
        <f>VLOOKUP(B2930,Tabela_Auxiliar[],3,0)</f>
        <v>Entrada</v>
      </c>
      <c r="G2930" t="str">
        <f>UPPER(TEXT(Tabela_DB[[#This Row],[DATA]],"mmm"))</f>
        <v>JUN</v>
      </c>
      <c r="H2930" t="str">
        <f>UPPER(TEXT(Tabela_DB[[#This Row],[DATA]],"aaaa"))</f>
        <v>2021</v>
      </c>
    </row>
    <row r="2931" spans="1:8" x14ac:dyDescent="0.25">
      <c r="A2931" s="2">
        <v>44377</v>
      </c>
      <c r="B2931" t="s">
        <v>8</v>
      </c>
      <c r="C2931">
        <v>-1503</v>
      </c>
      <c r="D2931" t="str">
        <f>VLOOKUP(B2931,Tabela_Auxiliar[],2,0)</f>
        <v>4. Despesas Operacionais</v>
      </c>
      <c r="E2931" t="str">
        <f>VLOOKUP(B2931,Tabela_Auxiliar[],4,0)</f>
        <v>Despesa com Pessoal</v>
      </c>
      <c r="F2931" t="str">
        <f>VLOOKUP(B2931,Tabela_Auxiliar[],3,0)</f>
        <v>Saída</v>
      </c>
      <c r="G2931" t="str">
        <f>UPPER(TEXT(Tabela_DB[[#This Row],[DATA]],"mmm"))</f>
        <v>JUN</v>
      </c>
      <c r="H2931" t="str">
        <f>UPPER(TEXT(Tabela_DB[[#This Row],[DATA]],"aaaa"))</f>
        <v>2021</v>
      </c>
    </row>
    <row r="2932" spans="1:8" x14ac:dyDescent="0.25">
      <c r="A2932" s="2">
        <v>44377</v>
      </c>
      <c r="B2932" t="s">
        <v>75</v>
      </c>
      <c r="C2932">
        <v>-1652</v>
      </c>
      <c r="D2932" t="str">
        <f>VLOOKUP(B2932,Tabela_Auxiliar[],2,0)</f>
        <v>4. Despesas Operacionais</v>
      </c>
      <c r="E2932" t="str">
        <f>VLOOKUP(B2932,Tabela_Auxiliar[],4,0)</f>
        <v>Serviços Contratados</v>
      </c>
      <c r="F2932" t="str">
        <f>VLOOKUP(B2932,Tabela_Auxiliar[],3,0)</f>
        <v>Saída</v>
      </c>
      <c r="G2932" t="str">
        <f>UPPER(TEXT(Tabela_DB[[#This Row],[DATA]],"mmm"))</f>
        <v>JUN</v>
      </c>
      <c r="H2932" t="str">
        <f>UPPER(TEXT(Tabela_DB[[#This Row],[DATA]],"aaaa"))</f>
        <v>2021</v>
      </c>
    </row>
    <row r="2933" spans="1:8" x14ac:dyDescent="0.25">
      <c r="A2933" s="2">
        <v>44377</v>
      </c>
      <c r="B2933" t="s">
        <v>4</v>
      </c>
      <c r="C2933">
        <v>13252</v>
      </c>
      <c r="D2933" t="str">
        <f>VLOOKUP(B2933,Tabela_Auxiliar[],2,0)</f>
        <v>1. Receita Operacional Bruta</v>
      </c>
      <c r="E2933" t="str">
        <f>VLOOKUP(B2933,Tabela_Auxiliar[],4,0)</f>
        <v>Receita Bruta</v>
      </c>
      <c r="F2933" t="str">
        <f>VLOOKUP(B2933,Tabela_Auxiliar[],3,0)</f>
        <v>Entrada</v>
      </c>
      <c r="G2933" t="str">
        <f>UPPER(TEXT(Tabela_DB[[#This Row],[DATA]],"mmm"))</f>
        <v>JUN</v>
      </c>
      <c r="H2933" t="str">
        <f>UPPER(TEXT(Tabela_DB[[#This Row],[DATA]],"aaaa"))</f>
        <v>2021</v>
      </c>
    </row>
    <row r="2934" spans="1:8" x14ac:dyDescent="0.25">
      <c r="A2934" s="2">
        <v>44377</v>
      </c>
      <c r="B2934" t="s">
        <v>48</v>
      </c>
      <c r="C2934">
        <v>-1145</v>
      </c>
      <c r="D2934" t="str">
        <f>VLOOKUP(B2934,Tabela_Auxiliar[],2,0)</f>
        <v>4. Despesas Operacionais</v>
      </c>
      <c r="E2934" t="str">
        <f>VLOOKUP(B2934,Tabela_Auxiliar[],4,0)</f>
        <v>Despesa com Pessoal</v>
      </c>
      <c r="F2934" t="str">
        <f>VLOOKUP(B2934,Tabela_Auxiliar[],3,0)</f>
        <v>Saída</v>
      </c>
      <c r="G2934" t="str">
        <f>UPPER(TEXT(Tabela_DB[[#This Row],[DATA]],"mmm"))</f>
        <v>JUN</v>
      </c>
      <c r="H2934" t="str">
        <f>UPPER(TEXT(Tabela_DB[[#This Row],[DATA]],"aaaa"))</f>
        <v>2021</v>
      </c>
    </row>
    <row r="2935" spans="1:8" x14ac:dyDescent="0.25">
      <c r="A2935" s="2">
        <v>44377</v>
      </c>
      <c r="B2935" t="s">
        <v>34</v>
      </c>
      <c r="C2935">
        <v>-1391</v>
      </c>
      <c r="D2935" t="str">
        <f>VLOOKUP(B2935,Tabela_Auxiliar[],2,0)</f>
        <v>2. Deduções da Receita</v>
      </c>
      <c r="E2935" t="str">
        <f>VLOOKUP(B2935,Tabela_Auxiliar[],4,0)</f>
        <v>Imposto</v>
      </c>
      <c r="F2935" t="str">
        <f>VLOOKUP(B2935,Tabela_Auxiliar[],3,0)</f>
        <v>Saída</v>
      </c>
      <c r="G2935" t="str">
        <f>UPPER(TEXT(Tabela_DB[[#This Row],[DATA]],"mmm"))</f>
        <v>JUN</v>
      </c>
      <c r="H2935" t="str">
        <f>UPPER(TEXT(Tabela_DB[[#This Row],[DATA]],"aaaa"))</f>
        <v>2021</v>
      </c>
    </row>
    <row r="2936" spans="1:8" x14ac:dyDescent="0.25">
      <c r="A2936" s="2">
        <v>44377</v>
      </c>
      <c r="B2936" t="s">
        <v>111</v>
      </c>
      <c r="C2936">
        <v>-2287</v>
      </c>
      <c r="D2936" t="str">
        <f>VLOOKUP(B2936,Tabela_Auxiliar[],2,0)</f>
        <v>2. Deduções da Receita</v>
      </c>
      <c r="E2936" t="str">
        <f>VLOOKUP(B2936,Tabela_Auxiliar[],4,0)</f>
        <v>Imposto</v>
      </c>
      <c r="F2936" t="str">
        <f>VLOOKUP(B2936,Tabela_Auxiliar[],3,0)</f>
        <v>Saída</v>
      </c>
      <c r="G2936" t="str">
        <f>UPPER(TEXT(Tabela_DB[[#This Row],[DATA]],"mmm"))</f>
        <v>JUN</v>
      </c>
      <c r="H2936" t="str">
        <f>UPPER(TEXT(Tabela_DB[[#This Row],[DATA]],"aaaa"))</f>
        <v>2021</v>
      </c>
    </row>
    <row r="2937" spans="1:8" x14ac:dyDescent="0.25">
      <c r="A2937" s="2">
        <v>44377</v>
      </c>
      <c r="B2937" t="s">
        <v>111</v>
      </c>
      <c r="C2937">
        <v>-2258</v>
      </c>
      <c r="D2937" t="str">
        <f>VLOOKUP(B2937,Tabela_Auxiliar[],2,0)</f>
        <v>2. Deduções da Receita</v>
      </c>
      <c r="E2937" t="str">
        <f>VLOOKUP(B2937,Tabela_Auxiliar[],4,0)</f>
        <v>Imposto</v>
      </c>
      <c r="F2937" t="str">
        <f>VLOOKUP(B2937,Tabela_Auxiliar[],3,0)</f>
        <v>Saída</v>
      </c>
      <c r="G2937" t="str">
        <f>UPPER(TEXT(Tabela_DB[[#This Row],[DATA]],"mmm"))</f>
        <v>JUN</v>
      </c>
      <c r="H2937" t="str">
        <f>UPPER(TEXT(Tabela_DB[[#This Row],[DATA]],"aaaa"))</f>
        <v>2021</v>
      </c>
    </row>
    <row r="2938" spans="1:8" x14ac:dyDescent="0.25">
      <c r="A2938" s="2">
        <v>44378</v>
      </c>
      <c r="B2938" t="s">
        <v>111</v>
      </c>
      <c r="C2938">
        <v>-2371</v>
      </c>
      <c r="D2938" t="str">
        <f>VLOOKUP(B2938,Tabela_Auxiliar[],2,0)</f>
        <v>2. Deduções da Receita</v>
      </c>
      <c r="E2938" t="str">
        <f>VLOOKUP(B2938,Tabela_Auxiliar[],4,0)</f>
        <v>Imposto</v>
      </c>
      <c r="F2938" t="str">
        <f>VLOOKUP(B2938,Tabela_Auxiliar[],3,0)</f>
        <v>Saída</v>
      </c>
      <c r="G2938" t="str">
        <f>UPPER(TEXT(Tabela_DB[[#This Row],[DATA]],"mmm"))</f>
        <v>JUL</v>
      </c>
      <c r="H2938" t="str">
        <f>UPPER(TEXT(Tabela_DB[[#This Row],[DATA]],"aaaa"))</f>
        <v>2021</v>
      </c>
    </row>
    <row r="2939" spans="1:8" x14ac:dyDescent="0.25">
      <c r="A2939" s="2">
        <v>44378</v>
      </c>
      <c r="B2939" t="s">
        <v>37</v>
      </c>
      <c r="C2939">
        <v>-2676</v>
      </c>
      <c r="D2939" t="str">
        <f>VLOOKUP(B2939,Tabela_Auxiliar[],2,0)</f>
        <v>3. Custos do Produto/Mercadoria/Serviço</v>
      </c>
      <c r="E2939" t="str">
        <f>VLOOKUP(B2939,Tabela_Auxiliar[],4,0)</f>
        <v>Despesas c/ Produto</v>
      </c>
      <c r="F2939" t="str">
        <f>VLOOKUP(B2939,Tabela_Auxiliar[],3,0)</f>
        <v>Saída</v>
      </c>
      <c r="G2939" t="str">
        <f>UPPER(TEXT(Tabela_DB[[#This Row],[DATA]],"mmm"))</f>
        <v>JUL</v>
      </c>
      <c r="H2939" t="str">
        <f>UPPER(TEXT(Tabela_DB[[#This Row],[DATA]],"aaaa"))</f>
        <v>2021</v>
      </c>
    </row>
    <row r="2940" spans="1:8" x14ac:dyDescent="0.25">
      <c r="A2940" s="2">
        <v>44378</v>
      </c>
      <c r="B2940" t="s">
        <v>38</v>
      </c>
      <c r="C2940">
        <v>-1113</v>
      </c>
      <c r="D2940" t="str">
        <f>VLOOKUP(B2940,Tabela_Auxiliar[],2,0)</f>
        <v>2. Deduções da Receita</v>
      </c>
      <c r="E2940" t="str">
        <f>VLOOKUP(B2940,Tabela_Auxiliar[],4,0)</f>
        <v>Deduções</v>
      </c>
      <c r="F2940" t="str">
        <f>VLOOKUP(B2940,Tabela_Auxiliar[],3,0)</f>
        <v>Saída</v>
      </c>
      <c r="G2940" t="str">
        <f>UPPER(TEXT(Tabela_DB[[#This Row],[DATA]],"mmm"))</f>
        <v>JUL</v>
      </c>
      <c r="H2940" t="str">
        <f>UPPER(TEXT(Tabela_DB[[#This Row],[DATA]],"aaaa"))</f>
        <v>2021</v>
      </c>
    </row>
    <row r="2941" spans="1:8" x14ac:dyDescent="0.25">
      <c r="A2941" s="2">
        <v>44378</v>
      </c>
      <c r="B2941" t="s">
        <v>3</v>
      </c>
      <c r="C2941">
        <v>13069</v>
      </c>
      <c r="D2941" t="str">
        <f>VLOOKUP(B2941,Tabela_Auxiliar[],2,0)</f>
        <v>1. Receita Operacional Bruta</v>
      </c>
      <c r="E2941" t="str">
        <f>VLOOKUP(B2941,Tabela_Auxiliar[],4,0)</f>
        <v>Receita Bruta</v>
      </c>
      <c r="F2941" t="str">
        <f>VLOOKUP(B2941,Tabela_Auxiliar[],3,0)</f>
        <v>Entrada</v>
      </c>
      <c r="G2941" t="str">
        <f>UPPER(TEXT(Tabela_DB[[#This Row],[DATA]],"mmm"))</f>
        <v>JUL</v>
      </c>
      <c r="H2941" t="str">
        <f>UPPER(TEXT(Tabela_DB[[#This Row],[DATA]],"aaaa"))</f>
        <v>2021</v>
      </c>
    </row>
    <row r="2942" spans="1:8" x14ac:dyDescent="0.25">
      <c r="A2942" s="2">
        <v>44378</v>
      </c>
      <c r="B2942" t="s">
        <v>51</v>
      </c>
      <c r="C2942">
        <v>-1042</v>
      </c>
      <c r="D2942" t="str">
        <f>VLOOKUP(B2942,Tabela_Auxiliar[],2,0)</f>
        <v>4. Despesas Operacionais</v>
      </c>
      <c r="E2942" t="str">
        <f>VLOOKUP(B2942,Tabela_Auxiliar[],4,0)</f>
        <v>Despesa com Pessoal</v>
      </c>
      <c r="F2942" t="str">
        <f>VLOOKUP(B2942,Tabela_Auxiliar[],3,0)</f>
        <v>Saída</v>
      </c>
      <c r="G2942" t="str">
        <f>UPPER(TEXT(Tabela_DB[[#This Row],[DATA]],"mmm"))</f>
        <v>JUL</v>
      </c>
      <c r="H2942" t="str">
        <f>UPPER(TEXT(Tabela_DB[[#This Row],[DATA]],"aaaa"))</f>
        <v>2021</v>
      </c>
    </row>
    <row r="2943" spans="1:8" x14ac:dyDescent="0.25">
      <c r="A2943" s="2">
        <v>44378</v>
      </c>
      <c r="B2943" t="s">
        <v>60</v>
      </c>
      <c r="C2943">
        <v>-1411</v>
      </c>
      <c r="D2943" t="str">
        <f>VLOOKUP(B2943,Tabela_Auxiliar[],2,0)</f>
        <v>4. Despesas Operacionais</v>
      </c>
      <c r="E2943" t="str">
        <f>VLOOKUP(B2943,Tabela_Auxiliar[],4,0)</f>
        <v>Despesa de Depreciação</v>
      </c>
      <c r="F2943" t="str">
        <f>VLOOKUP(B2943,Tabela_Auxiliar[],3,0)</f>
        <v>Saída</v>
      </c>
      <c r="G2943" t="str">
        <f>UPPER(TEXT(Tabela_DB[[#This Row],[DATA]],"mmm"))</f>
        <v>JUL</v>
      </c>
      <c r="H2943" t="str">
        <f>UPPER(TEXT(Tabela_DB[[#This Row],[DATA]],"aaaa"))</f>
        <v>2021</v>
      </c>
    </row>
    <row r="2944" spans="1:8" x14ac:dyDescent="0.25">
      <c r="A2944" s="2">
        <v>44378</v>
      </c>
      <c r="B2944" t="s">
        <v>38</v>
      </c>
      <c r="C2944">
        <v>-1968</v>
      </c>
      <c r="D2944" t="str">
        <f>VLOOKUP(B2944,Tabela_Auxiliar[],2,0)</f>
        <v>2. Deduções da Receita</v>
      </c>
      <c r="E2944" t="str">
        <f>VLOOKUP(B2944,Tabela_Auxiliar[],4,0)</f>
        <v>Deduções</v>
      </c>
      <c r="F2944" t="str">
        <f>VLOOKUP(B2944,Tabela_Auxiliar[],3,0)</f>
        <v>Saída</v>
      </c>
      <c r="G2944" t="str">
        <f>UPPER(TEXT(Tabela_DB[[#This Row],[DATA]],"mmm"))</f>
        <v>JUL</v>
      </c>
      <c r="H2944" t="str">
        <f>UPPER(TEXT(Tabela_DB[[#This Row],[DATA]],"aaaa"))</f>
        <v>2021</v>
      </c>
    </row>
    <row r="2945" spans="1:8" x14ac:dyDescent="0.25">
      <c r="A2945" s="2">
        <v>44378</v>
      </c>
      <c r="B2945" t="s">
        <v>4</v>
      </c>
      <c r="C2945">
        <v>11315</v>
      </c>
      <c r="D2945" t="str">
        <f>VLOOKUP(B2945,Tabela_Auxiliar[],2,0)</f>
        <v>1. Receita Operacional Bruta</v>
      </c>
      <c r="E2945" t="str">
        <f>VLOOKUP(B2945,Tabela_Auxiliar[],4,0)</f>
        <v>Receita Bruta</v>
      </c>
      <c r="F2945" t="str">
        <f>VLOOKUP(B2945,Tabela_Auxiliar[],3,0)</f>
        <v>Entrada</v>
      </c>
      <c r="G2945" t="str">
        <f>UPPER(TEXT(Tabela_DB[[#This Row],[DATA]],"mmm"))</f>
        <v>JUL</v>
      </c>
      <c r="H2945" t="str">
        <f>UPPER(TEXT(Tabela_DB[[#This Row],[DATA]],"aaaa"))</f>
        <v>2021</v>
      </c>
    </row>
    <row r="2946" spans="1:8" x14ac:dyDescent="0.25">
      <c r="A2946" s="2">
        <v>44378</v>
      </c>
      <c r="B2946" t="s">
        <v>37</v>
      </c>
      <c r="C2946">
        <v>-3379</v>
      </c>
      <c r="D2946" t="str">
        <f>VLOOKUP(B2946,Tabela_Auxiliar[],2,0)</f>
        <v>3. Custos do Produto/Mercadoria/Serviço</v>
      </c>
      <c r="E2946" t="str">
        <f>VLOOKUP(B2946,Tabela_Auxiliar[],4,0)</f>
        <v>Despesas c/ Produto</v>
      </c>
      <c r="F2946" t="str">
        <f>VLOOKUP(B2946,Tabela_Auxiliar[],3,0)</f>
        <v>Saída</v>
      </c>
      <c r="G2946" t="str">
        <f>UPPER(TEXT(Tabela_DB[[#This Row],[DATA]],"mmm"))</f>
        <v>JUL</v>
      </c>
      <c r="H2946" t="str">
        <f>UPPER(TEXT(Tabela_DB[[#This Row],[DATA]],"aaaa"))</f>
        <v>2021</v>
      </c>
    </row>
    <row r="2947" spans="1:8" x14ac:dyDescent="0.25">
      <c r="A2947" s="2">
        <v>44378</v>
      </c>
      <c r="B2947" t="s">
        <v>37</v>
      </c>
      <c r="C2947">
        <v>-2699</v>
      </c>
      <c r="D2947" t="str">
        <f>VLOOKUP(B2947,Tabela_Auxiliar[],2,0)</f>
        <v>3. Custos do Produto/Mercadoria/Serviço</v>
      </c>
      <c r="E2947" t="str">
        <f>VLOOKUP(B2947,Tabela_Auxiliar[],4,0)</f>
        <v>Despesas c/ Produto</v>
      </c>
      <c r="F2947" t="str">
        <f>VLOOKUP(B2947,Tabela_Auxiliar[],3,0)</f>
        <v>Saída</v>
      </c>
      <c r="G2947" t="str">
        <f>UPPER(TEXT(Tabela_DB[[#This Row],[DATA]],"mmm"))</f>
        <v>JUL</v>
      </c>
      <c r="H2947" t="str">
        <f>UPPER(TEXT(Tabela_DB[[#This Row],[DATA]],"aaaa"))</f>
        <v>2021</v>
      </c>
    </row>
    <row r="2948" spans="1:8" x14ac:dyDescent="0.25">
      <c r="A2948" s="2">
        <v>44378</v>
      </c>
      <c r="B2948" t="s">
        <v>37</v>
      </c>
      <c r="C2948">
        <v>-3526</v>
      </c>
      <c r="D2948" t="str">
        <f>VLOOKUP(B2948,Tabela_Auxiliar[],2,0)</f>
        <v>3. Custos do Produto/Mercadoria/Serviço</v>
      </c>
      <c r="E2948" t="str">
        <f>VLOOKUP(B2948,Tabela_Auxiliar[],4,0)</f>
        <v>Despesas c/ Produto</v>
      </c>
      <c r="F2948" t="str">
        <f>VLOOKUP(B2948,Tabela_Auxiliar[],3,0)</f>
        <v>Saída</v>
      </c>
      <c r="G2948" t="str">
        <f>UPPER(TEXT(Tabela_DB[[#This Row],[DATA]],"mmm"))</f>
        <v>JUL</v>
      </c>
      <c r="H2948" t="str">
        <f>UPPER(TEXT(Tabela_DB[[#This Row],[DATA]],"aaaa"))</f>
        <v>2021</v>
      </c>
    </row>
    <row r="2949" spans="1:8" x14ac:dyDescent="0.25">
      <c r="A2949" s="2">
        <v>44378</v>
      </c>
      <c r="B2949" t="s">
        <v>34</v>
      </c>
      <c r="C2949">
        <v>-2411</v>
      </c>
      <c r="D2949" t="str">
        <f>VLOOKUP(B2949,Tabela_Auxiliar[],2,0)</f>
        <v>2. Deduções da Receita</v>
      </c>
      <c r="E2949" t="str">
        <f>VLOOKUP(B2949,Tabela_Auxiliar[],4,0)</f>
        <v>Imposto</v>
      </c>
      <c r="F2949" t="str">
        <f>VLOOKUP(B2949,Tabela_Auxiliar[],3,0)</f>
        <v>Saída</v>
      </c>
      <c r="G2949" t="str">
        <f>UPPER(TEXT(Tabela_DB[[#This Row],[DATA]],"mmm"))</f>
        <v>JUL</v>
      </c>
      <c r="H2949" t="str">
        <f>UPPER(TEXT(Tabela_DB[[#This Row],[DATA]],"aaaa"))</f>
        <v>2021</v>
      </c>
    </row>
    <row r="2950" spans="1:8" x14ac:dyDescent="0.25">
      <c r="A2950" s="2">
        <v>44378</v>
      </c>
      <c r="B2950" t="s">
        <v>38</v>
      </c>
      <c r="C2950">
        <v>-1532</v>
      </c>
      <c r="D2950" t="str">
        <f>VLOOKUP(B2950,Tabela_Auxiliar[],2,0)</f>
        <v>2. Deduções da Receita</v>
      </c>
      <c r="E2950" t="str">
        <f>VLOOKUP(B2950,Tabela_Auxiliar[],4,0)</f>
        <v>Deduções</v>
      </c>
      <c r="F2950" t="str">
        <f>VLOOKUP(B2950,Tabela_Auxiliar[],3,0)</f>
        <v>Saída</v>
      </c>
      <c r="G2950" t="str">
        <f>UPPER(TEXT(Tabela_DB[[#This Row],[DATA]],"mmm"))</f>
        <v>JUL</v>
      </c>
      <c r="H2950" t="str">
        <f>UPPER(TEXT(Tabela_DB[[#This Row],[DATA]],"aaaa"))</f>
        <v>2021</v>
      </c>
    </row>
    <row r="2951" spans="1:8" x14ac:dyDescent="0.25">
      <c r="A2951" s="2">
        <v>44378</v>
      </c>
      <c r="B2951" t="s">
        <v>35</v>
      </c>
      <c r="C2951">
        <v>-1624</v>
      </c>
      <c r="D2951" t="str">
        <f>VLOOKUP(B2951,Tabela_Auxiliar[],2,0)</f>
        <v>2. Deduções da Receita</v>
      </c>
      <c r="E2951" t="str">
        <f>VLOOKUP(B2951,Tabela_Auxiliar[],4,0)</f>
        <v>Imposto</v>
      </c>
      <c r="F2951" t="str">
        <f>VLOOKUP(B2951,Tabela_Auxiliar[],3,0)</f>
        <v>Saída</v>
      </c>
      <c r="G2951" t="str">
        <f>UPPER(TEXT(Tabela_DB[[#This Row],[DATA]],"mmm"))</f>
        <v>JUL</v>
      </c>
      <c r="H2951" t="str">
        <f>UPPER(TEXT(Tabela_DB[[#This Row],[DATA]],"aaaa"))</f>
        <v>2021</v>
      </c>
    </row>
    <row r="2952" spans="1:8" x14ac:dyDescent="0.25">
      <c r="A2952" s="2">
        <v>44378</v>
      </c>
      <c r="B2952" t="s">
        <v>38</v>
      </c>
      <c r="C2952">
        <v>-1814</v>
      </c>
      <c r="D2952" t="str">
        <f>VLOOKUP(B2952,Tabela_Auxiliar[],2,0)</f>
        <v>2. Deduções da Receita</v>
      </c>
      <c r="E2952" t="str">
        <f>VLOOKUP(B2952,Tabela_Auxiliar[],4,0)</f>
        <v>Deduções</v>
      </c>
      <c r="F2952" t="str">
        <f>VLOOKUP(B2952,Tabela_Auxiliar[],3,0)</f>
        <v>Saída</v>
      </c>
      <c r="G2952" t="str">
        <f>UPPER(TEXT(Tabela_DB[[#This Row],[DATA]],"mmm"))</f>
        <v>JUL</v>
      </c>
      <c r="H2952" t="str">
        <f>UPPER(TEXT(Tabela_DB[[#This Row],[DATA]],"aaaa"))</f>
        <v>2021</v>
      </c>
    </row>
    <row r="2953" spans="1:8" x14ac:dyDescent="0.25">
      <c r="A2953" s="2">
        <v>44378</v>
      </c>
      <c r="B2953" t="s">
        <v>111</v>
      </c>
      <c r="C2953">
        <v>-2479</v>
      </c>
      <c r="D2953" t="str">
        <f>VLOOKUP(B2953,Tabela_Auxiliar[],2,0)</f>
        <v>2. Deduções da Receita</v>
      </c>
      <c r="E2953" t="str">
        <f>VLOOKUP(B2953,Tabela_Auxiliar[],4,0)</f>
        <v>Imposto</v>
      </c>
      <c r="F2953" t="str">
        <f>VLOOKUP(B2953,Tabela_Auxiliar[],3,0)</f>
        <v>Saída</v>
      </c>
      <c r="G2953" t="str">
        <f>UPPER(TEXT(Tabela_DB[[#This Row],[DATA]],"mmm"))</f>
        <v>JUL</v>
      </c>
      <c r="H2953" t="str">
        <f>UPPER(TEXT(Tabela_DB[[#This Row],[DATA]],"aaaa"))</f>
        <v>2021</v>
      </c>
    </row>
    <row r="2954" spans="1:8" x14ac:dyDescent="0.25">
      <c r="A2954" s="2">
        <v>44378</v>
      </c>
      <c r="B2954" t="s">
        <v>35</v>
      </c>
      <c r="C2954">
        <v>-1498</v>
      </c>
      <c r="D2954" t="str">
        <f>VLOOKUP(B2954,Tabela_Auxiliar[],2,0)</f>
        <v>2. Deduções da Receita</v>
      </c>
      <c r="E2954" t="str">
        <f>VLOOKUP(B2954,Tabela_Auxiliar[],4,0)</f>
        <v>Imposto</v>
      </c>
      <c r="F2954" t="str">
        <f>VLOOKUP(B2954,Tabela_Auxiliar[],3,0)</f>
        <v>Saída</v>
      </c>
      <c r="G2954" t="str">
        <f>UPPER(TEXT(Tabela_DB[[#This Row],[DATA]],"mmm"))</f>
        <v>JUL</v>
      </c>
      <c r="H2954" t="str">
        <f>UPPER(TEXT(Tabela_DB[[#This Row],[DATA]],"aaaa"))</f>
        <v>2021</v>
      </c>
    </row>
    <row r="2955" spans="1:8" x14ac:dyDescent="0.25">
      <c r="A2955" s="2">
        <v>44378</v>
      </c>
      <c r="B2955" t="s">
        <v>58</v>
      </c>
      <c r="C2955">
        <v>-2432</v>
      </c>
      <c r="D2955" t="str">
        <f>VLOOKUP(B2955,Tabela_Auxiliar[],2,0)</f>
        <v>4. Despesas Operacionais</v>
      </c>
      <c r="E2955" t="str">
        <f>VLOOKUP(B2955,Tabela_Auxiliar[],4,0)</f>
        <v>Despesa de Depreciação</v>
      </c>
      <c r="F2955" t="str">
        <f>VLOOKUP(B2955,Tabela_Auxiliar[],3,0)</f>
        <v>Saída</v>
      </c>
      <c r="G2955" t="str">
        <f>UPPER(TEXT(Tabela_DB[[#This Row],[DATA]],"mmm"))</f>
        <v>JUL</v>
      </c>
      <c r="H2955" t="str">
        <f>UPPER(TEXT(Tabela_DB[[#This Row],[DATA]],"aaaa"))</f>
        <v>2021</v>
      </c>
    </row>
    <row r="2956" spans="1:8" x14ac:dyDescent="0.25">
      <c r="A2956" s="2">
        <v>44378</v>
      </c>
      <c r="B2956" t="s">
        <v>3</v>
      </c>
      <c r="C2956">
        <v>14862</v>
      </c>
      <c r="D2956" t="str">
        <f>VLOOKUP(B2956,Tabela_Auxiliar[],2,0)</f>
        <v>1. Receita Operacional Bruta</v>
      </c>
      <c r="E2956" t="str">
        <f>VLOOKUP(B2956,Tabela_Auxiliar[],4,0)</f>
        <v>Receita Bruta</v>
      </c>
      <c r="F2956" t="str">
        <f>VLOOKUP(B2956,Tabela_Auxiliar[],3,0)</f>
        <v>Entrada</v>
      </c>
      <c r="G2956" t="str">
        <f>UPPER(TEXT(Tabela_DB[[#This Row],[DATA]],"mmm"))</f>
        <v>JUL</v>
      </c>
      <c r="H2956" t="str">
        <f>UPPER(TEXT(Tabela_DB[[#This Row],[DATA]],"aaaa"))</f>
        <v>2021</v>
      </c>
    </row>
    <row r="2957" spans="1:8" x14ac:dyDescent="0.25">
      <c r="A2957" s="2">
        <v>44378</v>
      </c>
      <c r="B2957" t="s">
        <v>62</v>
      </c>
      <c r="C2957">
        <v>-1400</v>
      </c>
      <c r="D2957" t="str">
        <f>VLOOKUP(B2957,Tabela_Auxiliar[],2,0)</f>
        <v>4. Despesas Operacionais</v>
      </c>
      <c r="E2957" t="str">
        <f>VLOOKUP(B2957,Tabela_Auxiliar[],4,0)</f>
        <v>Despesa Gerais</v>
      </c>
      <c r="F2957" t="str">
        <f>VLOOKUP(B2957,Tabela_Auxiliar[],3,0)</f>
        <v>Saída</v>
      </c>
      <c r="G2957" t="str">
        <f>UPPER(TEXT(Tabela_DB[[#This Row],[DATA]],"mmm"))</f>
        <v>JUL</v>
      </c>
      <c r="H2957" t="str">
        <f>UPPER(TEXT(Tabela_DB[[#This Row],[DATA]],"aaaa"))</f>
        <v>2021</v>
      </c>
    </row>
    <row r="2958" spans="1:8" x14ac:dyDescent="0.25">
      <c r="A2958" s="2">
        <v>44378</v>
      </c>
      <c r="B2958" t="s">
        <v>111</v>
      </c>
      <c r="C2958">
        <v>-1983</v>
      </c>
      <c r="D2958" t="str">
        <f>VLOOKUP(B2958,Tabela_Auxiliar[],2,0)</f>
        <v>2. Deduções da Receita</v>
      </c>
      <c r="E2958" t="str">
        <f>VLOOKUP(B2958,Tabela_Auxiliar[],4,0)</f>
        <v>Imposto</v>
      </c>
      <c r="F2958" t="str">
        <f>VLOOKUP(B2958,Tabela_Auxiliar[],3,0)</f>
        <v>Saída</v>
      </c>
      <c r="G2958" t="str">
        <f>UPPER(TEXT(Tabela_DB[[#This Row],[DATA]],"mmm"))</f>
        <v>JUL</v>
      </c>
      <c r="H2958" t="str">
        <f>UPPER(TEXT(Tabela_DB[[#This Row],[DATA]],"aaaa"))</f>
        <v>2021</v>
      </c>
    </row>
    <row r="2959" spans="1:8" x14ac:dyDescent="0.25">
      <c r="A2959" s="2">
        <v>44378</v>
      </c>
      <c r="B2959" t="s">
        <v>3</v>
      </c>
      <c r="C2959">
        <v>11710</v>
      </c>
      <c r="D2959" t="str">
        <f>VLOOKUP(B2959,Tabela_Auxiliar[],2,0)</f>
        <v>1. Receita Operacional Bruta</v>
      </c>
      <c r="E2959" t="str">
        <f>VLOOKUP(B2959,Tabela_Auxiliar[],4,0)</f>
        <v>Receita Bruta</v>
      </c>
      <c r="F2959" t="str">
        <f>VLOOKUP(B2959,Tabela_Auxiliar[],3,0)</f>
        <v>Entrada</v>
      </c>
      <c r="G2959" t="str">
        <f>UPPER(TEXT(Tabela_DB[[#This Row],[DATA]],"mmm"))</f>
        <v>JUL</v>
      </c>
      <c r="H2959" t="str">
        <f>UPPER(TEXT(Tabela_DB[[#This Row],[DATA]],"aaaa"))</f>
        <v>2021</v>
      </c>
    </row>
    <row r="2960" spans="1:8" x14ac:dyDescent="0.25">
      <c r="A2960" s="2">
        <v>44379</v>
      </c>
      <c r="B2960" t="s">
        <v>37</v>
      </c>
      <c r="C2960">
        <v>-2931</v>
      </c>
      <c r="D2960" t="str">
        <f>VLOOKUP(B2960,Tabela_Auxiliar[],2,0)</f>
        <v>3. Custos do Produto/Mercadoria/Serviço</v>
      </c>
      <c r="E2960" t="str">
        <f>VLOOKUP(B2960,Tabela_Auxiliar[],4,0)</f>
        <v>Despesas c/ Produto</v>
      </c>
      <c r="F2960" t="str">
        <f>VLOOKUP(B2960,Tabela_Auxiliar[],3,0)</f>
        <v>Saída</v>
      </c>
      <c r="G2960" t="str">
        <f>UPPER(TEXT(Tabela_DB[[#This Row],[DATA]],"mmm"))</f>
        <v>JUL</v>
      </c>
      <c r="H2960" t="str">
        <f>UPPER(TEXT(Tabela_DB[[#This Row],[DATA]],"aaaa"))</f>
        <v>2021</v>
      </c>
    </row>
    <row r="2961" spans="1:8" x14ac:dyDescent="0.25">
      <c r="A2961" s="2">
        <v>44379</v>
      </c>
      <c r="B2961" t="s">
        <v>37</v>
      </c>
      <c r="C2961">
        <v>-4979</v>
      </c>
      <c r="D2961" t="str">
        <f>VLOOKUP(B2961,Tabela_Auxiliar[],2,0)</f>
        <v>3. Custos do Produto/Mercadoria/Serviço</v>
      </c>
      <c r="E2961" t="str">
        <f>VLOOKUP(B2961,Tabela_Auxiliar[],4,0)</f>
        <v>Despesas c/ Produto</v>
      </c>
      <c r="F2961" t="str">
        <f>VLOOKUP(B2961,Tabela_Auxiliar[],3,0)</f>
        <v>Saída</v>
      </c>
      <c r="G2961" t="str">
        <f>UPPER(TEXT(Tabela_DB[[#This Row],[DATA]],"mmm"))</f>
        <v>JUL</v>
      </c>
      <c r="H2961" t="str">
        <f>UPPER(TEXT(Tabela_DB[[#This Row],[DATA]],"aaaa"))</f>
        <v>2021</v>
      </c>
    </row>
    <row r="2962" spans="1:8" x14ac:dyDescent="0.25">
      <c r="A2962" s="2">
        <v>44379</v>
      </c>
      <c r="B2962" t="s">
        <v>111</v>
      </c>
      <c r="C2962">
        <v>-1980</v>
      </c>
      <c r="D2962" t="str">
        <f>VLOOKUP(B2962,Tabela_Auxiliar[],2,0)</f>
        <v>2. Deduções da Receita</v>
      </c>
      <c r="E2962" t="str">
        <f>VLOOKUP(B2962,Tabela_Auxiliar[],4,0)</f>
        <v>Imposto</v>
      </c>
      <c r="F2962" t="str">
        <f>VLOOKUP(B2962,Tabela_Auxiliar[],3,0)</f>
        <v>Saída</v>
      </c>
      <c r="G2962" t="str">
        <f>UPPER(TEXT(Tabela_DB[[#This Row],[DATA]],"mmm"))</f>
        <v>JUL</v>
      </c>
      <c r="H2962" t="str">
        <f>UPPER(TEXT(Tabela_DB[[#This Row],[DATA]],"aaaa"))</f>
        <v>2021</v>
      </c>
    </row>
    <row r="2963" spans="1:8" x14ac:dyDescent="0.25">
      <c r="A2963" s="2">
        <v>44379</v>
      </c>
      <c r="B2963" t="s">
        <v>37</v>
      </c>
      <c r="C2963">
        <v>-2984</v>
      </c>
      <c r="D2963" t="str">
        <f>VLOOKUP(B2963,Tabela_Auxiliar[],2,0)</f>
        <v>3. Custos do Produto/Mercadoria/Serviço</v>
      </c>
      <c r="E2963" t="str">
        <f>VLOOKUP(B2963,Tabela_Auxiliar[],4,0)</f>
        <v>Despesas c/ Produto</v>
      </c>
      <c r="F2963" t="str">
        <f>VLOOKUP(B2963,Tabela_Auxiliar[],3,0)</f>
        <v>Saída</v>
      </c>
      <c r="G2963" t="str">
        <f>UPPER(TEXT(Tabela_DB[[#This Row],[DATA]],"mmm"))</f>
        <v>JUL</v>
      </c>
      <c r="H2963" t="str">
        <f>UPPER(TEXT(Tabela_DB[[#This Row],[DATA]],"aaaa"))</f>
        <v>2021</v>
      </c>
    </row>
    <row r="2964" spans="1:8" x14ac:dyDescent="0.25">
      <c r="A2964" s="2">
        <v>44379</v>
      </c>
      <c r="B2964" t="s">
        <v>37</v>
      </c>
      <c r="C2964">
        <v>-4175</v>
      </c>
      <c r="D2964" t="str">
        <f>VLOOKUP(B2964,Tabela_Auxiliar[],2,0)</f>
        <v>3. Custos do Produto/Mercadoria/Serviço</v>
      </c>
      <c r="E2964" t="str">
        <f>VLOOKUP(B2964,Tabela_Auxiliar[],4,0)</f>
        <v>Despesas c/ Produto</v>
      </c>
      <c r="F2964" t="str">
        <f>VLOOKUP(B2964,Tabela_Auxiliar[],3,0)</f>
        <v>Saída</v>
      </c>
      <c r="G2964" t="str">
        <f>UPPER(TEXT(Tabela_DB[[#This Row],[DATA]],"mmm"))</f>
        <v>JUL</v>
      </c>
      <c r="H2964" t="str">
        <f>UPPER(TEXT(Tabela_DB[[#This Row],[DATA]],"aaaa"))</f>
        <v>2021</v>
      </c>
    </row>
    <row r="2965" spans="1:8" x14ac:dyDescent="0.25">
      <c r="A2965" s="2">
        <v>44379</v>
      </c>
      <c r="B2965" t="s">
        <v>111</v>
      </c>
      <c r="C2965">
        <v>-1594</v>
      </c>
      <c r="D2965" t="str">
        <f>VLOOKUP(B2965,Tabela_Auxiliar[],2,0)</f>
        <v>2. Deduções da Receita</v>
      </c>
      <c r="E2965" t="str">
        <f>VLOOKUP(B2965,Tabela_Auxiliar[],4,0)</f>
        <v>Imposto</v>
      </c>
      <c r="F2965" t="str">
        <f>VLOOKUP(B2965,Tabela_Auxiliar[],3,0)</f>
        <v>Saída</v>
      </c>
      <c r="G2965" t="str">
        <f>UPPER(TEXT(Tabela_DB[[#This Row],[DATA]],"mmm"))</f>
        <v>JUL</v>
      </c>
      <c r="H2965" t="str">
        <f>UPPER(TEXT(Tabela_DB[[#This Row],[DATA]],"aaaa"))</f>
        <v>2021</v>
      </c>
    </row>
    <row r="2966" spans="1:8" x14ac:dyDescent="0.25">
      <c r="A2966" s="2">
        <v>44379</v>
      </c>
      <c r="B2966" t="s">
        <v>4</v>
      </c>
      <c r="C2966">
        <v>14453</v>
      </c>
      <c r="D2966" t="str">
        <f>VLOOKUP(B2966,Tabela_Auxiliar[],2,0)</f>
        <v>1. Receita Operacional Bruta</v>
      </c>
      <c r="E2966" t="str">
        <f>VLOOKUP(B2966,Tabela_Auxiliar[],4,0)</f>
        <v>Receita Bruta</v>
      </c>
      <c r="F2966" t="str">
        <f>VLOOKUP(B2966,Tabela_Auxiliar[],3,0)</f>
        <v>Entrada</v>
      </c>
      <c r="G2966" t="str">
        <f>UPPER(TEXT(Tabela_DB[[#This Row],[DATA]],"mmm"))</f>
        <v>JUL</v>
      </c>
      <c r="H2966" t="str">
        <f>UPPER(TEXT(Tabela_DB[[#This Row],[DATA]],"aaaa"))</f>
        <v>2021</v>
      </c>
    </row>
    <row r="2967" spans="1:8" x14ac:dyDescent="0.25">
      <c r="A2967" s="2">
        <v>44379</v>
      </c>
      <c r="B2967" t="s">
        <v>57</v>
      </c>
      <c r="C2967">
        <v>-2166</v>
      </c>
      <c r="D2967" t="str">
        <f>VLOOKUP(B2967,Tabela_Auxiliar[],2,0)</f>
        <v>4. Despesas Operacionais</v>
      </c>
      <c r="E2967" t="str">
        <f>VLOOKUP(B2967,Tabela_Auxiliar[],4,0)</f>
        <v>Despesa com Pessoal</v>
      </c>
      <c r="F2967" t="str">
        <f>VLOOKUP(B2967,Tabela_Auxiliar[],3,0)</f>
        <v>Saída</v>
      </c>
      <c r="G2967" t="str">
        <f>UPPER(TEXT(Tabela_DB[[#This Row],[DATA]],"mmm"))</f>
        <v>JUL</v>
      </c>
      <c r="H2967" t="str">
        <f>UPPER(TEXT(Tabela_DB[[#This Row],[DATA]],"aaaa"))</f>
        <v>2021</v>
      </c>
    </row>
    <row r="2968" spans="1:8" x14ac:dyDescent="0.25">
      <c r="A2968" s="2">
        <v>44379</v>
      </c>
      <c r="B2968" t="s">
        <v>34</v>
      </c>
      <c r="C2968">
        <v>-2037</v>
      </c>
      <c r="D2968" t="str">
        <f>VLOOKUP(B2968,Tabela_Auxiliar[],2,0)</f>
        <v>2. Deduções da Receita</v>
      </c>
      <c r="E2968" t="str">
        <f>VLOOKUP(B2968,Tabela_Auxiliar[],4,0)</f>
        <v>Imposto</v>
      </c>
      <c r="F2968" t="str">
        <f>VLOOKUP(B2968,Tabela_Auxiliar[],3,0)</f>
        <v>Saída</v>
      </c>
      <c r="G2968" t="str">
        <f>UPPER(TEXT(Tabela_DB[[#This Row],[DATA]],"mmm"))</f>
        <v>JUL</v>
      </c>
      <c r="H2968" t="str">
        <f>UPPER(TEXT(Tabela_DB[[#This Row],[DATA]],"aaaa"))</f>
        <v>2021</v>
      </c>
    </row>
    <row r="2969" spans="1:8" x14ac:dyDescent="0.25">
      <c r="A2969" s="2">
        <v>44379</v>
      </c>
      <c r="B2969" t="s">
        <v>35</v>
      </c>
      <c r="C2969">
        <v>-1462</v>
      </c>
      <c r="D2969" t="str">
        <f>VLOOKUP(B2969,Tabela_Auxiliar[],2,0)</f>
        <v>2. Deduções da Receita</v>
      </c>
      <c r="E2969" t="str">
        <f>VLOOKUP(B2969,Tabela_Auxiliar[],4,0)</f>
        <v>Imposto</v>
      </c>
      <c r="F2969" t="str">
        <f>VLOOKUP(B2969,Tabela_Auxiliar[],3,0)</f>
        <v>Saída</v>
      </c>
      <c r="G2969" t="str">
        <f>UPPER(TEXT(Tabela_DB[[#This Row],[DATA]],"mmm"))</f>
        <v>JUL</v>
      </c>
      <c r="H2969" t="str">
        <f>UPPER(TEXT(Tabela_DB[[#This Row],[DATA]],"aaaa"))</f>
        <v>2021</v>
      </c>
    </row>
    <row r="2970" spans="1:8" x14ac:dyDescent="0.25">
      <c r="A2970" s="2">
        <v>44379</v>
      </c>
      <c r="B2970" t="s">
        <v>38</v>
      </c>
      <c r="C2970">
        <v>-1874</v>
      </c>
      <c r="D2970" t="str">
        <f>VLOOKUP(B2970,Tabela_Auxiliar[],2,0)</f>
        <v>2. Deduções da Receita</v>
      </c>
      <c r="E2970" t="str">
        <f>VLOOKUP(B2970,Tabela_Auxiliar[],4,0)</f>
        <v>Deduções</v>
      </c>
      <c r="F2970" t="str">
        <f>VLOOKUP(B2970,Tabela_Auxiliar[],3,0)</f>
        <v>Saída</v>
      </c>
      <c r="G2970" t="str">
        <f>UPPER(TEXT(Tabela_DB[[#This Row],[DATA]],"mmm"))</f>
        <v>JUL</v>
      </c>
      <c r="H2970" t="str">
        <f>UPPER(TEXT(Tabela_DB[[#This Row],[DATA]],"aaaa"))</f>
        <v>2021</v>
      </c>
    </row>
    <row r="2971" spans="1:8" x14ac:dyDescent="0.25">
      <c r="A2971" s="2">
        <v>44379</v>
      </c>
      <c r="B2971" t="s">
        <v>78</v>
      </c>
      <c r="C2971">
        <v>-1912</v>
      </c>
      <c r="D2971" t="str">
        <f>VLOOKUP(B2971,Tabela_Auxiliar[],2,0)</f>
        <v>4. Despesas Operacionais</v>
      </c>
      <c r="E2971" t="str">
        <f>VLOOKUP(B2971,Tabela_Auxiliar[],4,0)</f>
        <v>Serviços Contratados</v>
      </c>
      <c r="F2971" t="str">
        <f>VLOOKUP(B2971,Tabela_Auxiliar[],3,0)</f>
        <v>Saída</v>
      </c>
      <c r="G2971" t="str">
        <f>UPPER(TEXT(Tabela_DB[[#This Row],[DATA]],"mmm"))</f>
        <v>JUL</v>
      </c>
      <c r="H2971" t="str">
        <f>UPPER(TEXT(Tabela_DB[[#This Row],[DATA]],"aaaa"))</f>
        <v>2021</v>
      </c>
    </row>
    <row r="2972" spans="1:8" x14ac:dyDescent="0.25">
      <c r="A2972" s="2">
        <v>44379</v>
      </c>
      <c r="B2972" t="s">
        <v>55</v>
      </c>
      <c r="C2972">
        <v>-1521</v>
      </c>
      <c r="D2972" t="str">
        <f>VLOOKUP(B2972,Tabela_Auxiliar[],2,0)</f>
        <v>4. Despesas Operacionais</v>
      </c>
      <c r="E2972" t="str">
        <f>VLOOKUP(B2972,Tabela_Auxiliar[],4,0)</f>
        <v>Despesa com Pessoal</v>
      </c>
      <c r="F2972" t="str">
        <f>VLOOKUP(B2972,Tabela_Auxiliar[],3,0)</f>
        <v>Saída</v>
      </c>
      <c r="G2972" t="str">
        <f>UPPER(TEXT(Tabela_DB[[#This Row],[DATA]],"mmm"))</f>
        <v>JUL</v>
      </c>
      <c r="H2972" t="str">
        <f>UPPER(TEXT(Tabela_DB[[#This Row],[DATA]],"aaaa"))</f>
        <v>2021</v>
      </c>
    </row>
    <row r="2973" spans="1:8" x14ac:dyDescent="0.25">
      <c r="A2973" s="2">
        <v>44379</v>
      </c>
      <c r="B2973" t="s">
        <v>35</v>
      </c>
      <c r="C2973">
        <v>-2068</v>
      </c>
      <c r="D2973" t="str">
        <f>VLOOKUP(B2973,Tabela_Auxiliar[],2,0)</f>
        <v>2. Deduções da Receita</v>
      </c>
      <c r="E2973" t="str">
        <f>VLOOKUP(B2973,Tabela_Auxiliar[],4,0)</f>
        <v>Imposto</v>
      </c>
      <c r="F2973" t="str">
        <f>VLOOKUP(B2973,Tabela_Auxiliar[],3,0)</f>
        <v>Saída</v>
      </c>
      <c r="G2973" t="str">
        <f>UPPER(TEXT(Tabela_DB[[#This Row],[DATA]],"mmm"))</f>
        <v>JUL</v>
      </c>
      <c r="H2973" t="str">
        <f>UPPER(TEXT(Tabela_DB[[#This Row],[DATA]],"aaaa"))</f>
        <v>2021</v>
      </c>
    </row>
    <row r="2974" spans="1:8" x14ac:dyDescent="0.25">
      <c r="A2974" s="2">
        <v>44379</v>
      </c>
      <c r="B2974" t="s">
        <v>3</v>
      </c>
      <c r="C2974">
        <v>14101</v>
      </c>
      <c r="D2974" t="str">
        <f>VLOOKUP(B2974,Tabela_Auxiliar[],2,0)</f>
        <v>1. Receita Operacional Bruta</v>
      </c>
      <c r="E2974" t="str">
        <f>VLOOKUP(B2974,Tabela_Auxiliar[],4,0)</f>
        <v>Receita Bruta</v>
      </c>
      <c r="F2974" t="str">
        <f>VLOOKUP(B2974,Tabela_Auxiliar[],3,0)</f>
        <v>Entrada</v>
      </c>
      <c r="G2974" t="str">
        <f>UPPER(TEXT(Tabela_DB[[#This Row],[DATA]],"mmm"))</f>
        <v>JUL</v>
      </c>
      <c r="H2974" t="str">
        <f>UPPER(TEXT(Tabela_DB[[#This Row],[DATA]],"aaaa"))</f>
        <v>2021</v>
      </c>
    </row>
    <row r="2975" spans="1:8" x14ac:dyDescent="0.25">
      <c r="A2975" s="2">
        <v>44379</v>
      </c>
      <c r="B2975" t="s">
        <v>111</v>
      </c>
      <c r="C2975">
        <v>-1811</v>
      </c>
      <c r="D2975" t="str">
        <f>VLOOKUP(B2975,Tabela_Auxiliar[],2,0)</f>
        <v>2. Deduções da Receita</v>
      </c>
      <c r="E2975" t="str">
        <f>VLOOKUP(B2975,Tabela_Auxiliar[],4,0)</f>
        <v>Imposto</v>
      </c>
      <c r="F2975" t="str">
        <f>VLOOKUP(B2975,Tabela_Auxiliar[],3,0)</f>
        <v>Saída</v>
      </c>
      <c r="G2975" t="str">
        <f>UPPER(TEXT(Tabela_DB[[#This Row],[DATA]],"mmm"))</f>
        <v>JUL</v>
      </c>
      <c r="H2975" t="str">
        <f>UPPER(TEXT(Tabela_DB[[#This Row],[DATA]],"aaaa"))</f>
        <v>2021</v>
      </c>
    </row>
    <row r="2976" spans="1:8" x14ac:dyDescent="0.25">
      <c r="A2976" s="2">
        <v>44379</v>
      </c>
      <c r="B2976" t="s">
        <v>38</v>
      </c>
      <c r="C2976">
        <v>-1532</v>
      </c>
      <c r="D2976" t="str">
        <f>VLOOKUP(B2976,Tabela_Auxiliar[],2,0)</f>
        <v>2. Deduções da Receita</v>
      </c>
      <c r="E2976" t="str">
        <f>VLOOKUP(B2976,Tabela_Auxiliar[],4,0)</f>
        <v>Deduções</v>
      </c>
      <c r="F2976" t="str">
        <f>VLOOKUP(B2976,Tabela_Auxiliar[],3,0)</f>
        <v>Saída</v>
      </c>
      <c r="G2976" t="str">
        <f>UPPER(TEXT(Tabela_DB[[#This Row],[DATA]],"mmm"))</f>
        <v>JUL</v>
      </c>
      <c r="H2976" t="str">
        <f>UPPER(TEXT(Tabela_DB[[#This Row],[DATA]],"aaaa"))</f>
        <v>2021</v>
      </c>
    </row>
    <row r="2977" spans="1:8" x14ac:dyDescent="0.25">
      <c r="A2977" s="2">
        <v>44379</v>
      </c>
      <c r="B2977" t="s">
        <v>3</v>
      </c>
      <c r="C2977">
        <v>11950</v>
      </c>
      <c r="D2977" t="str">
        <f>VLOOKUP(B2977,Tabela_Auxiliar[],2,0)</f>
        <v>1. Receita Operacional Bruta</v>
      </c>
      <c r="E2977" t="str">
        <f>VLOOKUP(B2977,Tabela_Auxiliar[],4,0)</f>
        <v>Receita Bruta</v>
      </c>
      <c r="F2977" t="str">
        <f>VLOOKUP(B2977,Tabela_Auxiliar[],3,0)</f>
        <v>Entrada</v>
      </c>
      <c r="G2977" t="str">
        <f>UPPER(TEXT(Tabela_DB[[#This Row],[DATA]],"mmm"))</f>
        <v>JUL</v>
      </c>
      <c r="H2977" t="str">
        <f>UPPER(TEXT(Tabela_DB[[#This Row],[DATA]],"aaaa"))</f>
        <v>2021</v>
      </c>
    </row>
    <row r="2978" spans="1:8" x14ac:dyDescent="0.25">
      <c r="A2978" s="2">
        <v>44379</v>
      </c>
      <c r="B2978" t="s">
        <v>3</v>
      </c>
      <c r="C2978">
        <v>12121</v>
      </c>
      <c r="D2978" t="str">
        <f>VLOOKUP(B2978,Tabela_Auxiliar[],2,0)</f>
        <v>1. Receita Operacional Bruta</v>
      </c>
      <c r="E2978" t="str">
        <f>VLOOKUP(B2978,Tabela_Auxiliar[],4,0)</f>
        <v>Receita Bruta</v>
      </c>
      <c r="F2978" t="str">
        <f>VLOOKUP(B2978,Tabela_Auxiliar[],3,0)</f>
        <v>Entrada</v>
      </c>
      <c r="G2978" t="str">
        <f>UPPER(TEXT(Tabela_DB[[#This Row],[DATA]],"mmm"))</f>
        <v>JUL</v>
      </c>
      <c r="H2978" t="str">
        <f>UPPER(TEXT(Tabela_DB[[#This Row],[DATA]],"aaaa"))</f>
        <v>2021</v>
      </c>
    </row>
    <row r="2979" spans="1:8" x14ac:dyDescent="0.25">
      <c r="A2979" s="2">
        <v>44379</v>
      </c>
      <c r="B2979" t="s">
        <v>34</v>
      </c>
      <c r="C2979">
        <v>-1082</v>
      </c>
      <c r="D2979" t="str">
        <f>VLOOKUP(B2979,Tabela_Auxiliar[],2,0)</f>
        <v>2. Deduções da Receita</v>
      </c>
      <c r="E2979" t="str">
        <f>VLOOKUP(B2979,Tabela_Auxiliar[],4,0)</f>
        <v>Imposto</v>
      </c>
      <c r="F2979" t="str">
        <f>VLOOKUP(B2979,Tabela_Auxiliar[],3,0)</f>
        <v>Saída</v>
      </c>
      <c r="G2979" t="str">
        <f>UPPER(TEXT(Tabela_DB[[#This Row],[DATA]],"mmm"))</f>
        <v>JUL</v>
      </c>
      <c r="H2979" t="str">
        <f>UPPER(TEXT(Tabela_DB[[#This Row],[DATA]],"aaaa"))</f>
        <v>2021</v>
      </c>
    </row>
    <row r="2980" spans="1:8" x14ac:dyDescent="0.25">
      <c r="A2980" s="2">
        <v>44380</v>
      </c>
      <c r="B2980" t="s">
        <v>34</v>
      </c>
      <c r="C2980">
        <v>-1536</v>
      </c>
      <c r="D2980" t="str">
        <f>VLOOKUP(B2980,Tabela_Auxiliar[],2,0)</f>
        <v>2. Deduções da Receita</v>
      </c>
      <c r="E2980" t="str">
        <f>VLOOKUP(B2980,Tabela_Auxiliar[],4,0)</f>
        <v>Imposto</v>
      </c>
      <c r="F2980" t="str">
        <f>VLOOKUP(B2980,Tabela_Auxiliar[],3,0)</f>
        <v>Saída</v>
      </c>
      <c r="G2980" t="str">
        <f>UPPER(TEXT(Tabela_DB[[#This Row],[DATA]],"mmm"))</f>
        <v>JUL</v>
      </c>
      <c r="H2980" t="str">
        <f>UPPER(TEXT(Tabela_DB[[#This Row],[DATA]],"aaaa"))</f>
        <v>2021</v>
      </c>
    </row>
    <row r="2981" spans="1:8" x14ac:dyDescent="0.25">
      <c r="A2981" s="2">
        <v>44380</v>
      </c>
      <c r="B2981" t="s">
        <v>34</v>
      </c>
      <c r="C2981">
        <v>-1636</v>
      </c>
      <c r="D2981" t="str">
        <f>VLOOKUP(B2981,Tabela_Auxiliar[],2,0)</f>
        <v>2. Deduções da Receita</v>
      </c>
      <c r="E2981" t="str">
        <f>VLOOKUP(B2981,Tabela_Auxiliar[],4,0)</f>
        <v>Imposto</v>
      </c>
      <c r="F2981" t="str">
        <f>VLOOKUP(B2981,Tabela_Auxiliar[],3,0)</f>
        <v>Saída</v>
      </c>
      <c r="G2981" t="str">
        <f>UPPER(TEXT(Tabela_DB[[#This Row],[DATA]],"mmm"))</f>
        <v>JUL</v>
      </c>
      <c r="H2981" t="str">
        <f>UPPER(TEXT(Tabela_DB[[#This Row],[DATA]],"aaaa"))</f>
        <v>2021</v>
      </c>
    </row>
    <row r="2982" spans="1:8" x14ac:dyDescent="0.25">
      <c r="A2982" s="2">
        <v>44380</v>
      </c>
      <c r="B2982" t="s">
        <v>38</v>
      </c>
      <c r="C2982">
        <v>-2181</v>
      </c>
      <c r="D2982" t="str">
        <f>VLOOKUP(B2982,Tabela_Auxiliar[],2,0)</f>
        <v>2. Deduções da Receita</v>
      </c>
      <c r="E2982" t="str">
        <f>VLOOKUP(B2982,Tabela_Auxiliar[],4,0)</f>
        <v>Deduções</v>
      </c>
      <c r="F2982" t="str">
        <f>VLOOKUP(B2982,Tabela_Auxiliar[],3,0)</f>
        <v>Saída</v>
      </c>
      <c r="G2982" t="str">
        <f>UPPER(TEXT(Tabela_DB[[#This Row],[DATA]],"mmm"))</f>
        <v>JUL</v>
      </c>
      <c r="H2982" t="str">
        <f>UPPER(TEXT(Tabela_DB[[#This Row],[DATA]],"aaaa"))</f>
        <v>2021</v>
      </c>
    </row>
    <row r="2983" spans="1:8" x14ac:dyDescent="0.25">
      <c r="A2983" s="2">
        <v>44380</v>
      </c>
      <c r="B2983" t="s">
        <v>46</v>
      </c>
      <c r="C2983">
        <v>-2468</v>
      </c>
      <c r="D2983" t="str">
        <f>VLOOKUP(B2983,Tabela_Auxiliar[],2,0)</f>
        <v>4. Despesas Operacionais</v>
      </c>
      <c r="E2983" t="str">
        <f>VLOOKUP(B2983,Tabela_Auxiliar[],4,0)</f>
        <v>Despesa com Pessoal</v>
      </c>
      <c r="F2983" t="str">
        <f>VLOOKUP(B2983,Tabela_Auxiliar[],3,0)</f>
        <v>Saída</v>
      </c>
      <c r="G2983" t="str">
        <f>UPPER(TEXT(Tabela_DB[[#This Row],[DATA]],"mmm"))</f>
        <v>JUL</v>
      </c>
      <c r="H2983" t="str">
        <f>UPPER(TEXT(Tabela_DB[[#This Row],[DATA]],"aaaa"))</f>
        <v>2021</v>
      </c>
    </row>
    <row r="2984" spans="1:8" x14ac:dyDescent="0.25">
      <c r="A2984" s="2">
        <v>44380</v>
      </c>
      <c r="B2984" t="s">
        <v>100</v>
      </c>
      <c r="C2984">
        <v>2277</v>
      </c>
      <c r="D2984" t="str">
        <f>VLOOKUP(B2984,Tabela_Auxiliar[],2,0)</f>
        <v>5. Resultado Financeiro</v>
      </c>
      <c r="E2984" t="str">
        <f>VLOOKUP(B2984,Tabela_Auxiliar[],4,0)</f>
        <v>Receita Financeira</v>
      </c>
      <c r="F2984" t="str">
        <f>VLOOKUP(B2984,Tabela_Auxiliar[],3,0)</f>
        <v>Saída</v>
      </c>
      <c r="G2984" t="str">
        <f>UPPER(TEXT(Tabela_DB[[#This Row],[DATA]],"mmm"))</f>
        <v>JUL</v>
      </c>
      <c r="H2984" t="str">
        <f>UPPER(TEXT(Tabela_DB[[#This Row],[DATA]],"aaaa"))</f>
        <v>2021</v>
      </c>
    </row>
    <row r="2985" spans="1:8" x14ac:dyDescent="0.25">
      <c r="A2985" s="2">
        <v>44380</v>
      </c>
      <c r="B2985" t="s">
        <v>111</v>
      </c>
      <c r="C2985">
        <v>-1594</v>
      </c>
      <c r="D2985" t="str">
        <f>VLOOKUP(B2985,Tabela_Auxiliar[],2,0)</f>
        <v>2. Deduções da Receita</v>
      </c>
      <c r="E2985" t="str">
        <f>VLOOKUP(B2985,Tabela_Auxiliar[],4,0)</f>
        <v>Imposto</v>
      </c>
      <c r="F2985" t="str">
        <f>VLOOKUP(B2985,Tabela_Auxiliar[],3,0)</f>
        <v>Saída</v>
      </c>
      <c r="G2985" t="str">
        <f>UPPER(TEXT(Tabela_DB[[#This Row],[DATA]],"mmm"))</f>
        <v>JUL</v>
      </c>
      <c r="H2985" t="str">
        <f>UPPER(TEXT(Tabela_DB[[#This Row],[DATA]],"aaaa"))</f>
        <v>2021</v>
      </c>
    </row>
    <row r="2986" spans="1:8" x14ac:dyDescent="0.25">
      <c r="A2986" s="2">
        <v>44380</v>
      </c>
      <c r="B2986" t="s">
        <v>38</v>
      </c>
      <c r="C2986">
        <v>-2003</v>
      </c>
      <c r="D2986" t="str">
        <f>VLOOKUP(B2986,Tabela_Auxiliar[],2,0)</f>
        <v>2. Deduções da Receita</v>
      </c>
      <c r="E2986" t="str">
        <f>VLOOKUP(B2986,Tabela_Auxiliar[],4,0)</f>
        <v>Deduções</v>
      </c>
      <c r="F2986" t="str">
        <f>VLOOKUP(B2986,Tabela_Auxiliar[],3,0)</f>
        <v>Saída</v>
      </c>
      <c r="G2986" t="str">
        <f>UPPER(TEXT(Tabela_DB[[#This Row],[DATA]],"mmm"))</f>
        <v>JUL</v>
      </c>
      <c r="H2986" t="str">
        <f>UPPER(TEXT(Tabela_DB[[#This Row],[DATA]],"aaaa"))</f>
        <v>2021</v>
      </c>
    </row>
    <row r="2987" spans="1:8" x14ac:dyDescent="0.25">
      <c r="A2987" s="2">
        <v>44380</v>
      </c>
      <c r="B2987" t="s">
        <v>38</v>
      </c>
      <c r="C2987">
        <v>-1275</v>
      </c>
      <c r="D2987" t="str">
        <f>VLOOKUP(B2987,Tabela_Auxiliar[],2,0)</f>
        <v>2. Deduções da Receita</v>
      </c>
      <c r="E2987" t="str">
        <f>VLOOKUP(B2987,Tabela_Auxiliar[],4,0)</f>
        <v>Deduções</v>
      </c>
      <c r="F2987" t="str">
        <f>VLOOKUP(B2987,Tabela_Auxiliar[],3,0)</f>
        <v>Saída</v>
      </c>
      <c r="G2987" t="str">
        <f>UPPER(TEXT(Tabela_DB[[#This Row],[DATA]],"mmm"))</f>
        <v>JUL</v>
      </c>
      <c r="H2987" t="str">
        <f>UPPER(TEXT(Tabela_DB[[#This Row],[DATA]],"aaaa"))</f>
        <v>2021</v>
      </c>
    </row>
    <row r="2988" spans="1:8" x14ac:dyDescent="0.25">
      <c r="A2988" s="2">
        <v>44380</v>
      </c>
      <c r="B2988" t="s">
        <v>75</v>
      </c>
      <c r="C2988">
        <v>-1818</v>
      </c>
      <c r="D2988" t="str">
        <f>VLOOKUP(B2988,Tabela_Auxiliar[],2,0)</f>
        <v>4. Despesas Operacionais</v>
      </c>
      <c r="E2988" t="str">
        <f>VLOOKUP(B2988,Tabela_Auxiliar[],4,0)</f>
        <v>Serviços Contratados</v>
      </c>
      <c r="F2988" t="str">
        <f>VLOOKUP(B2988,Tabela_Auxiliar[],3,0)</f>
        <v>Saída</v>
      </c>
      <c r="G2988" t="str">
        <f>UPPER(TEXT(Tabela_DB[[#This Row],[DATA]],"mmm"))</f>
        <v>JUL</v>
      </c>
      <c r="H2988" t="str">
        <f>UPPER(TEXT(Tabela_DB[[#This Row],[DATA]],"aaaa"))</f>
        <v>2021</v>
      </c>
    </row>
    <row r="2989" spans="1:8" x14ac:dyDescent="0.25">
      <c r="A2989" s="2">
        <v>44380</v>
      </c>
      <c r="B2989" t="s">
        <v>83</v>
      </c>
      <c r="C2989">
        <v>-1804</v>
      </c>
      <c r="D2989" t="str">
        <f>VLOOKUP(B2989,Tabela_Auxiliar[],2,0)</f>
        <v>4. Despesas Operacionais</v>
      </c>
      <c r="E2989" t="str">
        <f>VLOOKUP(B2989,Tabela_Auxiliar[],4,0)</f>
        <v>Despesa com Veículos</v>
      </c>
      <c r="F2989" t="str">
        <f>VLOOKUP(B2989,Tabela_Auxiliar[],3,0)</f>
        <v>Saída</v>
      </c>
      <c r="G2989" t="str">
        <f>UPPER(TEXT(Tabela_DB[[#This Row],[DATA]],"mmm"))</f>
        <v>JUL</v>
      </c>
      <c r="H2989" t="str">
        <f>UPPER(TEXT(Tabela_DB[[#This Row],[DATA]],"aaaa"))</f>
        <v>2021</v>
      </c>
    </row>
    <row r="2990" spans="1:8" x14ac:dyDescent="0.25">
      <c r="A2990" s="2">
        <v>44380</v>
      </c>
      <c r="B2990" t="s">
        <v>4</v>
      </c>
      <c r="C2990">
        <v>10701</v>
      </c>
      <c r="D2990" t="str">
        <f>VLOOKUP(B2990,Tabela_Auxiliar[],2,0)</f>
        <v>1. Receita Operacional Bruta</v>
      </c>
      <c r="E2990" t="str">
        <f>VLOOKUP(B2990,Tabela_Auxiliar[],4,0)</f>
        <v>Receita Bruta</v>
      </c>
      <c r="F2990" t="str">
        <f>VLOOKUP(B2990,Tabela_Auxiliar[],3,0)</f>
        <v>Entrada</v>
      </c>
      <c r="G2990" t="str">
        <f>UPPER(TEXT(Tabela_DB[[#This Row],[DATA]],"mmm"))</f>
        <v>JUL</v>
      </c>
      <c r="H2990" t="str">
        <f>UPPER(TEXT(Tabela_DB[[#This Row],[DATA]],"aaaa"))</f>
        <v>2021</v>
      </c>
    </row>
    <row r="2991" spans="1:8" x14ac:dyDescent="0.25">
      <c r="A2991" s="2">
        <v>44380</v>
      </c>
      <c r="B2991" t="s">
        <v>3</v>
      </c>
      <c r="C2991">
        <v>10019</v>
      </c>
      <c r="D2991" t="str">
        <f>VLOOKUP(B2991,Tabela_Auxiliar[],2,0)</f>
        <v>1. Receita Operacional Bruta</v>
      </c>
      <c r="E2991" t="str">
        <f>VLOOKUP(B2991,Tabela_Auxiliar[],4,0)</f>
        <v>Receita Bruta</v>
      </c>
      <c r="F2991" t="str">
        <f>VLOOKUP(B2991,Tabela_Auxiliar[],3,0)</f>
        <v>Entrada</v>
      </c>
      <c r="G2991" t="str">
        <f>UPPER(TEXT(Tabela_DB[[#This Row],[DATA]],"mmm"))</f>
        <v>JUL</v>
      </c>
      <c r="H2991" t="str">
        <f>UPPER(TEXT(Tabela_DB[[#This Row],[DATA]],"aaaa"))</f>
        <v>2021</v>
      </c>
    </row>
    <row r="2992" spans="1:8" x14ac:dyDescent="0.25">
      <c r="A2992" s="2">
        <v>44381</v>
      </c>
      <c r="B2992" t="s">
        <v>44</v>
      </c>
      <c r="C2992">
        <v>-1762</v>
      </c>
      <c r="D2992" t="str">
        <f>VLOOKUP(B2992,Tabela_Auxiliar[],2,0)</f>
        <v>4. Despesas Operacionais</v>
      </c>
      <c r="E2992" t="str">
        <f>VLOOKUP(B2992,Tabela_Auxiliar[],4,0)</f>
        <v>Despesa com Pessoal</v>
      </c>
      <c r="F2992" t="str">
        <f>VLOOKUP(B2992,Tabela_Auxiliar[],3,0)</f>
        <v>Saída</v>
      </c>
      <c r="G2992" t="str">
        <f>UPPER(TEXT(Tabela_DB[[#This Row],[DATA]],"mmm"))</f>
        <v>JUL</v>
      </c>
      <c r="H2992" t="str">
        <f>UPPER(TEXT(Tabela_DB[[#This Row],[DATA]],"aaaa"))</f>
        <v>2021</v>
      </c>
    </row>
    <row r="2993" spans="1:8" x14ac:dyDescent="0.25">
      <c r="A2993" s="2">
        <v>44381</v>
      </c>
      <c r="B2993" t="s">
        <v>4</v>
      </c>
      <c r="C2993">
        <v>11139</v>
      </c>
      <c r="D2993" t="str">
        <f>VLOOKUP(B2993,Tabela_Auxiliar[],2,0)</f>
        <v>1. Receita Operacional Bruta</v>
      </c>
      <c r="E2993" t="str">
        <f>VLOOKUP(B2993,Tabela_Auxiliar[],4,0)</f>
        <v>Receita Bruta</v>
      </c>
      <c r="F2993" t="str">
        <f>VLOOKUP(B2993,Tabela_Auxiliar[],3,0)</f>
        <v>Entrada</v>
      </c>
      <c r="G2993" t="str">
        <f>UPPER(TEXT(Tabela_DB[[#This Row],[DATA]],"mmm"))</f>
        <v>JUL</v>
      </c>
      <c r="H2993" t="str">
        <f>UPPER(TEXT(Tabela_DB[[#This Row],[DATA]],"aaaa"))</f>
        <v>2021</v>
      </c>
    </row>
    <row r="2994" spans="1:8" x14ac:dyDescent="0.25">
      <c r="A2994" s="2">
        <v>44381</v>
      </c>
      <c r="B2994" t="s">
        <v>38</v>
      </c>
      <c r="C2994">
        <v>-1686</v>
      </c>
      <c r="D2994" t="str">
        <f>VLOOKUP(B2994,Tabela_Auxiliar[],2,0)</f>
        <v>2. Deduções da Receita</v>
      </c>
      <c r="E2994" t="str">
        <f>VLOOKUP(B2994,Tabela_Auxiliar[],4,0)</f>
        <v>Deduções</v>
      </c>
      <c r="F2994" t="str">
        <f>VLOOKUP(B2994,Tabela_Auxiliar[],3,0)</f>
        <v>Saída</v>
      </c>
      <c r="G2994" t="str">
        <f>UPPER(TEXT(Tabela_DB[[#This Row],[DATA]],"mmm"))</f>
        <v>JUL</v>
      </c>
      <c r="H2994" t="str">
        <f>UPPER(TEXT(Tabela_DB[[#This Row],[DATA]],"aaaa"))</f>
        <v>2021</v>
      </c>
    </row>
    <row r="2995" spans="1:8" x14ac:dyDescent="0.25">
      <c r="A2995" s="2">
        <v>44381</v>
      </c>
      <c r="B2995" t="s">
        <v>4</v>
      </c>
      <c r="C2995">
        <v>12784</v>
      </c>
      <c r="D2995" t="str">
        <f>VLOOKUP(B2995,Tabela_Auxiliar[],2,0)</f>
        <v>1. Receita Operacional Bruta</v>
      </c>
      <c r="E2995" t="str">
        <f>VLOOKUP(B2995,Tabela_Auxiliar[],4,0)</f>
        <v>Receita Bruta</v>
      </c>
      <c r="F2995" t="str">
        <f>VLOOKUP(B2995,Tabela_Auxiliar[],3,0)</f>
        <v>Entrada</v>
      </c>
      <c r="G2995" t="str">
        <f>UPPER(TEXT(Tabela_DB[[#This Row],[DATA]],"mmm"))</f>
        <v>JUL</v>
      </c>
      <c r="H2995" t="str">
        <f>UPPER(TEXT(Tabela_DB[[#This Row],[DATA]],"aaaa"))</f>
        <v>2021</v>
      </c>
    </row>
    <row r="2996" spans="1:8" x14ac:dyDescent="0.25">
      <c r="A2996" s="2">
        <v>44381</v>
      </c>
      <c r="B2996" t="s">
        <v>3</v>
      </c>
      <c r="C2996">
        <v>14155</v>
      </c>
      <c r="D2996" t="str">
        <f>VLOOKUP(B2996,Tabela_Auxiliar[],2,0)</f>
        <v>1. Receita Operacional Bruta</v>
      </c>
      <c r="E2996" t="str">
        <f>VLOOKUP(B2996,Tabela_Auxiliar[],4,0)</f>
        <v>Receita Bruta</v>
      </c>
      <c r="F2996" t="str">
        <f>VLOOKUP(B2996,Tabela_Auxiliar[],3,0)</f>
        <v>Entrada</v>
      </c>
      <c r="G2996" t="str">
        <f>UPPER(TEXT(Tabela_DB[[#This Row],[DATA]],"mmm"))</f>
        <v>JUL</v>
      </c>
      <c r="H2996" t="str">
        <f>UPPER(TEXT(Tabela_DB[[#This Row],[DATA]],"aaaa"))</f>
        <v>2021</v>
      </c>
    </row>
    <row r="2997" spans="1:8" x14ac:dyDescent="0.25">
      <c r="A2997" s="2">
        <v>44381</v>
      </c>
      <c r="B2997" t="s">
        <v>35</v>
      </c>
      <c r="C2997">
        <v>-1753</v>
      </c>
      <c r="D2997" t="str">
        <f>VLOOKUP(B2997,Tabela_Auxiliar[],2,0)</f>
        <v>2. Deduções da Receita</v>
      </c>
      <c r="E2997" t="str">
        <f>VLOOKUP(B2997,Tabela_Auxiliar[],4,0)</f>
        <v>Imposto</v>
      </c>
      <c r="F2997" t="str">
        <f>VLOOKUP(B2997,Tabela_Auxiliar[],3,0)</f>
        <v>Saída</v>
      </c>
      <c r="G2997" t="str">
        <f>UPPER(TEXT(Tabela_DB[[#This Row],[DATA]],"mmm"))</f>
        <v>JUL</v>
      </c>
      <c r="H2997" t="str">
        <f>UPPER(TEXT(Tabela_DB[[#This Row],[DATA]],"aaaa"))</f>
        <v>2021</v>
      </c>
    </row>
    <row r="2998" spans="1:8" x14ac:dyDescent="0.25">
      <c r="A2998" s="2">
        <v>44381</v>
      </c>
      <c r="B2998" t="s">
        <v>3</v>
      </c>
      <c r="C2998">
        <v>14203</v>
      </c>
      <c r="D2998" t="str">
        <f>VLOOKUP(B2998,Tabela_Auxiliar[],2,0)</f>
        <v>1. Receita Operacional Bruta</v>
      </c>
      <c r="E2998" t="str">
        <f>VLOOKUP(B2998,Tabela_Auxiliar[],4,0)</f>
        <v>Receita Bruta</v>
      </c>
      <c r="F2998" t="str">
        <f>VLOOKUP(B2998,Tabela_Auxiliar[],3,0)</f>
        <v>Entrada</v>
      </c>
      <c r="G2998" t="str">
        <f>UPPER(TEXT(Tabela_DB[[#This Row],[DATA]],"mmm"))</f>
        <v>JUL</v>
      </c>
      <c r="H2998" t="str">
        <f>UPPER(TEXT(Tabela_DB[[#This Row],[DATA]],"aaaa"))</f>
        <v>2021</v>
      </c>
    </row>
    <row r="2999" spans="1:8" x14ac:dyDescent="0.25">
      <c r="A2999" s="2">
        <v>44381</v>
      </c>
      <c r="B2999" t="s">
        <v>54</v>
      </c>
      <c r="C2999">
        <v>-1898</v>
      </c>
      <c r="D2999" t="str">
        <f>VLOOKUP(B2999,Tabela_Auxiliar[],2,0)</f>
        <v>4. Despesas Operacionais</v>
      </c>
      <c r="E2999" t="str">
        <f>VLOOKUP(B2999,Tabela_Auxiliar[],4,0)</f>
        <v>Despesa com Pessoal</v>
      </c>
      <c r="F2999" t="str">
        <f>VLOOKUP(B2999,Tabela_Auxiliar[],3,0)</f>
        <v>Saída</v>
      </c>
      <c r="G2999" t="str">
        <f>UPPER(TEXT(Tabela_DB[[#This Row],[DATA]],"mmm"))</f>
        <v>JUL</v>
      </c>
      <c r="H2999" t="str">
        <f>UPPER(TEXT(Tabela_DB[[#This Row],[DATA]],"aaaa"))</f>
        <v>2021</v>
      </c>
    </row>
    <row r="3000" spans="1:8" x14ac:dyDescent="0.25">
      <c r="A3000" s="2">
        <v>44381</v>
      </c>
      <c r="B3000" t="s">
        <v>38</v>
      </c>
      <c r="C3000">
        <v>-1952</v>
      </c>
      <c r="D3000" t="str">
        <f>VLOOKUP(B3000,Tabela_Auxiliar[],2,0)</f>
        <v>2. Deduções da Receita</v>
      </c>
      <c r="E3000" t="str">
        <f>VLOOKUP(B3000,Tabela_Auxiliar[],4,0)</f>
        <v>Deduções</v>
      </c>
      <c r="F3000" t="str">
        <f>VLOOKUP(B3000,Tabela_Auxiliar[],3,0)</f>
        <v>Saída</v>
      </c>
      <c r="G3000" t="str">
        <f>UPPER(TEXT(Tabela_DB[[#This Row],[DATA]],"mmm"))</f>
        <v>JUL</v>
      </c>
      <c r="H3000" t="str">
        <f>UPPER(TEXT(Tabela_DB[[#This Row],[DATA]],"aaaa"))</f>
        <v>2021</v>
      </c>
    </row>
    <row r="3001" spans="1:8" x14ac:dyDescent="0.25">
      <c r="A3001" s="2">
        <v>44381</v>
      </c>
      <c r="B3001" t="s">
        <v>48</v>
      </c>
      <c r="C3001">
        <v>-1338</v>
      </c>
      <c r="D3001" t="str">
        <f>VLOOKUP(B3001,Tabela_Auxiliar[],2,0)</f>
        <v>4. Despesas Operacionais</v>
      </c>
      <c r="E3001" t="str">
        <f>VLOOKUP(B3001,Tabela_Auxiliar[],4,0)</f>
        <v>Despesa com Pessoal</v>
      </c>
      <c r="F3001" t="str">
        <f>VLOOKUP(B3001,Tabela_Auxiliar[],3,0)</f>
        <v>Saída</v>
      </c>
      <c r="G3001" t="str">
        <f>UPPER(TEXT(Tabela_DB[[#This Row],[DATA]],"mmm"))</f>
        <v>JUL</v>
      </c>
      <c r="H3001" t="str">
        <f>UPPER(TEXT(Tabela_DB[[#This Row],[DATA]],"aaaa"))</f>
        <v>2021</v>
      </c>
    </row>
    <row r="3002" spans="1:8" x14ac:dyDescent="0.25">
      <c r="A3002" s="2">
        <v>44381</v>
      </c>
      <c r="B3002" t="s">
        <v>38</v>
      </c>
      <c r="C3002">
        <v>-1960</v>
      </c>
      <c r="D3002" t="str">
        <f>VLOOKUP(B3002,Tabela_Auxiliar[],2,0)</f>
        <v>2. Deduções da Receita</v>
      </c>
      <c r="E3002" t="str">
        <f>VLOOKUP(B3002,Tabela_Auxiliar[],4,0)</f>
        <v>Deduções</v>
      </c>
      <c r="F3002" t="str">
        <f>VLOOKUP(B3002,Tabela_Auxiliar[],3,0)</f>
        <v>Saída</v>
      </c>
      <c r="G3002" t="str">
        <f>UPPER(TEXT(Tabela_DB[[#This Row],[DATA]],"mmm"))</f>
        <v>JUL</v>
      </c>
      <c r="H3002" t="str">
        <f>UPPER(TEXT(Tabela_DB[[#This Row],[DATA]],"aaaa"))</f>
        <v>2021</v>
      </c>
    </row>
    <row r="3003" spans="1:8" x14ac:dyDescent="0.25">
      <c r="A3003" s="2">
        <v>44381</v>
      </c>
      <c r="B3003" t="s">
        <v>45</v>
      </c>
      <c r="C3003">
        <v>-1180</v>
      </c>
      <c r="D3003" t="str">
        <f>VLOOKUP(B3003,Tabela_Auxiliar[],2,0)</f>
        <v>4. Despesas Operacionais</v>
      </c>
      <c r="E3003" t="str">
        <f>VLOOKUP(B3003,Tabela_Auxiliar[],4,0)</f>
        <v>Despesa com Pessoal</v>
      </c>
      <c r="F3003" t="str">
        <f>VLOOKUP(B3003,Tabela_Auxiliar[],3,0)</f>
        <v>Saída</v>
      </c>
      <c r="G3003" t="str">
        <f>UPPER(TEXT(Tabela_DB[[#This Row],[DATA]],"mmm"))</f>
        <v>JUL</v>
      </c>
      <c r="H3003" t="str">
        <f>UPPER(TEXT(Tabela_DB[[#This Row],[DATA]],"aaaa"))</f>
        <v>2021</v>
      </c>
    </row>
    <row r="3004" spans="1:8" x14ac:dyDescent="0.25">
      <c r="A3004" s="2">
        <v>44381</v>
      </c>
      <c r="B3004" t="s">
        <v>34</v>
      </c>
      <c r="C3004">
        <v>-1339</v>
      </c>
      <c r="D3004" t="str">
        <f>VLOOKUP(B3004,Tabela_Auxiliar[],2,0)</f>
        <v>2. Deduções da Receita</v>
      </c>
      <c r="E3004" t="str">
        <f>VLOOKUP(B3004,Tabela_Auxiliar[],4,0)</f>
        <v>Imposto</v>
      </c>
      <c r="F3004" t="str">
        <f>VLOOKUP(B3004,Tabela_Auxiliar[],3,0)</f>
        <v>Saída</v>
      </c>
      <c r="G3004" t="str">
        <f>UPPER(TEXT(Tabela_DB[[#This Row],[DATA]],"mmm"))</f>
        <v>JUL</v>
      </c>
      <c r="H3004" t="str">
        <f>UPPER(TEXT(Tabela_DB[[#This Row],[DATA]],"aaaa"))</f>
        <v>2021</v>
      </c>
    </row>
    <row r="3005" spans="1:8" x14ac:dyDescent="0.25">
      <c r="A3005" s="2">
        <v>44381</v>
      </c>
      <c r="B3005" t="s">
        <v>111</v>
      </c>
      <c r="C3005">
        <v>-1529</v>
      </c>
      <c r="D3005" t="str">
        <f>VLOOKUP(B3005,Tabela_Auxiliar[],2,0)</f>
        <v>2. Deduções da Receita</v>
      </c>
      <c r="E3005" t="str">
        <f>VLOOKUP(B3005,Tabela_Auxiliar[],4,0)</f>
        <v>Imposto</v>
      </c>
      <c r="F3005" t="str">
        <f>VLOOKUP(B3005,Tabela_Auxiliar[],3,0)</f>
        <v>Saída</v>
      </c>
      <c r="G3005" t="str">
        <f>UPPER(TEXT(Tabela_DB[[#This Row],[DATA]],"mmm"))</f>
        <v>JUL</v>
      </c>
      <c r="H3005" t="str">
        <f>UPPER(TEXT(Tabela_DB[[#This Row],[DATA]],"aaaa"))</f>
        <v>2021</v>
      </c>
    </row>
    <row r="3006" spans="1:8" x14ac:dyDescent="0.25">
      <c r="A3006" s="2">
        <v>44381</v>
      </c>
      <c r="B3006" t="s">
        <v>38</v>
      </c>
      <c r="C3006">
        <v>-1787</v>
      </c>
      <c r="D3006" t="str">
        <f>VLOOKUP(B3006,Tabela_Auxiliar[],2,0)</f>
        <v>2. Deduções da Receita</v>
      </c>
      <c r="E3006" t="str">
        <f>VLOOKUP(B3006,Tabela_Auxiliar[],4,0)</f>
        <v>Deduções</v>
      </c>
      <c r="F3006" t="str">
        <f>VLOOKUP(B3006,Tabela_Auxiliar[],3,0)</f>
        <v>Saída</v>
      </c>
      <c r="G3006" t="str">
        <f>UPPER(TEXT(Tabela_DB[[#This Row],[DATA]],"mmm"))</f>
        <v>JUL</v>
      </c>
      <c r="H3006" t="str">
        <f>UPPER(TEXT(Tabela_DB[[#This Row],[DATA]],"aaaa"))</f>
        <v>2021</v>
      </c>
    </row>
    <row r="3007" spans="1:8" x14ac:dyDescent="0.25">
      <c r="A3007" s="2">
        <v>44381</v>
      </c>
      <c r="B3007" t="s">
        <v>34</v>
      </c>
      <c r="C3007">
        <v>-1682</v>
      </c>
      <c r="D3007" t="str">
        <f>VLOOKUP(B3007,Tabela_Auxiliar[],2,0)</f>
        <v>2. Deduções da Receita</v>
      </c>
      <c r="E3007" t="str">
        <f>VLOOKUP(B3007,Tabela_Auxiliar[],4,0)</f>
        <v>Imposto</v>
      </c>
      <c r="F3007" t="str">
        <f>VLOOKUP(B3007,Tabela_Auxiliar[],3,0)</f>
        <v>Saída</v>
      </c>
      <c r="G3007" t="str">
        <f>UPPER(TEXT(Tabela_DB[[#This Row],[DATA]],"mmm"))</f>
        <v>JUL</v>
      </c>
      <c r="H3007" t="str">
        <f>UPPER(TEXT(Tabela_DB[[#This Row],[DATA]],"aaaa"))</f>
        <v>2021</v>
      </c>
    </row>
    <row r="3008" spans="1:8" x14ac:dyDescent="0.25">
      <c r="A3008" s="2">
        <v>44381</v>
      </c>
      <c r="B3008" t="s">
        <v>34</v>
      </c>
      <c r="C3008">
        <v>-1154</v>
      </c>
      <c r="D3008" t="str">
        <f>VLOOKUP(B3008,Tabela_Auxiliar[],2,0)</f>
        <v>2. Deduções da Receita</v>
      </c>
      <c r="E3008" t="str">
        <f>VLOOKUP(B3008,Tabela_Auxiliar[],4,0)</f>
        <v>Imposto</v>
      </c>
      <c r="F3008" t="str">
        <f>VLOOKUP(B3008,Tabela_Auxiliar[],3,0)</f>
        <v>Saída</v>
      </c>
      <c r="G3008" t="str">
        <f>UPPER(TEXT(Tabela_DB[[#This Row],[DATA]],"mmm"))</f>
        <v>JUL</v>
      </c>
      <c r="H3008" t="str">
        <f>UPPER(TEXT(Tabela_DB[[#This Row],[DATA]],"aaaa"))</f>
        <v>2021</v>
      </c>
    </row>
    <row r="3009" spans="1:8" x14ac:dyDescent="0.25">
      <c r="A3009" s="2">
        <v>44381</v>
      </c>
      <c r="B3009" t="s">
        <v>4</v>
      </c>
      <c r="C3009">
        <v>11635</v>
      </c>
      <c r="D3009" t="str">
        <f>VLOOKUP(B3009,Tabela_Auxiliar[],2,0)</f>
        <v>1. Receita Operacional Bruta</v>
      </c>
      <c r="E3009" t="str">
        <f>VLOOKUP(B3009,Tabela_Auxiliar[],4,0)</f>
        <v>Receita Bruta</v>
      </c>
      <c r="F3009" t="str">
        <f>VLOOKUP(B3009,Tabela_Auxiliar[],3,0)</f>
        <v>Entrada</v>
      </c>
      <c r="G3009" t="str">
        <f>UPPER(TEXT(Tabela_DB[[#This Row],[DATA]],"mmm"))</f>
        <v>JUL</v>
      </c>
      <c r="H3009" t="str">
        <f>UPPER(TEXT(Tabela_DB[[#This Row],[DATA]],"aaaa"))</f>
        <v>2021</v>
      </c>
    </row>
    <row r="3010" spans="1:8" x14ac:dyDescent="0.25">
      <c r="A3010" s="2">
        <v>44382</v>
      </c>
      <c r="B3010" t="s">
        <v>4</v>
      </c>
      <c r="C3010">
        <v>13825</v>
      </c>
      <c r="D3010" t="str">
        <f>VLOOKUP(B3010,Tabela_Auxiliar[],2,0)</f>
        <v>1. Receita Operacional Bruta</v>
      </c>
      <c r="E3010" t="str">
        <f>VLOOKUP(B3010,Tabela_Auxiliar[],4,0)</f>
        <v>Receita Bruta</v>
      </c>
      <c r="F3010" t="str">
        <f>VLOOKUP(B3010,Tabela_Auxiliar[],3,0)</f>
        <v>Entrada</v>
      </c>
      <c r="G3010" t="str">
        <f>UPPER(TEXT(Tabela_DB[[#This Row],[DATA]],"mmm"))</f>
        <v>JUL</v>
      </c>
      <c r="H3010" t="str">
        <f>UPPER(TEXT(Tabela_DB[[#This Row],[DATA]],"aaaa"))</f>
        <v>2021</v>
      </c>
    </row>
    <row r="3011" spans="1:8" x14ac:dyDescent="0.25">
      <c r="A3011" s="2">
        <v>44382</v>
      </c>
      <c r="B3011" t="s">
        <v>4</v>
      </c>
      <c r="C3011">
        <v>10026</v>
      </c>
      <c r="D3011" t="str">
        <f>VLOOKUP(B3011,Tabela_Auxiliar[],2,0)</f>
        <v>1. Receita Operacional Bruta</v>
      </c>
      <c r="E3011" t="str">
        <f>VLOOKUP(B3011,Tabela_Auxiliar[],4,0)</f>
        <v>Receita Bruta</v>
      </c>
      <c r="F3011" t="str">
        <f>VLOOKUP(B3011,Tabela_Auxiliar[],3,0)</f>
        <v>Entrada</v>
      </c>
      <c r="G3011" t="str">
        <f>UPPER(TEXT(Tabela_DB[[#This Row],[DATA]],"mmm"))</f>
        <v>JUL</v>
      </c>
      <c r="H3011" t="str">
        <f>UPPER(TEXT(Tabela_DB[[#This Row],[DATA]],"aaaa"))</f>
        <v>2021</v>
      </c>
    </row>
    <row r="3012" spans="1:8" x14ac:dyDescent="0.25">
      <c r="A3012" s="2">
        <v>44382</v>
      </c>
      <c r="B3012" t="s">
        <v>35</v>
      </c>
      <c r="C3012">
        <v>-1874</v>
      </c>
      <c r="D3012" t="str">
        <f>VLOOKUP(B3012,Tabela_Auxiliar[],2,0)</f>
        <v>2. Deduções da Receita</v>
      </c>
      <c r="E3012" t="str">
        <f>VLOOKUP(B3012,Tabela_Auxiliar[],4,0)</f>
        <v>Imposto</v>
      </c>
      <c r="F3012" t="str">
        <f>VLOOKUP(B3012,Tabela_Auxiliar[],3,0)</f>
        <v>Saída</v>
      </c>
      <c r="G3012" t="str">
        <f>UPPER(TEXT(Tabela_DB[[#This Row],[DATA]],"mmm"))</f>
        <v>JUL</v>
      </c>
      <c r="H3012" t="str">
        <f>UPPER(TEXT(Tabela_DB[[#This Row],[DATA]],"aaaa"))</f>
        <v>2021</v>
      </c>
    </row>
    <row r="3013" spans="1:8" x14ac:dyDescent="0.25">
      <c r="A3013" s="2">
        <v>44382</v>
      </c>
      <c r="B3013" t="s">
        <v>4</v>
      </c>
      <c r="C3013">
        <v>13328</v>
      </c>
      <c r="D3013" t="str">
        <f>VLOOKUP(B3013,Tabela_Auxiliar[],2,0)</f>
        <v>1. Receita Operacional Bruta</v>
      </c>
      <c r="E3013" t="str">
        <f>VLOOKUP(B3013,Tabela_Auxiliar[],4,0)</f>
        <v>Receita Bruta</v>
      </c>
      <c r="F3013" t="str">
        <f>VLOOKUP(B3013,Tabela_Auxiliar[],3,0)</f>
        <v>Entrada</v>
      </c>
      <c r="G3013" t="str">
        <f>UPPER(TEXT(Tabela_DB[[#This Row],[DATA]],"mmm"))</f>
        <v>JUL</v>
      </c>
      <c r="H3013" t="str">
        <f>UPPER(TEXT(Tabela_DB[[#This Row],[DATA]],"aaaa"))</f>
        <v>2021</v>
      </c>
    </row>
    <row r="3014" spans="1:8" x14ac:dyDescent="0.25">
      <c r="A3014" s="2">
        <v>44382</v>
      </c>
      <c r="B3014" t="s">
        <v>56</v>
      </c>
      <c r="C3014">
        <v>-1025</v>
      </c>
      <c r="D3014" t="str">
        <f>VLOOKUP(B3014,Tabela_Auxiliar[],2,0)</f>
        <v>4. Despesas Operacionais</v>
      </c>
      <c r="E3014" t="str">
        <f>VLOOKUP(B3014,Tabela_Auxiliar[],4,0)</f>
        <v>Despesa com Pessoal</v>
      </c>
      <c r="F3014" t="str">
        <f>VLOOKUP(B3014,Tabela_Auxiliar[],3,0)</f>
        <v>Saída</v>
      </c>
      <c r="G3014" t="str">
        <f>UPPER(TEXT(Tabela_DB[[#This Row],[DATA]],"mmm"))</f>
        <v>JUL</v>
      </c>
      <c r="H3014" t="str">
        <f>UPPER(TEXT(Tabela_DB[[#This Row],[DATA]],"aaaa"))</f>
        <v>2021</v>
      </c>
    </row>
    <row r="3015" spans="1:8" x14ac:dyDescent="0.25">
      <c r="A3015" s="2">
        <v>44382</v>
      </c>
      <c r="B3015" t="s">
        <v>111</v>
      </c>
      <c r="C3015">
        <v>-1085</v>
      </c>
      <c r="D3015" t="str">
        <f>VLOOKUP(B3015,Tabela_Auxiliar[],2,0)</f>
        <v>2. Deduções da Receita</v>
      </c>
      <c r="E3015" t="str">
        <f>VLOOKUP(B3015,Tabela_Auxiliar[],4,0)</f>
        <v>Imposto</v>
      </c>
      <c r="F3015" t="str">
        <f>VLOOKUP(B3015,Tabela_Auxiliar[],3,0)</f>
        <v>Saída</v>
      </c>
      <c r="G3015" t="str">
        <f>UPPER(TEXT(Tabela_DB[[#This Row],[DATA]],"mmm"))</f>
        <v>JUL</v>
      </c>
      <c r="H3015" t="str">
        <f>UPPER(TEXT(Tabela_DB[[#This Row],[DATA]],"aaaa"))</f>
        <v>2021</v>
      </c>
    </row>
    <row r="3016" spans="1:8" x14ac:dyDescent="0.25">
      <c r="A3016" s="2">
        <v>44382</v>
      </c>
      <c r="B3016" t="s">
        <v>34</v>
      </c>
      <c r="C3016">
        <v>-1375</v>
      </c>
      <c r="D3016" t="str">
        <f>VLOOKUP(B3016,Tabela_Auxiliar[],2,0)</f>
        <v>2. Deduções da Receita</v>
      </c>
      <c r="E3016" t="str">
        <f>VLOOKUP(B3016,Tabela_Auxiliar[],4,0)</f>
        <v>Imposto</v>
      </c>
      <c r="F3016" t="str">
        <f>VLOOKUP(B3016,Tabela_Auxiliar[],3,0)</f>
        <v>Saída</v>
      </c>
      <c r="G3016" t="str">
        <f>UPPER(TEXT(Tabela_DB[[#This Row],[DATA]],"mmm"))</f>
        <v>JUL</v>
      </c>
      <c r="H3016" t="str">
        <f>UPPER(TEXT(Tabela_DB[[#This Row],[DATA]],"aaaa"))</f>
        <v>2021</v>
      </c>
    </row>
    <row r="3017" spans="1:8" x14ac:dyDescent="0.25">
      <c r="A3017" s="2">
        <v>44382</v>
      </c>
      <c r="B3017" t="s">
        <v>35</v>
      </c>
      <c r="C3017">
        <v>-2162</v>
      </c>
      <c r="D3017" t="str">
        <f>VLOOKUP(B3017,Tabela_Auxiliar[],2,0)</f>
        <v>2. Deduções da Receita</v>
      </c>
      <c r="E3017" t="str">
        <f>VLOOKUP(B3017,Tabela_Auxiliar[],4,0)</f>
        <v>Imposto</v>
      </c>
      <c r="F3017" t="str">
        <f>VLOOKUP(B3017,Tabela_Auxiliar[],3,0)</f>
        <v>Saída</v>
      </c>
      <c r="G3017" t="str">
        <f>UPPER(TEXT(Tabela_DB[[#This Row],[DATA]],"mmm"))</f>
        <v>JUL</v>
      </c>
      <c r="H3017" t="str">
        <f>UPPER(TEXT(Tabela_DB[[#This Row],[DATA]],"aaaa"))</f>
        <v>2021</v>
      </c>
    </row>
    <row r="3018" spans="1:8" x14ac:dyDescent="0.25">
      <c r="A3018" s="2">
        <v>44382</v>
      </c>
      <c r="B3018" t="s">
        <v>111</v>
      </c>
      <c r="C3018">
        <v>-2236</v>
      </c>
      <c r="D3018" t="str">
        <f>VLOOKUP(B3018,Tabela_Auxiliar[],2,0)</f>
        <v>2. Deduções da Receita</v>
      </c>
      <c r="E3018" t="str">
        <f>VLOOKUP(B3018,Tabela_Auxiliar[],4,0)</f>
        <v>Imposto</v>
      </c>
      <c r="F3018" t="str">
        <f>VLOOKUP(B3018,Tabela_Auxiliar[],3,0)</f>
        <v>Saída</v>
      </c>
      <c r="G3018" t="str">
        <f>UPPER(TEXT(Tabela_DB[[#This Row],[DATA]],"mmm"))</f>
        <v>JUL</v>
      </c>
      <c r="H3018" t="str">
        <f>UPPER(TEXT(Tabela_DB[[#This Row],[DATA]],"aaaa"))</f>
        <v>2021</v>
      </c>
    </row>
    <row r="3019" spans="1:8" x14ac:dyDescent="0.25">
      <c r="A3019" s="2">
        <v>44382</v>
      </c>
      <c r="B3019" t="s">
        <v>34</v>
      </c>
      <c r="C3019">
        <v>-2474</v>
      </c>
      <c r="D3019" t="str">
        <f>VLOOKUP(B3019,Tabela_Auxiliar[],2,0)</f>
        <v>2. Deduções da Receita</v>
      </c>
      <c r="E3019" t="str">
        <f>VLOOKUP(B3019,Tabela_Auxiliar[],4,0)</f>
        <v>Imposto</v>
      </c>
      <c r="F3019" t="str">
        <f>VLOOKUP(B3019,Tabela_Auxiliar[],3,0)</f>
        <v>Saída</v>
      </c>
      <c r="G3019" t="str">
        <f>UPPER(TEXT(Tabela_DB[[#This Row],[DATA]],"mmm"))</f>
        <v>JUL</v>
      </c>
      <c r="H3019" t="str">
        <f>UPPER(TEXT(Tabela_DB[[#This Row],[DATA]],"aaaa"))</f>
        <v>2021</v>
      </c>
    </row>
    <row r="3020" spans="1:8" x14ac:dyDescent="0.25">
      <c r="A3020" s="2">
        <v>44382</v>
      </c>
      <c r="B3020" t="s">
        <v>8</v>
      </c>
      <c r="C3020">
        <v>-1084</v>
      </c>
      <c r="D3020" t="str">
        <f>VLOOKUP(B3020,Tabela_Auxiliar[],2,0)</f>
        <v>4. Despesas Operacionais</v>
      </c>
      <c r="E3020" t="str">
        <f>VLOOKUP(B3020,Tabela_Auxiliar[],4,0)</f>
        <v>Despesa com Pessoal</v>
      </c>
      <c r="F3020" t="str">
        <f>VLOOKUP(B3020,Tabela_Auxiliar[],3,0)</f>
        <v>Saída</v>
      </c>
      <c r="G3020" t="str">
        <f>UPPER(TEXT(Tabela_DB[[#This Row],[DATA]],"mmm"))</f>
        <v>JUL</v>
      </c>
      <c r="H3020" t="str">
        <f>UPPER(TEXT(Tabela_DB[[#This Row],[DATA]],"aaaa"))</f>
        <v>2021</v>
      </c>
    </row>
    <row r="3021" spans="1:8" x14ac:dyDescent="0.25">
      <c r="A3021" s="2">
        <v>44382</v>
      </c>
      <c r="B3021" t="s">
        <v>3</v>
      </c>
      <c r="C3021">
        <v>11501</v>
      </c>
      <c r="D3021" t="str">
        <f>VLOOKUP(B3021,Tabela_Auxiliar[],2,0)</f>
        <v>1. Receita Operacional Bruta</v>
      </c>
      <c r="E3021" t="str">
        <f>VLOOKUP(B3021,Tabela_Auxiliar[],4,0)</f>
        <v>Receita Bruta</v>
      </c>
      <c r="F3021" t="str">
        <f>VLOOKUP(B3021,Tabela_Auxiliar[],3,0)</f>
        <v>Entrada</v>
      </c>
      <c r="G3021" t="str">
        <f>UPPER(TEXT(Tabela_DB[[#This Row],[DATA]],"mmm"))</f>
        <v>JUL</v>
      </c>
      <c r="H3021" t="str">
        <f>UPPER(TEXT(Tabela_DB[[#This Row],[DATA]],"aaaa"))</f>
        <v>2021</v>
      </c>
    </row>
    <row r="3022" spans="1:8" x14ac:dyDescent="0.25">
      <c r="A3022" s="2">
        <v>44382</v>
      </c>
      <c r="B3022" t="s">
        <v>35</v>
      </c>
      <c r="C3022">
        <v>-1190</v>
      </c>
      <c r="D3022" t="str">
        <f>VLOOKUP(B3022,Tabela_Auxiliar[],2,0)</f>
        <v>2. Deduções da Receita</v>
      </c>
      <c r="E3022" t="str">
        <f>VLOOKUP(B3022,Tabela_Auxiliar[],4,0)</f>
        <v>Imposto</v>
      </c>
      <c r="F3022" t="str">
        <f>VLOOKUP(B3022,Tabela_Auxiliar[],3,0)</f>
        <v>Saída</v>
      </c>
      <c r="G3022" t="str">
        <f>UPPER(TEXT(Tabela_DB[[#This Row],[DATA]],"mmm"))</f>
        <v>JUL</v>
      </c>
      <c r="H3022" t="str">
        <f>UPPER(TEXT(Tabela_DB[[#This Row],[DATA]],"aaaa"))</f>
        <v>2021</v>
      </c>
    </row>
    <row r="3023" spans="1:8" x14ac:dyDescent="0.25">
      <c r="A3023" s="2">
        <v>44382</v>
      </c>
      <c r="B3023" t="s">
        <v>4</v>
      </c>
      <c r="C3023">
        <v>11713</v>
      </c>
      <c r="D3023" t="str">
        <f>VLOOKUP(B3023,Tabela_Auxiliar[],2,0)</f>
        <v>1. Receita Operacional Bruta</v>
      </c>
      <c r="E3023" t="str">
        <f>VLOOKUP(B3023,Tabela_Auxiliar[],4,0)</f>
        <v>Receita Bruta</v>
      </c>
      <c r="F3023" t="str">
        <f>VLOOKUP(B3023,Tabela_Auxiliar[],3,0)</f>
        <v>Entrada</v>
      </c>
      <c r="G3023" t="str">
        <f>UPPER(TEXT(Tabela_DB[[#This Row],[DATA]],"mmm"))</f>
        <v>JUL</v>
      </c>
      <c r="H3023" t="str">
        <f>UPPER(TEXT(Tabela_DB[[#This Row],[DATA]],"aaaa"))</f>
        <v>2021</v>
      </c>
    </row>
    <row r="3024" spans="1:8" x14ac:dyDescent="0.25">
      <c r="A3024" s="2">
        <v>44382</v>
      </c>
      <c r="B3024" t="s">
        <v>4</v>
      </c>
      <c r="C3024">
        <v>14935</v>
      </c>
      <c r="D3024" t="str">
        <f>VLOOKUP(B3024,Tabela_Auxiliar[],2,0)</f>
        <v>1. Receita Operacional Bruta</v>
      </c>
      <c r="E3024" t="str">
        <f>VLOOKUP(B3024,Tabela_Auxiliar[],4,0)</f>
        <v>Receita Bruta</v>
      </c>
      <c r="F3024" t="str">
        <f>VLOOKUP(B3024,Tabela_Auxiliar[],3,0)</f>
        <v>Entrada</v>
      </c>
      <c r="G3024" t="str">
        <f>UPPER(TEXT(Tabela_DB[[#This Row],[DATA]],"mmm"))</f>
        <v>JUL</v>
      </c>
      <c r="H3024" t="str">
        <f>UPPER(TEXT(Tabela_DB[[#This Row],[DATA]],"aaaa"))</f>
        <v>2021</v>
      </c>
    </row>
    <row r="3025" spans="1:8" x14ac:dyDescent="0.25">
      <c r="A3025" s="2">
        <v>44382</v>
      </c>
      <c r="B3025" t="s">
        <v>111</v>
      </c>
      <c r="C3025">
        <v>-2113</v>
      </c>
      <c r="D3025" t="str">
        <f>VLOOKUP(B3025,Tabela_Auxiliar[],2,0)</f>
        <v>2. Deduções da Receita</v>
      </c>
      <c r="E3025" t="str">
        <f>VLOOKUP(B3025,Tabela_Auxiliar[],4,0)</f>
        <v>Imposto</v>
      </c>
      <c r="F3025" t="str">
        <f>VLOOKUP(B3025,Tabela_Auxiliar[],3,0)</f>
        <v>Saída</v>
      </c>
      <c r="G3025" t="str">
        <f>UPPER(TEXT(Tabela_DB[[#This Row],[DATA]],"mmm"))</f>
        <v>JUL</v>
      </c>
      <c r="H3025" t="str">
        <f>UPPER(TEXT(Tabela_DB[[#This Row],[DATA]],"aaaa"))</f>
        <v>2021</v>
      </c>
    </row>
    <row r="3026" spans="1:8" x14ac:dyDescent="0.25">
      <c r="A3026" s="2">
        <v>44383</v>
      </c>
      <c r="B3026" t="s">
        <v>81</v>
      </c>
      <c r="C3026">
        <v>-2288</v>
      </c>
      <c r="D3026" t="str">
        <f>VLOOKUP(B3026,Tabela_Auxiliar[],2,0)</f>
        <v>4. Despesas Operacionais</v>
      </c>
      <c r="E3026" t="str">
        <f>VLOOKUP(B3026,Tabela_Auxiliar[],4,0)</f>
        <v>Serviços Contratados</v>
      </c>
      <c r="F3026" t="str">
        <f>VLOOKUP(B3026,Tabela_Auxiliar[],3,0)</f>
        <v>Saída</v>
      </c>
      <c r="G3026" t="str">
        <f>UPPER(TEXT(Tabela_DB[[#This Row],[DATA]],"mmm"))</f>
        <v>JUL</v>
      </c>
      <c r="H3026" t="str">
        <f>UPPER(TEXT(Tabela_DB[[#This Row],[DATA]],"aaaa"))</f>
        <v>2021</v>
      </c>
    </row>
    <row r="3027" spans="1:8" x14ac:dyDescent="0.25">
      <c r="A3027" s="2">
        <v>44383</v>
      </c>
      <c r="B3027" t="s">
        <v>3</v>
      </c>
      <c r="C3027">
        <v>11898</v>
      </c>
      <c r="D3027" t="str">
        <f>VLOOKUP(B3027,Tabela_Auxiliar[],2,0)</f>
        <v>1. Receita Operacional Bruta</v>
      </c>
      <c r="E3027" t="str">
        <f>VLOOKUP(B3027,Tabela_Auxiliar[],4,0)</f>
        <v>Receita Bruta</v>
      </c>
      <c r="F3027" t="str">
        <f>VLOOKUP(B3027,Tabela_Auxiliar[],3,0)</f>
        <v>Entrada</v>
      </c>
      <c r="G3027" t="str">
        <f>UPPER(TEXT(Tabela_DB[[#This Row],[DATA]],"mmm"))</f>
        <v>JUL</v>
      </c>
      <c r="H3027" t="str">
        <f>UPPER(TEXT(Tabela_DB[[#This Row],[DATA]],"aaaa"))</f>
        <v>2021</v>
      </c>
    </row>
    <row r="3028" spans="1:8" x14ac:dyDescent="0.25">
      <c r="A3028" s="2">
        <v>44383</v>
      </c>
      <c r="B3028" t="s">
        <v>3</v>
      </c>
      <c r="C3028">
        <v>12185</v>
      </c>
      <c r="D3028" t="str">
        <f>VLOOKUP(B3028,Tabela_Auxiliar[],2,0)</f>
        <v>1. Receita Operacional Bruta</v>
      </c>
      <c r="E3028" t="str">
        <f>VLOOKUP(B3028,Tabela_Auxiliar[],4,0)</f>
        <v>Receita Bruta</v>
      </c>
      <c r="F3028" t="str">
        <f>VLOOKUP(B3028,Tabela_Auxiliar[],3,0)</f>
        <v>Entrada</v>
      </c>
      <c r="G3028" t="str">
        <f>UPPER(TEXT(Tabela_DB[[#This Row],[DATA]],"mmm"))</f>
        <v>JUL</v>
      </c>
      <c r="H3028" t="str">
        <f>UPPER(TEXT(Tabela_DB[[#This Row],[DATA]],"aaaa"))</f>
        <v>2021</v>
      </c>
    </row>
    <row r="3029" spans="1:8" x14ac:dyDescent="0.25">
      <c r="A3029" s="2">
        <v>44383</v>
      </c>
      <c r="B3029" t="s">
        <v>3</v>
      </c>
      <c r="C3029">
        <v>11496</v>
      </c>
      <c r="D3029" t="str">
        <f>VLOOKUP(B3029,Tabela_Auxiliar[],2,0)</f>
        <v>1. Receita Operacional Bruta</v>
      </c>
      <c r="E3029" t="str">
        <f>VLOOKUP(B3029,Tabela_Auxiliar[],4,0)</f>
        <v>Receita Bruta</v>
      </c>
      <c r="F3029" t="str">
        <f>VLOOKUP(B3029,Tabela_Auxiliar[],3,0)</f>
        <v>Entrada</v>
      </c>
      <c r="G3029" t="str">
        <f>UPPER(TEXT(Tabela_DB[[#This Row],[DATA]],"mmm"))</f>
        <v>JUL</v>
      </c>
      <c r="H3029" t="str">
        <f>UPPER(TEXT(Tabela_DB[[#This Row],[DATA]],"aaaa"))</f>
        <v>2021</v>
      </c>
    </row>
    <row r="3030" spans="1:8" x14ac:dyDescent="0.25">
      <c r="A3030" s="2">
        <v>44383</v>
      </c>
      <c r="B3030" t="s">
        <v>4</v>
      </c>
      <c r="C3030">
        <v>14981</v>
      </c>
      <c r="D3030" t="str">
        <f>VLOOKUP(B3030,Tabela_Auxiliar[],2,0)</f>
        <v>1. Receita Operacional Bruta</v>
      </c>
      <c r="E3030" t="str">
        <f>VLOOKUP(B3030,Tabela_Auxiliar[],4,0)</f>
        <v>Receita Bruta</v>
      </c>
      <c r="F3030" t="str">
        <f>VLOOKUP(B3030,Tabela_Auxiliar[],3,0)</f>
        <v>Entrada</v>
      </c>
      <c r="G3030" t="str">
        <f>UPPER(TEXT(Tabela_DB[[#This Row],[DATA]],"mmm"))</f>
        <v>JUL</v>
      </c>
      <c r="H3030" t="str">
        <f>UPPER(TEXT(Tabela_DB[[#This Row],[DATA]],"aaaa"))</f>
        <v>2021</v>
      </c>
    </row>
    <row r="3031" spans="1:8" x14ac:dyDescent="0.25">
      <c r="A3031" s="2">
        <v>44383</v>
      </c>
      <c r="B3031" t="s">
        <v>37</v>
      </c>
      <c r="C3031">
        <v>-2741</v>
      </c>
      <c r="D3031" t="str">
        <f>VLOOKUP(B3031,Tabela_Auxiliar[],2,0)</f>
        <v>3. Custos do Produto/Mercadoria/Serviço</v>
      </c>
      <c r="E3031" t="str">
        <f>VLOOKUP(B3031,Tabela_Auxiliar[],4,0)</f>
        <v>Despesas c/ Produto</v>
      </c>
      <c r="F3031" t="str">
        <f>VLOOKUP(B3031,Tabela_Auxiliar[],3,0)</f>
        <v>Saída</v>
      </c>
      <c r="G3031" t="str">
        <f>UPPER(TEXT(Tabela_DB[[#This Row],[DATA]],"mmm"))</f>
        <v>JUL</v>
      </c>
      <c r="H3031" t="str">
        <f>UPPER(TEXT(Tabela_DB[[#This Row],[DATA]],"aaaa"))</f>
        <v>2021</v>
      </c>
    </row>
    <row r="3032" spans="1:8" x14ac:dyDescent="0.25">
      <c r="A3032" s="2">
        <v>44383</v>
      </c>
      <c r="B3032" t="s">
        <v>38</v>
      </c>
      <c r="C3032">
        <v>-1813</v>
      </c>
      <c r="D3032" t="str">
        <f>VLOOKUP(B3032,Tabela_Auxiliar[],2,0)</f>
        <v>2. Deduções da Receita</v>
      </c>
      <c r="E3032" t="str">
        <f>VLOOKUP(B3032,Tabela_Auxiliar[],4,0)</f>
        <v>Deduções</v>
      </c>
      <c r="F3032" t="str">
        <f>VLOOKUP(B3032,Tabela_Auxiliar[],3,0)</f>
        <v>Saída</v>
      </c>
      <c r="G3032" t="str">
        <f>UPPER(TEXT(Tabela_DB[[#This Row],[DATA]],"mmm"))</f>
        <v>JUL</v>
      </c>
      <c r="H3032" t="str">
        <f>UPPER(TEXT(Tabela_DB[[#This Row],[DATA]],"aaaa"))</f>
        <v>2021</v>
      </c>
    </row>
    <row r="3033" spans="1:8" x14ac:dyDescent="0.25">
      <c r="A3033" s="2">
        <v>44383</v>
      </c>
      <c r="B3033" t="s">
        <v>34</v>
      </c>
      <c r="C3033">
        <v>-1536</v>
      </c>
      <c r="D3033" t="str">
        <f>VLOOKUP(B3033,Tabela_Auxiliar[],2,0)</f>
        <v>2. Deduções da Receita</v>
      </c>
      <c r="E3033" t="str">
        <f>VLOOKUP(B3033,Tabela_Auxiliar[],4,0)</f>
        <v>Imposto</v>
      </c>
      <c r="F3033" t="str">
        <f>VLOOKUP(B3033,Tabela_Auxiliar[],3,0)</f>
        <v>Saída</v>
      </c>
      <c r="G3033" t="str">
        <f>UPPER(TEXT(Tabela_DB[[#This Row],[DATA]],"mmm"))</f>
        <v>JUL</v>
      </c>
      <c r="H3033" t="str">
        <f>UPPER(TEXT(Tabela_DB[[#This Row],[DATA]],"aaaa"))</f>
        <v>2021</v>
      </c>
    </row>
    <row r="3034" spans="1:8" x14ac:dyDescent="0.25">
      <c r="A3034" s="2">
        <v>44384</v>
      </c>
      <c r="B3034" t="s">
        <v>4</v>
      </c>
      <c r="C3034">
        <v>12410</v>
      </c>
      <c r="D3034" t="str">
        <f>VLOOKUP(B3034,Tabela_Auxiliar[],2,0)</f>
        <v>1. Receita Operacional Bruta</v>
      </c>
      <c r="E3034" t="str">
        <f>VLOOKUP(B3034,Tabela_Auxiliar[],4,0)</f>
        <v>Receita Bruta</v>
      </c>
      <c r="F3034" t="str">
        <f>VLOOKUP(B3034,Tabela_Auxiliar[],3,0)</f>
        <v>Entrada</v>
      </c>
      <c r="G3034" t="str">
        <f>UPPER(TEXT(Tabela_DB[[#This Row],[DATA]],"mmm"))</f>
        <v>JUL</v>
      </c>
      <c r="H3034" t="str">
        <f>UPPER(TEXT(Tabela_DB[[#This Row],[DATA]],"aaaa"))</f>
        <v>2021</v>
      </c>
    </row>
    <row r="3035" spans="1:8" x14ac:dyDescent="0.25">
      <c r="A3035" s="2">
        <v>44384</v>
      </c>
      <c r="B3035" t="s">
        <v>80</v>
      </c>
      <c r="C3035">
        <v>-1600</v>
      </c>
      <c r="D3035" t="str">
        <f>VLOOKUP(B3035,Tabela_Auxiliar[],2,0)</f>
        <v>4. Despesas Operacionais</v>
      </c>
      <c r="E3035" t="str">
        <f>VLOOKUP(B3035,Tabela_Auxiliar[],4,0)</f>
        <v>Serviços Contratados</v>
      </c>
      <c r="F3035" t="str">
        <f>VLOOKUP(B3035,Tabela_Auxiliar[],3,0)</f>
        <v>Saída</v>
      </c>
      <c r="G3035" t="str">
        <f>UPPER(TEXT(Tabela_DB[[#This Row],[DATA]],"mmm"))</f>
        <v>JUL</v>
      </c>
      <c r="H3035" t="str">
        <f>UPPER(TEXT(Tabela_DB[[#This Row],[DATA]],"aaaa"))</f>
        <v>2021</v>
      </c>
    </row>
    <row r="3036" spans="1:8" x14ac:dyDescent="0.25">
      <c r="A3036" s="2">
        <v>44384</v>
      </c>
      <c r="B3036" t="s">
        <v>101</v>
      </c>
      <c r="C3036">
        <v>-1628</v>
      </c>
      <c r="D3036" t="str">
        <f>VLOOKUP(B3036,Tabela_Auxiliar[],2,0)</f>
        <v>5. Resultado Financeiro</v>
      </c>
      <c r="E3036" t="str">
        <f>VLOOKUP(B3036,Tabela_Auxiliar[],4,0)</f>
        <v>Despesa Financeira</v>
      </c>
      <c r="F3036" t="str">
        <f>VLOOKUP(B3036,Tabela_Auxiliar[],3,0)</f>
        <v>Saída</v>
      </c>
      <c r="G3036" t="str">
        <f>UPPER(TEXT(Tabela_DB[[#This Row],[DATA]],"mmm"))</f>
        <v>JUL</v>
      </c>
      <c r="H3036" t="str">
        <f>UPPER(TEXT(Tabela_DB[[#This Row],[DATA]],"aaaa"))</f>
        <v>2021</v>
      </c>
    </row>
    <row r="3037" spans="1:8" x14ac:dyDescent="0.25">
      <c r="A3037" s="2">
        <v>44384</v>
      </c>
      <c r="B3037" t="s">
        <v>34</v>
      </c>
      <c r="C3037">
        <v>-2489</v>
      </c>
      <c r="D3037" t="str">
        <f>VLOOKUP(B3037,Tabela_Auxiliar[],2,0)</f>
        <v>2. Deduções da Receita</v>
      </c>
      <c r="E3037" t="str">
        <f>VLOOKUP(B3037,Tabela_Auxiliar[],4,0)</f>
        <v>Imposto</v>
      </c>
      <c r="F3037" t="str">
        <f>VLOOKUP(B3037,Tabela_Auxiliar[],3,0)</f>
        <v>Saída</v>
      </c>
      <c r="G3037" t="str">
        <f>UPPER(TEXT(Tabela_DB[[#This Row],[DATA]],"mmm"))</f>
        <v>JUL</v>
      </c>
      <c r="H3037" t="str">
        <f>UPPER(TEXT(Tabela_DB[[#This Row],[DATA]],"aaaa"))</f>
        <v>2021</v>
      </c>
    </row>
    <row r="3038" spans="1:8" x14ac:dyDescent="0.25">
      <c r="A3038" s="2">
        <v>44384</v>
      </c>
      <c r="B3038" t="s">
        <v>49</v>
      </c>
      <c r="C3038">
        <v>-1748</v>
      </c>
      <c r="D3038" t="str">
        <f>VLOOKUP(B3038,Tabela_Auxiliar[],2,0)</f>
        <v>4. Despesas Operacionais</v>
      </c>
      <c r="E3038" t="str">
        <f>VLOOKUP(B3038,Tabela_Auxiliar[],4,0)</f>
        <v>Despesa com Pessoal</v>
      </c>
      <c r="F3038" t="str">
        <f>VLOOKUP(B3038,Tabela_Auxiliar[],3,0)</f>
        <v>Saída</v>
      </c>
      <c r="G3038" t="str">
        <f>UPPER(TEXT(Tabela_DB[[#This Row],[DATA]],"mmm"))</f>
        <v>JUL</v>
      </c>
      <c r="H3038" t="str">
        <f>UPPER(TEXT(Tabela_DB[[#This Row],[DATA]],"aaaa"))</f>
        <v>2021</v>
      </c>
    </row>
    <row r="3039" spans="1:8" x14ac:dyDescent="0.25">
      <c r="A3039" s="2">
        <v>44384</v>
      </c>
      <c r="B3039" t="s">
        <v>37</v>
      </c>
      <c r="C3039">
        <v>-4398</v>
      </c>
      <c r="D3039" t="str">
        <f>VLOOKUP(B3039,Tabela_Auxiliar[],2,0)</f>
        <v>3. Custos do Produto/Mercadoria/Serviço</v>
      </c>
      <c r="E3039" t="str">
        <f>VLOOKUP(B3039,Tabela_Auxiliar[],4,0)</f>
        <v>Despesas c/ Produto</v>
      </c>
      <c r="F3039" t="str">
        <f>VLOOKUP(B3039,Tabela_Auxiliar[],3,0)</f>
        <v>Saída</v>
      </c>
      <c r="G3039" t="str">
        <f>UPPER(TEXT(Tabela_DB[[#This Row],[DATA]],"mmm"))</f>
        <v>JUL</v>
      </c>
      <c r="H3039" t="str">
        <f>UPPER(TEXT(Tabela_DB[[#This Row],[DATA]],"aaaa"))</f>
        <v>2021</v>
      </c>
    </row>
    <row r="3040" spans="1:8" x14ac:dyDescent="0.25">
      <c r="A3040" s="2">
        <v>44384</v>
      </c>
      <c r="B3040" t="s">
        <v>35</v>
      </c>
      <c r="C3040">
        <v>-1120</v>
      </c>
      <c r="D3040" t="str">
        <f>VLOOKUP(B3040,Tabela_Auxiliar[],2,0)</f>
        <v>2. Deduções da Receita</v>
      </c>
      <c r="E3040" t="str">
        <f>VLOOKUP(B3040,Tabela_Auxiliar[],4,0)</f>
        <v>Imposto</v>
      </c>
      <c r="F3040" t="str">
        <f>VLOOKUP(B3040,Tabela_Auxiliar[],3,0)</f>
        <v>Saída</v>
      </c>
      <c r="G3040" t="str">
        <f>UPPER(TEXT(Tabela_DB[[#This Row],[DATA]],"mmm"))</f>
        <v>JUL</v>
      </c>
      <c r="H3040" t="str">
        <f>UPPER(TEXT(Tabela_DB[[#This Row],[DATA]],"aaaa"))</f>
        <v>2021</v>
      </c>
    </row>
    <row r="3041" spans="1:8" x14ac:dyDescent="0.25">
      <c r="A3041" s="2">
        <v>44384</v>
      </c>
      <c r="B3041" t="s">
        <v>37</v>
      </c>
      <c r="C3041">
        <v>-3745</v>
      </c>
      <c r="D3041" t="str">
        <f>VLOOKUP(B3041,Tabela_Auxiliar[],2,0)</f>
        <v>3. Custos do Produto/Mercadoria/Serviço</v>
      </c>
      <c r="E3041" t="str">
        <f>VLOOKUP(B3041,Tabela_Auxiliar[],4,0)</f>
        <v>Despesas c/ Produto</v>
      </c>
      <c r="F3041" t="str">
        <f>VLOOKUP(B3041,Tabela_Auxiliar[],3,0)</f>
        <v>Saída</v>
      </c>
      <c r="G3041" t="str">
        <f>UPPER(TEXT(Tabela_DB[[#This Row],[DATA]],"mmm"))</f>
        <v>JUL</v>
      </c>
      <c r="H3041" t="str">
        <f>UPPER(TEXT(Tabela_DB[[#This Row],[DATA]],"aaaa"))</f>
        <v>2021</v>
      </c>
    </row>
    <row r="3042" spans="1:8" x14ac:dyDescent="0.25">
      <c r="A3042" s="2">
        <v>44384</v>
      </c>
      <c r="B3042" t="s">
        <v>34</v>
      </c>
      <c r="C3042">
        <v>-1523</v>
      </c>
      <c r="D3042" t="str">
        <f>VLOOKUP(B3042,Tabela_Auxiliar[],2,0)</f>
        <v>2. Deduções da Receita</v>
      </c>
      <c r="E3042" t="str">
        <f>VLOOKUP(B3042,Tabela_Auxiliar[],4,0)</f>
        <v>Imposto</v>
      </c>
      <c r="F3042" t="str">
        <f>VLOOKUP(B3042,Tabela_Auxiliar[],3,0)</f>
        <v>Saída</v>
      </c>
      <c r="G3042" t="str">
        <f>UPPER(TEXT(Tabela_DB[[#This Row],[DATA]],"mmm"))</f>
        <v>JUL</v>
      </c>
      <c r="H3042" t="str">
        <f>UPPER(TEXT(Tabela_DB[[#This Row],[DATA]],"aaaa"))</f>
        <v>2021</v>
      </c>
    </row>
    <row r="3043" spans="1:8" x14ac:dyDescent="0.25">
      <c r="A3043" s="2">
        <v>44384</v>
      </c>
      <c r="B3043" t="s">
        <v>38</v>
      </c>
      <c r="C3043">
        <v>-2314</v>
      </c>
      <c r="D3043" t="str">
        <f>VLOOKUP(B3043,Tabela_Auxiliar[],2,0)</f>
        <v>2. Deduções da Receita</v>
      </c>
      <c r="E3043" t="str">
        <f>VLOOKUP(B3043,Tabela_Auxiliar[],4,0)</f>
        <v>Deduções</v>
      </c>
      <c r="F3043" t="str">
        <f>VLOOKUP(B3043,Tabela_Auxiliar[],3,0)</f>
        <v>Saída</v>
      </c>
      <c r="G3043" t="str">
        <f>UPPER(TEXT(Tabela_DB[[#This Row],[DATA]],"mmm"))</f>
        <v>JUL</v>
      </c>
      <c r="H3043" t="str">
        <f>UPPER(TEXT(Tabela_DB[[#This Row],[DATA]],"aaaa"))</f>
        <v>2021</v>
      </c>
    </row>
    <row r="3044" spans="1:8" x14ac:dyDescent="0.25">
      <c r="A3044" s="2">
        <v>44384</v>
      </c>
      <c r="B3044" t="s">
        <v>35</v>
      </c>
      <c r="C3044">
        <v>-1199</v>
      </c>
      <c r="D3044" t="str">
        <f>VLOOKUP(B3044,Tabela_Auxiliar[],2,0)</f>
        <v>2. Deduções da Receita</v>
      </c>
      <c r="E3044" t="str">
        <f>VLOOKUP(B3044,Tabela_Auxiliar[],4,0)</f>
        <v>Imposto</v>
      </c>
      <c r="F3044" t="str">
        <f>VLOOKUP(B3044,Tabela_Auxiliar[],3,0)</f>
        <v>Saída</v>
      </c>
      <c r="G3044" t="str">
        <f>UPPER(TEXT(Tabela_DB[[#This Row],[DATA]],"mmm"))</f>
        <v>JUL</v>
      </c>
      <c r="H3044" t="str">
        <f>UPPER(TEXT(Tabela_DB[[#This Row],[DATA]],"aaaa"))</f>
        <v>2021</v>
      </c>
    </row>
    <row r="3045" spans="1:8" x14ac:dyDescent="0.25">
      <c r="A3045" s="2">
        <v>44384</v>
      </c>
      <c r="B3045" t="s">
        <v>37</v>
      </c>
      <c r="C3045">
        <v>-4109</v>
      </c>
      <c r="D3045" t="str">
        <f>VLOOKUP(B3045,Tabela_Auxiliar[],2,0)</f>
        <v>3. Custos do Produto/Mercadoria/Serviço</v>
      </c>
      <c r="E3045" t="str">
        <f>VLOOKUP(B3045,Tabela_Auxiliar[],4,0)</f>
        <v>Despesas c/ Produto</v>
      </c>
      <c r="F3045" t="str">
        <f>VLOOKUP(B3045,Tabela_Auxiliar[],3,0)</f>
        <v>Saída</v>
      </c>
      <c r="G3045" t="str">
        <f>UPPER(TEXT(Tabela_DB[[#This Row],[DATA]],"mmm"))</f>
        <v>JUL</v>
      </c>
      <c r="H3045" t="str">
        <f>UPPER(TEXT(Tabela_DB[[#This Row],[DATA]],"aaaa"))</f>
        <v>2021</v>
      </c>
    </row>
    <row r="3046" spans="1:8" x14ac:dyDescent="0.25">
      <c r="A3046" s="2">
        <v>44385</v>
      </c>
      <c r="B3046" t="s">
        <v>35</v>
      </c>
      <c r="C3046">
        <v>-2466</v>
      </c>
      <c r="D3046" t="str">
        <f>VLOOKUP(B3046,Tabela_Auxiliar[],2,0)</f>
        <v>2. Deduções da Receita</v>
      </c>
      <c r="E3046" t="str">
        <f>VLOOKUP(B3046,Tabela_Auxiliar[],4,0)</f>
        <v>Imposto</v>
      </c>
      <c r="F3046" t="str">
        <f>VLOOKUP(B3046,Tabela_Auxiliar[],3,0)</f>
        <v>Saída</v>
      </c>
      <c r="G3046" t="str">
        <f>UPPER(TEXT(Tabela_DB[[#This Row],[DATA]],"mmm"))</f>
        <v>JUL</v>
      </c>
      <c r="H3046" t="str">
        <f>UPPER(TEXT(Tabela_DB[[#This Row],[DATA]],"aaaa"))</f>
        <v>2021</v>
      </c>
    </row>
    <row r="3047" spans="1:8" x14ac:dyDescent="0.25">
      <c r="A3047" s="2">
        <v>44385</v>
      </c>
      <c r="B3047" t="s">
        <v>55</v>
      </c>
      <c r="C3047">
        <v>-2165</v>
      </c>
      <c r="D3047" t="str">
        <f>VLOOKUP(B3047,Tabela_Auxiliar[],2,0)</f>
        <v>4. Despesas Operacionais</v>
      </c>
      <c r="E3047" t="str">
        <f>VLOOKUP(B3047,Tabela_Auxiliar[],4,0)</f>
        <v>Despesa com Pessoal</v>
      </c>
      <c r="F3047" t="str">
        <f>VLOOKUP(B3047,Tabela_Auxiliar[],3,0)</f>
        <v>Saída</v>
      </c>
      <c r="G3047" t="str">
        <f>UPPER(TEXT(Tabela_DB[[#This Row],[DATA]],"mmm"))</f>
        <v>JUL</v>
      </c>
      <c r="H3047" t="str">
        <f>UPPER(TEXT(Tabela_DB[[#This Row],[DATA]],"aaaa"))</f>
        <v>2021</v>
      </c>
    </row>
    <row r="3048" spans="1:8" x14ac:dyDescent="0.25">
      <c r="A3048" s="2">
        <v>44385</v>
      </c>
      <c r="B3048" t="s">
        <v>38</v>
      </c>
      <c r="C3048">
        <v>-2358</v>
      </c>
      <c r="D3048" t="str">
        <f>VLOOKUP(B3048,Tabela_Auxiliar[],2,0)</f>
        <v>2. Deduções da Receita</v>
      </c>
      <c r="E3048" t="str">
        <f>VLOOKUP(B3048,Tabela_Auxiliar[],4,0)</f>
        <v>Deduções</v>
      </c>
      <c r="F3048" t="str">
        <f>VLOOKUP(B3048,Tabela_Auxiliar[],3,0)</f>
        <v>Saída</v>
      </c>
      <c r="G3048" t="str">
        <f>UPPER(TEXT(Tabela_DB[[#This Row],[DATA]],"mmm"))</f>
        <v>JUL</v>
      </c>
      <c r="H3048" t="str">
        <f>UPPER(TEXT(Tabela_DB[[#This Row],[DATA]],"aaaa"))</f>
        <v>2021</v>
      </c>
    </row>
    <row r="3049" spans="1:8" x14ac:dyDescent="0.25">
      <c r="A3049" s="2">
        <v>44385</v>
      </c>
      <c r="B3049" t="s">
        <v>3</v>
      </c>
      <c r="C3049">
        <v>11923</v>
      </c>
      <c r="D3049" t="str">
        <f>VLOOKUP(B3049,Tabela_Auxiliar[],2,0)</f>
        <v>1. Receita Operacional Bruta</v>
      </c>
      <c r="E3049" t="str">
        <f>VLOOKUP(B3049,Tabela_Auxiliar[],4,0)</f>
        <v>Receita Bruta</v>
      </c>
      <c r="F3049" t="str">
        <f>VLOOKUP(B3049,Tabela_Auxiliar[],3,0)</f>
        <v>Entrada</v>
      </c>
      <c r="G3049" t="str">
        <f>UPPER(TEXT(Tabela_DB[[#This Row],[DATA]],"mmm"))</f>
        <v>JUL</v>
      </c>
      <c r="H3049" t="str">
        <f>UPPER(TEXT(Tabela_DB[[#This Row],[DATA]],"aaaa"))</f>
        <v>2021</v>
      </c>
    </row>
    <row r="3050" spans="1:8" x14ac:dyDescent="0.25">
      <c r="A3050" s="2">
        <v>44385</v>
      </c>
      <c r="B3050" t="s">
        <v>49</v>
      </c>
      <c r="C3050">
        <v>-1792</v>
      </c>
      <c r="D3050" t="str">
        <f>VLOOKUP(B3050,Tabela_Auxiliar[],2,0)</f>
        <v>4. Despesas Operacionais</v>
      </c>
      <c r="E3050" t="str">
        <f>VLOOKUP(B3050,Tabela_Auxiliar[],4,0)</f>
        <v>Despesa com Pessoal</v>
      </c>
      <c r="F3050" t="str">
        <f>VLOOKUP(B3050,Tabela_Auxiliar[],3,0)</f>
        <v>Saída</v>
      </c>
      <c r="G3050" t="str">
        <f>UPPER(TEXT(Tabela_DB[[#This Row],[DATA]],"mmm"))</f>
        <v>JUL</v>
      </c>
      <c r="H3050" t="str">
        <f>UPPER(TEXT(Tabela_DB[[#This Row],[DATA]],"aaaa"))</f>
        <v>2021</v>
      </c>
    </row>
    <row r="3051" spans="1:8" x14ac:dyDescent="0.25">
      <c r="A3051" s="2">
        <v>44385</v>
      </c>
      <c r="B3051" t="s">
        <v>59</v>
      </c>
      <c r="C3051">
        <v>-1776</v>
      </c>
      <c r="D3051" t="str">
        <f>VLOOKUP(B3051,Tabela_Auxiliar[],2,0)</f>
        <v>4. Despesas Operacionais</v>
      </c>
      <c r="E3051" t="str">
        <f>VLOOKUP(B3051,Tabela_Auxiliar[],4,0)</f>
        <v>Despesa de Depreciação</v>
      </c>
      <c r="F3051" t="str">
        <f>VLOOKUP(B3051,Tabela_Auxiliar[],3,0)</f>
        <v>Saída</v>
      </c>
      <c r="G3051" t="str">
        <f>UPPER(TEXT(Tabela_DB[[#This Row],[DATA]],"mmm"))</f>
        <v>JUL</v>
      </c>
      <c r="H3051" t="str">
        <f>UPPER(TEXT(Tabela_DB[[#This Row],[DATA]],"aaaa"))</f>
        <v>2021</v>
      </c>
    </row>
    <row r="3052" spans="1:8" x14ac:dyDescent="0.25">
      <c r="A3052" s="2">
        <v>44385</v>
      </c>
      <c r="B3052" t="s">
        <v>34</v>
      </c>
      <c r="C3052">
        <v>-2471</v>
      </c>
      <c r="D3052" t="str">
        <f>VLOOKUP(B3052,Tabela_Auxiliar[],2,0)</f>
        <v>2. Deduções da Receita</v>
      </c>
      <c r="E3052" t="str">
        <f>VLOOKUP(B3052,Tabela_Auxiliar[],4,0)</f>
        <v>Imposto</v>
      </c>
      <c r="F3052" t="str">
        <f>VLOOKUP(B3052,Tabela_Auxiliar[],3,0)</f>
        <v>Saída</v>
      </c>
      <c r="G3052" t="str">
        <f>UPPER(TEXT(Tabela_DB[[#This Row],[DATA]],"mmm"))</f>
        <v>JUL</v>
      </c>
      <c r="H3052" t="str">
        <f>UPPER(TEXT(Tabela_DB[[#This Row],[DATA]],"aaaa"))</f>
        <v>2021</v>
      </c>
    </row>
    <row r="3053" spans="1:8" x14ac:dyDescent="0.25">
      <c r="A3053" s="2">
        <v>44385</v>
      </c>
      <c r="B3053" t="s">
        <v>86</v>
      </c>
      <c r="C3053">
        <v>-1480</v>
      </c>
      <c r="D3053" t="str">
        <f>VLOOKUP(B3053,Tabela_Auxiliar[],2,0)</f>
        <v>4. Despesas Operacionais</v>
      </c>
      <c r="E3053" t="str">
        <f>VLOOKUP(B3053,Tabela_Auxiliar[],4,0)</f>
        <v>Despesa com Veículos</v>
      </c>
      <c r="F3053" t="str">
        <f>VLOOKUP(B3053,Tabela_Auxiliar[],3,0)</f>
        <v>Saída</v>
      </c>
      <c r="G3053" t="str">
        <f>UPPER(TEXT(Tabela_DB[[#This Row],[DATA]],"mmm"))</f>
        <v>JUL</v>
      </c>
      <c r="H3053" t="str">
        <f>UPPER(TEXT(Tabela_DB[[#This Row],[DATA]],"aaaa"))</f>
        <v>2021</v>
      </c>
    </row>
    <row r="3054" spans="1:8" x14ac:dyDescent="0.25">
      <c r="A3054" s="2">
        <v>44385</v>
      </c>
      <c r="B3054" t="s">
        <v>4</v>
      </c>
      <c r="C3054">
        <v>12603</v>
      </c>
      <c r="D3054" t="str">
        <f>VLOOKUP(B3054,Tabela_Auxiliar[],2,0)</f>
        <v>1. Receita Operacional Bruta</v>
      </c>
      <c r="E3054" t="str">
        <f>VLOOKUP(B3054,Tabela_Auxiliar[],4,0)</f>
        <v>Receita Bruta</v>
      </c>
      <c r="F3054" t="str">
        <f>VLOOKUP(B3054,Tabela_Auxiliar[],3,0)</f>
        <v>Entrada</v>
      </c>
      <c r="G3054" t="str">
        <f>UPPER(TEXT(Tabela_DB[[#This Row],[DATA]],"mmm"))</f>
        <v>JUL</v>
      </c>
      <c r="H3054" t="str">
        <f>UPPER(TEXT(Tabela_DB[[#This Row],[DATA]],"aaaa"))</f>
        <v>2021</v>
      </c>
    </row>
    <row r="3055" spans="1:8" x14ac:dyDescent="0.25">
      <c r="A3055" s="2">
        <v>44385</v>
      </c>
      <c r="B3055" t="s">
        <v>4</v>
      </c>
      <c r="C3055">
        <v>14979</v>
      </c>
      <c r="D3055" t="str">
        <f>VLOOKUP(B3055,Tabela_Auxiliar[],2,0)</f>
        <v>1. Receita Operacional Bruta</v>
      </c>
      <c r="E3055" t="str">
        <f>VLOOKUP(B3055,Tabela_Auxiliar[],4,0)</f>
        <v>Receita Bruta</v>
      </c>
      <c r="F3055" t="str">
        <f>VLOOKUP(B3055,Tabela_Auxiliar[],3,0)</f>
        <v>Entrada</v>
      </c>
      <c r="G3055" t="str">
        <f>UPPER(TEXT(Tabela_DB[[#This Row],[DATA]],"mmm"))</f>
        <v>JUL</v>
      </c>
      <c r="H3055" t="str">
        <f>UPPER(TEXT(Tabela_DB[[#This Row],[DATA]],"aaaa"))</f>
        <v>2021</v>
      </c>
    </row>
    <row r="3056" spans="1:8" x14ac:dyDescent="0.25">
      <c r="A3056" s="2">
        <v>44385</v>
      </c>
      <c r="B3056" t="s">
        <v>35</v>
      </c>
      <c r="C3056">
        <v>-2368</v>
      </c>
      <c r="D3056" t="str">
        <f>VLOOKUP(B3056,Tabela_Auxiliar[],2,0)</f>
        <v>2. Deduções da Receita</v>
      </c>
      <c r="E3056" t="str">
        <f>VLOOKUP(B3056,Tabela_Auxiliar[],4,0)</f>
        <v>Imposto</v>
      </c>
      <c r="F3056" t="str">
        <f>VLOOKUP(B3056,Tabela_Auxiliar[],3,0)</f>
        <v>Saída</v>
      </c>
      <c r="G3056" t="str">
        <f>UPPER(TEXT(Tabela_DB[[#This Row],[DATA]],"mmm"))</f>
        <v>JUL</v>
      </c>
      <c r="H3056" t="str">
        <f>UPPER(TEXT(Tabela_DB[[#This Row],[DATA]],"aaaa"))</f>
        <v>2021</v>
      </c>
    </row>
    <row r="3057" spans="1:8" x14ac:dyDescent="0.25">
      <c r="A3057" s="2">
        <v>44385</v>
      </c>
      <c r="B3057" t="s">
        <v>49</v>
      </c>
      <c r="C3057">
        <v>-1219</v>
      </c>
      <c r="D3057" t="str">
        <f>VLOOKUP(B3057,Tabela_Auxiliar[],2,0)</f>
        <v>4. Despesas Operacionais</v>
      </c>
      <c r="E3057" t="str">
        <f>VLOOKUP(B3057,Tabela_Auxiliar[],4,0)</f>
        <v>Despesa com Pessoal</v>
      </c>
      <c r="F3057" t="str">
        <f>VLOOKUP(B3057,Tabela_Auxiliar[],3,0)</f>
        <v>Saída</v>
      </c>
      <c r="G3057" t="str">
        <f>UPPER(TEXT(Tabela_DB[[#This Row],[DATA]],"mmm"))</f>
        <v>JUL</v>
      </c>
      <c r="H3057" t="str">
        <f>UPPER(TEXT(Tabela_DB[[#This Row],[DATA]],"aaaa"))</f>
        <v>2021</v>
      </c>
    </row>
    <row r="3058" spans="1:8" x14ac:dyDescent="0.25">
      <c r="A3058" s="2">
        <v>44385</v>
      </c>
      <c r="B3058" t="s">
        <v>34</v>
      </c>
      <c r="C3058">
        <v>-2192</v>
      </c>
      <c r="D3058" t="str">
        <f>VLOOKUP(B3058,Tabela_Auxiliar[],2,0)</f>
        <v>2. Deduções da Receita</v>
      </c>
      <c r="E3058" t="str">
        <f>VLOOKUP(B3058,Tabela_Auxiliar[],4,0)</f>
        <v>Imposto</v>
      </c>
      <c r="F3058" t="str">
        <f>VLOOKUP(B3058,Tabela_Auxiliar[],3,0)</f>
        <v>Saída</v>
      </c>
      <c r="G3058" t="str">
        <f>UPPER(TEXT(Tabela_DB[[#This Row],[DATA]],"mmm"))</f>
        <v>JUL</v>
      </c>
      <c r="H3058" t="str">
        <f>UPPER(TEXT(Tabela_DB[[#This Row],[DATA]],"aaaa"))</f>
        <v>2021</v>
      </c>
    </row>
    <row r="3059" spans="1:8" x14ac:dyDescent="0.25">
      <c r="A3059" s="2">
        <v>44385</v>
      </c>
      <c r="B3059" t="s">
        <v>35</v>
      </c>
      <c r="C3059">
        <v>-1362</v>
      </c>
      <c r="D3059" t="str">
        <f>VLOOKUP(B3059,Tabela_Auxiliar[],2,0)</f>
        <v>2. Deduções da Receita</v>
      </c>
      <c r="E3059" t="str">
        <f>VLOOKUP(B3059,Tabela_Auxiliar[],4,0)</f>
        <v>Imposto</v>
      </c>
      <c r="F3059" t="str">
        <f>VLOOKUP(B3059,Tabela_Auxiliar[],3,0)</f>
        <v>Saída</v>
      </c>
      <c r="G3059" t="str">
        <f>UPPER(TEXT(Tabela_DB[[#This Row],[DATA]],"mmm"))</f>
        <v>JUL</v>
      </c>
      <c r="H3059" t="str">
        <f>UPPER(TEXT(Tabela_DB[[#This Row],[DATA]],"aaaa"))</f>
        <v>2021</v>
      </c>
    </row>
    <row r="3060" spans="1:8" x14ac:dyDescent="0.25">
      <c r="A3060" s="2">
        <v>44385</v>
      </c>
      <c r="B3060" t="s">
        <v>74</v>
      </c>
      <c r="C3060">
        <v>-1358</v>
      </c>
      <c r="D3060" t="str">
        <f>VLOOKUP(B3060,Tabela_Auxiliar[],2,0)</f>
        <v>4. Despesas Operacionais</v>
      </c>
      <c r="E3060" t="str">
        <f>VLOOKUP(B3060,Tabela_Auxiliar[],4,0)</f>
        <v>Serviços Contratados</v>
      </c>
      <c r="F3060" t="str">
        <f>VLOOKUP(B3060,Tabela_Auxiliar[],3,0)</f>
        <v>Saída</v>
      </c>
      <c r="G3060" t="str">
        <f>UPPER(TEXT(Tabela_DB[[#This Row],[DATA]],"mmm"))</f>
        <v>JUL</v>
      </c>
      <c r="H3060" t="str">
        <f>UPPER(TEXT(Tabela_DB[[#This Row],[DATA]],"aaaa"))</f>
        <v>2021</v>
      </c>
    </row>
    <row r="3061" spans="1:8" x14ac:dyDescent="0.25">
      <c r="A3061" s="2">
        <v>44385</v>
      </c>
      <c r="B3061" t="s">
        <v>3</v>
      </c>
      <c r="C3061">
        <v>13134</v>
      </c>
      <c r="D3061" t="str">
        <f>VLOOKUP(B3061,Tabela_Auxiliar[],2,0)</f>
        <v>1. Receita Operacional Bruta</v>
      </c>
      <c r="E3061" t="str">
        <f>VLOOKUP(B3061,Tabela_Auxiliar[],4,0)</f>
        <v>Receita Bruta</v>
      </c>
      <c r="F3061" t="str">
        <f>VLOOKUP(B3061,Tabela_Auxiliar[],3,0)</f>
        <v>Entrada</v>
      </c>
      <c r="G3061" t="str">
        <f>UPPER(TEXT(Tabela_DB[[#This Row],[DATA]],"mmm"))</f>
        <v>JUL</v>
      </c>
      <c r="H3061" t="str">
        <f>UPPER(TEXT(Tabela_DB[[#This Row],[DATA]],"aaaa"))</f>
        <v>2021</v>
      </c>
    </row>
    <row r="3062" spans="1:8" x14ac:dyDescent="0.25">
      <c r="A3062" s="2">
        <v>44385</v>
      </c>
      <c r="B3062" t="s">
        <v>83</v>
      </c>
      <c r="C3062">
        <v>-2255</v>
      </c>
      <c r="D3062" t="str">
        <f>VLOOKUP(B3062,Tabela_Auxiliar[],2,0)</f>
        <v>4. Despesas Operacionais</v>
      </c>
      <c r="E3062" t="str">
        <f>VLOOKUP(B3062,Tabela_Auxiliar[],4,0)</f>
        <v>Despesa com Veículos</v>
      </c>
      <c r="F3062" t="str">
        <f>VLOOKUP(B3062,Tabela_Auxiliar[],3,0)</f>
        <v>Saída</v>
      </c>
      <c r="G3062" t="str">
        <f>UPPER(TEXT(Tabela_DB[[#This Row],[DATA]],"mmm"))</f>
        <v>JUL</v>
      </c>
      <c r="H3062" t="str">
        <f>UPPER(TEXT(Tabela_DB[[#This Row],[DATA]],"aaaa"))</f>
        <v>2021</v>
      </c>
    </row>
    <row r="3063" spans="1:8" x14ac:dyDescent="0.25">
      <c r="A3063" s="2">
        <v>44385</v>
      </c>
      <c r="B3063" t="s">
        <v>35</v>
      </c>
      <c r="C3063">
        <v>-1506</v>
      </c>
      <c r="D3063" t="str">
        <f>VLOOKUP(B3063,Tabela_Auxiliar[],2,0)</f>
        <v>2. Deduções da Receita</v>
      </c>
      <c r="E3063" t="str">
        <f>VLOOKUP(B3063,Tabela_Auxiliar[],4,0)</f>
        <v>Imposto</v>
      </c>
      <c r="F3063" t="str">
        <f>VLOOKUP(B3063,Tabela_Auxiliar[],3,0)</f>
        <v>Saída</v>
      </c>
      <c r="G3063" t="str">
        <f>UPPER(TEXT(Tabela_DB[[#This Row],[DATA]],"mmm"))</f>
        <v>JUL</v>
      </c>
      <c r="H3063" t="str">
        <f>UPPER(TEXT(Tabela_DB[[#This Row],[DATA]],"aaaa"))</f>
        <v>2021</v>
      </c>
    </row>
    <row r="3064" spans="1:8" x14ac:dyDescent="0.25">
      <c r="A3064" s="2">
        <v>44385</v>
      </c>
      <c r="B3064" t="s">
        <v>66</v>
      </c>
      <c r="C3064">
        <v>-1172</v>
      </c>
      <c r="D3064" t="str">
        <f>VLOOKUP(B3064,Tabela_Auxiliar[],2,0)</f>
        <v>4. Despesas Operacionais</v>
      </c>
      <c r="E3064" t="str">
        <f>VLOOKUP(B3064,Tabela_Auxiliar[],4,0)</f>
        <v>Despesa com Vendas</v>
      </c>
      <c r="F3064" t="str">
        <f>VLOOKUP(B3064,Tabela_Auxiliar[],3,0)</f>
        <v>Saída</v>
      </c>
      <c r="G3064" t="str">
        <f>UPPER(TEXT(Tabela_DB[[#This Row],[DATA]],"mmm"))</f>
        <v>JUL</v>
      </c>
      <c r="H3064" t="str">
        <f>UPPER(TEXT(Tabela_DB[[#This Row],[DATA]],"aaaa"))</f>
        <v>2021</v>
      </c>
    </row>
    <row r="3065" spans="1:8" x14ac:dyDescent="0.25">
      <c r="A3065" s="2">
        <v>44385</v>
      </c>
      <c r="B3065" t="s">
        <v>34</v>
      </c>
      <c r="C3065">
        <v>-2305</v>
      </c>
      <c r="D3065" t="str">
        <f>VLOOKUP(B3065,Tabela_Auxiliar[],2,0)</f>
        <v>2. Deduções da Receita</v>
      </c>
      <c r="E3065" t="str">
        <f>VLOOKUP(B3065,Tabela_Auxiliar[],4,0)</f>
        <v>Imposto</v>
      </c>
      <c r="F3065" t="str">
        <f>VLOOKUP(B3065,Tabela_Auxiliar[],3,0)</f>
        <v>Saída</v>
      </c>
      <c r="G3065" t="str">
        <f>UPPER(TEXT(Tabela_DB[[#This Row],[DATA]],"mmm"))</f>
        <v>JUL</v>
      </c>
      <c r="H3065" t="str">
        <f>UPPER(TEXT(Tabela_DB[[#This Row],[DATA]],"aaaa"))</f>
        <v>2021</v>
      </c>
    </row>
    <row r="3066" spans="1:8" x14ac:dyDescent="0.25">
      <c r="A3066" s="2">
        <v>44385</v>
      </c>
      <c r="B3066" t="s">
        <v>3</v>
      </c>
      <c r="C3066">
        <v>11504</v>
      </c>
      <c r="D3066" t="str">
        <f>VLOOKUP(B3066,Tabela_Auxiliar[],2,0)</f>
        <v>1. Receita Operacional Bruta</v>
      </c>
      <c r="E3066" t="str">
        <f>VLOOKUP(B3066,Tabela_Auxiliar[],4,0)</f>
        <v>Receita Bruta</v>
      </c>
      <c r="F3066" t="str">
        <f>VLOOKUP(B3066,Tabela_Auxiliar[],3,0)</f>
        <v>Entrada</v>
      </c>
      <c r="G3066" t="str">
        <f>UPPER(TEXT(Tabela_DB[[#This Row],[DATA]],"mmm"))</f>
        <v>JUL</v>
      </c>
      <c r="H3066" t="str">
        <f>UPPER(TEXT(Tabela_DB[[#This Row],[DATA]],"aaaa"))</f>
        <v>2021</v>
      </c>
    </row>
    <row r="3067" spans="1:8" x14ac:dyDescent="0.25">
      <c r="A3067" s="2">
        <v>44385</v>
      </c>
      <c r="B3067" t="s">
        <v>111</v>
      </c>
      <c r="C3067">
        <v>-1263</v>
      </c>
      <c r="D3067" t="str">
        <f>VLOOKUP(B3067,Tabela_Auxiliar[],2,0)</f>
        <v>2. Deduções da Receita</v>
      </c>
      <c r="E3067" t="str">
        <f>VLOOKUP(B3067,Tabela_Auxiliar[],4,0)</f>
        <v>Imposto</v>
      </c>
      <c r="F3067" t="str">
        <f>VLOOKUP(B3067,Tabela_Auxiliar[],3,0)</f>
        <v>Saída</v>
      </c>
      <c r="G3067" t="str">
        <f>UPPER(TEXT(Tabela_DB[[#This Row],[DATA]],"mmm"))</f>
        <v>JUL</v>
      </c>
      <c r="H3067" t="str">
        <f>UPPER(TEXT(Tabela_DB[[#This Row],[DATA]],"aaaa"))</f>
        <v>2021</v>
      </c>
    </row>
    <row r="3068" spans="1:8" x14ac:dyDescent="0.25">
      <c r="A3068" s="2">
        <v>44386</v>
      </c>
      <c r="B3068" t="s">
        <v>35</v>
      </c>
      <c r="C3068">
        <v>-1056</v>
      </c>
      <c r="D3068" t="str">
        <f>VLOOKUP(B3068,Tabela_Auxiliar[],2,0)</f>
        <v>2. Deduções da Receita</v>
      </c>
      <c r="E3068" t="str">
        <f>VLOOKUP(B3068,Tabela_Auxiliar[],4,0)</f>
        <v>Imposto</v>
      </c>
      <c r="F3068" t="str">
        <f>VLOOKUP(B3068,Tabela_Auxiliar[],3,0)</f>
        <v>Saída</v>
      </c>
      <c r="G3068" t="str">
        <f>UPPER(TEXT(Tabela_DB[[#This Row],[DATA]],"mmm"))</f>
        <v>JUL</v>
      </c>
      <c r="H3068" t="str">
        <f>UPPER(TEXT(Tabela_DB[[#This Row],[DATA]],"aaaa"))</f>
        <v>2021</v>
      </c>
    </row>
    <row r="3069" spans="1:8" x14ac:dyDescent="0.25">
      <c r="A3069" s="2">
        <v>44386</v>
      </c>
      <c r="B3069" t="s">
        <v>3</v>
      </c>
      <c r="C3069">
        <v>11215</v>
      </c>
      <c r="D3069" t="str">
        <f>VLOOKUP(B3069,Tabela_Auxiliar[],2,0)</f>
        <v>1. Receita Operacional Bruta</v>
      </c>
      <c r="E3069" t="str">
        <f>VLOOKUP(B3069,Tabela_Auxiliar[],4,0)</f>
        <v>Receita Bruta</v>
      </c>
      <c r="F3069" t="str">
        <f>VLOOKUP(B3069,Tabela_Auxiliar[],3,0)</f>
        <v>Entrada</v>
      </c>
      <c r="G3069" t="str">
        <f>UPPER(TEXT(Tabela_DB[[#This Row],[DATA]],"mmm"))</f>
        <v>JUL</v>
      </c>
      <c r="H3069" t="str">
        <f>UPPER(TEXT(Tabela_DB[[#This Row],[DATA]],"aaaa"))</f>
        <v>2021</v>
      </c>
    </row>
    <row r="3070" spans="1:8" x14ac:dyDescent="0.25">
      <c r="A3070" s="2">
        <v>44386</v>
      </c>
      <c r="B3070" t="s">
        <v>64</v>
      </c>
      <c r="C3070">
        <v>-1504</v>
      </c>
      <c r="D3070" t="str">
        <f>VLOOKUP(B3070,Tabela_Auxiliar[],2,0)</f>
        <v>4. Despesas Operacionais</v>
      </c>
      <c r="E3070" t="str">
        <f>VLOOKUP(B3070,Tabela_Auxiliar[],4,0)</f>
        <v>Despesa Gerais</v>
      </c>
      <c r="F3070" t="str">
        <f>VLOOKUP(B3070,Tabela_Auxiliar[],3,0)</f>
        <v>Saída</v>
      </c>
      <c r="G3070" t="str">
        <f>UPPER(TEXT(Tabela_DB[[#This Row],[DATA]],"mmm"))</f>
        <v>JUL</v>
      </c>
      <c r="H3070" t="str">
        <f>UPPER(TEXT(Tabela_DB[[#This Row],[DATA]],"aaaa"))</f>
        <v>2021</v>
      </c>
    </row>
    <row r="3071" spans="1:8" x14ac:dyDescent="0.25">
      <c r="A3071" s="2">
        <v>44386</v>
      </c>
      <c r="B3071" t="s">
        <v>34</v>
      </c>
      <c r="C3071">
        <v>-1977</v>
      </c>
      <c r="D3071" t="str">
        <f>VLOOKUP(B3071,Tabela_Auxiliar[],2,0)</f>
        <v>2. Deduções da Receita</v>
      </c>
      <c r="E3071" t="str">
        <f>VLOOKUP(B3071,Tabela_Auxiliar[],4,0)</f>
        <v>Imposto</v>
      </c>
      <c r="F3071" t="str">
        <f>VLOOKUP(B3071,Tabela_Auxiliar[],3,0)</f>
        <v>Saída</v>
      </c>
      <c r="G3071" t="str">
        <f>UPPER(TEXT(Tabela_DB[[#This Row],[DATA]],"mmm"))</f>
        <v>JUL</v>
      </c>
      <c r="H3071" t="str">
        <f>UPPER(TEXT(Tabela_DB[[#This Row],[DATA]],"aaaa"))</f>
        <v>2021</v>
      </c>
    </row>
    <row r="3072" spans="1:8" x14ac:dyDescent="0.25">
      <c r="A3072" s="2">
        <v>44386</v>
      </c>
      <c r="B3072" t="s">
        <v>35</v>
      </c>
      <c r="C3072">
        <v>-2255</v>
      </c>
      <c r="D3072" t="str">
        <f>VLOOKUP(B3072,Tabela_Auxiliar[],2,0)</f>
        <v>2. Deduções da Receita</v>
      </c>
      <c r="E3072" t="str">
        <f>VLOOKUP(B3072,Tabela_Auxiliar[],4,0)</f>
        <v>Imposto</v>
      </c>
      <c r="F3072" t="str">
        <f>VLOOKUP(B3072,Tabela_Auxiliar[],3,0)</f>
        <v>Saída</v>
      </c>
      <c r="G3072" t="str">
        <f>UPPER(TEXT(Tabela_DB[[#This Row],[DATA]],"mmm"))</f>
        <v>JUL</v>
      </c>
      <c r="H3072" t="str">
        <f>UPPER(TEXT(Tabela_DB[[#This Row],[DATA]],"aaaa"))</f>
        <v>2021</v>
      </c>
    </row>
    <row r="3073" spans="1:8" x14ac:dyDescent="0.25">
      <c r="A3073" s="2">
        <v>44386</v>
      </c>
      <c r="B3073" t="s">
        <v>35</v>
      </c>
      <c r="C3073">
        <v>-2286</v>
      </c>
      <c r="D3073" t="str">
        <f>VLOOKUP(B3073,Tabela_Auxiliar[],2,0)</f>
        <v>2. Deduções da Receita</v>
      </c>
      <c r="E3073" t="str">
        <f>VLOOKUP(B3073,Tabela_Auxiliar[],4,0)</f>
        <v>Imposto</v>
      </c>
      <c r="F3073" t="str">
        <f>VLOOKUP(B3073,Tabela_Auxiliar[],3,0)</f>
        <v>Saída</v>
      </c>
      <c r="G3073" t="str">
        <f>UPPER(TEXT(Tabela_DB[[#This Row],[DATA]],"mmm"))</f>
        <v>JUL</v>
      </c>
      <c r="H3073" t="str">
        <f>UPPER(TEXT(Tabela_DB[[#This Row],[DATA]],"aaaa"))</f>
        <v>2021</v>
      </c>
    </row>
    <row r="3074" spans="1:8" x14ac:dyDescent="0.25">
      <c r="A3074" s="2">
        <v>44386</v>
      </c>
      <c r="B3074" t="s">
        <v>35</v>
      </c>
      <c r="C3074">
        <v>-2405</v>
      </c>
      <c r="D3074" t="str">
        <f>VLOOKUP(B3074,Tabela_Auxiliar[],2,0)</f>
        <v>2. Deduções da Receita</v>
      </c>
      <c r="E3074" t="str">
        <f>VLOOKUP(B3074,Tabela_Auxiliar[],4,0)</f>
        <v>Imposto</v>
      </c>
      <c r="F3074" t="str">
        <f>VLOOKUP(B3074,Tabela_Auxiliar[],3,0)</f>
        <v>Saída</v>
      </c>
      <c r="G3074" t="str">
        <f>UPPER(TEXT(Tabela_DB[[#This Row],[DATA]],"mmm"))</f>
        <v>JUL</v>
      </c>
      <c r="H3074" t="str">
        <f>UPPER(TEXT(Tabela_DB[[#This Row],[DATA]],"aaaa"))</f>
        <v>2021</v>
      </c>
    </row>
    <row r="3075" spans="1:8" x14ac:dyDescent="0.25">
      <c r="A3075" s="2">
        <v>44386</v>
      </c>
      <c r="B3075" t="s">
        <v>40</v>
      </c>
      <c r="C3075">
        <v>-2268</v>
      </c>
      <c r="D3075" t="str">
        <f>VLOOKUP(B3075,Tabela_Auxiliar[],2,0)</f>
        <v>4. Despesas Operacionais</v>
      </c>
      <c r="E3075" t="str">
        <f>VLOOKUP(B3075,Tabela_Auxiliar[],4,0)</f>
        <v>Despesa com Pessoal</v>
      </c>
      <c r="F3075" t="str">
        <f>VLOOKUP(B3075,Tabela_Auxiliar[],3,0)</f>
        <v>Saída</v>
      </c>
      <c r="G3075" t="str">
        <f>UPPER(TEXT(Tabela_DB[[#This Row],[DATA]],"mmm"))</f>
        <v>JUL</v>
      </c>
      <c r="H3075" t="str">
        <f>UPPER(TEXT(Tabela_DB[[#This Row],[DATA]],"aaaa"))</f>
        <v>2021</v>
      </c>
    </row>
    <row r="3076" spans="1:8" x14ac:dyDescent="0.25">
      <c r="A3076" s="2">
        <v>44386</v>
      </c>
      <c r="B3076" t="s">
        <v>38</v>
      </c>
      <c r="C3076">
        <v>-1542</v>
      </c>
      <c r="D3076" t="str">
        <f>VLOOKUP(B3076,Tabela_Auxiliar[],2,0)</f>
        <v>2. Deduções da Receita</v>
      </c>
      <c r="E3076" t="str">
        <f>VLOOKUP(B3076,Tabela_Auxiliar[],4,0)</f>
        <v>Deduções</v>
      </c>
      <c r="F3076" t="str">
        <f>VLOOKUP(B3076,Tabela_Auxiliar[],3,0)</f>
        <v>Saída</v>
      </c>
      <c r="G3076" t="str">
        <f>UPPER(TEXT(Tabela_DB[[#This Row],[DATA]],"mmm"))</f>
        <v>JUL</v>
      </c>
      <c r="H3076" t="str">
        <f>UPPER(TEXT(Tabela_DB[[#This Row],[DATA]],"aaaa"))</f>
        <v>2021</v>
      </c>
    </row>
    <row r="3077" spans="1:8" x14ac:dyDescent="0.25">
      <c r="A3077" s="2">
        <v>44386</v>
      </c>
      <c r="B3077" t="s">
        <v>37</v>
      </c>
      <c r="C3077">
        <v>-3128</v>
      </c>
      <c r="D3077" t="str">
        <f>VLOOKUP(B3077,Tabela_Auxiliar[],2,0)</f>
        <v>3. Custos do Produto/Mercadoria/Serviço</v>
      </c>
      <c r="E3077" t="str">
        <f>VLOOKUP(B3077,Tabela_Auxiliar[],4,0)</f>
        <v>Despesas c/ Produto</v>
      </c>
      <c r="F3077" t="str">
        <f>VLOOKUP(B3077,Tabela_Auxiliar[],3,0)</f>
        <v>Saída</v>
      </c>
      <c r="G3077" t="str">
        <f>UPPER(TEXT(Tabela_DB[[#This Row],[DATA]],"mmm"))</f>
        <v>JUL</v>
      </c>
      <c r="H3077" t="str">
        <f>UPPER(TEXT(Tabela_DB[[#This Row],[DATA]],"aaaa"))</f>
        <v>2021</v>
      </c>
    </row>
    <row r="3078" spans="1:8" x14ac:dyDescent="0.25">
      <c r="A3078" s="2">
        <v>44386</v>
      </c>
      <c r="B3078" t="s">
        <v>111</v>
      </c>
      <c r="C3078">
        <v>-1910</v>
      </c>
      <c r="D3078" t="str">
        <f>VLOOKUP(B3078,Tabela_Auxiliar[],2,0)</f>
        <v>2. Deduções da Receita</v>
      </c>
      <c r="E3078" t="str">
        <f>VLOOKUP(B3078,Tabela_Auxiliar[],4,0)</f>
        <v>Imposto</v>
      </c>
      <c r="F3078" t="str">
        <f>VLOOKUP(B3078,Tabela_Auxiliar[],3,0)</f>
        <v>Saída</v>
      </c>
      <c r="G3078" t="str">
        <f>UPPER(TEXT(Tabela_DB[[#This Row],[DATA]],"mmm"))</f>
        <v>JUL</v>
      </c>
      <c r="H3078" t="str">
        <f>UPPER(TEXT(Tabela_DB[[#This Row],[DATA]],"aaaa"))</f>
        <v>2021</v>
      </c>
    </row>
    <row r="3079" spans="1:8" x14ac:dyDescent="0.25">
      <c r="A3079" s="2">
        <v>44386</v>
      </c>
      <c r="B3079" t="s">
        <v>77</v>
      </c>
      <c r="C3079">
        <v>-2059</v>
      </c>
      <c r="D3079" t="str">
        <f>VLOOKUP(B3079,Tabela_Auxiliar[],2,0)</f>
        <v>4. Despesas Operacionais</v>
      </c>
      <c r="E3079" t="str">
        <f>VLOOKUP(B3079,Tabela_Auxiliar[],4,0)</f>
        <v>Serviços Contratados</v>
      </c>
      <c r="F3079" t="str">
        <f>VLOOKUP(B3079,Tabela_Auxiliar[],3,0)</f>
        <v>Saída</v>
      </c>
      <c r="G3079" t="str">
        <f>UPPER(TEXT(Tabela_DB[[#This Row],[DATA]],"mmm"))</f>
        <v>JUL</v>
      </c>
      <c r="H3079" t="str">
        <f>UPPER(TEXT(Tabela_DB[[#This Row],[DATA]],"aaaa"))</f>
        <v>2021</v>
      </c>
    </row>
    <row r="3080" spans="1:8" x14ac:dyDescent="0.25">
      <c r="A3080" s="2">
        <v>44386</v>
      </c>
      <c r="B3080" t="s">
        <v>111</v>
      </c>
      <c r="C3080">
        <v>-2063</v>
      </c>
      <c r="D3080" t="str">
        <f>VLOOKUP(B3080,Tabela_Auxiliar[],2,0)</f>
        <v>2. Deduções da Receita</v>
      </c>
      <c r="E3080" t="str">
        <f>VLOOKUP(B3080,Tabela_Auxiliar[],4,0)</f>
        <v>Imposto</v>
      </c>
      <c r="F3080" t="str">
        <f>VLOOKUP(B3080,Tabela_Auxiliar[],3,0)</f>
        <v>Saída</v>
      </c>
      <c r="G3080" t="str">
        <f>UPPER(TEXT(Tabela_DB[[#This Row],[DATA]],"mmm"))</f>
        <v>JUL</v>
      </c>
      <c r="H3080" t="str">
        <f>UPPER(TEXT(Tabela_DB[[#This Row],[DATA]],"aaaa"))</f>
        <v>2021</v>
      </c>
    </row>
    <row r="3081" spans="1:8" x14ac:dyDescent="0.25">
      <c r="A3081" s="2">
        <v>44386</v>
      </c>
      <c r="B3081" t="s">
        <v>4</v>
      </c>
      <c r="C3081">
        <v>13491</v>
      </c>
      <c r="D3081" t="str">
        <f>VLOOKUP(B3081,Tabela_Auxiliar[],2,0)</f>
        <v>1. Receita Operacional Bruta</v>
      </c>
      <c r="E3081" t="str">
        <f>VLOOKUP(B3081,Tabela_Auxiliar[],4,0)</f>
        <v>Receita Bruta</v>
      </c>
      <c r="F3081" t="str">
        <f>VLOOKUP(B3081,Tabela_Auxiliar[],3,0)</f>
        <v>Entrada</v>
      </c>
      <c r="G3081" t="str">
        <f>UPPER(TEXT(Tabela_DB[[#This Row],[DATA]],"mmm"))</f>
        <v>JUL</v>
      </c>
      <c r="H3081" t="str">
        <f>UPPER(TEXT(Tabela_DB[[#This Row],[DATA]],"aaaa"))</f>
        <v>2021</v>
      </c>
    </row>
    <row r="3082" spans="1:8" x14ac:dyDescent="0.25">
      <c r="A3082" s="2">
        <v>44386</v>
      </c>
      <c r="B3082" t="s">
        <v>4</v>
      </c>
      <c r="C3082">
        <v>12299</v>
      </c>
      <c r="D3082" t="str">
        <f>VLOOKUP(B3082,Tabela_Auxiliar[],2,0)</f>
        <v>1. Receita Operacional Bruta</v>
      </c>
      <c r="E3082" t="str">
        <f>VLOOKUP(B3082,Tabela_Auxiliar[],4,0)</f>
        <v>Receita Bruta</v>
      </c>
      <c r="F3082" t="str">
        <f>VLOOKUP(B3082,Tabela_Auxiliar[],3,0)</f>
        <v>Entrada</v>
      </c>
      <c r="G3082" t="str">
        <f>UPPER(TEXT(Tabela_DB[[#This Row],[DATA]],"mmm"))</f>
        <v>JUL</v>
      </c>
      <c r="H3082" t="str">
        <f>UPPER(TEXT(Tabela_DB[[#This Row],[DATA]],"aaaa"))</f>
        <v>2021</v>
      </c>
    </row>
    <row r="3083" spans="1:8" x14ac:dyDescent="0.25">
      <c r="A3083" s="2">
        <v>44386</v>
      </c>
      <c r="B3083" t="s">
        <v>37</v>
      </c>
      <c r="C3083">
        <v>-3430</v>
      </c>
      <c r="D3083" t="str">
        <f>VLOOKUP(B3083,Tabela_Auxiliar[],2,0)</f>
        <v>3. Custos do Produto/Mercadoria/Serviço</v>
      </c>
      <c r="E3083" t="str">
        <f>VLOOKUP(B3083,Tabela_Auxiliar[],4,0)</f>
        <v>Despesas c/ Produto</v>
      </c>
      <c r="F3083" t="str">
        <f>VLOOKUP(B3083,Tabela_Auxiliar[],3,0)</f>
        <v>Saída</v>
      </c>
      <c r="G3083" t="str">
        <f>UPPER(TEXT(Tabela_DB[[#This Row],[DATA]],"mmm"))</f>
        <v>JUL</v>
      </c>
      <c r="H3083" t="str">
        <f>UPPER(TEXT(Tabela_DB[[#This Row],[DATA]],"aaaa"))</f>
        <v>2021</v>
      </c>
    </row>
    <row r="3084" spans="1:8" x14ac:dyDescent="0.25">
      <c r="A3084" s="2">
        <v>44386</v>
      </c>
      <c r="B3084" t="s">
        <v>85</v>
      </c>
      <c r="C3084">
        <v>-2137</v>
      </c>
      <c r="D3084" t="str">
        <f>VLOOKUP(B3084,Tabela_Auxiliar[],2,0)</f>
        <v>4. Despesas Operacionais</v>
      </c>
      <c r="E3084" t="str">
        <f>VLOOKUP(B3084,Tabela_Auxiliar[],4,0)</f>
        <v>Despesa com Veículos</v>
      </c>
      <c r="F3084" t="str">
        <f>VLOOKUP(B3084,Tabela_Auxiliar[],3,0)</f>
        <v>Saída</v>
      </c>
      <c r="G3084" t="str">
        <f>UPPER(TEXT(Tabela_DB[[#This Row],[DATA]],"mmm"))</f>
        <v>JUL</v>
      </c>
      <c r="H3084" t="str">
        <f>UPPER(TEXT(Tabela_DB[[#This Row],[DATA]],"aaaa"))</f>
        <v>2021</v>
      </c>
    </row>
    <row r="3085" spans="1:8" x14ac:dyDescent="0.25">
      <c r="A3085" s="2">
        <v>44386</v>
      </c>
      <c r="B3085" t="s">
        <v>101</v>
      </c>
      <c r="C3085">
        <v>-1593</v>
      </c>
      <c r="D3085" t="str">
        <f>VLOOKUP(B3085,Tabela_Auxiliar[],2,0)</f>
        <v>5. Resultado Financeiro</v>
      </c>
      <c r="E3085" t="str">
        <f>VLOOKUP(B3085,Tabela_Auxiliar[],4,0)</f>
        <v>Despesa Financeira</v>
      </c>
      <c r="F3085" t="str">
        <f>VLOOKUP(B3085,Tabela_Auxiliar[],3,0)</f>
        <v>Saída</v>
      </c>
      <c r="G3085" t="str">
        <f>UPPER(TEXT(Tabela_DB[[#This Row],[DATA]],"mmm"))</f>
        <v>JUL</v>
      </c>
      <c r="H3085" t="str">
        <f>UPPER(TEXT(Tabela_DB[[#This Row],[DATA]],"aaaa"))</f>
        <v>2021</v>
      </c>
    </row>
    <row r="3086" spans="1:8" x14ac:dyDescent="0.25">
      <c r="A3086" s="2">
        <v>44386</v>
      </c>
      <c r="B3086" t="s">
        <v>37</v>
      </c>
      <c r="C3086">
        <v>-4905</v>
      </c>
      <c r="D3086" t="str">
        <f>VLOOKUP(B3086,Tabela_Auxiliar[],2,0)</f>
        <v>3. Custos do Produto/Mercadoria/Serviço</v>
      </c>
      <c r="E3086" t="str">
        <f>VLOOKUP(B3086,Tabela_Auxiliar[],4,0)</f>
        <v>Despesas c/ Produto</v>
      </c>
      <c r="F3086" t="str">
        <f>VLOOKUP(B3086,Tabela_Auxiliar[],3,0)</f>
        <v>Saída</v>
      </c>
      <c r="G3086" t="str">
        <f>UPPER(TEXT(Tabela_DB[[#This Row],[DATA]],"mmm"))</f>
        <v>JUL</v>
      </c>
      <c r="H3086" t="str">
        <f>UPPER(TEXT(Tabela_DB[[#This Row],[DATA]],"aaaa"))</f>
        <v>2021</v>
      </c>
    </row>
    <row r="3087" spans="1:8" x14ac:dyDescent="0.25">
      <c r="A3087" s="2">
        <v>44386</v>
      </c>
      <c r="B3087" t="s">
        <v>3</v>
      </c>
      <c r="C3087">
        <v>12139</v>
      </c>
      <c r="D3087" t="str">
        <f>VLOOKUP(B3087,Tabela_Auxiliar[],2,0)</f>
        <v>1. Receita Operacional Bruta</v>
      </c>
      <c r="E3087" t="str">
        <f>VLOOKUP(B3087,Tabela_Auxiliar[],4,0)</f>
        <v>Receita Bruta</v>
      </c>
      <c r="F3087" t="str">
        <f>VLOOKUP(B3087,Tabela_Auxiliar[],3,0)</f>
        <v>Entrada</v>
      </c>
      <c r="G3087" t="str">
        <f>UPPER(TEXT(Tabela_DB[[#This Row],[DATA]],"mmm"))</f>
        <v>JUL</v>
      </c>
      <c r="H3087" t="str">
        <f>UPPER(TEXT(Tabela_DB[[#This Row],[DATA]],"aaaa"))</f>
        <v>2021</v>
      </c>
    </row>
    <row r="3088" spans="1:8" x14ac:dyDescent="0.25">
      <c r="A3088" s="2">
        <v>44387</v>
      </c>
      <c r="B3088" t="s">
        <v>49</v>
      </c>
      <c r="C3088">
        <v>-2128</v>
      </c>
      <c r="D3088" t="str">
        <f>VLOOKUP(B3088,Tabela_Auxiliar[],2,0)</f>
        <v>4. Despesas Operacionais</v>
      </c>
      <c r="E3088" t="str">
        <f>VLOOKUP(B3088,Tabela_Auxiliar[],4,0)</f>
        <v>Despesa com Pessoal</v>
      </c>
      <c r="F3088" t="str">
        <f>VLOOKUP(B3088,Tabela_Auxiliar[],3,0)</f>
        <v>Saída</v>
      </c>
      <c r="G3088" t="str">
        <f>UPPER(TEXT(Tabela_DB[[#This Row],[DATA]],"mmm"))</f>
        <v>JUL</v>
      </c>
      <c r="H3088" t="str">
        <f>UPPER(TEXT(Tabela_DB[[#This Row],[DATA]],"aaaa"))</f>
        <v>2021</v>
      </c>
    </row>
    <row r="3089" spans="1:8" x14ac:dyDescent="0.25">
      <c r="A3089" s="2">
        <v>44387</v>
      </c>
      <c r="B3089" t="s">
        <v>111</v>
      </c>
      <c r="C3089">
        <v>-2302</v>
      </c>
      <c r="D3089" t="str">
        <f>VLOOKUP(B3089,Tabela_Auxiliar[],2,0)</f>
        <v>2. Deduções da Receita</v>
      </c>
      <c r="E3089" t="str">
        <f>VLOOKUP(B3089,Tabela_Auxiliar[],4,0)</f>
        <v>Imposto</v>
      </c>
      <c r="F3089" t="str">
        <f>VLOOKUP(B3089,Tabela_Auxiliar[],3,0)</f>
        <v>Saída</v>
      </c>
      <c r="G3089" t="str">
        <f>UPPER(TEXT(Tabela_DB[[#This Row],[DATA]],"mmm"))</f>
        <v>JUL</v>
      </c>
      <c r="H3089" t="str">
        <f>UPPER(TEXT(Tabela_DB[[#This Row],[DATA]],"aaaa"))</f>
        <v>2021</v>
      </c>
    </row>
    <row r="3090" spans="1:8" x14ac:dyDescent="0.25">
      <c r="A3090" s="2">
        <v>44387</v>
      </c>
      <c r="B3090" t="s">
        <v>66</v>
      </c>
      <c r="C3090">
        <v>-1944</v>
      </c>
      <c r="D3090" t="str">
        <f>VLOOKUP(B3090,Tabela_Auxiliar[],2,0)</f>
        <v>4. Despesas Operacionais</v>
      </c>
      <c r="E3090" t="str">
        <f>VLOOKUP(B3090,Tabela_Auxiliar[],4,0)</f>
        <v>Despesa com Vendas</v>
      </c>
      <c r="F3090" t="str">
        <f>VLOOKUP(B3090,Tabela_Auxiliar[],3,0)</f>
        <v>Saída</v>
      </c>
      <c r="G3090" t="str">
        <f>UPPER(TEXT(Tabela_DB[[#This Row],[DATA]],"mmm"))</f>
        <v>JUL</v>
      </c>
      <c r="H3090" t="str">
        <f>UPPER(TEXT(Tabela_DB[[#This Row],[DATA]],"aaaa"))</f>
        <v>2021</v>
      </c>
    </row>
    <row r="3091" spans="1:8" x14ac:dyDescent="0.25">
      <c r="A3091" s="2">
        <v>44387</v>
      </c>
      <c r="B3091" t="s">
        <v>3</v>
      </c>
      <c r="C3091">
        <v>11510</v>
      </c>
      <c r="D3091" t="str">
        <f>VLOOKUP(B3091,Tabela_Auxiliar[],2,0)</f>
        <v>1. Receita Operacional Bruta</v>
      </c>
      <c r="E3091" t="str">
        <f>VLOOKUP(B3091,Tabela_Auxiliar[],4,0)</f>
        <v>Receita Bruta</v>
      </c>
      <c r="F3091" t="str">
        <f>VLOOKUP(B3091,Tabela_Auxiliar[],3,0)</f>
        <v>Entrada</v>
      </c>
      <c r="G3091" t="str">
        <f>UPPER(TEXT(Tabela_DB[[#This Row],[DATA]],"mmm"))</f>
        <v>JUL</v>
      </c>
      <c r="H3091" t="str">
        <f>UPPER(TEXT(Tabela_DB[[#This Row],[DATA]],"aaaa"))</f>
        <v>2021</v>
      </c>
    </row>
    <row r="3092" spans="1:8" x14ac:dyDescent="0.25">
      <c r="A3092" s="2">
        <v>44387</v>
      </c>
      <c r="B3092" t="s">
        <v>5</v>
      </c>
      <c r="C3092">
        <v>-2187</v>
      </c>
      <c r="D3092" t="str">
        <f>VLOOKUP(B3092,Tabela_Auxiliar[],2,0)</f>
        <v>4. Despesas Operacionais</v>
      </c>
      <c r="E3092" t="str">
        <f>VLOOKUP(B3092,Tabela_Auxiliar[],4,0)</f>
        <v>Despesa com Pessoal</v>
      </c>
      <c r="F3092" t="str">
        <f>VLOOKUP(B3092,Tabela_Auxiliar[],3,0)</f>
        <v>Saída</v>
      </c>
      <c r="G3092" t="str">
        <f>UPPER(TEXT(Tabela_DB[[#This Row],[DATA]],"mmm"))</f>
        <v>JUL</v>
      </c>
      <c r="H3092" t="str">
        <f>UPPER(TEXT(Tabela_DB[[#This Row],[DATA]],"aaaa"))</f>
        <v>2021</v>
      </c>
    </row>
    <row r="3093" spans="1:8" x14ac:dyDescent="0.25">
      <c r="A3093" s="2">
        <v>44387</v>
      </c>
      <c r="B3093" t="s">
        <v>38</v>
      </c>
      <c r="C3093">
        <v>-1101</v>
      </c>
      <c r="D3093" t="str">
        <f>VLOOKUP(B3093,Tabela_Auxiliar[],2,0)</f>
        <v>2. Deduções da Receita</v>
      </c>
      <c r="E3093" t="str">
        <f>VLOOKUP(B3093,Tabela_Auxiliar[],4,0)</f>
        <v>Deduções</v>
      </c>
      <c r="F3093" t="str">
        <f>VLOOKUP(B3093,Tabela_Auxiliar[],3,0)</f>
        <v>Saída</v>
      </c>
      <c r="G3093" t="str">
        <f>UPPER(TEXT(Tabela_DB[[#This Row],[DATA]],"mmm"))</f>
        <v>JUL</v>
      </c>
      <c r="H3093" t="str">
        <f>UPPER(TEXT(Tabela_DB[[#This Row],[DATA]],"aaaa"))</f>
        <v>2021</v>
      </c>
    </row>
    <row r="3094" spans="1:8" x14ac:dyDescent="0.25">
      <c r="A3094" s="2">
        <v>44387</v>
      </c>
      <c r="B3094" t="s">
        <v>3</v>
      </c>
      <c r="C3094">
        <v>12633</v>
      </c>
      <c r="D3094" t="str">
        <f>VLOOKUP(B3094,Tabela_Auxiliar[],2,0)</f>
        <v>1. Receita Operacional Bruta</v>
      </c>
      <c r="E3094" t="str">
        <f>VLOOKUP(B3094,Tabela_Auxiliar[],4,0)</f>
        <v>Receita Bruta</v>
      </c>
      <c r="F3094" t="str">
        <f>VLOOKUP(B3094,Tabela_Auxiliar[],3,0)</f>
        <v>Entrada</v>
      </c>
      <c r="G3094" t="str">
        <f>UPPER(TEXT(Tabela_DB[[#This Row],[DATA]],"mmm"))</f>
        <v>JUL</v>
      </c>
      <c r="H3094" t="str">
        <f>UPPER(TEXT(Tabela_DB[[#This Row],[DATA]],"aaaa"))</f>
        <v>2021</v>
      </c>
    </row>
    <row r="3095" spans="1:8" x14ac:dyDescent="0.25">
      <c r="A3095" s="2">
        <v>44387</v>
      </c>
      <c r="B3095" t="s">
        <v>73</v>
      </c>
      <c r="C3095">
        <v>-1691</v>
      </c>
      <c r="D3095" t="str">
        <f>VLOOKUP(B3095,Tabela_Auxiliar[],2,0)</f>
        <v>4. Despesas Operacionais</v>
      </c>
      <c r="E3095" t="str">
        <f>VLOOKUP(B3095,Tabela_Auxiliar[],4,0)</f>
        <v>Despesa com Ocupação</v>
      </c>
      <c r="F3095" t="str">
        <f>VLOOKUP(B3095,Tabela_Auxiliar[],3,0)</f>
        <v>Saída</v>
      </c>
      <c r="G3095" t="str">
        <f>UPPER(TEXT(Tabela_DB[[#This Row],[DATA]],"mmm"))</f>
        <v>JUL</v>
      </c>
      <c r="H3095" t="str">
        <f>UPPER(TEXT(Tabela_DB[[#This Row],[DATA]],"aaaa"))</f>
        <v>2021</v>
      </c>
    </row>
    <row r="3096" spans="1:8" x14ac:dyDescent="0.25">
      <c r="A3096" s="2">
        <v>44387</v>
      </c>
      <c r="B3096" t="s">
        <v>49</v>
      </c>
      <c r="C3096">
        <v>-2360</v>
      </c>
      <c r="D3096" t="str">
        <f>VLOOKUP(B3096,Tabela_Auxiliar[],2,0)</f>
        <v>4. Despesas Operacionais</v>
      </c>
      <c r="E3096" t="str">
        <f>VLOOKUP(B3096,Tabela_Auxiliar[],4,0)</f>
        <v>Despesa com Pessoal</v>
      </c>
      <c r="F3096" t="str">
        <f>VLOOKUP(B3096,Tabela_Auxiliar[],3,0)</f>
        <v>Saída</v>
      </c>
      <c r="G3096" t="str">
        <f>UPPER(TEXT(Tabela_DB[[#This Row],[DATA]],"mmm"))</f>
        <v>JUL</v>
      </c>
      <c r="H3096" t="str">
        <f>UPPER(TEXT(Tabela_DB[[#This Row],[DATA]],"aaaa"))</f>
        <v>2021</v>
      </c>
    </row>
    <row r="3097" spans="1:8" x14ac:dyDescent="0.25">
      <c r="A3097" s="2">
        <v>44387</v>
      </c>
      <c r="B3097" t="s">
        <v>38</v>
      </c>
      <c r="C3097">
        <v>-1811</v>
      </c>
      <c r="D3097" t="str">
        <f>VLOOKUP(B3097,Tabela_Auxiliar[],2,0)</f>
        <v>2. Deduções da Receita</v>
      </c>
      <c r="E3097" t="str">
        <f>VLOOKUP(B3097,Tabela_Auxiliar[],4,0)</f>
        <v>Deduções</v>
      </c>
      <c r="F3097" t="str">
        <f>VLOOKUP(B3097,Tabela_Auxiliar[],3,0)</f>
        <v>Saída</v>
      </c>
      <c r="G3097" t="str">
        <f>UPPER(TEXT(Tabela_DB[[#This Row],[DATA]],"mmm"))</f>
        <v>JUL</v>
      </c>
      <c r="H3097" t="str">
        <f>UPPER(TEXT(Tabela_DB[[#This Row],[DATA]],"aaaa"))</f>
        <v>2021</v>
      </c>
    </row>
    <row r="3098" spans="1:8" x14ac:dyDescent="0.25">
      <c r="A3098" s="2">
        <v>44387</v>
      </c>
      <c r="B3098" t="s">
        <v>111</v>
      </c>
      <c r="C3098">
        <v>-1936</v>
      </c>
      <c r="D3098" t="str">
        <f>VLOOKUP(B3098,Tabela_Auxiliar[],2,0)</f>
        <v>2. Deduções da Receita</v>
      </c>
      <c r="E3098" t="str">
        <f>VLOOKUP(B3098,Tabela_Auxiliar[],4,0)</f>
        <v>Imposto</v>
      </c>
      <c r="F3098" t="str">
        <f>VLOOKUP(B3098,Tabela_Auxiliar[],3,0)</f>
        <v>Saída</v>
      </c>
      <c r="G3098" t="str">
        <f>UPPER(TEXT(Tabela_DB[[#This Row],[DATA]],"mmm"))</f>
        <v>JUL</v>
      </c>
      <c r="H3098" t="str">
        <f>UPPER(TEXT(Tabela_DB[[#This Row],[DATA]],"aaaa"))</f>
        <v>2021</v>
      </c>
    </row>
    <row r="3099" spans="1:8" x14ac:dyDescent="0.25">
      <c r="A3099" s="2">
        <v>44387</v>
      </c>
      <c r="B3099" t="s">
        <v>111</v>
      </c>
      <c r="C3099">
        <v>-1969</v>
      </c>
      <c r="D3099" t="str">
        <f>VLOOKUP(B3099,Tabela_Auxiliar[],2,0)</f>
        <v>2. Deduções da Receita</v>
      </c>
      <c r="E3099" t="str">
        <f>VLOOKUP(B3099,Tabela_Auxiliar[],4,0)</f>
        <v>Imposto</v>
      </c>
      <c r="F3099" t="str">
        <f>VLOOKUP(B3099,Tabela_Auxiliar[],3,0)</f>
        <v>Saída</v>
      </c>
      <c r="G3099" t="str">
        <f>UPPER(TEXT(Tabela_DB[[#This Row],[DATA]],"mmm"))</f>
        <v>JUL</v>
      </c>
      <c r="H3099" t="str">
        <f>UPPER(TEXT(Tabela_DB[[#This Row],[DATA]],"aaaa"))</f>
        <v>2021</v>
      </c>
    </row>
    <row r="3100" spans="1:8" x14ac:dyDescent="0.25">
      <c r="A3100" s="2">
        <v>44387</v>
      </c>
      <c r="B3100" t="s">
        <v>4</v>
      </c>
      <c r="C3100">
        <v>14859</v>
      </c>
      <c r="D3100" t="str">
        <f>VLOOKUP(B3100,Tabela_Auxiliar[],2,0)</f>
        <v>1. Receita Operacional Bruta</v>
      </c>
      <c r="E3100" t="str">
        <f>VLOOKUP(B3100,Tabela_Auxiliar[],4,0)</f>
        <v>Receita Bruta</v>
      </c>
      <c r="F3100" t="str">
        <f>VLOOKUP(B3100,Tabela_Auxiliar[],3,0)</f>
        <v>Entrada</v>
      </c>
      <c r="G3100" t="str">
        <f>UPPER(TEXT(Tabela_DB[[#This Row],[DATA]],"mmm"))</f>
        <v>JUL</v>
      </c>
      <c r="H3100" t="str">
        <f>UPPER(TEXT(Tabela_DB[[#This Row],[DATA]],"aaaa"))</f>
        <v>2021</v>
      </c>
    </row>
    <row r="3101" spans="1:8" x14ac:dyDescent="0.25">
      <c r="A3101" s="2">
        <v>44387</v>
      </c>
      <c r="B3101" t="s">
        <v>4</v>
      </c>
      <c r="C3101">
        <v>14465</v>
      </c>
      <c r="D3101" t="str">
        <f>VLOOKUP(B3101,Tabela_Auxiliar[],2,0)</f>
        <v>1. Receita Operacional Bruta</v>
      </c>
      <c r="E3101" t="str">
        <f>VLOOKUP(B3101,Tabela_Auxiliar[],4,0)</f>
        <v>Receita Bruta</v>
      </c>
      <c r="F3101" t="str">
        <f>VLOOKUP(B3101,Tabela_Auxiliar[],3,0)</f>
        <v>Entrada</v>
      </c>
      <c r="G3101" t="str">
        <f>UPPER(TEXT(Tabela_DB[[#This Row],[DATA]],"mmm"))</f>
        <v>JUL</v>
      </c>
      <c r="H3101" t="str">
        <f>UPPER(TEXT(Tabela_DB[[#This Row],[DATA]],"aaaa"))</f>
        <v>2021</v>
      </c>
    </row>
    <row r="3102" spans="1:8" x14ac:dyDescent="0.25">
      <c r="A3102" s="2">
        <v>44387</v>
      </c>
      <c r="B3102" t="s">
        <v>71</v>
      </c>
      <c r="C3102">
        <v>-1090</v>
      </c>
      <c r="D3102" t="str">
        <f>VLOOKUP(B3102,Tabela_Auxiliar[],2,0)</f>
        <v>4. Despesas Operacionais</v>
      </c>
      <c r="E3102" t="str">
        <f>VLOOKUP(B3102,Tabela_Auxiliar[],4,0)</f>
        <v>Despesa com Ocupação</v>
      </c>
      <c r="F3102" t="str">
        <f>VLOOKUP(B3102,Tabela_Auxiliar[],3,0)</f>
        <v>Saída</v>
      </c>
      <c r="G3102" t="str">
        <f>UPPER(TEXT(Tabela_DB[[#This Row],[DATA]],"mmm"))</f>
        <v>JUL</v>
      </c>
      <c r="H3102" t="str">
        <f>UPPER(TEXT(Tabela_DB[[#This Row],[DATA]],"aaaa"))</f>
        <v>2021</v>
      </c>
    </row>
    <row r="3103" spans="1:8" x14ac:dyDescent="0.25">
      <c r="A3103" s="2">
        <v>44387</v>
      </c>
      <c r="B3103" t="s">
        <v>3</v>
      </c>
      <c r="C3103">
        <v>13355</v>
      </c>
      <c r="D3103" t="str">
        <f>VLOOKUP(B3103,Tabela_Auxiliar[],2,0)</f>
        <v>1. Receita Operacional Bruta</v>
      </c>
      <c r="E3103" t="str">
        <f>VLOOKUP(B3103,Tabela_Auxiliar[],4,0)</f>
        <v>Receita Bruta</v>
      </c>
      <c r="F3103" t="str">
        <f>VLOOKUP(B3103,Tabela_Auxiliar[],3,0)</f>
        <v>Entrada</v>
      </c>
      <c r="G3103" t="str">
        <f>UPPER(TEXT(Tabela_DB[[#This Row],[DATA]],"mmm"))</f>
        <v>JUL</v>
      </c>
      <c r="H3103" t="str">
        <f>UPPER(TEXT(Tabela_DB[[#This Row],[DATA]],"aaaa"))</f>
        <v>2021</v>
      </c>
    </row>
    <row r="3104" spans="1:8" x14ac:dyDescent="0.25">
      <c r="A3104" s="2">
        <v>44387</v>
      </c>
      <c r="B3104" t="s">
        <v>50</v>
      </c>
      <c r="C3104">
        <v>-1482</v>
      </c>
      <c r="D3104" t="str">
        <f>VLOOKUP(B3104,Tabela_Auxiliar[],2,0)</f>
        <v>4. Despesas Operacionais</v>
      </c>
      <c r="E3104" t="str">
        <f>VLOOKUP(B3104,Tabela_Auxiliar[],4,0)</f>
        <v>Despesa com Pessoal</v>
      </c>
      <c r="F3104" t="str">
        <f>VLOOKUP(B3104,Tabela_Auxiliar[],3,0)</f>
        <v>Saída</v>
      </c>
      <c r="G3104" t="str">
        <f>UPPER(TEXT(Tabela_DB[[#This Row],[DATA]],"mmm"))</f>
        <v>JUL</v>
      </c>
      <c r="H3104" t="str">
        <f>UPPER(TEXT(Tabela_DB[[#This Row],[DATA]],"aaaa"))</f>
        <v>2021</v>
      </c>
    </row>
    <row r="3105" spans="1:8" x14ac:dyDescent="0.25">
      <c r="A3105" s="2">
        <v>44387</v>
      </c>
      <c r="B3105" t="s">
        <v>37</v>
      </c>
      <c r="C3105">
        <v>-3550</v>
      </c>
      <c r="D3105" t="str">
        <f>VLOOKUP(B3105,Tabela_Auxiliar[],2,0)</f>
        <v>3. Custos do Produto/Mercadoria/Serviço</v>
      </c>
      <c r="E3105" t="str">
        <f>VLOOKUP(B3105,Tabela_Auxiliar[],4,0)</f>
        <v>Despesas c/ Produto</v>
      </c>
      <c r="F3105" t="str">
        <f>VLOOKUP(B3105,Tabela_Auxiliar[],3,0)</f>
        <v>Saída</v>
      </c>
      <c r="G3105" t="str">
        <f>UPPER(TEXT(Tabela_DB[[#This Row],[DATA]],"mmm"))</f>
        <v>JUL</v>
      </c>
      <c r="H3105" t="str">
        <f>UPPER(TEXT(Tabela_DB[[#This Row],[DATA]],"aaaa"))</f>
        <v>2021</v>
      </c>
    </row>
    <row r="3106" spans="1:8" x14ac:dyDescent="0.25">
      <c r="A3106" s="2">
        <v>44387</v>
      </c>
      <c r="B3106" t="s">
        <v>35</v>
      </c>
      <c r="C3106">
        <v>-2326</v>
      </c>
      <c r="D3106" t="str">
        <f>VLOOKUP(B3106,Tabela_Auxiliar[],2,0)</f>
        <v>2. Deduções da Receita</v>
      </c>
      <c r="E3106" t="str">
        <f>VLOOKUP(B3106,Tabela_Auxiliar[],4,0)</f>
        <v>Imposto</v>
      </c>
      <c r="F3106" t="str">
        <f>VLOOKUP(B3106,Tabela_Auxiliar[],3,0)</f>
        <v>Saída</v>
      </c>
      <c r="G3106" t="str">
        <f>UPPER(TEXT(Tabela_DB[[#This Row],[DATA]],"mmm"))</f>
        <v>JUL</v>
      </c>
      <c r="H3106" t="str">
        <f>UPPER(TEXT(Tabela_DB[[#This Row],[DATA]],"aaaa"))</f>
        <v>2021</v>
      </c>
    </row>
    <row r="3107" spans="1:8" x14ac:dyDescent="0.25">
      <c r="A3107" s="2">
        <v>44387</v>
      </c>
      <c r="B3107" t="s">
        <v>61</v>
      </c>
      <c r="C3107">
        <v>-1317</v>
      </c>
      <c r="D3107" t="str">
        <f>VLOOKUP(B3107,Tabela_Auxiliar[],2,0)</f>
        <v>4. Despesas Operacionais</v>
      </c>
      <c r="E3107" t="str">
        <f>VLOOKUP(B3107,Tabela_Auxiliar[],4,0)</f>
        <v>Despesa de Depreciação</v>
      </c>
      <c r="F3107" t="str">
        <f>VLOOKUP(B3107,Tabela_Auxiliar[],3,0)</f>
        <v>Saída</v>
      </c>
      <c r="G3107" t="str">
        <f>UPPER(TEXT(Tabela_DB[[#This Row],[DATA]],"mmm"))</f>
        <v>JUL</v>
      </c>
      <c r="H3107" t="str">
        <f>UPPER(TEXT(Tabela_DB[[#This Row],[DATA]],"aaaa"))</f>
        <v>2021</v>
      </c>
    </row>
    <row r="3108" spans="1:8" x14ac:dyDescent="0.25">
      <c r="A3108" s="2">
        <v>44387</v>
      </c>
      <c r="B3108" t="s">
        <v>40</v>
      </c>
      <c r="C3108">
        <v>-1621</v>
      </c>
      <c r="D3108" t="str">
        <f>VLOOKUP(B3108,Tabela_Auxiliar[],2,0)</f>
        <v>4. Despesas Operacionais</v>
      </c>
      <c r="E3108" t="str">
        <f>VLOOKUP(B3108,Tabela_Auxiliar[],4,0)</f>
        <v>Despesa com Pessoal</v>
      </c>
      <c r="F3108" t="str">
        <f>VLOOKUP(B3108,Tabela_Auxiliar[],3,0)</f>
        <v>Saída</v>
      </c>
      <c r="G3108" t="str">
        <f>UPPER(TEXT(Tabela_DB[[#This Row],[DATA]],"mmm"))</f>
        <v>JUL</v>
      </c>
      <c r="H3108" t="str">
        <f>UPPER(TEXT(Tabela_DB[[#This Row],[DATA]],"aaaa"))</f>
        <v>2021</v>
      </c>
    </row>
    <row r="3109" spans="1:8" x14ac:dyDescent="0.25">
      <c r="A3109" s="2">
        <v>44387</v>
      </c>
      <c r="B3109" t="s">
        <v>3</v>
      </c>
      <c r="C3109">
        <v>12572</v>
      </c>
      <c r="D3109" t="str">
        <f>VLOOKUP(B3109,Tabela_Auxiliar[],2,0)</f>
        <v>1. Receita Operacional Bruta</v>
      </c>
      <c r="E3109" t="str">
        <f>VLOOKUP(B3109,Tabela_Auxiliar[],4,0)</f>
        <v>Receita Bruta</v>
      </c>
      <c r="F3109" t="str">
        <f>VLOOKUP(B3109,Tabela_Auxiliar[],3,0)</f>
        <v>Entrada</v>
      </c>
      <c r="G3109" t="str">
        <f>UPPER(TEXT(Tabela_DB[[#This Row],[DATA]],"mmm"))</f>
        <v>JUL</v>
      </c>
      <c r="H3109" t="str">
        <f>UPPER(TEXT(Tabela_DB[[#This Row],[DATA]],"aaaa"))</f>
        <v>2021</v>
      </c>
    </row>
    <row r="3110" spans="1:8" x14ac:dyDescent="0.25">
      <c r="A3110" s="2">
        <v>44388</v>
      </c>
      <c r="B3110" t="s">
        <v>35</v>
      </c>
      <c r="C3110">
        <v>-1736</v>
      </c>
      <c r="D3110" t="str">
        <f>VLOOKUP(B3110,Tabela_Auxiliar[],2,0)</f>
        <v>2. Deduções da Receita</v>
      </c>
      <c r="E3110" t="str">
        <f>VLOOKUP(B3110,Tabela_Auxiliar[],4,0)</f>
        <v>Imposto</v>
      </c>
      <c r="F3110" t="str">
        <f>VLOOKUP(B3110,Tabela_Auxiliar[],3,0)</f>
        <v>Saída</v>
      </c>
      <c r="G3110" t="str">
        <f>UPPER(TEXT(Tabela_DB[[#This Row],[DATA]],"mmm"))</f>
        <v>JUL</v>
      </c>
      <c r="H3110" t="str">
        <f>UPPER(TEXT(Tabela_DB[[#This Row],[DATA]],"aaaa"))</f>
        <v>2021</v>
      </c>
    </row>
    <row r="3111" spans="1:8" x14ac:dyDescent="0.25">
      <c r="A3111" s="2">
        <v>44388</v>
      </c>
      <c r="B3111" t="s">
        <v>4</v>
      </c>
      <c r="C3111">
        <v>13235</v>
      </c>
      <c r="D3111" t="str">
        <f>VLOOKUP(B3111,Tabela_Auxiliar[],2,0)</f>
        <v>1. Receita Operacional Bruta</v>
      </c>
      <c r="E3111" t="str">
        <f>VLOOKUP(B3111,Tabela_Auxiliar[],4,0)</f>
        <v>Receita Bruta</v>
      </c>
      <c r="F3111" t="str">
        <f>VLOOKUP(B3111,Tabela_Auxiliar[],3,0)</f>
        <v>Entrada</v>
      </c>
      <c r="G3111" t="str">
        <f>UPPER(TEXT(Tabela_DB[[#This Row],[DATA]],"mmm"))</f>
        <v>JUL</v>
      </c>
      <c r="H3111" t="str">
        <f>UPPER(TEXT(Tabela_DB[[#This Row],[DATA]],"aaaa"))</f>
        <v>2021</v>
      </c>
    </row>
    <row r="3112" spans="1:8" x14ac:dyDescent="0.25">
      <c r="A3112" s="2">
        <v>44388</v>
      </c>
      <c r="B3112" t="s">
        <v>79</v>
      </c>
      <c r="C3112">
        <v>-2316</v>
      </c>
      <c r="D3112" t="str">
        <f>VLOOKUP(B3112,Tabela_Auxiliar[],2,0)</f>
        <v>4. Despesas Operacionais</v>
      </c>
      <c r="E3112" t="str">
        <f>VLOOKUP(B3112,Tabela_Auxiliar[],4,0)</f>
        <v>Serviços Contratados</v>
      </c>
      <c r="F3112" t="str">
        <f>VLOOKUP(B3112,Tabela_Auxiliar[],3,0)</f>
        <v>Saída</v>
      </c>
      <c r="G3112" t="str">
        <f>UPPER(TEXT(Tabela_DB[[#This Row],[DATA]],"mmm"))</f>
        <v>JUL</v>
      </c>
      <c r="H3112" t="str">
        <f>UPPER(TEXT(Tabela_DB[[#This Row],[DATA]],"aaaa"))</f>
        <v>2021</v>
      </c>
    </row>
    <row r="3113" spans="1:8" x14ac:dyDescent="0.25">
      <c r="A3113" s="2">
        <v>44388</v>
      </c>
      <c r="B3113" t="s">
        <v>4</v>
      </c>
      <c r="C3113">
        <v>13487</v>
      </c>
      <c r="D3113" t="str">
        <f>VLOOKUP(B3113,Tabela_Auxiliar[],2,0)</f>
        <v>1. Receita Operacional Bruta</v>
      </c>
      <c r="E3113" t="str">
        <f>VLOOKUP(B3113,Tabela_Auxiliar[],4,0)</f>
        <v>Receita Bruta</v>
      </c>
      <c r="F3113" t="str">
        <f>VLOOKUP(B3113,Tabela_Auxiliar[],3,0)</f>
        <v>Entrada</v>
      </c>
      <c r="G3113" t="str">
        <f>UPPER(TEXT(Tabela_DB[[#This Row],[DATA]],"mmm"))</f>
        <v>JUL</v>
      </c>
      <c r="H3113" t="str">
        <f>UPPER(TEXT(Tabela_DB[[#This Row],[DATA]],"aaaa"))</f>
        <v>2021</v>
      </c>
    </row>
    <row r="3114" spans="1:8" x14ac:dyDescent="0.25">
      <c r="A3114" s="2">
        <v>44388</v>
      </c>
      <c r="B3114" t="s">
        <v>4</v>
      </c>
      <c r="C3114">
        <v>10098</v>
      </c>
      <c r="D3114" t="str">
        <f>VLOOKUP(B3114,Tabela_Auxiliar[],2,0)</f>
        <v>1. Receita Operacional Bruta</v>
      </c>
      <c r="E3114" t="str">
        <f>VLOOKUP(B3114,Tabela_Auxiliar[],4,0)</f>
        <v>Receita Bruta</v>
      </c>
      <c r="F3114" t="str">
        <f>VLOOKUP(B3114,Tabela_Auxiliar[],3,0)</f>
        <v>Entrada</v>
      </c>
      <c r="G3114" t="str">
        <f>UPPER(TEXT(Tabela_DB[[#This Row],[DATA]],"mmm"))</f>
        <v>JUL</v>
      </c>
      <c r="H3114" t="str">
        <f>UPPER(TEXT(Tabela_DB[[#This Row],[DATA]],"aaaa"))</f>
        <v>2021</v>
      </c>
    </row>
    <row r="3115" spans="1:8" x14ac:dyDescent="0.25">
      <c r="A3115" s="2">
        <v>44388</v>
      </c>
      <c r="B3115" t="s">
        <v>58</v>
      </c>
      <c r="C3115">
        <v>-1264</v>
      </c>
      <c r="D3115" t="str">
        <f>VLOOKUP(B3115,Tabela_Auxiliar[],2,0)</f>
        <v>4. Despesas Operacionais</v>
      </c>
      <c r="E3115" t="str">
        <f>VLOOKUP(B3115,Tabela_Auxiliar[],4,0)</f>
        <v>Despesa de Depreciação</v>
      </c>
      <c r="F3115" t="str">
        <f>VLOOKUP(B3115,Tabela_Auxiliar[],3,0)</f>
        <v>Saída</v>
      </c>
      <c r="G3115" t="str">
        <f>UPPER(TEXT(Tabela_DB[[#This Row],[DATA]],"mmm"))</f>
        <v>JUL</v>
      </c>
      <c r="H3115" t="str">
        <f>UPPER(TEXT(Tabela_DB[[#This Row],[DATA]],"aaaa"))</f>
        <v>2021</v>
      </c>
    </row>
    <row r="3116" spans="1:8" x14ac:dyDescent="0.25">
      <c r="A3116" s="2">
        <v>44388</v>
      </c>
      <c r="B3116" t="s">
        <v>33</v>
      </c>
      <c r="C3116">
        <v>-1081</v>
      </c>
      <c r="D3116" t="str">
        <f>VLOOKUP(B3116,Tabela_Auxiliar[],2,0)</f>
        <v>4. Despesas Operacionais</v>
      </c>
      <c r="E3116" t="str">
        <f>VLOOKUP(B3116,Tabela_Auxiliar[],4,0)</f>
        <v>Despesa com Vendas</v>
      </c>
      <c r="F3116" t="str">
        <f>VLOOKUP(B3116,Tabela_Auxiliar[],3,0)</f>
        <v>Saída</v>
      </c>
      <c r="G3116" t="str">
        <f>UPPER(TEXT(Tabela_DB[[#This Row],[DATA]],"mmm"))</f>
        <v>JUL</v>
      </c>
      <c r="H3116" t="str">
        <f>UPPER(TEXT(Tabela_DB[[#This Row],[DATA]],"aaaa"))</f>
        <v>2021</v>
      </c>
    </row>
    <row r="3117" spans="1:8" x14ac:dyDescent="0.25">
      <c r="A3117" s="2">
        <v>44388</v>
      </c>
      <c r="B3117" t="s">
        <v>3</v>
      </c>
      <c r="C3117">
        <v>11612</v>
      </c>
      <c r="D3117" t="str">
        <f>VLOOKUP(B3117,Tabela_Auxiliar[],2,0)</f>
        <v>1. Receita Operacional Bruta</v>
      </c>
      <c r="E3117" t="str">
        <f>VLOOKUP(B3117,Tabela_Auxiliar[],4,0)</f>
        <v>Receita Bruta</v>
      </c>
      <c r="F3117" t="str">
        <f>VLOOKUP(B3117,Tabela_Auxiliar[],3,0)</f>
        <v>Entrada</v>
      </c>
      <c r="G3117" t="str">
        <f>UPPER(TEXT(Tabela_DB[[#This Row],[DATA]],"mmm"))</f>
        <v>JUL</v>
      </c>
      <c r="H3117" t="str">
        <f>UPPER(TEXT(Tabela_DB[[#This Row],[DATA]],"aaaa"))</f>
        <v>2021</v>
      </c>
    </row>
    <row r="3118" spans="1:8" x14ac:dyDescent="0.25">
      <c r="A3118" s="2">
        <v>44388</v>
      </c>
      <c r="B3118" t="s">
        <v>4</v>
      </c>
      <c r="C3118">
        <v>14064</v>
      </c>
      <c r="D3118" t="str">
        <f>VLOOKUP(B3118,Tabela_Auxiliar[],2,0)</f>
        <v>1. Receita Operacional Bruta</v>
      </c>
      <c r="E3118" t="str">
        <f>VLOOKUP(B3118,Tabela_Auxiliar[],4,0)</f>
        <v>Receita Bruta</v>
      </c>
      <c r="F3118" t="str">
        <f>VLOOKUP(B3118,Tabela_Auxiliar[],3,0)</f>
        <v>Entrada</v>
      </c>
      <c r="G3118" t="str">
        <f>UPPER(TEXT(Tabela_DB[[#This Row],[DATA]],"mmm"))</f>
        <v>JUL</v>
      </c>
      <c r="H3118" t="str">
        <f>UPPER(TEXT(Tabela_DB[[#This Row],[DATA]],"aaaa"))</f>
        <v>2021</v>
      </c>
    </row>
    <row r="3119" spans="1:8" x14ac:dyDescent="0.25">
      <c r="A3119" s="2">
        <v>44388</v>
      </c>
      <c r="B3119" t="s">
        <v>3</v>
      </c>
      <c r="C3119">
        <v>11094</v>
      </c>
      <c r="D3119" t="str">
        <f>VLOOKUP(B3119,Tabela_Auxiliar[],2,0)</f>
        <v>1. Receita Operacional Bruta</v>
      </c>
      <c r="E3119" t="str">
        <f>VLOOKUP(B3119,Tabela_Auxiliar[],4,0)</f>
        <v>Receita Bruta</v>
      </c>
      <c r="F3119" t="str">
        <f>VLOOKUP(B3119,Tabela_Auxiliar[],3,0)</f>
        <v>Entrada</v>
      </c>
      <c r="G3119" t="str">
        <f>UPPER(TEXT(Tabela_DB[[#This Row],[DATA]],"mmm"))</f>
        <v>JUL</v>
      </c>
      <c r="H3119" t="str">
        <f>UPPER(TEXT(Tabela_DB[[#This Row],[DATA]],"aaaa"))</f>
        <v>2021</v>
      </c>
    </row>
    <row r="3120" spans="1:8" x14ac:dyDescent="0.25">
      <c r="A3120" s="2">
        <v>44388</v>
      </c>
      <c r="B3120" t="s">
        <v>111</v>
      </c>
      <c r="C3120">
        <v>-1409</v>
      </c>
      <c r="D3120" t="str">
        <f>VLOOKUP(B3120,Tabela_Auxiliar[],2,0)</f>
        <v>2. Deduções da Receita</v>
      </c>
      <c r="E3120" t="str">
        <f>VLOOKUP(B3120,Tabela_Auxiliar[],4,0)</f>
        <v>Imposto</v>
      </c>
      <c r="F3120" t="str">
        <f>VLOOKUP(B3120,Tabela_Auxiliar[],3,0)</f>
        <v>Saída</v>
      </c>
      <c r="G3120" t="str">
        <f>UPPER(TEXT(Tabela_DB[[#This Row],[DATA]],"mmm"))</f>
        <v>JUL</v>
      </c>
      <c r="H3120" t="str">
        <f>UPPER(TEXT(Tabela_DB[[#This Row],[DATA]],"aaaa"))</f>
        <v>2021</v>
      </c>
    </row>
    <row r="3121" spans="1:8" x14ac:dyDescent="0.25">
      <c r="A3121" s="2">
        <v>44388</v>
      </c>
      <c r="B3121" t="s">
        <v>38</v>
      </c>
      <c r="C3121">
        <v>-1455</v>
      </c>
      <c r="D3121" t="str">
        <f>VLOOKUP(B3121,Tabela_Auxiliar[],2,0)</f>
        <v>2. Deduções da Receita</v>
      </c>
      <c r="E3121" t="str">
        <f>VLOOKUP(B3121,Tabela_Auxiliar[],4,0)</f>
        <v>Deduções</v>
      </c>
      <c r="F3121" t="str">
        <f>VLOOKUP(B3121,Tabela_Auxiliar[],3,0)</f>
        <v>Saída</v>
      </c>
      <c r="G3121" t="str">
        <f>UPPER(TEXT(Tabela_DB[[#This Row],[DATA]],"mmm"))</f>
        <v>JUL</v>
      </c>
      <c r="H3121" t="str">
        <f>UPPER(TEXT(Tabela_DB[[#This Row],[DATA]],"aaaa"))</f>
        <v>2021</v>
      </c>
    </row>
    <row r="3122" spans="1:8" x14ac:dyDescent="0.25">
      <c r="A3122" s="2">
        <v>44388</v>
      </c>
      <c r="B3122" t="s">
        <v>35</v>
      </c>
      <c r="C3122">
        <v>-1345</v>
      </c>
      <c r="D3122" t="str">
        <f>VLOOKUP(B3122,Tabela_Auxiliar[],2,0)</f>
        <v>2. Deduções da Receita</v>
      </c>
      <c r="E3122" t="str">
        <f>VLOOKUP(B3122,Tabela_Auxiliar[],4,0)</f>
        <v>Imposto</v>
      </c>
      <c r="F3122" t="str">
        <f>VLOOKUP(B3122,Tabela_Auxiliar[],3,0)</f>
        <v>Saída</v>
      </c>
      <c r="G3122" t="str">
        <f>UPPER(TEXT(Tabela_DB[[#This Row],[DATA]],"mmm"))</f>
        <v>JUL</v>
      </c>
      <c r="H3122" t="str">
        <f>UPPER(TEXT(Tabela_DB[[#This Row],[DATA]],"aaaa"))</f>
        <v>2021</v>
      </c>
    </row>
    <row r="3123" spans="1:8" x14ac:dyDescent="0.25">
      <c r="A3123" s="2">
        <v>44388</v>
      </c>
      <c r="B3123" t="s">
        <v>111</v>
      </c>
      <c r="C3123">
        <v>-1002</v>
      </c>
      <c r="D3123" t="str">
        <f>VLOOKUP(B3123,Tabela_Auxiliar[],2,0)</f>
        <v>2. Deduções da Receita</v>
      </c>
      <c r="E3123" t="str">
        <f>VLOOKUP(B3123,Tabela_Auxiliar[],4,0)</f>
        <v>Imposto</v>
      </c>
      <c r="F3123" t="str">
        <f>VLOOKUP(B3123,Tabela_Auxiliar[],3,0)</f>
        <v>Saída</v>
      </c>
      <c r="G3123" t="str">
        <f>UPPER(TEXT(Tabela_DB[[#This Row],[DATA]],"mmm"))</f>
        <v>JUL</v>
      </c>
      <c r="H3123" t="str">
        <f>UPPER(TEXT(Tabela_DB[[#This Row],[DATA]],"aaaa"))</f>
        <v>2021</v>
      </c>
    </row>
    <row r="3124" spans="1:8" x14ac:dyDescent="0.25">
      <c r="A3124" s="2">
        <v>44388</v>
      </c>
      <c r="B3124" t="s">
        <v>37</v>
      </c>
      <c r="C3124">
        <v>-2890</v>
      </c>
      <c r="D3124" t="str">
        <f>VLOOKUP(B3124,Tabela_Auxiliar[],2,0)</f>
        <v>3. Custos do Produto/Mercadoria/Serviço</v>
      </c>
      <c r="E3124" t="str">
        <f>VLOOKUP(B3124,Tabela_Auxiliar[],4,0)</f>
        <v>Despesas c/ Produto</v>
      </c>
      <c r="F3124" t="str">
        <f>VLOOKUP(B3124,Tabela_Auxiliar[],3,0)</f>
        <v>Saída</v>
      </c>
      <c r="G3124" t="str">
        <f>UPPER(TEXT(Tabela_DB[[#This Row],[DATA]],"mmm"))</f>
        <v>JUL</v>
      </c>
      <c r="H3124" t="str">
        <f>UPPER(TEXT(Tabela_DB[[#This Row],[DATA]],"aaaa"))</f>
        <v>2021</v>
      </c>
    </row>
    <row r="3125" spans="1:8" x14ac:dyDescent="0.25">
      <c r="A3125" s="2">
        <v>44388</v>
      </c>
      <c r="B3125" t="s">
        <v>37</v>
      </c>
      <c r="C3125">
        <v>-3511</v>
      </c>
      <c r="D3125" t="str">
        <f>VLOOKUP(B3125,Tabela_Auxiliar[],2,0)</f>
        <v>3. Custos do Produto/Mercadoria/Serviço</v>
      </c>
      <c r="E3125" t="str">
        <f>VLOOKUP(B3125,Tabela_Auxiliar[],4,0)</f>
        <v>Despesas c/ Produto</v>
      </c>
      <c r="F3125" t="str">
        <f>VLOOKUP(B3125,Tabela_Auxiliar[],3,0)</f>
        <v>Saída</v>
      </c>
      <c r="G3125" t="str">
        <f>UPPER(TEXT(Tabela_DB[[#This Row],[DATA]],"mmm"))</f>
        <v>JUL</v>
      </c>
      <c r="H3125" t="str">
        <f>UPPER(TEXT(Tabela_DB[[#This Row],[DATA]],"aaaa"))</f>
        <v>2021</v>
      </c>
    </row>
    <row r="3126" spans="1:8" x14ac:dyDescent="0.25">
      <c r="A3126" s="2">
        <v>44389</v>
      </c>
      <c r="B3126" t="s">
        <v>35</v>
      </c>
      <c r="C3126">
        <v>-2438</v>
      </c>
      <c r="D3126" t="str">
        <f>VLOOKUP(B3126,Tabela_Auxiliar[],2,0)</f>
        <v>2. Deduções da Receita</v>
      </c>
      <c r="E3126" t="str">
        <f>VLOOKUP(B3126,Tabela_Auxiliar[],4,0)</f>
        <v>Imposto</v>
      </c>
      <c r="F3126" t="str">
        <f>VLOOKUP(B3126,Tabela_Auxiliar[],3,0)</f>
        <v>Saída</v>
      </c>
      <c r="G3126" t="str">
        <f>UPPER(TEXT(Tabela_DB[[#This Row],[DATA]],"mmm"))</f>
        <v>JUL</v>
      </c>
      <c r="H3126" t="str">
        <f>UPPER(TEXT(Tabela_DB[[#This Row],[DATA]],"aaaa"))</f>
        <v>2021</v>
      </c>
    </row>
    <row r="3127" spans="1:8" x14ac:dyDescent="0.25">
      <c r="A3127" s="2">
        <v>44389</v>
      </c>
      <c r="B3127" t="s">
        <v>82</v>
      </c>
      <c r="C3127">
        <v>-1730</v>
      </c>
      <c r="D3127" t="str">
        <f>VLOOKUP(B3127,Tabela_Auxiliar[],2,0)</f>
        <v>4. Despesas Operacionais</v>
      </c>
      <c r="E3127" t="str">
        <f>VLOOKUP(B3127,Tabela_Auxiliar[],4,0)</f>
        <v>Despesa com Veículos</v>
      </c>
      <c r="F3127" t="str">
        <f>VLOOKUP(B3127,Tabela_Auxiliar[],3,0)</f>
        <v>Saída</v>
      </c>
      <c r="G3127" t="str">
        <f>UPPER(TEXT(Tabela_DB[[#This Row],[DATA]],"mmm"))</f>
        <v>JUL</v>
      </c>
      <c r="H3127" t="str">
        <f>UPPER(TEXT(Tabela_DB[[#This Row],[DATA]],"aaaa"))</f>
        <v>2021</v>
      </c>
    </row>
    <row r="3128" spans="1:8" x14ac:dyDescent="0.25">
      <c r="A3128" s="2">
        <v>44389</v>
      </c>
      <c r="B3128" t="s">
        <v>62</v>
      </c>
      <c r="C3128">
        <v>-1778</v>
      </c>
      <c r="D3128" t="str">
        <f>VLOOKUP(B3128,Tabela_Auxiliar[],2,0)</f>
        <v>4. Despesas Operacionais</v>
      </c>
      <c r="E3128" t="str">
        <f>VLOOKUP(B3128,Tabela_Auxiliar[],4,0)</f>
        <v>Despesa Gerais</v>
      </c>
      <c r="F3128" t="str">
        <f>VLOOKUP(B3128,Tabela_Auxiliar[],3,0)</f>
        <v>Saída</v>
      </c>
      <c r="G3128" t="str">
        <f>UPPER(TEXT(Tabela_DB[[#This Row],[DATA]],"mmm"))</f>
        <v>JUL</v>
      </c>
      <c r="H3128" t="str">
        <f>UPPER(TEXT(Tabela_DB[[#This Row],[DATA]],"aaaa"))</f>
        <v>2021</v>
      </c>
    </row>
    <row r="3129" spans="1:8" x14ac:dyDescent="0.25">
      <c r="A3129" s="2">
        <v>44389</v>
      </c>
      <c r="B3129" t="s">
        <v>4</v>
      </c>
      <c r="C3129">
        <v>11255</v>
      </c>
      <c r="D3129" t="str">
        <f>VLOOKUP(B3129,Tabela_Auxiliar[],2,0)</f>
        <v>1. Receita Operacional Bruta</v>
      </c>
      <c r="E3129" t="str">
        <f>VLOOKUP(B3129,Tabela_Auxiliar[],4,0)</f>
        <v>Receita Bruta</v>
      </c>
      <c r="F3129" t="str">
        <f>VLOOKUP(B3129,Tabela_Auxiliar[],3,0)</f>
        <v>Entrada</v>
      </c>
      <c r="G3129" t="str">
        <f>UPPER(TEXT(Tabela_DB[[#This Row],[DATA]],"mmm"))</f>
        <v>JUL</v>
      </c>
      <c r="H3129" t="str">
        <f>UPPER(TEXT(Tabela_DB[[#This Row],[DATA]],"aaaa"))</f>
        <v>2021</v>
      </c>
    </row>
    <row r="3130" spans="1:8" x14ac:dyDescent="0.25">
      <c r="A3130" s="2">
        <v>44389</v>
      </c>
      <c r="B3130" t="s">
        <v>111</v>
      </c>
      <c r="C3130">
        <v>-1756</v>
      </c>
      <c r="D3130" t="str">
        <f>VLOOKUP(B3130,Tabela_Auxiliar[],2,0)</f>
        <v>2. Deduções da Receita</v>
      </c>
      <c r="E3130" t="str">
        <f>VLOOKUP(B3130,Tabela_Auxiliar[],4,0)</f>
        <v>Imposto</v>
      </c>
      <c r="F3130" t="str">
        <f>VLOOKUP(B3130,Tabela_Auxiliar[],3,0)</f>
        <v>Saída</v>
      </c>
      <c r="G3130" t="str">
        <f>UPPER(TEXT(Tabela_DB[[#This Row],[DATA]],"mmm"))</f>
        <v>JUL</v>
      </c>
      <c r="H3130" t="str">
        <f>UPPER(TEXT(Tabela_DB[[#This Row],[DATA]],"aaaa"))</f>
        <v>2021</v>
      </c>
    </row>
    <row r="3131" spans="1:8" x14ac:dyDescent="0.25">
      <c r="A3131" s="2">
        <v>44389</v>
      </c>
      <c r="B3131" t="s">
        <v>35</v>
      </c>
      <c r="C3131">
        <v>-2247</v>
      </c>
      <c r="D3131" t="str">
        <f>VLOOKUP(B3131,Tabela_Auxiliar[],2,0)</f>
        <v>2. Deduções da Receita</v>
      </c>
      <c r="E3131" t="str">
        <f>VLOOKUP(B3131,Tabela_Auxiliar[],4,0)</f>
        <v>Imposto</v>
      </c>
      <c r="F3131" t="str">
        <f>VLOOKUP(B3131,Tabela_Auxiliar[],3,0)</f>
        <v>Saída</v>
      </c>
      <c r="G3131" t="str">
        <f>UPPER(TEXT(Tabela_DB[[#This Row],[DATA]],"mmm"))</f>
        <v>JUL</v>
      </c>
      <c r="H3131" t="str">
        <f>UPPER(TEXT(Tabela_DB[[#This Row],[DATA]],"aaaa"))</f>
        <v>2021</v>
      </c>
    </row>
    <row r="3132" spans="1:8" x14ac:dyDescent="0.25">
      <c r="A3132" s="2">
        <v>44389</v>
      </c>
      <c r="B3132" t="s">
        <v>37</v>
      </c>
      <c r="C3132">
        <v>-3094</v>
      </c>
      <c r="D3132" t="str">
        <f>VLOOKUP(B3132,Tabela_Auxiliar[],2,0)</f>
        <v>3. Custos do Produto/Mercadoria/Serviço</v>
      </c>
      <c r="E3132" t="str">
        <f>VLOOKUP(B3132,Tabela_Auxiliar[],4,0)</f>
        <v>Despesas c/ Produto</v>
      </c>
      <c r="F3132" t="str">
        <f>VLOOKUP(B3132,Tabela_Auxiliar[],3,0)</f>
        <v>Saída</v>
      </c>
      <c r="G3132" t="str">
        <f>UPPER(TEXT(Tabela_DB[[#This Row],[DATA]],"mmm"))</f>
        <v>JUL</v>
      </c>
      <c r="H3132" t="str">
        <f>UPPER(TEXT(Tabela_DB[[#This Row],[DATA]],"aaaa"))</f>
        <v>2021</v>
      </c>
    </row>
    <row r="3133" spans="1:8" x14ac:dyDescent="0.25">
      <c r="A3133" s="2">
        <v>44389</v>
      </c>
      <c r="B3133" t="s">
        <v>4</v>
      </c>
      <c r="C3133">
        <v>12653</v>
      </c>
      <c r="D3133" t="str">
        <f>VLOOKUP(B3133,Tabela_Auxiliar[],2,0)</f>
        <v>1. Receita Operacional Bruta</v>
      </c>
      <c r="E3133" t="str">
        <f>VLOOKUP(B3133,Tabela_Auxiliar[],4,0)</f>
        <v>Receita Bruta</v>
      </c>
      <c r="F3133" t="str">
        <f>VLOOKUP(B3133,Tabela_Auxiliar[],3,0)</f>
        <v>Entrada</v>
      </c>
      <c r="G3133" t="str">
        <f>UPPER(TEXT(Tabela_DB[[#This Row],[DATA]],"mmm"))</f>
        <v>JUL</v>
      </c>
      <c r="H3133" t="str">
        <f>UPPER(TEXT(Tabela_DB[[#This Row],[DATA]],"aaaa"))</f>
        <v>2021</v>
      </c>
    </row>
    <row r="3134" spans="1:8" x14ac:dyDescent="0.25">
      <c r="A3134" s="2">
        <v>44389</v>
      </c>
      <c r="B3134" t="s">
        <v>42</v>
      </c>
      <c r="C3134">
        <v>-2300</v>
      </c>
      <c r="D3134" t="str">
        <f>VLOOKUP(B3134,Tabela_Auxiliar[],2,0)</f>
        <v>4. Despesas Operacionais</v>
      </c>
      <c r="E3134" t="str">
        <f>VLOOKUP(B3134,Tabela_Auxiliar[],4,0)</f>
        <v>Despesa com Pessoal</v>
      </c>
      <c r="F3134" t="str">
        <f>VLOOKUP(B3134,Tabela_Auxiliar[],3,0)</f>
        <v>Saída</v>
      </c>
      <c r="G3134" t="str">
        <f>UPPER(TEXT(Tabela_DB[[#This Row],[DATA]],"mmm"))</f>
        <v>JUL</v>
      </c>
      <c r="H3134" t="str">
        <f>UPPER(TEXT(Tabela_DB[[#This Row],[DATA]],"aaaa"))</f>
        <v>2021</v>
      </c>
    </row>
    <row r="3135" spans="1:8" x14ac:dyDescent="0.25">
      <c r="A3135" s="2">
        <v>44389</v>
      </c>
      <c r="B3135" t="s">
        <v>87</v>
      </c>
      <c r="C3135">
        <v>-1160</v>
      </c>
      <c r="D3135" t="str">
        <f>VLOOKUP(B3135,Tabela_Auxiliar[],2,0)</f>
        <v>4. Despesas Operacionais</v>
      </c>
      <c r="E3135" t="str">
        <f>VLOOKUP(B3135,Tabela_Auxiliar[],4,0)</f>
        <v>Despesa Tributária</v>
      </c>
      <c r="F3135" t="str">
        <f>VLOOKUP(B3135,Tabela_Auxiliar[],3,0)</f>
        <v>Saída</v>
      </c>
      <c r="G3135" t="str">
        <f>UPPER(TEXT(Tabela_DB[[#This Row],[DATA]],"mmm"))</f>
        <v>JUL</v>
      </c>
      <c r="H3135" t="str">
        <f>UPPER(TEXT(Tabela_DB[[#This Row],[DATA]],"aaaa"))</f>
        <v>2021</v>
      </c>
    </row>
    <row r="3136" spans="1:8" x14ac:dyDescent="0.25">
      <c r="A3136" s="2">
        <v>44389</v>
      </c>
      <c r="B3136" t="s">
        <v>38</v>
      </c>
      <c r="C3136">
        <v>-2061</v>
      </c>
      <c r="D3136" t="str">
        <f>VLOOKUP(B3136,Tabela_Auxiliar[],2,0)</f>
        <v>2. Deduções da Receita</v>
      </c>
      <c r="E3136" t="str">
        <f>VLOOKUP(B3136,Tabela_Auxiliar[],4,0)</f>
        <v>Deduções</v>
      </c>
      <c r="F3136" t="str">
        <f>VLOOKUP(B3136,Tabela_Auxiliar[],3,0)</f>
        <v>Saída</v>
      </c>
      <c r="G3136" t="str">
        <f>UPPER(TEXT(Tabela_DB[[#This Row],[DATA]],"mmm"))</f>
        <v>JUL</v>
      </c>
      <c r="H3136" t="str">
        <f>UPPER(TEXT(Tabela_DB[[#This Row],[DATA]],"aaaa"))</f>
        <v>2021</v>
      </c>
    </row>
    <row r="3137" spans="1:8" x14ac:dyDescent="0.25">
      <c r="A3137" s="2">
        <v>44389</v>
      </c>
      <c r="B3137" t="s">
        <v>37</v>
      </c>
      <c r="C3137">
        <v>-3389</v>
      </c>
      <c r="D3137" t="str">
        <f>VLOOKUP(B3137,Tabela_Auxiliar[],2,0)</f>
        <v>3. Custos do Produto/Mercadoria/Serviço</v>
      </c>
      <c r="E3137" t="str">
        <f>VLOOKUP(B3137,Tabela_Auxiliar[],4,0)</f>
        <v>Despesas c/ Produto</v>
      </c>
      <c r="F3137" t="str">
        <f>VLOOKUP(B3137,Tabela_Auxiliar[],3,0)</f>
        <v>Saída</v>
      </c>
      <c r="G3137" t="str">
        <f>UPPER(TEXT(Tabela_DB[[#This Row],[DATA]],"mmm"))</f>
        <v>JUL</v>
      </c>
      <c r="H3137" t="str">
        <f>UPPER(TEXT(Tabela_DB[[#This Row],[DATA]],"aaaa"))</f>
        <v>2021</v>
      </c>
    </row>
    <row r="3138" spans="1:8" x14ac:dyDescent="0.25">
      <c r="A3138" s="2">
        <v>44389</v>
      </c>
      <c r="B3138" t="s">
        <v>3</v>
      </c>
      <c r="C3138">
        <v>12343</v>
      </c>
      <c r="D3138" t="str">
        <f>VLOOKUP(B3138,Tabela_Auxiliar[],2,0)</f>
        <v>1. Receita Operacional Bruta</v>
      </c>
      <c r="E3138" t="str">
        <f>VLOOKUP(B3138,Tabela_Auxiliar[],4,0)</f>
        <v>Receita Bruta</v>
      </c>
      <c r="F3138" t="str">
        <f>VLOOKUP(B3138,Tabela_Auxiliar[],3,0)</f>
        <v>Entrada</v>
      </c>
      <c r="G3138" t="str">
        <f>UPPER(TEXT(Tabela_DB[[#This Row],[DATA]],"mmm"))</f>
        <v>JUL</v>
      </c>
      <c r="H3138" t="str">
        <f>UPPER(TEXT(Tabela_DB[[#This Row],[DATA]],"aaaa"))</f>
        <v>2021</v>
      </c>
    </row>
    <row r="3139" spans="1:8" x14ac:dyDescent="0.25">
      <c r="A3139" s="2">
        <v>44389</v>
      </c>
      <c r="B3139" t="s">
        <v>46</v>
      </c>
      <c r="C3139">
        <v>-2459</v>
      </c>
      <c r="D3139" t="str">
        <f>VLOOKUP(B3139,Tabela_Auxiliar[],2,0)</f>
        <v>4. Despesas Operacionais</v>
      </c>
      <c r="E3139" t="str">
        <f>VLOOKUP(B3139,Tabela_Auxiliar[],4,0)</f>
        <v>Despesa com Pessoal</v>
      </c>
      <c r="F3139" t="str">
        <f>VLOOKUP(B3139,Tabela_Auxiliar[],3,0)</f>
        <v>Saída</v>
      </c>
      <c r="G3139" t="str">
        <f>UPPER(TEXT(Tabela_DB[[#This Row],[DATA]],"mmm"))</f>
        <v>JUL</v>
      </c>
      <c r="H3139" t="str">
        <f>UPPER(TEXT(Tabela_DB[[#This Row],[DATA]],"aaaa"))</f>
        <v>2021</v>
      </c>
    </row>
    <row r="3140" spans="1:8" x14ac:dyDescent="0.25">
      <c r="A3140" s="2">
        <v>44389</v>
      </c>
      <c r="B3140" t="s">
        <v>62</v>
      </c>
      <c r="C3140">
        <v>-1356</v>
      </c>
      <c r="D3140" t="str">
        <f>VLOOKUP(B3140,Tabela_Auxiliar[],2,0)</f>
        <v>4. Despesas Operacionais</v>
      </c>
      <c r="E3140" t="str">
        <f>VLOOKUP(B3140,Tabela_Auxiliar[],4,0)</f>
        <v>Despesa Gerais</v>
      </c>
      <c r="F3140" t="str">
        <f>VLOOKUP(B3140,Tabela_Auxiliar[],3,0)</f>
        <v>Saída</v>
      </c>
      <c r="G3140" t="str">
        <f>UPPER(TEXT(Tabela_DB[[#This Row],[DATA]],"mmm"))</f>
        <v>JUL</v>
      </c>
      <c r="H3140" t="str">
        <f>UPPER(TEXT(Tabela_DB[[#This Row],[DATA]],"aaaa"))</f>
        <v>2021</v>
      </c>
    </row>
    <row r="3141" spans="1:8" x14ac:dyDescent="0.25">
      <c r="A3141" s="2">
        <v>44389</v>
      </c>
      <c r="B3141" t="s">
        <v>37</v>
      </c>
      <c r="C3141">
        <v>-3486</v>
      </c>
      <c r="D3141" t="str">
        <f>VLOOKUP(B3141,Tabela_Auxiliar[],2,0)</f>
        <v>3. Custos do Produto/Mercadoria/Serviço</v>
      </c>
      <c r="E3141" t="str">
        <f>VLOOKUP(B3141,Tabela_Auxiliar[],4,0)</f>
        <v>Despesas c/ Produto</v>
      </c>
      <c r="F3141" t="str">
        <f>VLOOKUP(B3141,Tabela_Auxiliar[],3,0)</f>
        <v>Saída</v>
      </c>
      <c r="G3141" t="str">
        <f>UPPER(TEXT(Tabela_DB[[#This Row],[DATA]],"mmm"))</f>
        <v>JUL</v>
      </c>
      <c r="H3141" t="str">
        <f>UPPER(TEXT(Tabela_DB[[#This Row],[DATA]],"aaaa"))</f>
        <v>2021</v>
      </c>
    </row>
    <row r="3142" spans="1:8" x14ac:dyDescent="0.25">
      <c r="A3142" s="2">
        <v>44389</v>
      </c>
      <c r="B3142" t="s">
        <v>111</v>
      </c>
      <c r="C3142">
        <v>-2089</v>
      </c>
      <c r="D3142" t="str">
        <f>VLOOKUP(B3142,Tabela_Auxiliar[],2,0)</f>
        <v>2. Deduções da Receita</v>
      </c>
      <c r="E3142" t="str">
        <f>VLOOKUP(B3142,Tabela_Auxiliar[],4,0)</f>
        <v>Imposto</v>
      </c>
      <c r="F3142" t="str">
        <f>VLOOKUP(B3142,Tabela_Auxiliar[],3,0)</f>
        <v>Saída</v>
      </c>
      <c r="G3142" t="str">
        <f>UPPER(TEXT(Tabela_DB[[#This Row],[DATA]],"mmm"))</f>
        <v>JUL</v>
      </c>
      <c r="H3142" t="str">
        <f>UPPER(TEXT(Tabela_DB[[#This Row],[DATA]],"aaaa"))</f>
        <v>2021</v>
      </c>
    </row>
    <row r="3143" spans="1:8" x14ac:dyDescent="0.25">
      <c r="A3143" s="2">
        <v>44389</v>
      </c>
      <c r="B3143" t="s">
        <v>35</v>
      </c>
      <c r="C3143">
        <v>-1670</v>
      </c>
      <c r="D3143" t="str">
        <f>VLOOKUP(B3143,Tabela_Auxiliar[],2,0)</f>
        <v>2. Deduções da Receita</v>
      </c>
      <c r="E3143" t="str">
        <f>VLOOKUP(B3143,Tabela_Auxiliar[],4,0)</f>
        <v>Imposto</v>
      </c>
      <c r="F3143" t="str">
        <f>VLOOKUP(B3143,Tabela_Auxiliar[],3,0)</f>
        <v>Saída</v>
      </c>
      <c r="G3143" t="str">
        <f>UPPER(TEXT(Tabela_DB[[#This Row],[DATA]],"mmm"))</f>
        <v>JUL</v>
      </c>
      <c r="H3143" t="str">
        <f>UPPER(TEXT(Tabela_DB[[#This Row],[DATA]],"aaaa"))</f>
        <v>2021</v>
      </c>
    </row>
    <row r="3144" spans="1:8" x14ac:dyDescent="0.25">
      <c r="A3144" s="2">
        <v>44389</v>
      </c>
      <c r="B3144" t="s">
        <v>83</v>
      </c>
      <c r="C3144">
        <v>-1055</v>
      </c>
      <c r="D3144" t="str">
        <f>VLOOKUP(B3144,Tabela_Auxiliar[],2,0)</f>
        <v>4. Despesas Operacionais</v>
      </c>
      <c r="E3144" t="str">
        <f>VLOOKUP(B3144,Tabela_Auxiliar[],4,0)</f>
        <v>Despesa com Veículos</v>
      </c>
      <c r="F3144" t="str">
        <f>VLOOKUP(B3144,Tabela_Auxiliar[],3,0)</f>
        <v>Saída</v>
      </c>
      <c r="G3144" t="str">
        <f>UPPER(TEXT(Tabela_DB[[#This Row],[DATA]],"mmm"))</f>
        <v>JUL</v>
      </c>
      <c r="H3144" t="str">
        <f>UPPER(TEXT(Tabela_DB[[#This Row],[DATA]],"aaaa"))</f>
        <v>2021</v>
      </c>
    </row>
    <row r="3145" spans="1:8" x14ac:dyDescent="0.25">
      <c r="A3145" s="2">
        <v>44389</v>
      </c>
      <c r="B3145" t="s">
        <v>34</v>
      </c>
      <c r="C3145">
        <v>-1322</v>
      </c>
      <c r="D3145" t="str">
        <f>VLOOKUP(B3145,Tabela_Auxiliar[],2,0)</f>
        <v>2. Deduções da Receita</v>
      </c>
      <c r="E3145" t="str">
        <f>VLOOKUP(B3145,Tabela_Auxiliar[],4,0)</f>
        <v>Imposto</v>
      </c>
      <c r="F3145" t="str">
        <f>VLOOKUP(B3145,Tabela_Auxiliar[],3,0)</f>
        <v>Saída</v>
      </c>
      <c r="G3145" t="str">
        <f>UPPER(TEXT(Tabela_DB[[#This Row],[DATA]],"mmm"))</f>
        <v>JUL</v>
      </c>
      <c r="H3145" t="str">
        <f>UPPER(TEXT(Tabela_DB[[#This Row],[DATA]],"aaaa"))</f>
        <v>2021</v>
      </c>
    </row>
    <row r="3146" spans="1:8" x14ac:dyDescent="0.25">
      <c r="A3146" s="2">
        <v>44390</v>
      </c>
      <c r="B3146" t="s">
        <v>37</v>
      </c>
      <c r="C3146">
        <v>-4394</v>
      </c>
      <c r="D3146" t="str">
        <f>VLOOKUP(B3146,Tabela_Auxiliar[],2,0)</f>
        <v>3. Custos do Produto/Mercadoria/Serviço</v>
      </c>
      <c r="E3146" t="str">
        <f>VLOOKUP(B3146,Tabela_Auxiliar[],4,0)</f>
        <v>Despesas c/ Produto</v>
      </c>
      <c r="F3146" t="str">
        <f>VLOOKUP(B3146,Tabela_Auxiliar[],3,0)</f>
        <v>Saída</v>
      </c>
      <c r="G3146" t="str">
        <f>UPPER(TEXT(Tabela_DB[[#This Row],[DATA]],"mmm"))</f>
        <v>JUL</v>
      </c>
      <c r="H3146" t="str">
        <f>UPPER(TEXT(Tabela_DB[[#This Row],[DATA]],"aaaa"))</f>
        <v>2021</v>
      </c>
    </row>
    <row r="3147" spans="1:8" x14ac:dyDescent="0.25">
      <c r="A3147" s="2">
        <v>44390</v>
      </c>
      <c r="B3147" t="s">
        <v>3</v>
      </c>
      <c r="C3147">
        <v>12536</v>
      </c>
      <c r="D3147" t="str">
        <f>VLOOKUP(B3147,Tabela_Auxiliar[],2,0)</f>
        <v>1. Receita Operacional Bruta</v>
      </c>
      <c r="E3147" t="str">
        <f>VLOOKUP(B3147,Tabela_Auxiliar[],4,0)</f>
        <v>Receita Bruta</v>
      </c>
      <c r="F3147" t="str">
        <f>VLOOKUP(B3147,Tabela_Auxiliar[],3,0)</f>
        <v>Entrada</v>
      </c>
      <c r="G3147" t="str">
        <f>UPPER(TEXT(Tabela_DB[[#This Row],[DATA]],"mmm"))</f>
        <v>JUL</v>
      </c>
      <c r="H3147" t="str">
        <f>UPPER(TEXT(Tabela_DB[[#This Row],[DATA]],"aaaa"))</f>
        <v>2021</v>
      </c>
    </row>
    <row r="3148" spans="1:8" x14ac:dyDescent="0.25">
      <c r="A3148" s="2">
        <v>44390</v>
      </c>
      <c r="B3148" t="s">
        <v>31</v>
      </c>
      <c r="C3148">
        <v>-1858</v>
      </c>
      <c r="D3148" t="str">
        <f>VLOOKUP(B3148,Tabela_Auxiliar[],2,0)</f>
        <v>5. Resultado Financeiro</v>
      </c>
      <c r="E3148" t="str">
        <f>VLOOKUP(B3148,Tabela_Auxiliar[],4,0)</f>
        <v>Participação nos resultados</v>
      </c>
      <c r="F3148" t="str">
        <f>VLOOKUP(B3148,Tabela_Auxiliar[],3,0)</f>
        <v>Saída</v>
      </c>
      <c r="G3148" t="str">
        <f>UPPER(TEXT(Tabela_DB[[#This Row],[DATA]],"mmm"))</f>
        <v>JUL</v>
      </c>
      <c r="H3148" t="str">
        <f>UPPER(TEXT(Tabela_DB[[#This Row],[DATA]],"aaaa"))</f>
        <v>2021</v>
      </c>
    </row>
    <row r="3149" spans="1:8" x14ac:dyDescent="0.25">
      <c r="A3149" s="2">
        <v>44390</v>
      </c>
      <c r="B3149" t="s">
        <v>37</v>
      </c>
      <c r="C3149">
        <v>-4350</v>
      </c>
      <c r="D3149" t="str">
        <f>VLOOKUP(B3149,Tabela_Auxiliar[],2,0)</f>
        <v>3. Custos do Produto/Mercadoria/Serviço</v>
      </c>
      <c r="E3149" t="str">
        <f>VLOOKUP(B3149,Tabela_Auxiliar[],4,0)</f>
        <v>Despesas c/ Produto</v>
      </c>
      <c r="F3149" t="str">
        <f>VLOOKUP(B3149,Tabela_Auxiliar[],3,0)</f>
        <v>Saída</v>
      </c>
      <c r="G3149" t="str">
        <f>UPPER(TEXT(Tabela_DB[[#This Row],[DATA]],"mmm"))</f>
        <v>JUL</v>
      </c>
      <c r="H3149" t="str">
        <f>UPPER(TEXT(Tabela_DB[[#This Row],[DATA]],"aaaa"))</f>
        <v>2021</v>
      </c>
    </row>
    <row r="3150" spans="1:8" x14ac:dyDescent="0.25">
      <c r="A3150" s="2">
        <v>44390</v>
      </c>
      <c r="B3150" t="s">
        <v>68</v>
      </c>
      <c r="C3150">
        <v>-2207</v>
      </c>
      <c r="D3150" t="str">
        <f>VLOOKUP(B3150,Tabela_Auxiliar[],2,0)</f>
        <v>4. Despesas Operacionais</v>
      </c>
      <c r="E3150" t="str">
        <f>VLOOKUP(B3150,Tabela_Auxiliar[],4,0)</f>
        <v>Despesa com Ocupação</v>
      </c>
      <c r="F3150" t="str">
        <f>VLOOKUP(B3150,Tabela_Auxiliar[],3,0)</f>
        <v>Saída</v>
      </c>
      <c r="G3150" t="str">
        <f>UPPER(TEXT(Tabela_DB[[#This Row],[DATA]],"mmm"))</f>
        <v>JUL</v>
      </c>
      <c r="H3150" t="str">
        <f>UPPER(TEXT(Tabela_DB[[#This Row],[DATA]],"aaaa"))</f>
        <v>2021</v>
      </c>
    </row>
    <row r="3151" spans="1:8" x14ac:dyDescent="0.25">
      <c r="A3151" s="2">
        <v>44390</v>
      </c>
      <c r="B3151" t="s">
        <v>37</v>
      </c>
      <c r="C3151">
        <v>-4708</v>
      </c>
      <c r="D3151" t="str">
        <f>VLOOKUP(B3151,Tabela_Auxiliar[],2,0)</f>
        <v>3. Custos do Produto/Mercadoria/Serviço</v>
      </c>
      <c r="E3151" t="str">
        <f>VLOOKUP(B3151,Tabela_Auxiliar[],4,0)</f>
        <v>Despesas c/ Produto</v>
      </c>
      <c r="F3151" t="str">
        <f>VLOOKUP(B3151,Tabela_Auxiliar[],3,0)</f>
        <v>Saída</v>
      </c>
      <c r="G3151" t="str">
        <f>UPPER(TEXT(Tabela_DB[[#This Row],[DATA]],"mmm"))</f>
        <v>JUL</v>
      </c>
      <c r="H3151" t="str">
        <f>UPPER(TEXT(Tabela_DB[[#This Row],[DATA]],"aaaa"))</f>
        <v>2021</v>
      </c>
    </row>
    <row r="3152" spans="1:8" x14ac:dyDescent="0.25">
      <c r="A3152" s="2">
        <v>44390</v>
      </c>
      <c r="B3152" t="s">
        <v>67</v>
      </c>
      <c r="C3152">
        <v>-1599</v>
      </c>
      <c r="D3152" t="str">
        <f>VLOOKUP(B3152,Tabela_Auxiliar[],2,0)</f>
        <v>4. Despesas Operacionais</v>
      </c>
      <c r="E3152" t="str">
        <f>VLOOKUP(B3152,Tabela_Auxiliar[],4,0)</f>
        <v>Despesa com Vendas</v>
      </c>
      <c r="F3152" t="str">
        <f>VLOOKUP(B3152,Tabela_Auxiliar[],3,0)</f>
        <v>Saída</v>
      </c>
      <c r="G3152" t="str">
        <f>UPPER(TEXT(Tabela_DB[[#This Row],[DATA]],"mmm"))</f>
        <v>JUL</v>
      </c>
      <c r="H3152" t="str">
        <f>UPPER(TEXT(Tabela_DB[[#This Row],[DATA]],"aaaa"))</f>
        <v>2021</v>
      </c>
    </row>
    <row r="3153" spans="1:8" x14ac:dyDescent="0.25">
      <c r="A3153" s="2">
        <v>44390</v>
      </c>
      <c r="B3153" t="s">
        <v>75</v>
      </c>
      <c r="C3153">
        <v>-1855</v>
      </c>
      <c r="D3153" t="str">
        <f>VLOOKUP(B3153,Tabela_Auxiliar[],2,0)</f>
        <v>4. Despesas Operacionais</v>
      </c>
      <c r="E3153" t="str">
        <f>VLOOKUP(B3153,Tabela_Auxiliar[],4,0)</f>
        <v>Serviços Contratados</v>
      </c>
      <c r="F3153" t="str">
        <f>VLOOKUP(B3153,Tabela_Auxiliar[],3,0)</f>
        <v>Saída</v>
      </c>
      <c r="G3153" t="str">
        <f>UPPER(TEXT(Tabela_DB[[#This Row],[DATA]],"mmm"))</f>
        <v>JUL</v>
      </c>
      <c r="H3153" t="str">
        <f>UPPER(TEXT(Tabela_DB[[#This Row],[DATA]],"aaaa"))</f>
        <v>2021</v>
      </c>
    </row>
    <row r="3154" spans="1:8" x14ac:dyDescent="0.25">
      <c r="A3154" s="2">
        <v>44390</v>
      </c>
      <c r="B3154" t="s">
        <v>34</v>
      </c>
      <c r="C3154">
        <v>-1512</v>
      </c>
      <c r="D3154" t="str">
        <f>VLOOKUP(B3154,Tabela_Auxiliar[],2,0)</f>
        <v>2. Deduções da Receita</v>
      </c>
      <c r="E3154" t="str">
        <f>VLOOKUP(B3154,Tabela_Auxiliar[],4,0)</f>
        <v>Imposto</v>
      </c>
      <c r="F3154" t="str">
        <f>VLOOKUP(B3154,Tabela_Auxiliar[],3,0)</f>
        <v>Saída</v>
      </c>
      <c r="G3154" t="str">
        <f>UPPER(TEXT(Tabela_DB[[#This Row],[DATA]],"mmm"))</f>
        <v>JUL</v>
      </c>
      <c r="H3154" t="str">
        <f>UPPER(TEXT(Tabela_DB[[#This Row],[DATA]],"aaaa"))</f>
        <v>2021</v>
      </c>
    </row>
    <row r="3155" spans="1:8" x14ac:dyDescent="0.25">
      <c r="A3155" s="2">
        <v>44390</v>
      </c>
      <c r="B3155" t="s">
        <v>35</v>
      </c>
      <c r="C3155">
        <v>-1770</v>
      </c>
      <c r="D3155" t="str">
        <f>VLOOKUP(B3155,Tabela_Auxiliar[],2,0)</f>
        <v>2. Deduções da Receita</v>
      </c>
      <c r="E3155" t="str">
        <f>VLOOKUP(B3155,Tabela_Auxiliar[],4,0)</f>
        <v>Imposto</v>
      </c>
      <c r="F3155" t="str">
        <f>VLOOKUP(B3155,Tabela_Auxiliar[],3,0)</f>
        <v>Saída</v>
      </c>
      <c r="G3155" t="str">
        <f>UPPER(TEXT(Tabela_DB[[#This Row],[DATA]],"mmm"))</f>
        <v>JUL</v>
      </c>
      <c r="H3155" t="str">
        <f>UPPER(TEXT(Tabela_DB[[#This Row],[DATA]],"aaaa"))</f>
        <v>2021</v>
      </c>
    </row>
    <row r="3156" spans="1:8" x14ac:dyDescent="0.25">
      <c r="A3156" s="2">
        <v>44390</v>
      </c>
      <c r="B3156" t="s">
        <v>102</v>
      </c>
      <c r="C3156">
        <v>-2040</v>
      </c>
      <c r="D3156" t="str">
        <f>VLOOKUP(B3156,Tabela_Auxiliar[],2,0)</f>
        <v>6. Resultado após o Resultado Financeiro</v>
      </c>
      <c r="E3156" t="str">
        <f>VLOOKUP(B3156,Tabela_Auxiliar[],4,0)</f>
        <v>EBTIDA</v>
      </c>
      <c r="F3156" t="str">
        <f>VLOOKUP(B3156,Tabela_Auxiliar[],3,0)</f>
        <v>Saída</v>
      </c>
      <c r="G3156" t="str">
        <f>UPPER(TEXT(Tabela_DB[[#This Row],[DATA]],"mmm"))</f>
        <v>JUL</v>
      </c>
      <c r="H3156" t="str">
        <f>UPPER(TEXT(Tabela_DB[[#This Row],[DATA]],"aaaa"))</f>
        <v>2021</v>
      </c>
    </row>
    <row r="3157" spans="1:8" x14ac:dyDescent="0.25">
      <c r="A3157" s="2">
        <v>44390</v>
      </c>
      <c r="B3157" t="s">
        <v>35</v>
      </c>
      <c r="C3157">
        <v>-1920</v>
      </c>
      <c r="D3157" t="str">
        <f>VLOOKUP(B3157,Tabela_Auxiliar[],2,0)</f>
        <v>2. Deduções da Receita</v>
      </c>
      <c r="E3157" t="str">
        <f>VLOOKUP(B3157,Tabela_Auxiliar[],4,0)</f>
        <v>Imposto</v>
      </c>
      <c r="F3157" t="str">
        <f>VLOOKUP(B3157,Tabela_Auxiliar[],3,0)</f>
        <v>Saída</v>
      </c>
      <c r="G3157" t="str">
        <f>UPPER(TEXT(Tabela_DB[[#This Row],[DATA]],"mmm"))</f>
        <v>JUL</v>
      </c>
      <c r="H3157" t="str">
        <f>UPPER(TEXT(Tabela_DB[[#This Row],[DATA]],"aaaa"))</f>
        <v>2021</v>
      </c>
    </row>
    <row r="3158" spans="1:8" x14ac:dyDescent="0.25">
      <c r="A3158" s="2">
        <v>44390</v>
      </c>
      <c r="B3158" t="s">
        <v>87</v>
      </c>
      <c r="C3158">
        <v>-1516</v>
      </c>
      <c r="D3158" t="str">
        <f>VLOOKUP(B3158,Tabela_Auxiliar[],2,0)</f>
        <v>4. Despesas Operacionais</v>
      </c>
      <c r="E3158" t="str">
        <f>VLOOKUP(B3158,Tabela_Auxiliar[],4,0)</f>
        <v>Despesa Tributária</v>
      </c>
      <c r="F3158" t="str">
        <f>VLOOKUP(B3158,Tabela_Auxiliar[],3,0)</f>
        <v>Saída</v>
      </c>
      <c r="G3158" t="str">
        <f>UPPER(TEXT(Tabela_DB[[#This Row],[DATA]],"mmm"))</f>
        <v>JUL</v>
      </c>
      <c r="H3158" t="str">
        <f>UPPER(TEXT(Tabela_DB[[#This Row],[DATA]],"aaaa"))</f>
        <v>2021</v>
      </c>
    </row>
    <row r="3159" spans="1:8" x14ac:dyDescent="0.25">
      <c r="A3159" s="2">
        <v>44390</v>
      </c>
      <c r="B3159" t="s">
        <v>88</v>
      </c>
      <c r="C3159">
        <v>-1194</v>
      </c>
      <c r="D3159" t="str">
        <f>VLOOKUP(B3159,Tabela_Auxiliar[],2,0)</f>
        <v>4. Despesas Operacionais</v>
      </c>
      <c r="E3159" t="str">
        <f>VLOOKUP(B3159,Tabela_Auxiliar[],4,0)</f>
        <v>Despesa Tributária</v>
      </c>
      <c r="F3159" t="str">
        <f>VLOOKUP(B3159,Tabela_Auxiliar[],3,0)</f>
        <v>Saída</v>
      </c>
      <c r="G3159" t="str">
        <f>UPPER(TEXT(Tabela_DB[[#This Row],[DATA]],"mmm"))</f>
        <v>JUL</v>
      </c>
      <c r="H3159" t="str">
        <f>UPPER(TEXT(Tabela_DB[[#This Row],[DATA]],"aaaa"))</f>
        <v>2021</v>
      </c>
    </row>
    <row r="3160" spans="1:8" x14ac:dyDescent="0.25">
      <c r="A3160" s="2">
        <v>44390</v>
      </c>
      <c r="B3160" t="s">
        <v>35</v>
      </c>
      <c r="C3160">
        <v>-1620</v>
      </c>
      <c r="D3160" t="str">
        <f>VLOOKUP(B3160,Tabela_Auxiliar[],2,0)</f>
        <v>2. Deduções da Receita</v>
      </c>
      <c r="E3160" t="str">
        <f>VLOOKUP(B3160,Tabela_Auxiliar[],4,0)</f>
        <v>Imposto</v>
      </c>
      <c r="F3160" t="str">
        <f>VLOOKUP(B3160,Tabela_Auxiliar[],3,0)</f>
        <v>Saída</v>
      </c>
      <c r="G3160" t="str">
        <f>UPPER(TEXT(Tabela_DB[[#This Row],[DATA]],"mmm"))</f>
        <v>JUL</v>
      </c>
      <c r="H3160" t="str">
        <f>UPPER(TEXT(Tabela_DB[[#This Row],[DATA]],"aaaa"))</f>
        <v>2021</v>
      </c>
    </row>
    <row r="3161" spans="1:8" x14ac:dyDescent="0.25">
      <c r="A3161" s="2">
        <v>44390</v>
      </c>
      <c r="B3161" t="s">
        <v>4</v>
      </c>
      <c r="C3161">
        <v>14927</v>
      </c>
      <c r="D3161" t="str">
        <f>VLOOKUP(B3161,Tabela_Auxiliar[],2,0)</f>
        <v>1. Receita Operacional Bruta</v>
      </c>
      <c r="E3161" t="str">
        <f>VLOOKUP(B3161,Tabela_Auxiliar[],4,0)</f>
        <v>Receita Bruta</v>
      </c>
      <c r="F3161" t="str">
        <f>VLOOKUP(B3161,Tabela_Auxiliar[],3,0)</f>
        <v>Entrada</v>
      </c>
      <c r="G3161" t="str">
        <f>UPPER(TEXT(Tabela_DB[[#This Row],[DATA]],"mmm"))</f>
        <v>JUL</v>
      </c>
      <c r="H3161" t="str">
        <f>UPPER(TEXT(Tabela_DB[[#This Row],[DATA]],"aaaa"))</f>
        <v>2021</v>
      </c>
    </row>
    <row r="3162" spans="1:8" x14ac:dyDescent="0.25">
      <c r="A3162" s="2">
        <v>44390</v>
      </c>
      <c r="B3162" t="s">
        <v>37</v>
      </c>
      <c r="C3162">
        <v>-3107</v>
      </c>
      <c r="D3162" t="str">
        <f>VLOOKUP(B3162,Tabela_Auxiliar[],2,0)</f>
        <v>3. Custos do Produto/Mercadoria/Serviço</v>
      </c>
      <c r="E3162" t="str">
        <f>VLOOKUP(B3162,Tabela_Auxiliar[],4,0)</f>
        <v>Despesas c/ Produto</v>
      </c>
      <c r="F3162" t="str">
        <f>VLOOKUP(B3162,Tabela_Auxiliar[],3,0)</f>
        <v>Saída</v>
      </c>
      <c r="G3162" t="str">
        <f>UPPER(TEXT(Tabela_DB[[#This Row],[DATA]],"mmm"))</f>
        <v>JUL</v>
      </c>
      <c r="H3162" t="str">
        <f>UPPER(TEXT(Tabela_DB[[#This Row],[DATA]],"aaaa"))</f>
        <v>2021</v>
      </c>
    </row>
    <row r="3163" spans="1:8" x14ac:dyDescent="0.25">
      <c r="A3163" s="2">
        <v>44390</v>
      </c>
      <c r="B3163" t="s">
        <v>111</v>
      </c>
      <c r="C3163">
        <v>-1130</v>
      </c>
      <c r="D3163" t="str">
        <f>VLOOKUP(B3163,Tabela_Auxiliar[],2,0)</f>
        <v>2. Deduções da Receita</v>
      </c>
      <c r="E3163" t="str">
        <f>VLOOKUP(B3163,Tabela_Auxiliar[],4,0)</f>
        <v>Imposto</v>
      </c>
      <c r="F3163" t="str">
        <f>VLOOKUP(B3163,Tabela_Auxiliar[],3,0)</f>
        <v>Saída</v>
      </c>
      <c r="G3163" t="str">
        <f>UPPER(TEXT(Tabela_DB[[#This Row],[DATA]],"mmm"))</f>
        <v>JUL</v>
      </c>
      <c r="H3163" t="str">
        <f>UPPER(TEXT(Tabela_DB[[#This Row],[DATA]],"aaaa"))</f>
        <v>2021</v>
      </c>
    </row>
    <row r="3164" spans="1:8" x14ac:dyDescent="0.25">
      <c r="A3164" s="2">
        <v>44391</v>
      </c>
      <c r="B3164" t="s">
        <v>86</v>
      </c>
      <c r="C3164">
        <v>-1110</v>
      </c>
      <c r="D3164" t="str">
        <f>VLOOKUP(B3164,Tabela_Auxiliar[],2,0)</f>
        <v>4. Despesas Operacionais</v>
      </c>
      <c r="E3164" t="str">
        <f>VLOOKUP(B3164,Tabela_Auxiliar[],4,0)</f>
        <v>Despesa com Veículos</v>
      </c>
      <c r="F3164" t="str">
        <f>VLOOKUP(B3164,Tabela_Auxiliar[],3,0)</f>
        <v>Saída</v>
      </c>
      <c r="G3164" t="str">
        <f>UPPER(TEXT(Tabela_DB[[#This Row],[DATA]],"mmm"))</f>
        <v>JUL</v>
      </c>
      <c r="H3164" t="str">
        <f>UPPER(TEXT(Tabela_DB[[#This Row],[DATA]],"aaaa"))</f>
        <v>2021</v>
      </c>
    </row>
    <row r="3165" spans="1:8" x14ac:dyDescent="0.25">
      <c r="A3165" s="2">
        <v>44391</v>
      </c>
      <c r="B3165" t="s">
        <v>35</v>
      </c>
      <c r="C3165">
        <v>-1044</v>
      </c>
      <c r="D3165" t="str">
        <f>VLOOKUP(B3165,Tabela_Auxiliar[],2,0)</f>
        <v>2. Deduções da Receita</v>
      </c>
      <c r="E3165" t="str">
        <f>VLOOKUP(B3165,Tabela_Auxiliar[],4,0)</f>
        <v>Imposto</v>
      </c>
      <c r="F3165" t="str">
        <f>VLOOKUP(B3165,Tabela_Auxiliar[],3,0)</f>
        <v>Saída</v>
      </c>
      <c r="G3165" t="str">
        <f>UPPER(TEXT(Tabela_DB[[#This Row],[DATA]],"mmm"))</f>
        <v>JUL</v>
      </c>
      <c r="H3165" t="str">
        <f>UPPER(TEXT(Tabela_DB[[#This Row],[DATA]],"aaaa"))</f>
        <v>2021</v>
      </c>
    </row>
    <row r="3166" spans="1:8" x14ac:dyDescent="0.25">
      <c r="A3166" s="2">
        <v>44391</v>
      </c>
      <c r="B3166" t="s">
        <v>33</v>
      </c>
      <c r="C3166">
        <v>-2398</v>
      </c>
      <c r="D3166" t="str">
        <f>VLOOKUP(B3166,Tabela_Auxiliar[],2,0)</f>
        <v>4. Despesas Operacionais</v>
      </c>
      <c r="E3166" t="str">
        <f>VLOOKUP(B3166,Tabela_Auxiliar[],4,0)</f>
        <v>Despesa com Vendas</v>
      </c>
      <c r="F3166" t="str">
        <f>VLOOKUP(B3166,Tabela_Auxiliar[],3,0)</f>
        <v>Saída</v>
      </c>
      <c r="G3166" t="str">
        <f>UPPER(TEXT(Tabela_DB[[#This Row],[DATA]],"mmm"))</f>
        <v>JUL</v>
      </c>
      <c r="H3166" t="str">
        <f>UPPER(TEXT(Tabela_DB[[#This Row],[DATA]],"aaaa"))</f>
        <v>2021</v>
      </c>
    </row>
    <row r="3167" spans="1:8" x14ac:dyDescent="0.25">
      <c r="A3167" s="2">
        <v>44391</v>
      </c>
      <c r="B3167" t="s">
        <v>47</v>
      </c>
      <c r="C3167">
        <v>-2274</v>
      </c>
      <c r="D3167" t="str">
        <f>VLOOKUP(B3167,Tabela_Auxiliar[],2,0)</f>
        <v>4. Despesas Operacionais</v>
      </c>
      <c r="E3167" t="str">
        <f>VLOOKUP(B3167,Tabela_Auxiliar[],4,0)</f>
        <v>Despesa com Pessoal</v>
      </c>
      <c r="F3167" t="str">
        <f>VLOOKUP(B3167,Tabela_Auxiliar[],3,0)</f>
        <v>Saída</v>
      </c>
      <c r="G3167" t="str">
        <f>UPPER(TEXT(Tabela_DB[[#This Row],[DATA]],"mmm"))</f>
        <v>JUL</v>
      </c>
      <c r="H3167" t="str">
        <f>UPPER(TEXT(Tabela_DB[[#This Row],[DATA]],"aaaa"))</f>
        <v>2021</v>
      </c>
    </row>
    <row r="3168" spans="1:8" x14ac:dyDescent="0.25">
      <c r="A3168" s="2">
        <v>44391</v>
      </c>
      <c r="B3168" t="s">
        <v>111</v>
      </c>
      <c r="C3168">
        <v>-1950</v>
      </c>
      <c r="D3168" t="str">
        <f>VLOOKUP(B3168,Tabela_Auxiliar[],2,0)</f>
        <v>2. Deduções da Receita</v>
      </c>
      <c r="E3168" t="str">
        <f>VLOOKUP(B3168,Tabela_Auxiliar[],4,0)</f>
        <v>Imposto</v>
      </c>
      <c r="F3168" t="str">
        <f>VLOOKUP(B3168,Tabela_Auxiliar[],3,0)</f>
        <v>Saída</v>
      </c>
      <c r="G3168" t="str">
        <f>UPPER(TEXT(Tabela_DB[[#This Row],[DATA]],"mmm"))</f>
        <v>JUL</v>
      </c>
      <c r="H3168" t="str">
        <f>UPPER(TEXT(Tabela_DB[[#This Row],[DATA]],"aaaa"))</f>
        <v>2021</v>
      </c>
    </row>
    <row r="3169" spans="1:8" x14ac:dyDescent="0.25">
      <c r="A3169" s="2">
        <v>44391</v>
      </c>
      <c r="B3169" t="s">
        <v>66</v>
      </c>
      <c r="C3169">
        <v>-2007</v>
      </c>
      <c r="D3169" t="str">
        <f>VLOOKUP(B3169,Tabela_Auxiliar[],2,0)</f>
        <v>4. Despesas Operacionais</v>
      </c>
      <c r="E3169" t="str">
        <f>VLOOKUP(B3169,Tabela_Auxiliar[],4,0)</f>
        <v>Despesa com Vendas</v>
      </c>
      <c r="F3169" t="str">
        <f>VLOOKUP(B3169,Tabela_Auxiliar[],3,0)</f>
        <v>Saída</v>
      </c>
      <c r="G3169" t="str">
        <f>UPPER(TEXT(Tabela_DB[[#This Row],[DATA]],"mmm"))</f>
        <v>JUL</v>
      </c>
      <c r="H3169" t="str">
        <f>UPPER(TEXT(Tabela_DB[[#This Row],[DATA]],"aaaa"))</f>
        <v>2021</v>
      </c>
    </row>
    <row r="3170" spans="1:8" x14ac:dyDescent="0.25">
      <c r="A3170" s="2">
        <v>44391</v>
      </c>
      <c r="B3170" t="s">
        <v>35</v>
      </c>
      <c r="C3170">
        <v>-2133</v>
      </c>
      <c r="D3170" t="str">
        <f>VLOOKUP(B3170,Tabela_Auxiliar[],2,0)</f>
        <v>2. Deduções da Receita</v>
      </c>
      <c r="E3170" t="str">
        <f>VLOOKUP(B3170,Tabela_Auxiliar[],4,0)</f>
        <v>Imposto</v>
      </c>
      <c r="F3170" t="str">
        <f>VLOOKUP(B3170,Tabela_Auxiliar[],3,0)</f>
        <v>Saída</v>
      </c>
      <c r="G3170" t="str">
        <f>UPPER(TEXT(Tabela_DB[[#This Row],[DATA]],"mmm"))</f>
        <v>JUL</v>
      </c>
      <c r="H3170" t="str">
        <f>UPPER(TEXT(Tabela_DB[[#This Row],[DATA]],"aaaa"))</f>
        <v>2021</v>
      </c>
    </row>
    <row r="3171" spans="1:8" x14ac:dyDescent="0.25">
      <c r="A3171" s="2">
        <v>44391</v>
      </c>
      <c r="B3171" t="s">
        <v>81</v>
      </c>
      <c r="C3171">
        <v>-1114</v>
      </c>
      <c r="D3171" t="str">
        <f>VLOOKUP(B3171,Tabela_Auxiliar[],2,0)</f>
        <v>4. Despesas Operacionais</v>
      </c>
      <c r="E3171" t="str">
        <f>VLOOKUP(B3171,Tabela_Auxiliar[],4,0)</f>
        <v>Serviços Contratados</v>
      </c>
      <c r="F3171" t="str">
        <f>VLOOKUP(B3171,Tabela_Auxiliar[],3,0)</f>
        <v>Saída</v>
      </c>
      <c r="G3171" t="str">
        <f>UPPER(TEXT(Tabela_DB[[#This Row],[DATA]],"mmm"))</f>
        <v>JUL</v>
      </c>
      <c r="H3171" t="str">
        <f>UPPER(TEXT(Tabela_DB[[#This Row],[DATA]],"aaaa"))</f>
        <v>2021</v>
      </c>
    </row>
    <row r="3172" spans="1:8" x14ac:dyDescent="0.25">
      <c r="A3172" s="2">
        <v>44391</v>
      </c>
      <c r="B3172" t="s">
        <v>37</v>
      </c>
      <c r="C3172">
        <v>-4759</v>
      </c>
      <c r="D3172" t="str">
        <f>VLOOKUP(B3172,Tabela_Auxiliar[],2,0)</f>
        <v>3. Custos do Produto/Mercadoria/Serviço</v>
      </c>
      <c r="E3172" t="str">
        <f>VLOOKUP(B3172,Tabela_Auxiliar[],4,0)</f>
        <v>Despesas c/ Produto</v>
      </c>
      <c r="F3172" t="str">
        <f>VLOOKUP(B3172,Tabela_Auxiliar[],3,0)</f>
        <v>Saída</v>
      </c>
      <c r="G3172" t="str">
        <f>UPPER(TEXT(Tabela_DB[[#This Row],[DATA]],"mmm"))</f>
        <v>JUL</v>
      </c>
      <c r="H3172" t="str">
        <f>UPPER(TEXT(Tabela_DB[[#This Row],[DATA]],"aaaa"))</f>
        <v>2021</v>
      </c>
    </row>
    <row r="3173" spans="1:8" x14ac:dyDescent="0.25">
      <c r="A3173" s="2">
        <v>44391</v>
      </c>
      <c r="B3173" t="s">
        <v>59</v>
      </c>
      <c r="C3173">
        <v>-1458</v>
      </c>
      <c r="D3173" t="str">
        <f>VLOOKUP(B3173,Tabela_Auxiliar[],2,0)</f>
        <v>4. Despesas Operacionais</v>
      </c>
      <c r="E3173" t="str">
        <f>VLOOKUP(B3173,Tabela_Auxiliar[],4,0)</f>
        <v>Despesa de Depreciação</v>
      </c>
      <c r="F3173" t="str">
        <f>VLOOKUP(B3173,Tabela_Auxiliar[],3,0)</f>
        <v>Saída</v>
      </c>
      <c r="G3173" t="str">
        <f>UPPER(TEXT(Tabela_DB[[#This Row],[DATA]],"mmm"))</f>
        <v>JUL</v>
      </c>
      <c r="H3173" t="str">
        <f>UPPER(TEXT(Tabela_DB[[#This Row],[DATA]],"aaaa"))</f>
        <v>2021</v>
      </c>
    </row>
    <row r="3174" spans="1:8" x14ac:dyDescent="0.25">
      <c r="A3174" s="2">
        <v>44391</v>
      </c>
      <c r="B3174" t="s">
        <v>63</v>
      </c>
      <c r="C3174">
        <v>-1520</v>
      </c>
      <c r="D3174" t="str">
        <f>VLOOKUP(B3174,Tabela_Auxiliar[],2,0)</f>
        <v>4. Despesas Operacionais</v>
      </c>
      <c r="E3174" t="str">
        <f>VLOOKUP(B3174,Tabela_Auxiliar[],4,0)</f>
        <v>Despesa Gerais</v>
      </c>
      <c r="F3174" t="str">
        <f>VLOOKUP(B3174,Tabela_Auxiliar[],3,0)</f>
        <v>Saída</v>
      </c>
      <c r="G3174" t="str">
        <f>UPPER(TEXT(Tabela_DB[[#This Row],[DATA]],"mmm"))</f>
        <v>JUL</v>
      </c>
      <c r="H3174" t="str">
        <f>UPPER(TEXT(Tabela_DB[[#This Row],[DATA]],"aaaa"))</f>
        <v>2021</v>
      </c>
    </row>
    <row r="3175" spans="1:8" x14ac:dyDescent="0.25">
      <c r="A3175" s="2">
        <v>44391</v>
      </c>
      <c r="B3175" t="s">
        <v>34</v>
      </c>
      <c r="C3175">
        <v>-2046</v>
      </c>
      <c r="D3175" t="str">
        <f>VLOOKUP(B3175,Tabela_Auxiliar[],2,0)</f>
        <v>2. Deduções da Receita</v>
      </c>
      <c r="E3175" t="str">
        <f>VLOOKUP(B3175,Tabela_Auxiliar[],4,0)</f>
        <v>Imposto</v>
      </c>
      <c r="F3175" t="str">
        <f>VLOOKUP(B3175,Tabela_Auxiliar[],3,0)</f>
        <v>Saída</v>
      </c>
      <c r="G3175" t="str">
        <f>UPPER(TEXT(Tabela_DB[[#This Row],[DATA]],"mmm"))</f>
        <v>JUL</v>
      </c>
      <c r="H3175" t="str">
        <f>UPPER(TEXT(Tabela_DB[[#This Row],[DATA]],"aaaa"))</f>
        <v>2021</v>
      </c>
    </row>
    <row r="3176" spans="1:8" x14ac:dyDescent="0.25">
      <c r="A3176" s="2">
        <v>44392</v>
      </c>
      <c r="B3176" t="s">
        <v>37</v>
      </c>
      <c r="C3176">
        <v>-3645</v>
      </c>
      <c r="D3176" t="str">
        <f>VLOOKUP(B3176,Tabela_Auxiliar[],2,0)</f>
        <v>3. Custos do Produto/Mercadoria/Serviço</v>
      </c>
      <c r="E3176" t="str">
        <f>VLOOKUP(B3176,Tabela_Auxiliar[],4,0)</f>
        <v>Despesas c/ Produto</v>
      </c>
      <c r="F3176" t="str">
        <f>VLOOKUP(B3176,Tabela_Auxiliar[],3,0)</f>
        <v>Saída</v>
      </c>
      <c r="G3176" t="str">
        <f>UPPER(TEXT(Tabela_DB[[#This Row],[DATA]],"mmm"))</f>
        <v>JUL</v>
      </c>
      <c r="H3176" t="str">
        <f>UPPER(TEXT(Tabela_DB[[#This Row],[DATA]],"aaaa"))</f>
        <v>2021</v>
      </c>
    </row>
    <row r="3177" spans="1:8" x14ac:dyDescent="0.25">
      <c r="A3177" s="2">
        <v>44392</v>
      </c>
      <c r="B3177" t="s">
        <v>83</v>
      </c>
      <c r="C3177">
        <v>-2011</v>
      </c>
      <c r="D3177" t="str">
        <f>VLOOKUP(B3177,Tabela_Auxiliar[],2,0)</f>
        <v>4. Despesas Operacionais</v>
      </c>
      <c r="E3177" t="str">
        <f>VLOOKUP(B3177,Tabela_Auxiliar[],4,0)</f>
        <v>Despesa com Veículos</v>
      </c>
      <c r="F3177" t="str">
        <f>VLOOKUP(B3177,Tabela_Auxiliar[],3,0)</f>
        <v>Saída</v>
      </c>
      <c r="G3177" t="str">
        <f>UPPER(TEXT(Tabela_DB[[#This Row],[DATA]],"mmm"))</f>
        <v>JUL</v>
      </c>
      <c r="H3177" t="str">
        <f>UPPER(TEXT(Tabela_DB[[#This Row],[DATA]],"aaaa"))</f>
        <v>2021</v>
      </c>
    </row>
    <row r="3178" spans="1:8" x14ac:dyDescent="0.25">
      <c r="A3178" s="2">
        <v>44392</v>
      </c>
      <c r="B3178" t="s">
        <v>4</v>
      </c>
      <c r="C3178">
        <v>12686</v>
      </c>
      <c r="D3178" t="str">
        <f>VLOOKUP(B3178,Tabela_Auxiliar[],2,0)</f>
        <v>1. Receita Operacional Bruta</v>
      </c>
      <c r="E3178" t="str">
        <f>VLOOKUP(B3178,Tabela_Auxiliar[],4,0)</f>
        <v>Receita Bruta</v>
      </c>
      <c r="F3178" t="str">
        <f>VLOOKUP(B3178,Tabela_Auxiliar[],3,0)</f>
        <v>Entrada</v>
      </c>
      <c r="G3178" t="str">
        <f>UPPER(TEXT(Tabela_DB[[#This Row],[DATA]],"mmm"))</f>
        <v>JUL</v>
      </c>
      <c r="H3178" t="str">
        <f>UPPER(TEXT(Tabela_DB[[#This Row],[DATA]],"aaaa"))</f>
        <v>2021</v>
      </c>
    </row>
    <row r="3179" spans="1:8" x14ac:dyDescent="0.25">
      <c r="A3179" s="2">
        <v>44392</v>
      </c>
      <c r="B3179" t="s">
        <v>3</v>
      </c>
      <c r="C3179">
        <v>13665</v>
      </c>
      <c r="D3179" t="str">
        <f>VLOOKUP(B3179,Tabela_Auxiliar[],2,0)</f>
        <v>1. Receita Operacional Bruta</v>
      </c>
      <c r="E3179" t="str">
        <f>VLOOKUP(B3179,Tabela_Auxiliar[],4,0)</f>
        <v>Receita Bruta</v>
      </c>
      <c r="F3179" t="str">
        <f>VLOOKUP(B3179,Tabela_Auxiliar[],3,0)</f>
        <v>Entrada</v>
      </c>
      <c r="G3179" t="str">
        <f>UPPER(TEXT(Tabela_DB[[#This Row],[DATA]],"mmm"))</f>
        <v>JUL</v>
      </c>
      <c r="H3179" t="str">
        <f>UPPER(TEXT(Tabela_DB[[#This Row],[DATA]],"aaaa"))</f>
        <v>2021</v>
      </c>
    </row>
    <row r="3180" spans="1:8" x14ac:dyDescent="0.25">
      <c r="A3180" s="2">
        <v>44392</v>
      </c>
      <c r="B3180" t="s">
        <v>44</v>
      </c>
      <c r="C3180">
        <v>-1261</v>
      </c>
      <c r="D3180" t="str">
        <f>VLOOKUP(B3180,Tabela_Auxiliar[],2,0)</f>
        <v>4. Despesas Operacionais</v>
      </c>
      <c r="E3180" t="str">
        <f>VLOOKUP(B3180,Tabela_Auxiliar[],4,0)</f>
        <v>Despesa com Pessoal</v>
      </c>
      <c r="F3180" t="str">
        <f>VLOOKUP(B3180,Tabela_Auxiliar[],3,0)</f>
        <v>Saída</v>
      </c>
      <c r="G3180" t="str">
        <f>UPPER(TEXT(Tabela_DB[[#This Row],[DATA]],"mmm"))</f>
        <v>JUL</v>
      </c>
      <c r="H3180" t="str">
        <f>UPPER(TEXT(Tabela_DB[[#This Row],[DATA]],"aaaa"))</f>
        <v>2021</v>
      </c>
    </row>
    <row r="3181" spans="1:8" x14ac:dyDescent="0.25">
      <c r="A3181" s="2">
        <v>44392</v>
      </c>
      <c r="B3181" t="s">
        <v>54</v>
      </c>
      <c r="C3181">
        <v>-1627</v>
      </c>
      <c r="D3181" t="str">
        <f>VLOOKUP(B3181,Tabela_Auxiliar[],2,0)</f>
        <v>4. Despesas Operacionais</v>
      </c>
      <c r="E3181" t="str">
        <f>VLOOKUP(B3181,Tabela_Auxiliar[],4,0)</f>
        <v>Despesa com Pessoal</v>
      </c>
      <c r="F3181" t="str">
        <f>VLOOKUP(B3181,Tabela_Auxiliar[],3,0)</f>
        <v>Saída</v>
      </c>
      <c r="G3181" t="str">
        <f>UPPER(TEXT(Tabela_DB[[#This Row],[DATA]],"mmm"))</f>
        <v>JUL</v>
      </c>
      <c r="H3181" t="str">
        <f>UPPER(TEXT(Tabela_DB[[#This Row],[DATA]],"aaaa"))</f>
        <v>2021</v>
      </c>
    </row>
    <row r="3182" spans="1:8" x14ac:dyDescent="0.25">
      <c r="A3182" s="2">
        <v>44392</v>
      </c>
      <c r="B3182" t="s">
        <v>111</v>
      </c>
      <c r="C3182">
        <v>-2255</v>
      </c>
      <c r="D3182" t="str">
        <f>VLOOKUP(B3182,Tabela_Auxiliar[],2,0)</f>
        <v>2. Deduções da Receita</v>
      </c>
      <c r="E3182" t="str">
        <f>VLOOKUP(B3182,Tabela_Auxiliar[],4,0)</f>
        <v>Imposto</v>
      </c>
      <c r="F3182" t="str">
        <f>VLOOKUP(B3182,Tabela_Auxiliar[],3,0)</f>
        <v>Saída</v>
      </c>
      <c r="G3182" t="str">
        <f>UPPER(TEXT(Tabela_DB[[#This Row],[DATA]],"mmm"))</f>
        <v>JUL</v>
      </c>
      <c r="H3182" t="str">
        <f>UPPER(TEXT(Tabela_DB[[#This Row],[DATA]],"aaaa"))</f>
        <v>2021</v>
      </c>
    </row>
    <row r="3183" spans="1:8" x14ac:dyDescent="0.25">
      <c r="A3183" s="2">
        <v>44392</v>
      </c>
      <c r="B3183" t="s">
        <v>111</v>
      </c>
      <c r="C3183">
        <v>-1852</v>
      </c>
      <c r="D3183" t="str">
        <f>VLOOKUP(B3183,Tabela_Auxiliar[],2,0)</f>
        <v>2. Deduções da Receita</v>
      </c>
      <c r="E3183" t="str">
        <f>VLOOKUP(B3183,Tabela_Auxiliar[],4,0)</f>
        <v>Imposto</v>
      </c>
      <c r="F3183" t="str">
        <f>VLOOKUP(B3183,Tabela_Auxiliar[],3,0)</f>
        <v>Saída</v>
      </c>
      <c r="G3183" t="str">
        <f>UPPER(TEXT(Tabela_DB[[#This Row],[DATA]],"mmm"))</f>
        <v>JUL</v>
      </c>
      <c r="H3183" t="str">
        <f>UPPER(TEXT(Tabela_DB[[#This Row],[DATA]],"aaaa"))</f>
        <v>2021</v>
      </c>
    </row>
    <row r="3184" spans="1:8" x14ac:dyDescent="0.25">
      <c r="A3184" s="2">
        <v>44392</v>
      </c>
      <c r="B3184" t="s">
        <v>37</v>
      </c>
      <c r="C3184">
        <v>-4896</v>
      </c>
      <c r="D3184" t="str">
        <f>VLOOKUP(B3184,Tabela_Auxiliar[],2,0)</f>
        <v>3. Custos do Produto/Mercadoria/Serviço</v>
      </c>
      <c r="E3184" t="str">
        <f>VLOOKUP(B3184,Tabela_Auxiliar[],4,0)</f>
        <v>Despesas c/ Produto</v>
      </c>
      <c r="F3184" t="str">
        <f>VLOOKUP(B3184,Tabela_Auxiliar[],3,0)</f>
        <v>Saída</v>
      </c>
      <c r="G3184" t="str">
        <f>UPPER(TEXT(Tabela_DB[[#This Row],[DATA]],"mmm"))</f>
        <v>JUL</v>
      </c>
      <c r="H3184" t="str">
        <f>UPPER(TEXT(Tabela_DB[[#This Row],[DATA]],"aaaa"))</f>
        <v>2021</v>
      </c>
    </row>
    <row r="3185" spans="1:8" x14ac:dyDescent="0.25">
      <c r="A3185" s="2">
        <v>44392</v>
      </c>
      <c r="B3185" t="s">
        <v>43</v>
      </c>
      <c r="C3185">
        <v>-2007</v>
      </c>
      <c r="D3185" t="str">
        <f>VLOOKUP(B3185,Tabela_Auxiliar[],2,0)</f>
        <v>4. Despesas Operacionais</v>
      </c>
      <c r="E3185" t="str">
        <f>VLOOKUP(B3185,Tabela_Auxiliar[],4,0)</f>
        <v>Despesa com Pessoal</v>
      </c>
      <c r="F3185" t="str">
        <f>VLOOKUP(B3185,Tabela_Auxiliar[],3,0)</f>
        <v>Saída</v>
      </c>
      <c r="G3185" t="str">
        <f>UPPER(TEXT(Tabela_DB[[#This Row],[DATA]],"mmm"))</f>
        <v>JUL</v>
      </c>
      <c r="H3185" t="str">
        <f>UPPER(TEXT(Tabela_DB[[#This Row],[DATA]],"aaaa"))</f>
        <v>2021</v>
      </c>
    </row>
    <row r="3186" spans="1:8" x14ac:dyDescent="0.25">
      <c r="A3186" s="2">
        <v>44392</v>
      </c>
      <c r="B3186" t="s">
        <v>3</v>
      </c>
      <c r="C3186">
        <v>10587</v>
      </c>
      <c r="D3186" t="str">
        <f>VLOOKUP(B3186,Tabela_Auxiliar[],2,0)</f>
        <v>1. Receita Operacional Bruta</v>
      </c>
      <c r="E3186" t="str">
        <f>VLOOKUP(B3186,Tabela_Auxiliar[],4,0)</f>
        <v>Receita Bruta</v>
      </c>
      <c r="F3186" t="str">
        <f>VLOOKUP(B3186,Tabela_Auxiliar[],3,0)</f>
        <v>Entrada</v>
      </c>
      <c r="G3186" t="str">
        <f>UPPER(TEXT(Tabela_DB[[#This Row],[DATA]],"mmm"))</f>
        <v>JUL</v>
      </c>
      <c r="H3186" t="str">
        <f>UPPER(TEXT(Tabela_DB[[#This Row],[DATA]],"aaaa"))</f>
        <v>2021</v>
      </c>
    </row>
    <row r="3187" spans="1:8" x14ac:dyDescent="0.25">
      <c r="A3187" s="2">
        <v>44392</v>
      </c>
      <c r="B3187" t="s">
        <v>3</v>
      </c>
      <c r="C3187">
        <v>12704</v>
      </c>
      <c r="D3187" t="str">
        <f>VLOOKUP(B3187,Tabela_Auxiliar[],2,0)</f>
        <v>1. Receita Operacional Bruta</v>
      </c>
      <c r="E3187" t="str">
        <f>VLOOKUP(B3187,Tabela_Auxiliar[],4,0)</f>
        <v>Receita Bruta</v>
      </c>
      <c r="F3187" t="str">
        <f>VLOOKUP(B3187,Tabela_Auxiliar[],3,0)</f>
        <v>Entrada</v>
      </c>
      <c r="G3187" t="str">
        <f>UPPER(TEXT(Tabela_DB[[#This Row],[DATA]],"mmm"))</f>
        <v>JUL</v>
      </c>
      <c r="H3187" t="str">
        <f>UPPER(TEXT(Tabela_DB[[#This Row],[DATA]],"aaaa"))</f>
        <v>2021</v>
      </c>
    </row>
    <row r="3188" spans="1:8" x14ac:dyDescent="0.25">
      <c r="A3188" s="2">
        <v>44393</v>
      </c>
      <c r="B3188" t="s">
        <v>37</v>
      </c>
      <c r="C3188">
        <v>-2585</v>
      </c>
      <c r="D3188" t="str">
        <f>VLOOKUP(B3188,Tabela_Auxiliar[],2,0)</f>
        <v>3. Custos do Produto/Mercadoria/Serviço</v>
      </c>
      <c r="E3188" t="str">
        <f>VLOOKUP(B3188,Tabela_Auxiliar[],4,0)</f>
        <v>Despesas c/ Produto</v>
      </c>
      <c r="F3188" t="str">
        <f>VLOOKUP(B3188,Tabela_Auxiliar[],3,0)</f>
        <v>Saída</v>
      </c>
      <c r="G3188" t="str">
        <f>UPPER(TEXT(Tabela_DB[[#This Row],[DATA]],"mmm"))</f>
        <v>JUL</v>
      </c>
      <c r="H3188" t="str">
        <f>UPPER(TEXT(Tabela_DB[[#This Row],[DATA]],"aaaa"))</f>
        <v>2021</v>
      </c>
    </row>
    <row r="3189" spans="1:8" x14ac:dyDescent="0.25">
      <c r="A3189" s="2">
        <v>44393</v>
      </c>
      <c r="B3189" t="s">
        <v>35</v>
      </c>
      <c r="C3189">
        <v>-1220</v>
      </c>
      <c r="D3189" t="str">
        <f>VLOOKUP(B3189,Tabela_Auxiliar[],2,0)</f>
        <v>2. Deduções da Receita</v>
      </c>
      <c r="E3189" t="str">
        <f>VLOOKUP(B3189,Tabela_Auxiliar[],4,0)</f>
        <v>Imposto</v>
      </c>
      <c r="F3189" t="str">
        <f>VLOOKUP(B3189,Tabela_Auxiliar[],3,0)</f>
        <v>Saída</v>
      </c>
      <c r="G3189" t="str">
        <f>UPPER(TEXT(Tabela_DB[[#This Row],[DATA]],"mmm"))</f>
        <v>JUL</v>
      </c>
      <c r="H3189" t="str">
        <f>UPPER(TEXT(Tabela_DB[[#This Row],[DATA]],"aaaa"))</f>
        <v>2021</v>
      </c>
    </row>
    <row r="3190" spans="1:8" x14ac:dyDescent="0.25">
      <c r="A3190" s="2">
        <v>44393</v>
      </c>
      <c r="B3190" t="s">
        <v>55</v>
      </c>
      <c r="C3190">
        <v>-1397</v>
      </c>
      <c r="D3190" t="str">
        <f>VLOOKUP(B3190,Tabela_Auxiliar[],2,0)</f>
        <v>4. Despesas Operacionais</v>
      </c>
      <c r="E3190" t="str">
        <f>VLOOKUP(B3190,Tabela_Auxiliar[],4,0)</f>
        <v>Despesa com Pessoal</v>
      </c>
      <c r="F3190" t="str">
        <f>VLOOKUP(B3190,Tabela_Auxiliar[],3,0)</f>
        <v>Saída</v>
      </c>
      <c r="G3190" t="str">
        <f>UPPER(TEXT(Tabela_DB[[#This Row],[DATA]],"mmm"))</f>
        <v>JUL</v>
      </c>
      <c r="H3190" t="str">
        <f>UPPER(TEXT(Tabela_DB[[#This Row],[DATA]],"aaaa"))</f>
        <v>2021</v>
      </c>
    </row>
    <row r="3191" spans="1:8" x14ac:dyDescent="0.25">
      <c r="A3191" s="2">
        <v>44393</v>
      </c>
      <c r="B3191" t="s">
        <v>3</v>
      </c>
      <c r="C3191">
        <v>12720</v>
      </c>
      <c r="D3191" t="str">
        <f>VLOOKUP(B3191,Tabela_Auxiliar[],2,0)</f>
        <v>1. Receita Operacional Bruta</v>
      </c>
      <c r="E3191" t="str">
        <f>VLOOKUP(B3191,Tabela_Auxiliar[],4,0)</f>
        <v>Receita Bruta</v>
      </c>
      <c r="F3191" t="str">
        <f>VLOOKUP(B3191,Tabela_Auxiliar[],3,0)</f>
        <v>Entrada</v>
      </c>
      <c r="G3191" t="str">
        <f>UPPER(TEXT(Tabela_DB[[#This Row],[DATA]],"mmm"))</f>
        <v>JUL</v>
      </c>
      <c r="H3191" t="str">
        <f>UPPER(TEXT(Tabela_DB[[#This Row],[DATA]],"aaaa"))</f>
        <v>2021</v>
      </c>
    </row>
    <row r="3192" spans="1:8" x14ac:dyDescent="0.25">
      <c r="A3192" s="2">
        <v>44393</v>
      </c>
      <c r="B3192" t="s">
        <v>70</v>
      </c>
      <c r="C3192">
        <v>-1922</v>
      </c>
      <c r="D3192" t="str">
        <f>VLOOKUP(B3192,Tabela_Auxiliar[],2,0)</f>
        <v>4. Despesas Operacionais</v>
      </c>
      <c r="E3192" t="str">
        <f>VLOOKUP(B3192,Tabela_Auxiliar[],4,0)</f>
        <v>Despesa com Ocupação</v>
      </c>
      <c r="F3192" t="str">
        <f>VLOOKUP(B3192,Tabela_Auxiliar[],3,0)</f>
        <v>Saída</v>
      </c>
      <c r="G3192" t="str">
        <f>UPPER(TEXT(Tabela_DB[[#This Row],[DATA]],"mmm"))</f>
        <v>JUL</v>
      </c>
      <c r="H3192" t="str">
        <f>UPPER(TEXT(Tabela_DB[[#This Row],[DATA]],"aaaa"))</f>
        <v>2021</v>
      </c>
    </row>
    <row r="3193" spans="1:8" x14ac:dyDescent="0.25">
      <c r="A3193" s="2">
        <v>44393</v>
      </c>
      <c r="B3193" t="s">
        <v>37</v>
      </c>
      <c r="C3193">
        <v>-2506</v>
      </c>
      <c r="D3193" t="str">
        <f>VLOOKUP(B3193,Tabela_Auxiliar[],2,0)</f>
        <v>3. Custos do Produto/Mercadoria/Serviço</v>
      </c>
      <c r="E3193" t="str">
        <f>VLOOKUP(B3193,Tabela_Auxiliar[],4,0)</f>
        <v>Despesas c/ Produto</v>
      </c>
      <c r="F3193" t="str">
        <f>VLOOKUP(B3193,Tabela_Auxiliar[],3,0)</f>
        <v>Saída</v>
      </c>
      <c r="G3193" t="str">
        <f>UPPER(TEXT(Tabela_DB[[#This Row],[DATA]],"mmm"))</f>
        <v>JUL</v>
      </c>
      <c r="H3193" t="str">
        <f>UPPER(TEXT(Tabela_DB[[#This Row],[DATA]],"aaaa"))</f>
        <v>2021</v>
      </c>
    </row>
    <row r="3194" spans="1:8" x14ac:dyDescent="0.25">
      <c r="A3194" s="2">
        <v>44393</v>
      </c>
      <c r="B3194" t="s">
        <v>3</v>
      </c>
      <c r="C3194">
        <v>12930</v>
      </c>
      <c r="D3194" t="str">
        <f>VLOOKUP(B3194,Tabela_Auxiliar[],2,0)</f>
        <v>1. Receita Operacional Bruta</v>
      </c>
      <c r="E3194" t="str">
        <f>VLOOKUP(B3194,Tabela_Auxiliar[],4,0)</f>
        <v>Receita Bruta</v>
      </c>
      <c r="F3194" t="str">
        <f>VLOOKUP(B3194,Tabela_Auxiliar[],3,0)</f>
        <v>Entrada</v>
      </c>
      <c r="G3194" t="str">
        <f>UPPER(TEXT(Tabela_DB[[#This Row],[DATA]],"mmm"))</f>
        <v>JUL</v>
      </c>
      <c r="H3194" t="str">
        <f>UPPER(TEXT(Tabela_DB[[#This Row],[DATA]],"aaaa"))</f>
        <v>2021</v>
      </c>
    </row>
    <row r="3195" spans="1:8" x14ac:dyDescent="0.25">
      <c r="A3195" s="2">
        <v>44393</v>
      </c>
      <c r="B3195" t="s">
        <v>58</v>
      </c>
      <c r="C3195">
        <v>-1877</v>
      </c>
      <c r="D3195" t="str">
        <f>VLOOKUP(B3195,Tabela_Auxiliar[],2,0)</f>
        <v>4. Despesas Operacionais</v>
      </c>
      <c r="E3195" t="str">
        <f>VLOOKUP(B3195,Tabela_Auxiliar[],4,0)</f>
        <v>Despesa de Depreciação</v>
      </c>
      <c r="F3195" t="str">
        <f>VLOOKUP(B3195,Tabela_Auxiliar[],3,0)</f>
        <v>Saída</v>
      </c>
      <c r="G3195" t="str">
        <f>UPPER(TEXT(Tabela_DB[[#This Row],[DATA]],"mmm"))</f>
        <v>JUL</v>
      </c>
      <c r="H3195" t="str">
        <f>UPPER(TEXT(Tabela_DB[[#This Row],[DATA]],"aaaa"))</f>
        <v>2021</v>
      </c>
    </row>
    <row r="3196" spans="1:8" x14ac:dyDescent="0.25">
      <c r="A3196" s="2">
        <v>44393</v>
      </c>
      <c r="B3196" t="s">
        <v>111</v>
      </c>
      <c r="C3196">
        <v>-2124</v>
      </c>
      <c r="D3196" t="str">
        <f>VLOOKUP(B3196,Tabela_Auxiliar[],2,0)</f>
        <v>2. Deduções da Receita</v>
      </c>
      <c r="E3196" t="str">
        <f>VLOOKUP(B3196,Tabela_Auxiliar[],4,0)</f>
        <v>Imposto</v>
      </c>
      <c r="F3196" t="str">
        <f>VLOOKUP(B3196,Tabela_Auxiliar[],3,0)</f>
        <v>Saída</v>
      </c>
      <c r="G3196" t="str">
        <f>UPPER(TEXT(Tabela_DB[[#This Row],[DATA]],"mmm"))</f>
        <v>JUL</v>
      </c>
      <c r="H3196" t="str">
        <f>UPPER(TEXT(Tabela_DB[[#This Row],[DATA]],"aaaa"))</f>
        <v>2021</v>
      </c>
    </row>
    <row r="3197" spans="1:8" x14ac:dyDescent="0.25">
      <c r="A3197" s="2">
        <v>44393</v>
      </c>
      <c r="B3197" t="s">
        <v>48</v>
      </c>
      <c r="C3197">
        <v>-1060</v>
      </c>
      <c r="D3197" t="str">
        <f>VLOOKUP(B3197,Tabela_Auxiliar[],2,0)</f>
        <v>4. Despesas Operacionais</v>
      </c>
      <c r="E3197" t="str">
        <f>VLOOKUP(B3197,Tabela_Auxiliar[],4,0)</f>
        <v>Despesa com Pessoal</v>
      </c>
      <c r="F3197" t="str">
        <f>VLOOKUP(B3197,Tabela_Auxiliar[],3,0)</f>
        <v>Saída</v>
      </c>
      <c r="G3197" t="str">
        <f>UPPER(TEXT(Tabela_DB[[#This Row],[DATA]],"mmm"))</f>
        <v>JUL</v>
      </c>
      <c r="H3197" t="str">
        <f>UPPER(TEXT(Tabela_DB[[#This Row],[DATA]],"aaaa"))</f>
        <v>2021</v>
      </c>
    </row>
    <row r="3198" spans="1:8" x14ac:dyDescent="0.25">
      <c r="A3198" s="2">
        <v>44393</v>
      </c>
      <c r="B3198" t="s">
        <v>111</v>
      </c>
      <c r="C3198">
        <v>-1625</v>
      </c>
      <c r="D3198" t="str">
        <f>VLOOKUP(B3198,Tabela_Auxiliar[],2,0)</f>
        <v>2. Deduções da Receita</v>
      </c>
      <c r="E3198" t="str">
        <f>VLOOKUP(B3198,Tabela_Auxiliar[],4,0)</f>
        <v>Imposto</v>
      </c>
      <c r="F3198" t="str">
        <f>VLOOKUP(B3198,Tabela_Auxiliar[],3,0)</f>
        <v>Saída</v>
      </c>
      <c r="G3198" t="str">
        <f>UPPER(TEXT(Tabela_DB[[#This Row],[DATA]],"mmm"))</f>
        <v>JUL</v>
      </c>
      <c r="H3198" t="str">
        <f>UPPER(TEXT(Tabela_DB[[#This Row],[DATA]],"aaaa"))</f>
        <v>2021</v>
      </c>
    </row>
    <row r="3199" spans="1:8" x14ac:dyDescent="0.25">
      <c r="A3199" s="2">
        <v>44393</v>
      </c>
      <c r="B3199" t="s">
        <v>34</v>
      </c>
      <c r="C3199">
        <v>-1458</v>
      </c>
      <c r="D3199" t="str">
        <f>VLOOKUP(B3199,Tabela_Auxiliar[],2,0)</f>
        <v>2. Deduções da Receita</v>
      </c>
      <c r="E3199" t="str">
        <f>VLOOKUP(B3199,Tabela_Auxiliar[],4,0)</f>
        <v>Imposto</v>
      </c>
      <c r="F3199" t="str">
        <f>VLOOKUP(B3199,Tabela_Auxiliar[],3,0)</f>
        <v>Saída</v>
      </c>
      <c r="G3199" t="str">
        <f>UPPER(TEXT(Tabela_DB[[#This Row],[DATA]],"mmm"))</f>
        <v>JUL</v>
      </c>
      <c r="H3199" t="str">
        <f>UPPER(TEXT(Tabela_DB[[#This Row],[DATA]],"aaaa"))</f>
        <v>2021</v>
      </c>
    </row>
    <row r="3200" spans="1:8" x14ac:dyDescent="0.25">
      <c r="A3200" s="2">
        <v>44393</v>
      </c>
      <c r="B3200" t="s">
        <v>111</v>
      </c>
      <c r="C3200">
        <v>-1773</v>
      </c>
      <c r="D3200" t="str">
        <f>VLOOKUP(B3200,Tabela_Auxiliar[],2,0)</f>
        <v>2. Deduções da Receita</v>
      </c>
      <c r="E3200" t="str">
        <f>VLOOKUP(B3200,Tabela_Auxiliar[],4,0)</f>
        <v>Imposto</v>
      </c>
      <c r="F3200" t="str">
        <f>VLOOKUP(B3200,Tabela_Auxiliar[],3,0)</f>
        <v>Saída</v>
      </c>
      <c r="G3200" t="str">
        <f>UPPER(TEXT(Tabela_DB[[#This Row],[DATA]],"mmm"))</f>
        <v>JUL</v>
      </c>
      <c r="H3200" t="str">
        <f>UPPER(TEXT(Tabela_DB[[#This Row],[DATA]],"aaaa"))</f>
        <v>2021</v>
      </c>
    </row>
    <row r="3201" spans="1:8" x14ac:dyDescent="0.25">
      <c r="A3201" s="2">
        <v>44393</v>
      </c>
      <c r="B3201" t="s">
        <v>101</v>
      </c>
      <c r="C3201">
        <v>-1127</v>
      </c>
      <c r="D3201" t="str">
        <f>VLOOKUP(B3201,Tabela_Auxiliar[],2,0)</f>
        <v>5. Resultado Financeiro</v>
      </c>
      <c r="E3201" t="str">
        <f>VLOOKUP(B3201,Tabela_Auxiliar[],4,0)</f>
        <v>Despesa Financeira</v>
      </c>
      <c r="F3201" t="str">
        <f>VLOOKUP(B3201,Tabela_Auxiliar[],3,0)</f>
        <v>Saída</v>
      </c>
      <c r="G3201" t="str">
        <f>UPPER(TEXT(Tabela_DB[[#This Row],[DATA]],"mmm"))</f>
        <v>JUL</v>
      </c>
      <c r="H3201" t="str">
        <f>UPPER(TEXT(Tabela_DB[[#This Row],[DATA]],"aaaa"))</f>
        <v>2021</v>
      </c>
    </row>
    <row r="3202" spans="1:8" x14ac:dyDescent="0.25">
      <c r="A3202" s="2">
        <v>44393</v>
      </c>
      <c r="B3202" t="s">
        <v>76</v>
      </c>
      <c r="C3202">
        <v>-2435</v>
      </c>
      <c r="D3202" t="str">
        <f>VLOOKUP(B3202,Tabela_Auxiliar[],2,0)</f>
        <v>4. Despesas Operacionais</v>
      </c>
      <c r="E3202" t="str">
        <f>VLOOKUP(B3202,Tabela_Auxiliar[],4,0)</f>
        <v>Serviços Contratados</v>
      </c>
      <c r="F3202" t="str">
        <f>VLOOKUP(B3202,Tabela_Auxiliar[],3,0)</f>
        <v>Saída</v>
      </c>
      <c r="G3202" t="str">
        <f>UPPER(TEXT(Tabela_DB[[#This Row],[DATA]],"mmm"))</f>
        <v>JUL</v>
      </c>
      <c r="H3202" t="str">
        <f>UPPER(TEXT(Tabela_DB[[#This Row],[DATA]],"aaaa"))</f>
        <v>2021</v>
      </c>
    </row>
    <row r="3203" spans="1:8" x14ac:dyDescent="0.25">
      <c r="A3203" s="2">
        <v>44393</v>
      </c>
      <c r="B3203" t="s">
        <v>81</v>
      </c>
      <c r="C3203">
        <v>-1002</v>
      </c>
      <c r="D3203" t="str">
        <f>VLOOKUP(B3203,Tabela_Auxiliar[],2,0)</f>
        <v>4. Despesas Operacionais</v>
      </c>
      <c r="E3203" t="str">
        <f>VLOOKUP(B3203,Tabela_Auxiliar[],4,0)</f>
        <v>Serviços Contratados</v>
      </c>
      <c r="F3203" t="str">
        <f>VLOOKUP(B3203,Tabela_Auxiliar[],3,0)</f>
        <v>Saída</v>
      </c>
      <c r="G3203" t="str">
        <f>UPPER(TEXT(Tabela_DB[[#This Row],[DATA]],"mmm"))</f>
        <v>JUL</v>
      </c>
      <c r="H3203" t="str">
        <f>UPPER(TEXT(Tabela_DB[[#This Row],[DATA]],"aaaa"))</f>
        <v>2021</v>
      </c>
    </row>
    <row r="3204" spans="1:8" x14ac:dyDescent="0.25">
      <c r="A3204" s="2">
        <v>44393</v>
      </c>
      <c r="B3204" t="s">
        <v>4</v>
      </c>
      <c r="C3204">
        <v>11063</v>
      </c>
      <c r="D3204" t="str">
        <f>VLOOKUP(B3204,Tabela_Auxiliar[],2,0)</f>
        <v>1. Receita Operacional Bruta</v>
      </c>
      <c r="E3204" t="str">
        <f>VLOOKUP(B3204,Tabela_Auxiliar[],4,0)</f>
        <v>Receita Bruta</v>
      </c>
      <c r="F3204" t="str">
        <f>VLOOKUP(B3204,Tabela_Auxiliar[],3,0)</f>
        <v>Entrada</v>
      </c>
      <c r="G3204" t="str">
        <f>UPPER(TEXT(Tabela_DB[[#This Row],[DATA]],"mmm"))</f>
        <v>JUL</v>
      </c>
      <c r="H3204" t="str">
        <f>UPPER(TEXT(Tabela_DB[[#This Row],[DATA]],"aaaa"))</f>
        <v>2021</v>
      </c>
    </row>
    <row r="3205" spans="1:8" x14ac:dyDescent="0.25">
      <c r="A3205" s="2">
        <v>44393</v>
      </c>
      <c r="B3205" t="s">
        <v>38</v>
      </c>
      <c r="C3205">
        <v>-1573</v>
      </c>
      <c r="D3205" t="str">
        <f>VLOOKUP(B3205,Tabela_Auxiliar[],2,0)</f>
        <v>2. Deduções da Receita</v>
      </c>
      <c r="E3205" t="str">
        <f>VLOOKUP(B3205,Tabela_Auxiliar[],4,0)</f>
        <v>Deduções</v>
      </c>
      <c r="F3205" t="str">
        <f>VLOOKUP(B3205,Tabela_Auxiliar[],3,0)</f>
        <v>Saída</v>
      </c>
      <c r="G3205" t="str">
        <f>UPPER(TEXT(Tabela_DB[[#This Row],[DATA]],"mmm"))</f>
        <v>JUL</v>
      </c>
      <c r="H3205" t="str">
        <f>UPPER(TEXT(Tabela_DB[[#This Row],[DATA]],"aaaa"))</f>
        <v>2021</v>
      </c>
    </row>
    <row r="3206" spans="1:8" x14ac:dyDescent="0.25">
      <c r="A3206" s="2">
        <v>44393</v>
      </c>
      <c r="B3206" t="s">
        <v>111</v>
      </c>
      <c r="C3206">
        <v>-1115</v>
      </c>
      <c r="D3206" t="str">
        <f>VLOOKUP(B3206,Tabela_Auxiliar[],2,0)</f>
        <v>2. Deduções da Receita</v>
      </c>
      <c r="E3206" t="str">
        <f>VLOOKUP(B3206,Tabela_Auxiliar[],4,0)</f>
        <v>Imposto</v>
      </c>
      <c r="F3206" t="str">
        <f>VLOOKUP(B3206,Tabela_Auxiliar[],3,0)</f>
        <v>Saída</v>
      </c>
      <c r="G3206" t="str">
        <f>UPPER(TEXT(Tabela_DB[[#This Row],[DATA]],"mmm"))</f>
        <v>JUL</v>
      </c>
      <c r="H3206" t="str">
        <f>UPPER(TEXT(Tabela_DB[[#This Row],[DATA]],"aaaa"))</f>
        <v>2021</v>
      </c>
    </row>
    <row r="3207" spans="1:8" x14ac:dyDescent="0.25">
      <c r="A3207" s="2">
        <v>44393</v>
      </c>
      <c r="B3207" t="s">
        <v>37</v>
      </c>
      <c r="C3207">
        <v>-4545</v>
      </c>
      <c r="D3207" t="str">
        <f>VLOOKUP(B3207,Tabela_Auxiliar[],2,0)</f>
        <v>3. Custos do Produto/Mercadoria/Serviço</v>
      </c>
      <c r="E3207" t="str">
        <f>VLOOKUP(B3207,Tabela_Auxiliar[],4,0)</f>
        <v>Despesas c/ Produto</v>
      </c>
      <c r="F3207" t="str">
        <f>VLOOKUP(B3207,Tabela_Auxiliar[],3,0)</f>
        <v>Saída</v>
      </c>
      <c r="G3207" t="str">
        <f>UPPER(TEXT(Tabela_DB[[#This Row],[DATA]],"mmm"))</f>
        <v>JUL</v>
      </c>
      <c r="H3207" t="str">
        <f>UPPER(TEXT(Tabela_DB[[#This Row],[DATA]],"aaaa"))</f>
        <v>2021</v>
      </c>
    </row>
    <row r="3208" spans="1:8" x14ac:dyDescent="0.25">
      <c r="A3208" s="2">
        <v>44394</v>
      </c>
      <c r="B3208" t="s">
        <v>111</v>
      </c>
      <c r="C3208">
        <v>-1975</v>
      </c>
      <c r="D3208" t="str">
        <f>VLOOKUP(B3208,Tabela_Auxiliar[],2,0)</f>
        <v>2. Deduções da Receita</v>
      </c>
      <c r="E3208" t="str">
        <f>VLOOKUP(B3208,Tabela_Auxiliar[],4,0)</f>
        <v>Imposto</v>
      </c>
      <c r="F3208" t="str">
        <f>VLOOKUP(B3208,Tabela_Auxiliar[],3,0)</f>
        <v>Saída</v>
      </c>
      <c r="G3208" t="str">
        <f>UPPER(TEXT(Tabela_DB[[#This Row],[DATA]],"mmm"))</f>
        <v>JUL</v>
      </c>
      <c r="H3208" t="str">
        <f>UPPER(TEXT(Tabela_DB[[#This Row],[DATA]],"aaaa"))</f>
        <v>2021</v>
      </c>
    </row>
    <row r="3209" spans="1:8" x14ac:dyDescent="0.25">
      <c r="A3209" s="2">
        <v>44394</v>
      </c>
      <c r="B3209" t="s">
        <v>37</v>
      </c>
      <c r="C3209">
        <v>-4984</v>
      </c>
      <c r="D3209" t="str">
        <f>VLOOKUP(B3209,Tabela_Auxiliar[],2,0)</f>
        <v>3. Custos do Produto/Mercadoria/Serviço</v>
      </c>
      <c r="E3209" t="str">
        <f>VLOOKUP(B3209,Tabela_Auxiliar[],4,0)</f>
        <v>Despesas c/ Produto</v>
      </c>
      <c r="F3209" t="str">
        <f>VLOOKUP(B3209,Tabela_Auxiliar[],3,0)</f>
        <v>Saída</v>
      </c>
      <c r="G3209" t="str">
        <f>UPPER(TEXT(Tabela_DB[[#This Row],[DATA]],"mmm"))</f>
        <v>JUL</v>
      </c>
      <c r="H3209" t="str">
        <f>UPPER(TEXT(Tabela_DB[[#This Row],[DATA]],"aaaa"))</f>
        <v>2021</v>
      </c>
    </row>
    <row r="3210" spans="1:8" x14ac:dyDescent="0.25">
      <c r="A3210" s="2">
        <v>44394</v>
      </c>
      <c r="B3210" t="s">
        <v>34</v>
      </c>
      <c r="C3210">
        <v>-1553</v>
      </c>
      <c r="D3210" t="str">
        <f>VLOOKUP(B3210,Tabela_Auxiliar[],2,0)</f>
        <v>2. Deduções da Receita</v>
      </c>
      <c r="E3210" t="str">
        <f>VLOOKUP(B3210,Tabela_Auxiliar[],4,0)</f>
        <v>Imposto</v>
      </c>
      <c r="F3210" t="str">
        <f>VLOOKUP(B3210,Tabela_Auxiliar[],3,0)</f>
        <v>Saída</v>
      </c>
      <c r="G3210" t="str">
        <f>UPPER(TEXT(Tabela_DB[[#This Row],[DATA]],"mmm"))</f>
        <v>JUL</v>
      </c>
      <c r="H3210" t="str">
        <f>UPPER(TEXT(Tabela_DB[[#This Row],[DATA]],"aaaa"))</f>
        <v>2021</v>
      </c>
    </row>
    <row r="3211" spans="1:8" x14ac:dyDescent="0.25">
      <c r="A3211" s="2">
        <v>44394</v>
      </c>
      <c r="B3211" t="s">
        <v>111</v>
      </c>
      <c r="C3211">
        <v>-1412</v>
      </c>
      <c r="D3211" t="str">
        <f>VLOOKUP(B3211,Tabela_Auxiliar[],2,0)</f>
        <v>2. Deduções da Receita</v>
      </c>
      <c r="E3211" t="str">
        <f>VLOOKUP(B3211,Tabela_Auxiliar[],4,0)</f>
        <v>Imposto</v>
      </c>
      <c r="F3211" t="str">
        <f>VLOOKUP(B3211,Tabela_Auxiliar[],3,0)</f>
        <v>Saída</v>
      </c>
      <c r="G3211" t="str">
        <f>UPPER(TEXT(Tabela_DB[[#This Row],[DATA]],"mmm"))</f>
        <v>JUL</v>
      </c>
      <c r="H3211" t="str">
        <f>UPPER(TEXT(Tabela_DB[[#This Row],[DATA]],"aaaa"))</f>
        <v>2021</v>
      </c>
    </row>
    <row r="3212" spans="1:8" x14ac:dyDescent="0.25">
      <c r="A3212" s="2">
        <v>44394</v>
      </c>
      <c r="B3212" t="s">
        <v>111</v>
      </c>
      <c r="C3212">
        <v>-2285</v>
      </c>
      <c r="D3212" t="str">
        <f>VLOOKUP(B3212,Tabela_Auxiliar[],2,0)</f>
        <v>2. Deduções da Receita</v>
      </c>
      <c r="E3212" t="str">
        <f>VLOOKUP(B3212,Tabela_Auxiliar[],4,0)</f>
        <v>Imposto</v>
      </c>
      <c r="F3212" t="str">
        <f>VLOOKUP(B3212,Tabela_Auxiliar[],3,0)</f>
        <v>Saída</v>
      </c>
      <c r="G3212" t="str">
        <f>UPPER(TEXT(Tabela_DB[[#This Row],[DATA]],"mmm"))</f>
        <v>JUL</v>
      </c>
      <c r="H3212" t="str">
        <f>UPPER(TEXT(Tabela_DB[[#This Row],[DATA]],"aaaa"))</f>
        <v>2021</v>
      </c>
    </row>
    <row r="3213" spans="1:8" x14ac:dyDescent="0.25">
      <c r="A3213" s="2">
        <v>44394</v>
      </c>
      <c r="B3213" t="s">
        <v>3</v>
      </c>
      <c r="C3213">
        <v>11766</v>
      </c>
      <c r="D3213" t="str">
        <f>VLOOKUP(B3213,Tabela_Auxiliar[],2,0)</f>
        <v>1. Receita Operacional Bruta</v>
      </c>
      <c r="E3213" t="str">
        <f>VLOOKUP(B3213,Tabela_Auxiliar[],4,0)</f>
        <v>Receita Bruta</v>
      </c>
      <c r="F3213" t="str">
        <f>VLOOKUP(B3213,Tabela_Auxiliar[],3,0)</f>
        <v>Entrada</v>
      </c>
      <c r="G3213" t="str">
        <f>UPPER(TEXT(Tabela_DB[[#This Row],[DATA]],"mmm"))</f>
        <v>JUL</v>
      </c>
      <c r="H3213" t="str">
        <f>UPPER(TEXT(Tabela_DB[[#This Row],[DATA]],"aaaa"))</f>
        <v>2021</v>
      </c>
    </row>
    <row r="3214" spans="1:8" x14ac:dyDescent="0.25">
      <c r="A3214" s="2">
        <v>44394</v>
      </c>
      <c r="B3214" t="s">
        <v>111</v>
      </c>
      <c r="C3214">
        <v>-1795</v>
      </c>
      <c r="D3214" t="str">
        <f>VLOOKUP(B3214,Tabela_Auxiliar[],2,0)</f>
        <v>2. Deduções da Receita</v>
      </c>
      <c r="E3214" t="str">
        <f>VLOOKUP(B3214,Tabela_Auxiliar[],4,0)</f>
        <v>Imposto</v>
      </c>
      <c r="F3214" t="str">
        <f>VLOOKUP(B3214,Tabela_Auxiliar[],3,0)</f>
        <v>Saída</v>
      </c>
      <c r="G3214" t="str">
        <f>UPPER(TEXT(Tabela_DB[[#This Row],[DATA]],"mmm"))</f>
        <v>JUL</v>
      </c>
      <c r="H3214" t="str">
        <f>UPPER(TEXT(Tabela_DB[[#This Row],[DATA]],"aaaa"))</f>
        <v>2021</v>
      </c>
    </row>
    <row r="3215" spans="1:8" x14ac:dyDescent="0.25">
      <c r="A3215" s="2">
        <v>44394</v>
      </c>
      <c r="B3215" t="s">
        <v>83</v>
      </c>
      <c r="C3215">
        <v>-1432</v>
      </c>
      <c r="D3215" t="str">
        <f>VLOOKUP(B3215,Tabela_Auxiliar[],2,0)</f>
        <v>4. Despesas Operacionais</v>
      </c>
      <c r="E3215" t="str">
        <f>VLOOKUP(B3215,Tabela_Auxiliar[],4,0)</f>
        <v>Despesa com Veículos</v>
      </c>
      <c r="F3215" t="str">
        <f>VLOOKUP(B3215,Tabela_Auxiliar[],3,0)</f>
        <v>Saída</v>
      </c>
      <c r="G3215" t="str">
        <f>UPPER(TEXT(Tabela_DB[[#This Row],[DATA]],"mmm"))</f>
        <v>JUL</v>
      </c>
      <c r="H3215" t="str">
        <f>UPPER(TEXT(Tabela_DB[[#This Row],[DATA]],"aaaa"))</f>
        <v>2021</v>
      </c>
    </row>
    <row r="3216" spans="1:8" x14ac:dyDescent="0.25">
      <c r="A3216" s="2">
        <v>44394</v>
      </c>
      <c r="B3216" t="s">
        <v>4</v>
      </c>
      <c r="C3216">
        <v>13439</v>
      </c>
      <c r="D3216" t="str">
        <f>VLOOKUP(B3216,Tabela_Auxiliar[],2,0)</f>
        <v>1. Receita Operacional Bruta</v>
      </c>
      <c r="E3216" t="str">
        <f>VLOOKUP(B3216,Tabela_Auxiliar[],4,0)</f>
        <v>Receita Bruta</v>
      </c>
      <c r="F3216" t="str">
        <f>VLOOKUP(B3216,Tabela_Auxiliar[],3,0)</f>
        <v>Entrada</v>
      </c>
      <c r="G3216" t="str">
        <f>UPPER(TEXT(Tabela_DB[[#This Row],[DATA]],"mmm"))</f>
        <v>JUL</v>
      </c>
      <c r="H3216" t="str">
        <f>UPPER(TEXT(Tabela_DB[[#This Row],[DATA]],"aaaa"))</f>
        <v>2021</v>
      </c>
    </row>
    <row r="3217" spans="1:8" x14ac:dyDescent="0.25">
      <c r="A3217" s="2">
        <v>44394</v>
      </c>
      <c r="B3217" t="s">
        <v>38</v>
      </c>
      <c r="C3217">
        <v>-1482</v>
      </c>
      <c r="D3217" t="str">
        <f>VLOOKUP(B3217,Tabela_Auxiliar[],2,0)</f>
        <v>2. Deduções da Receita</v>
      </c>
      <c r="E3217" t="str">
        <f>VLOOKUP(B3217,Tabela_Auxiliar[],4,0)</f>
        <v>Deduções</v>
      </c>
      <c r="F3217" t="str">
        <f>VLOOKUP(B3217,Tabela_Auxiliar[],3,0)</f>
        <v>Saída</v>
      </c>
      <c r="G3217" t="str">
        <f>UPPER(TEXT(Tabela_DB[[#This Row],[DATA]],"mmm"))</f>
        <v>JUL</v>
      </c>
      <c r="H3217" t="str">
        <f>UPPER(TEXT(Tabela_DB[[#This Row],[DATA]],"aaaa"))</f>
        <v>2021</v>
      </c>
    </row>
    <row r="3218" spans="1:8" x14ac:dyDescent="0.25">
      <c r="A3218" s="2">
        <v>44394</v>
      </c>
      <c r="B3218" t="s">
        <v>35</v>
      </c>
      <c r="C3218">
        <v>-1539</v>
      </c>
      <c r="D3218" t="str">
        <f>VLOOKUP(B3218,Tabela_Auxiliar[],2,0)</f>
        <v>2. Deduções da Receita</v>
      </c>
      <c r="E3218" t="str">
        <f>VLOOKUP(B3218,Tabela_Auxiliar[],4,0)</f>
        <v>Imposto</v>
      </c>
      <c r="F3218" t="str">
        <f>VLOOKUP(B3218,Tabela_Auxiliar[],3,0)</f>
        <v>Saída</v>
      </c>
      <c r="G3218" t="str">
        <f>UPPER(TEXT(Tabela_DB[[#This Row],[DATA]],"mmm"))</f>
        <v>JUL</v>
      </c>
      <c r="H3218" t="str">
        <f>UPPER(TEXT(Tabela_DB[[#This Row],[DATA]],"aaaa"))</f>
        <v>2021</v>
      </c>
    </row>
    <row r="3219" spans="1:8" x14ac:dyDescent="0.25">
      <c r="A3219" s="2">
        <v>44394</v>
      </c>
      <c r="B3219" t="s">
        <v>102</v>
      </c>
      <c r="C3219">
        <v>-2118</v>
      </c>
      <c r="D3219" t="str">
        <f>VLOOKUP(B3219,Tabela_Auxiliar[],2,0)</f>
        <v>6. Resultado após o Resultado Financeiro</v>
      </c>
      <c r="E3219" t="str">
        <f>VLOOKUP(B3219,Tabela_Auxiliar[],4,0)</f>
        <v>EBTIDA</v>
      </c>
      <c r="F3219" t="str">
        <f>VLOOKUP(B3219,Tabela_Auxiliar[],3,0)</f>
        <v>Saída</v>
      </c>
      <c r="G3219" t="str">
        <f>UPPER(TEXT(Tabela_DB[[#This Row],[DATA]],"mmm"))</f>
        <v>JUL</v>
      </c>
      <c r="H3219" t="str">
        <f>UPPER(TEXT(Tabela_DB[[#This Row],[DATA]],"aaaa"))</f>
        <v>2021</v>
      </c>
    </row>
    <row r="3220" spans="1:8" x14ac:dyDescent="0.25">
      <c r="A3220" s="2">
        <v>44395</v>
      </c>
      <c r="B3220" t="s">
        <v>38</v>
      </c>
      <c r="C3220">
        <v>-1913</v>
      </c>
      <c r="D3220" t="str">
        <f>VLOOKUP(B3220,Tabela_Auxiliar[],2,0)</f>
        <v>2. Deduções da Receita</v>
      </c>
      <c r="E3220" t="str">
        <f>VLOOKUP(B3220,Tabela_Auxiliar[],4,0)</f>
        <v>Deduções</v>
      </c>
      <c r="F3220" t="str">
        <f>VLOOKUP(B3220,Tabela_Auxiliar[],3,0)</f>
        <v>Saída</v>
      </c>
      <c r="G3220" t="str">
        <f>UPPER(TEXT(Tabela_DB[[#This Row],[DATA]],"mmm"))</f>
        <v>JUL</v>
      </c>
      <c r="H3220" t="str">
        <f>UPPER(TEXT(Tabela_DB[[#This Row],[DATA]],"aaaa"))</f>
        <v>2021</v>
      </c>
    </row>
    <row r="3221" spans="1:8" x14ac:dyDescent="0.25">
      <c r="A3221" s="2">
        <v>44395</v>
      </c>
      <c r="B3221" t="s">
        <v>34</v>
      </c>
      <c r="C3221">
        <v>-2482</v>
      </c>
      <c r="D3221" t="str">
        <f>VLOOKUP(B3221,Tabela_Auxiliar[],2,0)</f>
        <v>2. Deduções da Receita</v>
      </c>
      <c r="E3221" t="str">
        <f>VLOOKUP(B3221,Tabela_Auxiliar[],4,0)</f>
        <v>Imposto</v>
      </c>
      <c r="F3221" t="str">
        <f>VLOOKUP(B3221,Tabela_Auxiliar[],3,0)</f>
        <v>Saída</v>
      </c>
      <c r="G3221" t="str">
        <f>UPPER(TEXT(Tabela_DB[[#This Row],[DATA]],"mmm"))</f>
        <v>JUL</v>
      </c>
      <c r="H3221" t="str">
        <f>UPPER(TEXT(Tabela_DB[[#This Row],[DATA]],"aaaa"))</f>
        <v>2021</v>
      </c>
    </row>
    <row r="3222" spans="1:8" x14ac:dyDescent="0.25">
      <c r="A3222" s="2">
        <v>44395</v>
      </c>
      <c r="B3222" t="s">
        <v>4</v>
      </c>
      <c r="C3222">
        <v>10707</v>
      </c>
      <c r="D3222" t="str">
        <f>VLOOKUP(B3222,Tabela_Auxiliar[],2,0)</f>
        <v>1. Receita Operacional Bruta</v>
      </c>
      <c r="E3222" t="str">
        <f>VLOOKUP(B3222,Tabela_Auxiliar[],4,0)</f>
        <v>Receita Bruta</v>
      </c>
      <c r="F3222" t="str">
        <f>VLOOKUP(B3222,Tabela_Auxiliar[],3,0)</f>
        <v>Entrada</v>
      </c>
      <c r="G3222" t="str">
        <f>UPPER(TEXT(Tabela_DB[[#This Row],[DATA]],"mmm"))</f>
        <v>JUL</v>
      </c>
      <c r="H3222" t="str">
        <f>UPPER(TEXT(Tabela_DB[[#This Row],[DATA]],"aaaa"))</f>
        <v>2021</v>
      </c>
    </row>
    <row r="3223" spans="1:8" x14ac:dyDescent="0.25">
      <c r="A3223" s="2">
        <v>44395</v>
      </c>
      <c r="B3223" t="s">
        <v>34</v>
      </c>
      <c r="C3223">
        <v>-1621</v>
      </c>
      <c r="D3223" t="str">
        <f>VLOOKUP(B3223,Tabela_Auxiliar[],2,0)</f>
        <v>2. Deduções da Receita</v>
      </c>
      <c r="E3223" t="str">
        <f>VLOOKUP(B3223,Tabela_Auxiliar[],4,0)</f>
        <v>Imposto</v>
      </c>
      <c r="F3223" t="str">
        <f>VLOOKUP(B3223,Tabela_Auxiliar[],3,0)</f>
        <v>Saída</v>
      </c>
      <c r="G3223" t="str">
        <f>UPPER(TEXT(Tabela_DB[[#This Row],[DATA]],"mmm"))</f>
        <v>JUL</v>
      </c>
      <c r="H3223" t="str">
        <f>UPPER(TEXT(Tabela_DB[[#This Row],[DATA]],"aaaa"))</f>
        <v>2021</v>
      </c>
    </row>
    <row r="3224" spans="1:8" x14ac:dyDescent="0.25">
      <c r="A3224" s="2">
        <v>44395</v>
      </c>
      <c r="B3224" t="s">
        <v>68</v>
      </c>
      <c r="C3224">
        <v>-1669</v>
      </c>
      <c r="D3224" t="str">
        <f>VLOOKUP(B3224,Tabela_Auxiliar[],2,0)</f>
        <v>4. Despesas Operacionais</v>
      </c>
      <c r="E3224" t="str">
        <f>VLOOKUP(B3224,Tabela_Auxiliar[],4,0)</f>
        <v>Despesa com Ocupação</v>
      </c>
      <c r="F3224" t="str">
        <f>VLOOKUP(B3224,Tabela_Auxiliar[],3,0)</f>
        <v>Saída</v>
      </c>
      <c r="G3224" t="str">
        <f>UPPER(TEXT(Tabela_DB[[#This Row],[DATA]],"mmm"))</f>
        <v>JUL</v>
      </c>
      <c r="H3224" t="str">
        <f>UPPER(TEXT(Tabela_DB[[#This Row],[DATA]],"aaaa"))</f>
        <v>2021</v>
      </c>
    </row>
    <row r="3225" spans="1:8" x14ac:dyDescent="0.25">
      <c r="A3225" s="2">
        <v>44395</v>
      </c>
      <c r="B3225" t="s">
        <v>38</v>
      </c>
      <c r="C3225">
        <v>-1683</v>
      </c>
      <c r="D3225" t="str">
        <f>VLOOKUP(B3225,Tabela_Auxiliar[],2,0)</f>
        <v>2. Deduções da Receita</v>
      </c>
      <c r="E3225" t="str">
        <f>VLOOKUP(B3225,Tabela_Auxiliar[],4,0)</f>
        <v>Deduções</v>
      </c>
      <c r="F3225" t="str">
        <f>VLOOKUP(B3225,Tabela_Auxiliar[],3,0)</f>
        <v>Saída</v>
      </c>
      <c r="G3225" t="str">
        <f>UPPER(TEXT(Tabela_DB[[#This Row],[DATA]],"mmm"))</f>
        <v>JUL</v>
      </c>
      <c r="H3225" t="str">
        <f>UPPER(TEXT(Tabela_DB[[#This Row],[DATA]],"aaaa"))</f>
        <v>2021</v>
      </c>
    </row>
    <row r="3226" spans="1:8" x14ac:dyDescent="0.25">
      <c r="A3226" s="2">
        <v>44395</v>
      </c>
      <c r="B3226" t="s">
        <v>3</v>
      </c>
      <c r="C3226">
        <v>13511</v>
      </c>
      <c r="D3226" t="str">
        <f>VLOOKUP(B3226,Tabela_Auxiliar[],2,0)</f>
        <v>1. Receita Operacional Bruta</v>
      </c>
      <c r="E3226" t="str">
        <f>VLOOKUP(B3226,Tabela_Auxiliar[],4,0)</f>
        <v>Receita Bruta</v>
      </c>
      <c r="F3226" t="str">
        <f>VLOOKUP(B3226,Tabela_Auxiliar[],3,0)</f>
        <v>Entrada</v>
      </c>
      <c r="G3226" t="str">
        <f>UPPER(TEXT(Tabela_DB[[#This Row],[DATA]],"mmm"))</f>
        <v>JUL</v>
      </c>
      <c r="H3226" t="str">
        <f>UPPER(TEXT(Tabela_DB[[#This Row],[DATA]],"aaaa"))</f>
        <v>2021</v>
      </c>
    </row>
    <row r="3227" spans="1:8" x14ac:dyDescent="0.25">
      <c r="A3227" s="2">
        <v>44395</v>
      </c>
      <c r="B3227" t="s">
        <v>37</v>
      </c>
      <c r="C3227">
        <v>-4814</v>
      </c>
      <c r="D3227" t="str">
        <f>VLOOKUP(B3227,Tabela_Auxiliar[],2,0)</f>
        <v>3. Custos do Produto/Mercadoria/Serviço</v>
      </c>
      <c r="E3227" t="str">
        <f>VLOOKUP(B3227,Tabela_Auxiliar[],4,0)</f>
        <v>Despesas c/ Produto</v>
      </c>
      <c r="F3227" t="str">
        <f>VLOOKUP(B3227,Tabela_Auxiliar[],3,0)</f>
        <v>Saída</v>
      </c>
      <c r="G3227" t="str">
        <f>UPPER(TEXT(Tabela_DB[[#This Row],[DATA]],"mmm"))</f>
        <v>JUL</v>
      </c>
      <c r="H3227" t="str">
        <f>UPPER(TEXT(Tabela_DB[[#This Row],[DATA]],"aaaa"))</f>
        <v>2021</v>
      </c>
    </row>
    <row r="3228" spans="1:8" x14ac:dyDescent="0.25">
      <c r="A3228" s="2">
        <v>44395</v>
      </c>
      <c r="B3228" t="s">
        <v>8</v>
      </c>
      <c r="C3228">
        <v>-2120</v>
      </c>
      <c r="D3228" t="str">
        <f>VLOOKUP(B3228,Tabela_Auxiliar[],2,0)</f>
        <v>4. Despesas Operacionais</v>
      </c>
      <c r="E3228" t="str">
        <f>VLOOKUP(B3228,Tabela_Auxiliar[],4,0)</f>
        <v>Despesa com Pessoal</v>
      </c>
      <c r="F3228" t="str">
        <f>VLOOKUP(B3228,Tabela_Auxiliar[],3,0)</f>
        <v>Saída</v>
      </c>
      <c r="G3228" t="str">
        <f>UPPER(TEXT(Tabela_DB[[#This Row],[DATA]],"mmm"))</f>
        <v>JUL</v>
      </c>
      <c r="H3228" t="str">
        <f>UPPER(TEXT(Tabela_DB[[#This Row],[DATA]],"aaaa"))</f>
        <v>2021</v>
      </c>
    </row>
    <row r="3229" spans="1:8" x14ac:dyDescent="0.25">
      <c r="A3229" s="2">
        <v>44395</v>
      </c>
      <c r="B3229" t="s">
        <v>37</v>
      </c>
      <c r="C3229">
        <v>-2788</v>
      </c>
      <c r="D3229" t="str">
        <f>VLOOKUP(B3229,Tabela_Auxiliar[],2,0)</f>
        <v>3. Custos do Produto/Mercadoria/Serviço</v>
      </c>
      <c r="E3229" t="str">
        <f>VLOOKUP(B3229,Tabela_Auxiliar[],4,0)</f>
        <v>Despesas c/ Produto</v>
      </c>
      <c r="F3229" t="str">
        <f>VLOOKUP(B3229,Tabela_Auxiliar[],3,0)</f>
        <v>Saída</v>
      </c>
      <c r="G3229" t="str">
        <f>UPPER(TEXT(Tabela_DB[[#This Row],[DATA]],"mmm"))</f>
        <v>JUL</v>
      </c>
      <c r="H3229" t="str">
        <f>UPPER(TEXT(Tabela_DB[[#This Row],[DATA]],"aaaa"))</f>
        <v>2021</v>
      </c>
    </row>
    <row r="3230" spans="1:8" x14ac:dyDescent="0.25">
      <c r="A3230" s="2">
        <v>44395</v>
      </c>
      <c r="B3230" t="s">
        <v>4</v>
      </c>
      <c r="C3230">
        <v>11061</v>
      </c>
      <c r="D3230" t="str">
        <f>VLOOKUP(B3230,Tabela_Auxiliar[],2,0)</f>
        <v>1. Receita Operacional Bruta</v>
      </c>
      <c r="E3230" t="str">
        <f>VLOOKUP(B3230,Tabela_Auxiliar[],4,0)</f>
        <v>Receita Bruta</v>
      </c>
      <c r="F3230" t="str">
        <f>VLOOKUP(B3230,Tabela_Auxiliar[],3,0)</f>
        <v>Entrada</v>
      </c>
      <c r="G3230" t="str">
        <f>UPPER(TEXT(Tabela_DB[[#This Row],[DATA]],"mmm"))</f>
        <v>JUL</v>
      </c>
      <c r="H3230" t="str">
        <f>UPPER(TEXT(Tabela_DB[[#This Row],[DATA]],"aaaa"))</f>
        <v>2021</v>
      </c>
    </row>
    <row r="3231" spans="1:8" x14ac:dyDescent="0.25">
      <c r="A3231" s="2">
        <v>44395</v>
      </c>
      <c r="B3231" t="s">
        <v>4</v>
      </c>
      <c r="C3231">
        <v>10940</v>
      </c>
      <c r="D3231" t="str">
        <f>VLOOKUP(B3231,Tabela_Auxiliar[],2,0)</f>
        <v>1. Receita Operacional Bruta</v>
      </c>
      <c r="E3231" t="str">
        <f>VLOOKUP(B3231,Tabela_Auxiliar[],4,0)</f>
        <v>Receita Bruta</v>
      </c>
      <c r="F3231" t="str">
        <f>VLOOKUP(B3231,Tabela_Auxiliar[],3,0)</f>
        <v>Entrada</v>
      </c>
      <c r="G3231" t="str">
        <f>UPPER(TEXT(Tabela_DB[[#This Row],[DATA]],"mmm"))</f>
        <v>JUL</v>
      </c>
      <c r="H3231" t="str">
        <f>UPPER(TEXT(Tabela_DB[[#This Row],[DATA]],"aaaa"))</f>
        <v>2021</v>
      </c>
    </row>
    <row r="3232" spans="1:8" x14ac:dyDescent="0.25">
      <c r="A3232" s="2">
        <v>44395</v>
      </c>
      <c r="B3232" t="s">
        <v>38</v>
      </c>
      <c r="C3232">
        <v>-2043</v>
      </c>
      <c r="D3232" t="str">
        <f>VLOOKUP(B3232,Tabela_Auxiliar[],2,0)</f>
        <v>2. Deduções da Receita</v>
      </c>
      <c r="E3232" t="str">
        <f>VLOOKUP(B3232,Tabela_Auxiliar[],4,0)</f>
        <v>Deduções</v>
      </c>
      <c r="F3232" t="str">
        <f>VLOOKUP(B3232,Tabela_Auxiliar[],3,0)</f>
        <v>Saída</v>
      </c>
      <c r="G3232" t="str">
        <f>UPPER(TEXT(Tabela_DB[[#This Row],[DATA]],"mmm"))</f>
        <v>JUL</v>
      </c>
      <c r="H3232" t="str">
        <f>UPPER(TEXT(Tabela_DB[[#This Row],[DATA]],"aaaa"))</f>
        <v>2021</v>
      </c>
    </row>
    <row r="3233" spans="1:8" x14ac:dyDescent="0.25">
      <c r="A3233" s="2">
        <v>44395</v>
      </c>
      <c r="B3233" t="s">
        <v>111</v>
      </c>
      <c r="C3233">
        <v>-1584</v>
      </c>
      <c r="D3233" t="str">
        <f>VLOOKUP(B3233,Tabela_Auxiliar[],2,0)</f>
        <v>2. Deduções da Receita</v>
      </c>
      <c r="E3233" t="str">
        <f>VLOOKUP(B3233,Tabela_Auxiliar[],4,0)</f>
        <v>Imposto</v>
      </c>
      <c r="F3233" t="str">
        <f>VLOOKUP(B3233,Tabela_Auxiliar[],3,0)</f>
        <v>Saída</v>
      </c>
      <c r="G3233" t="str">
        <f>UPPER(TEXT(Tabela_DB[[#This Row],[DATA]],"mmm"))</f>
        <v>JUL</v>
      </c>
      <c r="H3233" t="str">
        <f>UPPER(TEXT(Tabela_DB[[#This Row],[DATA]],"aaaa"))</f>
        <v>2021</v>
      </c>
    </row>
    <row r="3234" spans="1:8" x14ac:dyDescent="0.25">
      <c r="A3234" s="2">
        <v>44395</v>
      </c>
      <c r="B3234" t="s">
        <v>85</v>
      </c>
      <c r="C3234">
        <v>-1795</v>
      </c>
      <c r="D3234" t="str">
        <f>VLOOKUP(B3234,Tabela_Auxiliar[],2,0)</f>
        <v>4. Despesas Operacionais</v>
      </c>
      <c r="E3234" t="str">
        <f>VLOOKUP(B3234,Tabela_Auxiliar[],4,0)</f>
        <v>Despesa com Veículos</v>
      </c>
      <c r="F3234" t="str">
        <f>VLOOKUP(B3234,Tabela_Auxiliar[],3,0)</f>
        <v>Saída</v>
      </c>
      <c r="G3234" t="str">
        <f>UPPER(TEXT(Tabela_DB[[#This Row],[DATA]],"mmm"))</f>
        <v>JUL</v>
      </c>
      <c r="H3234" t="str">
        <f>UPPER(TEXT(Tabela_DB[[#This Row],[DATA]],"aaaa"))</f>
        <v>2021</v>
      </c>
    </row>
    <row r="3235" spans="1:8" x14ac:dyDescent="0.25">
      <c r="A3235" s="2">
        <v>44395</v>
      </c>
      <c r="B3235" t="s">
        <v>52</v>
      </c>
      <c r="C3235">
        <v>-1675</v>
      </c>
      <c r="D3235" t="str">
        <f>VLOOKUP(B3235,Tabela_Auxiliar[],2,0)</f>
        <v>4. Despesas Operacionais</v>
      </c>
      <c r="E3235" t="str">
        <f>VLOOKUP(B3235,Tabela_Auxiliar[],4,0)</f>
        <v>Despesa com Pessoal</v>
      </c>
      <c r="F3235" t="str">
        <f>VLOOKUP(B3235,Tabela_Auxiliar[],3,0)</f>
        <v>Saída</v>
      </c>
      <c r="G3235" t="str">
        <f>UPPER(TEXT(Tabela_DB[[#This Row],[DATA]],"mmm"))</f>
        <v>JUL</v>
      </c>
      <c r="H3235" t="str">
        <f>UPPER(TEXT(Tabela_DB[[#This Row],[DATA]],"aaaa"))</f>
        <v>2021</v>
      </c>
    </row>
    <row r="3236" spans="1:8" x14ac:dyDescent="0.25">
      <c r="A3236" s="2">
        <v>44396</v>
      </c>
      <c r="B3236" t="s">
        <v>111</v>
      </c>
      <c r="C3236">
        <v>-1241</v>
      </c>
      <c r="D3236" t="str">
        <f>VLOOKUP(B3236,Tabela_Auxiliar[],2,0)</f>
        <v>2. Deduções da Receita</v>
      </c>
      <c r="E3236" t="str">
        <f>VLOOKUP(B3236,Tabela_Auxiliar[],4,0)</f>
        <v>Imposto</v>
      </c>
      <c r="F3236" t="str">
        <f>VLOOKUP(B3236,Tabela_Auxiliar[],3,0)</f>
        <v>Saída</v>
      </c>
      <c r="G3236" t="str">
        <f>UPPER(TEXT(Tabela_DB[[#This Row],[DATA]],"mmm"))</f>
        <v>JUL</v>
      </c>
      <c r="H3236" t="str">
        <f>UPPER(TEXT(Tabela_DB[[#This Row],[DATA]],"aaaa"))</f>
        <v>2021</v>
      </c>
    </row>
    <row r="3237" spans="1:8" x14ac:dyDescent="0.25">
      <c r="A3237" s="2">
        <v>44396</v>
      </c>
      <c r="B3237" t="s">
        <v>34</v>
      </c>
      <c r="C3237">
        <v>-1911</v>
      </c>
      <c r="D3237" t="str">
        <f>VLOOKUP(B3237,Tabela_Auxiliar[],2,0)</f>
        <v>2. Deduções da Receita</v>
      </c>
      <c r="E3237" t="str">
        <f>VLOOKUP(B3237,Tabela_Auxiliar[],4,0)</f>
        <v>Imposto</v>
      </c>
      <c r="F3237" t="str">
        <f>VLOOKUP(B3237,Tabela_Auxiliar[],3,0)</f>
        <v>Saída</v>
      </c>
      <c r="G3237" t="str">
        <f>UPPER(TEXT(Tabela_DB[[#This Row],[DATA]],"mmm"))</f>
        <v>JUL</v>
      </c>
      <c r="H3237" t="str">
        <f>UPPER(TEXT(Tabela_DB[[#This Row],[DATA]],"aaaa"))</f>
        <v>2021</v>
      </c>
    </row>
    <row r="3238" spans="1:8" x14ac:dyDescent="0.25">
      <c r="A3238" s="2">
        <v>44396</v>
      </c>
      <c r="B3238" t="s">
        <v>35</v>
      </c>
      <c r="C3238">
        <v>-1809</v>
      </c>
      <c r="D3238" t="str">
        <f>VLOOKUP(B3238,Tabela_Auxiliar[],2,0)</f>
        <v>2. Deduções da Receita</v>
      </c>
      <c r="E3238" t="str">
        <f>VLOOKUP(B3238,Tabela_Auxiliar[],4,0)</f>
        <v>Imposto</v>
      </c>
      <c r="F3238" t="str">
        <f>VLOOKUP(B3238,Tabela_Auxiliar[],3,0)</f>
        <v>Saída</v>
      </c>
      <c r="G3238" t="str">
        <f>UPPER(TEXT(Tabela_DB[[#This Row],[DATA]],"mmm"))</f>
        <v>JUL</v>
      </c>
      <c r="H3238" t="str">
        <f>UPPER(TEXT(Tabela_DB[[#This Row],[DATA]],"aaaa"))</f>
        <v>2021</v>
      </c>
    </row>
    <row r="3239" spans="1:8" x14ac:dyDescent="0.25">
      <c r="A3239" s="2">
        <v>44396</v>
      </c>
      <c r="B3239" t="s">
        <v>51</v>
      </c>
      <c r="C3239">
        <v>-2088</v>
      </c>
      <c r="D3239" t="str">
        <f>VLOOKUP(B3239,Tabela_Auxiliar[],2,0)</f>
        <v>4. Despesas Operacionais</v>
      </c>
      <c r="E3239" t="str">
        <f>VLOOKUP(B3239,Tabela_Auxiliar[],4,0)</f>
        <v>Despesa com Pessoal</v>
      </c>
      <c r="F3239" t="str">
        <f>VLOOKUP(B3239,Tabela_Auxiliar[],3,0)</f>
        <v>Saída</v>
      </c>
      <c r="G3239" t="str">
        <f>UPPER(TEXT(Tabela_DB[[#This Row],[DATA]],"mmm"))</f>
        <v>JUL</v>
      </c>
      <c r="H3239" t="str">
        <f>UPPER(TEXT(Tabela_DB[[#This Row],[DATA]],"aaaa"))</f>
        <v>2021</v>
      </c>
    </row>
    <row r="3240" spans="1:8" x14ac:dyDescent="0.25">
      <c r="A3240" s="2">
        <v>44396</v>
      </c>
      <c r="B3240" t="s">
        <v>51</v>
      </c>
      <c r="C3240">
        <v>-1527</v>
      </c>
      <c r="D3240" t="str">
        <f>VLOOKUP(B3240,Tabela_Auxiliar[],2,0)</f>
        <v>4. Despesas Operacionais</v>
      </c>
      <c r="E3240" t="str">
        <f>VLOOKUP(B3240,Tabela_Auxiliar[],4,0)</f>
        <v>Despesa com Pessoal</v>
      </c>
      <c r="F3240" t="str">
        <f>VLOOKUP(B3240,Tabela_Auxiliar[],3,0)</f>
        <v>Saída</v>
      </c>
      <c r="G3240" t="str">
        <f>UPPER(TEXT(Tabela_DB[[#This Row],[DATA]],"mmm"))</f>
        <v>JUL</v>
      </c>
      <c r="H3240" t="str">
        <f>UPPER(TEXT(Tabela_DB[[#This Row],[DATA]],"aaaa"))</f>
        <v>2021</v>
      </c>
    </row>
    <row r="3241" spans="1:8" x14ac:dyDescent="0.25">
      <c r="A3241" s="2">
        <v>44396</v>
      </c>
      <c r="B3241" t="s">
        <v>31</v>
      </c>
      <c r="C3241">
        <v>-1717</v>
      </c>
      <c r="D3241" t="str">
        <f>VLOOKUP(B3241,Tabela_Auxiliar[],2,0)</f>
        <v>5. Resultado Financeiro</v>
      </c>
      <c r="E3241" t="str">
        <f>VLOOKUP(B3241,Tabela_Auxiliar[],4,0)</f>
        <v>Participação nos resultados</v>
      </c>
      <c r="F3241" t="str">
        <f>VLOOKUP(B3241,Tabela_Auxiliar[],3,0)</f>
        <v>Saída</v>
      </c>
      <c r="G3241" t="str">
        <f>UPPER(TEXT(Tabela_DB[[#This Row],[DATA]],"mmm"))</f>
        <v>JUL</v>
      </c>
      <c r="H3241" t="str">
        <f>UPPER(TEXT(Tabela_DB[[#This Row],[DATA]],"aaaa"))</f>
        <v>2021</v>
      </c>
    </row>
    <row r="3242" spans="1:8" x14ac:dyDescent="0.25">
      <c r="A3242" s="2">
        <v>44396</v>
      </c>
      <c r="B3242" t="s">
        <v>4</v>
      </c>
      <c r="C3242">
        <v>11557</v>
      </c>
      <c r="D3242" t="str">
        <f>VLOOKUP(B3242,Tabela_Auxiliar[],2,0)</f>
        <v>1. Receita Operacional Bruta</v>
      </c>
      <c r="E3242" t="str">
        <f>VLOOKUP(B3242,Tabela_Auxiliar[],4,0)</f>
        <v>Receita Bruta</v>
      </c>
      <c r="F3242" t="str">
        <f>VLOOKUP(B3242,Tabela_Auxiliar[],3,0)</f>
        <v>Entrada</v>
      </c>
      <c r="G3242" t="str">
        <f>UPPER(TEXT(Tabela_DB[[#This Row],[DATA]],"mmm"))</f>
        <v>JUL</v>
      </c>
      <c r="H3242" t="str">
        <f>UPPER(TEXT(Tabela_DB[[#This Row],[DATA]],"aaaa"))</f>
        <v>2021</v>
      </c>
    </row>
    <row r="3243" spans="1:8" x14ac:dyDescent="0.25">
      <c r="A3243" s="2">
        <v>44396</v>
      </c>
      <c r="B3243" t="s">
        <v>3</v>
      </c>
      <c r="C3243">
        <v>14917</v>
      </c>
      <c r="D3243" t="str">
        <f>VLOOKUP(B3243,Tabela_Auxiliar[],2,0)</f>
        <v>1. Receita Operacional Bruta</v>
      </c>
      <c r="E3243" t="str">
        <f>VLOOKUP(B3243,Tabela_Auxiliar[],4,0)</f>
        <v>Receita Bruta</v>
      </c>
      <c r="F3243" t="str">
        <f>VLOOKUP(B3243,Tabela_Auxiliar[],3,0)</f>
        <v>Entrada</v>
      </c>
      <c r="G3243" t="str">
        <f>UPPER(TEXT(Tabela_DB[[#This Row],[DATA]],"mmm"))</f>
        <v>JUL</v>
      </c>
      <c r="H3243" t="str">
        <f>UPPER(TEXT(Tabela_DB[[#This Row],[DATA]],"aaaa"))</f>
        <v>2021</v>
      </c>
    </row>
    <row r="3244" spans="1:8" x14ac:dyDescent="0.25">
      <c r="A3244" s="2">
        <v>44396</v>
      </c>
      <c r="B3244" t="s">
        <v>4</v>
      </c>
      <c r="C3244">
        <v>14489</v>
      </c>
      <c r="D3244" t="str">
        <f>VLOOKUP(B3244,Tabela_Auxiliar[],2,0)</f>
        <v>1. Receita Operacional Bruta</v>
      </c>
      <c r="E3244" t="str">
        <f>VLOOKUP(B3244,Tabela_Auxiliar[],4,0)</f>
        <v>Receita Bruta</v>
      </c>
      <c r="F3244" t="str">
        <f>VLOOKUP(B3244,Tabela_Auxiliar[],3,0)</f>
        <v>Entrada</v>
      </c>
      <c r="G3244" t="str">
        <f>UPPER(TEXT(Tabela_DB[[#This Row],[DATA]],"mmm"))</f>
        <v>JUL</v>
      </c>
      <c r="H3244" t="str">
        <f>UPPER(TEXT(Tabela_DB[[#This Row],[DATA]],"aaaa"))</f>
        <v>2021</v>
      </c>
    </row>
    <row r="3245" spans="1:8" x14ac:dyDescent="0.25">
      <c r="A3245" s="2">
        <v>44396</v>
      </c>
      <c r="B3245" t="s">
        <v>76</v>
      </c>
      <c r="C3245">
        <v>-1548</v>
      </c>
      <c r="D3245" t="str">
        <f>VLOOKUP(B3245,Tabela_Auxiliar[],2,0)</f>
        <v>4. Despesas Operacionais</v>
      </c>
      <c r="E3245" t="str">
        <f>VLOOKUP(B3245,Tabela_Auxiliar[],4,0)</f>
        <v>Serviços Contratados</v>
      </c>
      <c r="F3245" t="str">
        <f>VLOOKUP(B3245,Tabela_Auxiliar[],3,0)</f>
        <v>Saída</v>
      </c>
      <c r="G3245" t="str">
        <f>UPPER(TEXT(Tabela_DB[[#This Row],[DATA]],"mmm"))</f>
        <v>JUL</v>
      </c>
      <c r="H3245" t="str">
        <f>UPPER(TEXT(Tabela_DB[[#This Row],[DATA]],"aaaa"))</f>
        <v>2021</v>
      </c>
    </row>
    <row r="3246" spans="1:8" x14ac:dyDescent="0.25">
      <c r="A3246" s="2">
        <v>44396</v>
      </c>
      <c r="B3246" t="s">
        <v>63</v>
      </c>
      <c r="C3246">
        <v>-1346</v>
      </c>
      <c r="D3246" t="str">
        <f>VLOOKUP(B3246,Tabela_Auxiliar[],2,0)</f>
        <v>4. Despesas Operacionais</v>
      </c>
      <c r="E3246" t="str">
        <f>VLOOKUP(B3246,Tabela_Auxiliar[],4,0)</f>
        <v>Despesa Gerais</v>
      </c>
      <c r="F3246" t="str">
        <f>VLOOKUP(B3246,Tabela_Auxiliar[],3,0)</f>
        <v>Saída</v>
      </c>
      <c r="G3246" t="str">
        <f>UPPER(TEXT(Tabela_DB[[#This Row],[DATA]],"mmm"))</f>
        <v>JUL</v>
      </c>
      <c r="H3246" t="str">
        <f>UPPER(TEXT(Tabela_DB[[#This Row],[DATA]],"aaaa"))</f>
        <v>2021</v>
      </c>
    </row>
    <row r="3247" spans="1:8" x14ac:dyDescent="0.25">
      <c r="A3247" s="2">
        <v>44396</v>
      </c>
      <c r="B3247" t="s">
        <v>35</v>
      </c>
      <c r="C3247">
        <v>-2071</v>
      </c>
      <c r="D3247" t="str">
        <f>VLOOKUP(B3247,Tabela_Auxiliar[],2,0)</f>
        <v>2. Deduções da Receita</v>
      </c>
      <c r="E3247" t="str">
        <f>VLOOKUP(B3247,Tabela_Auxiliar[],4,0)</f>
        <v>Imposto</v>
      </c>
      <c r="F3247" t="str">
        <f>VLOOKUP(B3247,Tabela_Auxiliar[],3,0)</f>
        <v>Saída</v>
      </c>
      <c r="G3247" t="str">
        <f>UPPER(TEXT(Tabela_DB[[#This Row],[DATA]],"mmm"))</f>
        <v>JUL</v>
      </c>
      <c r="H3247" t="str">
        <f>UPPER(TEXT(Tabela_DB[[#This Row],[DATA]],"aaaa"))</f>
        <v>2021</v>
      </c>
    </row>
    <row r="3248" spans="1:8" x14ac:dyDescent="0.25">
      <c r="A3248" s="2">
        <v>44396</v>
      </c>
      <c r="B3248" t="s">
        <v>37</v>
      </c>
      <c r="C3248">
        <v>-4602</v>
      </c>
      <c r="D3248" t="str">
        <f>VLOOKUP(B3248,Tabela_Auxiliar[],2,0)</f>
        <v>3. Custos do Produto/Mercadoria/Serviço</v>
      </c>
      <c r="E3248" t="str">
        <f>VLOOKUP(B3248,Tabela_Auxiliar[],4,0)</f>
        <v>Despesas c/ Produto</v>
      </c>
      <c r="F3248" t="str">
        <f>VLOOKUP(B3248,Tabela_Auxiliar[],3,0)</f>
        <v>Saída</v>
      </c>
      <c r="G3248" t="str">
        <f>UPPER(TEXT(Tabela_DB[[#This Row],[DATA]],"mmm"))</f>
        <v>JUL</v>
      </c>
      <c r="H3248" t="str">
        <f>UPPER(TEXT(Tabela_DB[[#This Row],[DATA]],"aaaa"))</f>
        <v>2021</v>
      </c>
    </row>
    <row r="3249" spans="1:8" x14ac:dyDescent="0.25">
      <c r="A3249" s="2">
        <v>44396</v>
      </c>
      <c r="B3249" t="s">
        <v>37</v>
      </c>
      <c r="C3249">
        <v>-4829</v>
      </c>
      <c r="D3249" t="str">
        <f>VLOOKUP(B3249,Tabela_Auxiliar[],2,0)</f>
        <v>3. Custos do Produto/Mercadoria/Serviço</v>
      </c>
      <c r="E3249" t="str">
        <f>VLOOKUP(B3249,Tabela_Auxiliar[],4,0)</f>
        <v>Despesas c/ Produto</v>
      </c>
      <c r="F3249" t="str">
        <f>VLOOKUP(B3249,Tabela_Auxiliar[],3,0)</f>
        <v>Saída</v>
      </c>
      <c r="G3249" t="str">
        <f>UPPER(TEXT(Tabela_DB[[#This Row],[DATA]],"mmm"))</f>
        <v>JUL</v>
      </c>
      <c r="H3249" t="str">
        <f>UPPER(TEXT(Tabela_DB[[#This Row],[DATA]],"aaaa"))</f>
        <v>2021</v>
      </c>
    </row>
    <row r="3250" spans="1:8" x14ac:dyDescent="0.25">
      <c r="A3250" s="2">
        <v>44397</v>
      </c>
      <c r="B3250" t="s">
        <v>35</v>
      </c>
      <c r="C3250">
        <v>-1123</v>
      </c>
      <c r="D3250" t="str">
        <f>VLOOKUP(B3250,Tabela_Auxiliar[],2,0)</f>
        <v>2. Deduções da Receita</v>
      </c>
      <c r="E3250" t="str">
        <f>VLOOKUP(B3250,Tabela_Auxiliar[],4,0)</f>
        <v>Imposto</v>
      </c>
      <c r="F3250" t="str">
        <f>VLOOKUP(B3250,Tabela_Auxiliar[],3,0)</f>
        <v>Saída</v>
      </c>
      <c r="G3250" t="str">
        <f>UPPER(TEXT(Tabela_DB[[#This Row],[DATA]],"mmm"))</f>
        <v>JUL</v>
      </c>
      <c r="H3250" t="str">
        <f>UPPER(TEXT(Tabela_DB[[#This Row],[DATA]],"aaaa"))</f>
        <v>2021</v>
      </c>
    </row>
    <row r="3251" spans="1:8" x14ac:dyDescent="0.25">
      <c r="A3251" s="2">
        <v>44397</v>
      </c>
      <c r="B3251" t="s">
        <v>44</v>
      </c>
      <c r="C3251">
        <v>-2035</v>
      </c>
      <c r="D3251" t="str">
        <f>VLOOKUP(B3251,Tabela_Auxiliar[],2,0)</f>
        <v>4. Despesas Operacionais</v>
      </c>
      <c r="E3251" t="str">
        <f>VLOOKUP(B3251,Tabela_Auxiliar[],4,0)</f>
        <v>Despesa com Pessoal</v>
      </c>
      <c r="F3251" t="str">
        <f>VLOOKUP(B3251,Tabela_Auxiliar[],3,0)</f>
        <v>Saída</v>
      </c>
      <c r="G3251" t="str">
        <f>UPPER(TEXT(Tabela_DB[[#This Row],[DATA]],"mmm"))</f>
        <v>JUL</v>
      </c>
      <c r="H3251" t="str">
        <f>UPPER(TEXT(Tabela_DB[[#This Row],[DATA]],"aaaa"))</f>
        <v>2021</v>
      </c>
    </row>
    <row r="3252" spans="1:8" x14ac:dyDescent="0.25">
      <c r="A3252" s="2">
        <v>44397</v>
      </c>
      <c r="B3252" t="s">
        <v>35</v>
      </c>
      <c r="C3252">
        <v>-2338</v>
      </c>
      <c r="D3252" t="str">
        <f>VLOOKUP(B3252,Tabela_Auxiliar[],2,0)</f>
        <v>2. Deduções da Receita</v>
      </c>
      <c r="E3252" t="str">
        <f>VLOOKUP(B3252,Tabela_Auxiliar[],4,0)</f>
        <v>Imposto</v>
      </c>
      <c r="F3252" t="str">
        <f>VLOOKUP(B3252,Tabela_Auxiliar[],3,0)</f>
        <v>Saída</v>
      </c>
      <c r="G3252" t="str">
        <f>UPPER(TEXT(Tabela_DB[[#This Row],[DATA]],"mmm"))</f>
        <v>JUL</v>
      </c>
      <c r="H3252" t="str">
        <f>UPPER(TEXT(Tabela_DB[[#This Row],[DATA]],"aaaa"))</f>
        <v>2021</v>
      </c>
    </row>
    <row r="3253" spans="1:8" x14ac:dyDescent="0.25">
      <c r="A3253" s="2">
        <v>44397</v>
      </c>
      <c r="B3253" t="s">
        <v>35</v>
      </c>
      <c r="C3253">
        <v>-2312</v>
      </c>
      <c r="D3253" t="str">
        <f>VLOOKUP(B3253,Tabela_Auxiliar[],2,0)</f>
        <v>2. Deduções da Receita</v>
      </c>
      <c r="E3253" t="str">
        <f>VLOOKUP(B3253,Tabela_Auxiliar[],4,0)</f>
        <v>Imposto</v>
      </c>
      <c r="F3253" t="str">
        <f>VLOOKUP(B3253,Tabela_Auxiliar[],3,0)</f>
        <v>Saída</v>
      </c>
      <c r="G3253" t="str">
        <f>UPPER(TEXT(Tabela_DB[[#This Row],[DATA]],"mmm"))</f>
        <v>JUL</v>
      </c>
      <c r="H3253" t="str">
        <f>UPPER(TEXT(Tabela_DB[[#This Row],[DATA]],"aaaa"))</f>
        <v>2021</v>
      </c>
    </row>
    <row r="3254" spans="1:8" x14ac:dyDescent="0.25">
      <c r="A3254" s="2">
        <v>44397</v>
      </c>
      <c r="B3254" t="s">
        <v>3</v>
      </c>
      <c r="C3254">
        <v>14741</v>
      </c>
      <c r="D3254" t="str">
        <f>VLOOKUP(B3254,Tabela_Auxiliar[],2,0)</f>
        <v>1. Receita Operacional Bruta</v>
      </c>
      <c r="E3254" t="str">
        <f>VLOOKUP(B3254,Tabela_Auxiliar[],4,0)</f>
        <v>Receita Bruta</v>
      </c>
      <c r="F3254" t="str">
        <f>VLOOKUP(B3254,Tabela_Auxiliar[],3,0)</f>
        <v>Entrada</v>
      </c>
      <c r="G3254" t="str">
        <f>UPPER(TEXT(Tabela_DB[[#This Row],[DATA]],"mmm"))</f>
        <v>JUL</v>
      </c>
      <c r="H3254" t="str">
        <f>UPPER(TEXT(Tabela_DB[[#This Row],[DATA]],"aaaa"))</f>
        <v>2021</v>
      </c>
    </row>
    <row r="3255" spans="1:8" x14ac:dyDescent="0.25">
      <c r="A3255" s="2">
        <v>44397</v>
      </c>
      <c r="B3255" t="s">
        <v>38</v>
      </c>
      <c r="C3255">
        <v>-1257</v>
      </c>
      <c r="D3255" t="str">
        <f>VLOOKUP(B3255,Tabela_Auxiliar[],2,0)</f>
        <v>2. Deduções da Receita</v>
      </c>
      <c r="E3255" t="str">
        <f>VLOOKUP(B3255,Tabela_Auxiliar[],4,0)</f>
        <v>Deduções</v>
      </c>
      <c r="F3255" t="str">
        <f>VLOOKUP(B3255,Tabela_Auxiliar[],3,0)</f>
        <v>Saída</v>
      </c>
      <c r="G3255" t="str">
        <f>UPPER(TEXT(Tabela_DB[[#This Row],[DATA]],"mmm"))</f>
        <v>JUL</v>
      </c>
      <c r="H3255" t="str">
        <f>UPPER(TEXT(Tabela_DB[[#This Row],[DATA]],"aaaa"))</f>
        <v>2021</v>
      </c>
    </row>
    <row r="3256" spans="1:8" x14ac:dyDescent="0.25">
      <c r="A3256" s="2">
        <v>44397</v>
      </c>
      <c r="B3256" t="s">
        <v>4</v>
      </c>
      <c r="C3256">
        <v>13892</v>
      </c>
      <c r="D3256" t="str">
        <f>VLOOKUP(B3256,Tabela_Auxiliar[],2,0)</f>
        <v>1. Receita Operacional Bruta</v>
      </c>
      <c r="E3256" t="str">
        <f>VLOOKUP(B3256,Tabela_Auxiliar[],4,0)</f>
        <v>Receita Bruta</v>
      </c>
      <c r="F3256" t="str">
        <f>VLOOKUP(B3256,Tabela_Auxiliar[],3,0)</f>
        <v>Entrada</v>
      </c>
      <c r="G3256" t="str">
        <f>UPPER(TEXT(Tabela_DB[[#This Row],[DATA]],"mmm"))</f>
        <v>JUL</v>
      </c>
      <c r="H3256" t="str">
        <f>UPPER(TEXT(Tabela_DB[[#This Row],[DATA]],"aaaa"))</f>
        <v>2021</v>
      </c>
    </row>
    <row r="3257" spans="1:8" x14ac:dyDescent="0.25">
      <c r="A3257" s="2">
        <v>44397</v>
      </c>
      <c r="B3257" t="s">
        <v>3</v>
      </c>
      <c r="C3257">
        <v>14536</v>
      </c>
      <c r="D3257" t="str">
        <f>VLOOKUP(B3257,Tabela_Auxiliar[],2,0)</f>
        <v>1. Receita Operacional Bruta</v>
      </c>
      <c r="E3257" t="str">
        <f>VLOOKUP(B3257,Tabela_Auxiliar[],4,0)</f>
        <v>Receita Bruta</v>
      </c>
      <c r="F3257" t="str">
        <f>VLOOKUP(B3257,Tabela_Auxiliar[],3,0)</f>
        <v>Entrada</v>
      </c>
      <c r="G3257" t="str">
        <f>UPPER(TEXT(Tabela_DB[[#This Row],[DATA]],"mmm"))</f>
        <v>JUL</v>
      </c>
      <c r="H3257" t="str">
        <f>UPPER(TEXT(Tabela_DB[[#This Row],[DATA]],"aaaa"))</f>
        <v>2021</v>
      </c>
    </row>
    <row r="3258" spans="1:8" x14ac:dyDescent="0.25">
      <c r="A3258" s="2">
        <v>44397</v>
      </c>
      <c r="B3258" t="s">
        <v>80</v>
      </c>
      <c r="C3258">
        <v>-2172</v>
      </c>
      <c r="D3258" t="str">
        <f>VLOOKUP(B3258,Tabela_Auxiliar[],2,0)</f>
        <v>4. Despesas Operacionais</v>
      </c>
      <c r="E3258" t="str">
        <f>VLOOKUP(B3258,Tabela_Auxiliar[],4,0)</f>
        <v>Serviços Contratados</v>
      </c>
      <c r="F3258" t="str">
        <f>VLOOKUP(B3258,Tabela_Auxiliar[],3,0)</f>
        <v>Saída</v>
      </c>
      <c r="G3258" t="str">
        <f>UPPER(TEXT(Tabela_DB[[#This Row],[DATA]],"mmm"))</f>
        <v>JUL</v>
      </c>
      <c r="H3258" t="str">
        <f>UPPER(TEXT(Tabela_DB[[#This Row],[DATA]],"aaaa"))</f>
        <v>2021</v>
      </c>
    </row>
    <row r="3259" spans="1:8" x14ac:dyDescent="0.25">
      <c r="A3259" s="2">
        <v>44397</v>
      </c>
      <c r="B3259" t="s">
        <v>3</v>
      </c>
      <c r="C3259">
        <v>11558</v>
      </c>
      <c r="D3259" t="str">
        <f>VLOOKUP(B3259,Tabela_Auxiliar[],2,0)</f>
        <v>1. Receita Operacional Bruta</v>
      </c>
      <c r="E3259" t="str">
        <f>VLOOKUP(B3259,Tabela_Auxiliar[],4,0)</f>
        <v>Receita Bruta</v>
      </c>
      <c r="F3259" t="str">
        <f>VLOOKUP(B3259,Tabela_Auxiliar[],3,0)</f>
        <v>Entrada</v>
      </c>
      <c r="G3259" t="str">
        <f>UPPER(TEXT(Tabela_DB[[#This Row],[DATA]],"mmm"))</f>
        <v>JUL</v>
      </c>
      <c r="H3259" t="str">
        <f>UPPER(TEXT(Tabela_DB[[#This Row],[DATA]],"aaaa"))</f>
        <v>2021</v>
      </c>
    </row>
    <row r="3260" spans="1:8" x14ac:dyDescent="0.25">
      <c r="A3260" s="2">
        <v>44397</v>
      </c>
      <c r="B3260" t="s">
        <v>35</v>
      </c>
      <c r="C3260">
        <v>-1881</v>
      </c>
      <c r="D3260" t="str">
        <f>VLOOKUP(B3260,Tabela_Auxiliar[],2,0)</f>
        <v>2. Deduções da Receita</v>
      </c>
      <c r="E3260" t="str">
        <f>VLOOKUP(B3260,Tabela_Auxiliar[],4,0)</f>
        <v>Imposto</v>
      </c>
      <c r="F3260" t="str">
        <f>VLOOKUP(B3260,Tabela_Auxiliar[],3,0)</f>
        <v>Saída</v>
      </c>
      <c r="G3260" t="str">
        <f>UPPER(TEXT(Tabela_DB[[#This Row],[DATA]],"mmm"))</f>
        <v>JUL</v>
      </c>
      <c r="H3260" t="str">
        <f>UPPER(TEXT(Tabela_DB[[#This Row],[DATA]],"aaaa"))</f>
        <v>2021</v>
      </c>
    </row>
    <row r="3261" spans="1:8" x14ac:dyDescent="0.25">
      <c r="A3261" s="2">
        <v>44397</v>
      </c>
      <c r="B3261" t="s">
        <v>111</v>
      </c>
      <c r="C3261">
        <v>-1925</v>
      </c>
      <c r="D3261" t="str">
        <f>VLOOKUP(B3261,Tabela_Auxiliar[],2,0)</f>
        <v>2. Deduções da Receita</v>
      </c>
      <c r="E3261" t="str">
        <f>VLOOKUP(B3261,Tabela_Auxiliar[],4,0)</f>
        <v>Imposto</v>
      </c>
      <c r="F3261" t="str">
        <f>VLOOKUP(B3261,Tabela_Auxiliar[],3,0)</f>
        <v>Saída</v>
      </c>
      <c r="G3261" t="str">
        <f>UPPER(TEXT(Tabela_DB[[#This Row],[DATA]],"mmm"))</f>
        <v>JUL</v>
      </c>
      <c r="H3261" t="str">
        <f>UPPER(TEXT(Tabela_DB[[#This Row],[DATA]],"aaaa"))</f>
        <v>2021</v>
      </c>
    </row>
    <row r="3262" spans="1:8" x14ac:dyDescent="0.25">
      <c r="A3262" s="2">
        <v>44397</v>
      </c>
      <c r="B3262" t="s">
        <v>4</v>
      </c>
      <c r="C3262">
        <v>14701</v>
      </c>
      <c r="D3262" t="str">
        <f>VLOOKUP(B3262,Tabela_Auxiliar[],2,0)</f>
        <v>1. Receita Operacional Bruta</v>
      </c>
      <c r="E3262" t="str">
        <f>VLOOKUP(B3262,Tabela_Auxiliar[],4,0)</f>
        <v>Receita Bruta</v>
      </c>
      <c r="F3262" t="str">
        <f>VLOOKUP(B3262,Tabela_Auxiliar[],3,0)</f>
        <v>Entrada</v>
      </c>
      <c r="G3262" t="str">
        <f>UPPER(TEXT(Tabela_DB[[#This Row],[DATA]],"mmm"))</f>
        <v>JUL</v>
      </c>
      <c r="H3262" t="str">
        <f>UPPER(TEXT(Tabela_DB[[#This Row],[DATA]],"aaaa"))</f>
        <v>2021</v>
      </c>
    </row>
    <row r="3263" spans="1:8" x14ac:dyDescent="0.25">
      <c r="A3263" s="2">
        <v>44397</v>
      </c>
      <c r="B3263" t="s">
        <v>62</v>
      </c>
      <c r="C3263">
        <v>-2056</v>
      </c>
      <c r="D3263" t="str">
        <f>VLOOKUP(B3263,Tabela_Auxiliar[],2,0)</f>
        <v>4. Despesas Operacionais</v>
      </c>
      <c r="E3263" t="str">
        <f>VLOOKUP(B3263,Tabela_Auxiliar[],4,0)</f>
        <v>Despesa Gerais</v>
      </c>
      <c r="F3263" t="str">
        <f>VLOOKUP(B3263,Tabela_Auxiliar[],3,0)</f>
        <v>Saída</v>
      </c>
      <c r="G3263" t="str">
        <f>UPPER(TEXT(Tabela_DB[[#This Row],[DATA]],"mmm"))</f>
        <v>JUL</v>
      </c>
      <c r="H3263" t="str">
        <f>UPPER(TEXT(Tabela_DB[[#This Row],[DATA]],"aaaa"))</f>
        <v>2021</v>
      </c>
    </row>
    <row r="3264" spans="1:8" x14ac:dyDescent="0.25">
      <c r="A3264" s="2">
        <v>44397</v>
      </c>
      <c r="B3264" t="s">
        <v>3</v>
      </c>
      <c r="C3264">
        <v>14089</v>
      </c>
      <c r="D3264" t="str">
        <f>VLOOKUP(B3264,Tabela_Auxiliar[],2,0)</f>
        <v>1. Receita Operacional Bruta</v>
      </c>
      <c r="E3264" t="str">
        <f>VLOOKUP(B3264,Tabela_Auxiliar[],4,0)</f>
        <v>Receita Bruta</v>
      </c>
      <c r="F3264" t="str">
        <f>VLOOKUP(B3264,Tabela_Auxiliar[],3,0)</f>
        <v>Entrada</v>
      </c>
      <c r="G3264" t="str">
        <f>UPPER(TEXT(Tabela_DB[[#This Row],[DATA]],"mmm"))</f>
        <v>JUL</v>
      </c>
      <c r="H3264" t="str">
        <f>UPPER(TEXT(Tabela_DB[[#This Row],[DATA]],"aaaa"))</f>
        <v>2021</v>
      </c>
    </row>
    <row r="3265" spans="1:8" x14ac:dyDescent="0.25">
      <c r="A3265" s="2">
        <v>44397</v>
      </c>
      <c r="B3265" t="s">
        <v>43</v>
      </c>
      <c r="C3265">
        <v>-1090</v>
      </c>
      <c r="D3265" t="str">
        <f>VLOOKUP(B3265,Tabela_Auxiliar[],2,0)</f>
        <v>4. Despesas Operacionais</v>
      </c>
      <c r="E3265" t="str">
        <f>VLOOKUP(B3265,Tabela_Auxiliar[],4,0)</f>
        <v>Despesa com Pessoal</v>
      </c>
      <c r="F3265" t="str">
        <f>VLOOKUP(B3265,Tabela_Auxiliar[],3,0)</f>
        <v>Saída</v>
      </c>
      <c r="G3265" t="str">
        <f>UPPER(TEXT(Tabela_DB[[#This Row],[DATA]],"mmm"))</f>
        <v>JUL</v>
      </c>
      <c r="H3265" t="str">
        <f>UPPER(TEXT(Tabela_DB[[#This Row],[DATA]],"aaaa"))</f>
        <v>2021</v>
      </c>
    </row>
    <row r="3266" spans="1:8" x14ac:dyDescent="0.25">
      <c r="A3266" s="2">
        <v>44397</v>
      </c>
      <c r="B3266" t="s">
        <v>4</v>
      </c>
      <c r="C3266">
        <v>14159</v>
      </c>
      <c r="D3266" t="str">
        <f>VLOOKUP(B3266,Tabela_Auxiliar[],2,0)</f>
        <v>1. Receita Operacional Bruta</v>
      </c>
      <c r="E3266" t="str">
        <f>VLOOKUP(B3266,Tabela_Auxiliar[],4,0)</f>
        <v>Receita Bruta</v>
      </c>
      <c r="F3266" t="str">
        <f>VLOOKUP(B3266,Tabela_Auxiliar[],3,0)</f>
        <v>Entrada</v>
      </c>
      <c r="G3266" t="str">
        <f>UPPER(TEXT(Tabela_DB[[#This Row],[DATA]],"mmm"))</f>
        <v>JUL</v>
      </c>
      <c r="H3266" t="str">
        <f>UPPER(TEXT(Tabela_DB[[#This Row],[DATA]],"aaaa"))</f>
        <v>2021</v>
      </c>
    </row>
    <row r="3267" spans="1:8" x14ac:dyDescent="0.25">
      <c r="A3267" s="2">
        <v>44397</v>
      </c>
      <c r="B3267" t="s">
        <v>3</v>
      </c>
      <c r="C3267">
        <v>10305</v>
      </c>
      <c r="D3267" t="str">
        <f>VLOOKUP(B3267,Tabela_Auxiliar[],2,0)</f>
        <v>1. Receita Operacional Bruta</v>
      </c>
      <c r="E3267" t="str">
        <f>VLOOKUP(B3267,Tabela_Auxiliar[],4,0)</f>
        <v>Receita Bruta</v>
      </c>
      <c r="F3267" t="str">
        <f>VLOOKUP(B3267,Tabela_Auxiliar[],3,0)</f>
        <v>Entrada</v>
      </c>
      <c r="G3267" t="str">
        <f>UPPER(TEXT(Tabela_DB[[#This Row],[DATA]],"mmm"))</f>
        <v>JUL</v>
      </c>
      <c r="H3267" t="str">
        <f>UPPER(TEXT(Tabela_DB[[#This Row],[DATA]],"aaaa"))</f>
        <v>2021</v>
      </c>
    </row>
    <row r="3268" spans="1:8" x14ac:dyDescent="0.25">
      <c r="A3268" s="2">
        <v>44397</v>
      </c>
      <c r="B3268" t="s">
        <v>34</v>
      </c>
      <c r="C3268">
        <v>-1225</v>
      </c>
      <c r="D3268" t="str">
        <f>VLOOKUP(B3268,Tabela_Auxiliar[],2,0)</f>
        <v>2. Deduções da Receita</v>
      </c>
      <c r="E3268" t="str">
        <f>VLOOKUP(B3268,Tabela_Auxiliar[],4,0)</f>
        <v>Imposto</v>
      </c>
      <c r="F3268" t="str">
        <f>VLOOKUP(B3268,Tabela_Auxiliar[],3,0)</f>
        <v>Saída</v>
      </c>
      <c r="G3268" t="str">
        <f>UPPER(TEXT(Tabela_DB[[#This Row],[DATA]],"mmm"))</f>
        <v>JUL</v>
      </c>
      <c r="H3268" t="str">
        <f>UPPER(TEXT(Tabela_DB[[#This Row],[DATA]],"aaaa"))</f>
        <v>2021</v>
      </c>
    </row>
    <row r="3269" spans="1:8" x14ac:dyDescent="0.25">
      <c r="A3269" s="2">
        <v>44397</v>
      </c>
      <c r="B3269" t="s">
        <v>31</v>
      </c>
      <c r="C3269">
        <v>-1813</v>
      </c>
      <c r="D3269" t="str">
        <f>VLOOKUP(B3269,Tabela_Auxiliar[],2,0)</f>
        <v>5. Resultado Financeiro</v>
      </c>
      <c r="E3269" t="str">
        <f>VLOOKUP(B3269,Tabela_Auxiliar[],4,0)</f>
        <v>Participação nos resultados</v>
      </c>
      <c r="F3269" t="str">
        <f>VLOOKUP(B3269,Tabela_Auxiliar[],3,0)</f>
        <v>Saída</v>
      </c>
      <c r="G3269" t="str">
        <f>UPPER(TEXT(Tabela_DB[[#This Row],[DATA]],"mmm"))</f>
        <v>JUL</v>
      </c>
      <c r="H3269" t="str">
        <f>UPPER(TEXT(Tabela_DB[[#This Row],[DATA]],"aaaa"))</f>
        <v>2021</v>
      </c>
    </row>
    <row r="3270" spans="1:8" x14ac:dyDescent="0.25">
      <c r="A3270" s="2">
        <v>44398</v>
      </c>
      <c r="B3270" t="s">
        <v>35</v>
      </c>
      <c r="C3270">
        <v>-1495</v>
      </c>
      <c r="D3270" t="str">
        <f>VLOOKUP(B3270,Tabela_Auxiliar[],2,0)</f>
        <v>2. Deduções da Receita</v>
      </c>
      <c r="E3270" t="str">
        <f>VLOOKUP(B3270,Tabela_Auxiliar[],4,0)</f>
        <v>Imposto</v>
      </c>
      <c r="F3270" t="str">
        <f>VLOOKUP(B3270,Tabela_Auxiliar[],3,0)</f>
        <v>Saída</v>
      </c>
      <c r="G3270" t="str">
        <f>UPPER(TEXT(Tabela_DB[[#This Row],[DATA]],"mmm"))</f>
        <v>JUL</v>
      </c>
      <c r="H3270" t="str">
        <f>UPPER(TEXT(Tabela_DB[[#This Row],[DATA]],"aaaa"))</f>
        <v>2021</v>
      </c>
    </row>
    <row r="3271" spans="1:8" x14ac:dyDescent="0.25">
      <c r="A3271" s="2">
        <v>44398</v>
      </c>
      <c r="B3271" t="s">
        <v>34</v>
      </c>
      <c r="C3271">
        <v>-2427</v>
      </c>
      <c r="D3271" t="str">
        <f>VLOOKUP(B3271,Tabela_Auxiliar[],2,0)</f>
        <v>2. Deduções da Receita</v>
      </c>
      <c r="E3271" t="str">
        <f>VLOOKUP(B3271,Tabela_Auxiliar[],4,0)</f>
        <v>Imposto</v>
      </c>
      <c r="F3271" t="str">
        <f>VLOOKUP(B3271,Tabela_Auxiliar[],3,0)</f>
        <v>Saída</v>
      </c>
      <c r="G3271" t="str">
        <f>UPPER(TEXT(Tabela_DB[[#This Row],[DATA]],"mmm"))</f>
        <v>JUL</v>
      </c>
      <c r="H3271" t="str">
        <f>UPPER(TEXT(Tabela_DB[[#This Row],[DATA]],"aaaa"))</f>
        <v>2021</v>
      </c>
    </row>
    <row r="3272" spans="1:8" x14ac:dyDescent="0.25">
      <c r="A3272" s="2">
        <v>44398</v>
      </c>
      <c r="B3272" t="s">
        <v>111</v>
      </c>
      <c r="C3272">
        <v>-1367</v>
      </c>
      <c r="D3272" t="str">
        <f>VLOOKUP(B3272,Tabela_Auxiliar[],2,0)</f>
        <v>2. Deduções da Receita</v>
      </c>
      <c r="E3272" t="str">
        <f>VLOOKUP(B3272,Tabela_Auxiliar[],4,0)</f>
        <v>Imposto</v>
      </c>
      <c r="F3272" t="str">
        <f>VLOOKUP(B3272,Tabela_Auxiliar[],3,0)</f>
        <v>Saída</v>
      </c>
      <c r="G3272" t="str">
        <f>UPPER(TEXT(Tabela_DB[[#This Row],[DATA]],"mmm"))</f>
        <v>JUL</v>
      </c>
      <c r="H3272" t="str">
        <f>UPPER(TEXT(Tabela_DB[[#This Row],[DATA]],"aaaa"))</f>
        <v>2021</v>
      </c>
    </row>
    <row r="3273" spans="1:8" x14ac:dyDescent="0.25">
      <c r="A3273" s="2">
        <v>44398</v>
      </c>
      <c r="B3273" t="s">
        <v>37</v>
      </c>
      <c r="C3273">
        <v>-3717</v>
      </c>
      <c r="D3273" t="str">
        <f>VLOOKUP(B3273,Tabela_Auxiliar[],2,0)</f>
        <v>3. Custos do Produto/Mercadoria/Serviço</v>
      </c>
      <c r="E3273" t="str">
        <f>VLOOKUP(B3273,Tabela_Auxiliar[],4,0)</f>
        <v>Despesas c/ Produto</v>
      </c>
      <c r="F3273" t="str">
        <f>VLOOKUP(B3273,Tabela_Auxiliar[],3,0)</f>
        <v>Saída</v>
      </c>
      <c r="G3273" t="str">
        <f>UPPER(TEXT(Tabela_DB[[#This Row],[DATA]],"mmm"))</f>
        <v>JUL</v>
      </c>
      <c r="H3273" t="str">
        <f>UPPER(TEXT(Tabela_DB[[#This Row],[DATA]],"aaaa"))</f>
        <v>2021</v>
      </c>
    </row>
    <row r="3274" spans="1:8" x14ac:dyDescent="0.25">
      <c r="A3274" s="2">
        <v>44398</v>
      </c>
      <c r="B3274" t="s">
        <v>57</v>
      </c>
      <c r="C3274">
        <v>-2055</v>
      </c>
      <c r="D3274" t="str">
        <f>VLOOKUP(B3274,Tabela_Auxiliar[],2,0)</f>
        <v>4. Despesas Operacionais</v>
      </c>
      <c r="E3274" t="str">
        <f>VLOOKUP(B3274,Tabela_Auxiliar[],4,0)</f>
        <v>Despesa com Pessoal</v>
      </c>
      <c r="F3274" t="str">
        <f>VLOOKUP(B3274,Tabela_Auxiliar[],3,0)</f>
        <v>Saída</v>
      </c>
      <c r="G3274" t="str">
        <f>UPPER(TEXT(Tabela_DB[[#This Row],[DATA]],"mmm"))</f>
        <v>JUL</v>
      </c>
      <c r="H3274" t="str">
        <f>UPPER(TEXT(Tabela_DB[[#This Row],[DATA]],"aaaa"))</f>
        <v>2021</v>
      </c>
    </row>
    <row r="3275" spans="1:8" x14ac:dyDescent="0.25">
      <c r="A3275" s="2">
        <v>44398</v>
      </c>
      <c r="B3275" t="s">
        <v>37</v>
      </c>
      <c r="C3275">
        <v>-2509</v>
      </c>
      <c r="D3275" t="str">
        <f>VLOOKUP(B3275,Tabela_Auxiliar[],2,0)</f>
        <v>3. Custos do Produto/Mercadoria/Serviço</v>
      </c>
      <c r="E3275" t="str">
        <f>VLOOKUP(B3275,Tabela_Auxiliar[],4,0)</f>
        <v>Despesas c/ Produto</v>
      </c>
      <c r="F3275" t="str">
        <f>VLOOKUP(B3275,Tabela_Auxiliar[],3,0)</f>
        <v>Saída</v>
      </c>
      <c r="G3275" t="str">
        <f>UPPER(TEXT(Tabela_DB[[#This Row],[DATA]],"mmm"))</f>
        <v>JUL</v>
      </c>
      <c r="H3275" t="str">
        <f>UPPER(TEXT(Tabela_DB[[#This Row],[DATA]],"aaaa"))</f>
        <v>2021</v>
      </c>
    </row>
    <row r="3276" spans="1:8" x14ac:dyDescent="0.25">
      <c r="A3276" s="2">
        <v>44398</v>
      </c>
      <c r="B3276" t="s">
        <v>4</v>
      </c>
      <c r="C3276">
        <v>10437</v>
      </c>
      <c r="D3276" t="str">
        <f>VLOOKUP(B3276,Tabela_Auxiliar[],2,0)</f>
        <v>1. Receita Operacional Bruta</v>
      </c>
      <c r="E3276" t="str">
        <f>VLOOKUP(B3276,Tabela_Auxiliar[],4,0)</f>
        <v>Receita Bruta</v>
      </c>
      <c r="F3276" t="str">
        <f>VLOOKUP(B3276,Tabela_Auxiliar[],3,0)</f>
        <v>Entrada</v>
      </c>
      <c r="G3276" t="str">
        <f>UPPER(TEXT(Tabela_DB[[#This Row],[DATA]],"mmm"))</f>
        <v>JUL</v>
      </c>
      <c r="H3276" t="str">
        <f>UPPER(TEXT(Tabela_DB[[#This Row],[DATA]],"aaaa"))</f>
        <v>2021</v>
      </c>
    </row>
    <row r="3277" spans="1:8" x14ac:dyDescent="0.25">
      <c r="A3277" s="2">
        <v>44398</v>
      </c>
      <c r="B3277" t="s">
        <v>3</v>
      </c>
      <c r="C3277">
        <v>13800</v>
      </c>
      <c r="D3277" t="str">
        <f>VLOOKUP(B3277,Tabela_Auxiliar[],2,0)</f>
        <v>1. Receita Operacional Bruta</v>
      </c>
      <c r="E3277" t="str">
        <f>VLOOKUP(B3277,Tabela_Auxiliar[],4,0)</f>
        <v>Receita Bruta</v>
      </c>
      <c r="F3277" t="str">
        <f>VLOOKUP(B3277,Tabela_Auxiliar[],3,0)</f>
        <v>Entrada</v>
      </c>
      <c r="G3277" t="str">
        <f>UPPER(TEXT(Tabela_DB[[#This Row],[DATA]],"mmm"))</f>
        <v>JUL</v>
      </c>
      <c r="H3277" t="str">
        <f>UPPER(TEXT(Tabela_DB[[#This Row],[DATA]],"aaaa"))</f>
        <v>2021</v>
      </c>
    </row>
    <row r="3278" spans="1:8" x14ac:dyDescent="0.25">
      <c r="A3278" s="2">
        <v>44398</v>
      </c>
      <c r="B3278" t="s">
        <v>111</v>
      </c>
      <c r="C3278">
        <v>-2469</v>
      </c>
      <c r="D3278" t="str">
        <f>VLOOKUP(B3278,Tabela_Auxiliar[],2,0)</f>
        <v>2. Deduções da Receita</v>
      </c>
      <c r="E3278" t="str">
        <f>VLOOKUP(B3278,Tabela_Auxiliar[],4,0)</f>
        <v>Imposto</v>
      </c>
      <c r="F3278" t="str">
        <f>VLOOKUP(B3278,Tabela_Auxiliar[],3,0)</f>
        <v>Saída</v>
      </c>
      <c r="G3278" t="str">
        <f>UPPER(TEXT(Tabela_DB[[#This Row],[DATA]],"mmm"))</f>
        <v>JUL</v>
      </c>
      <c r="H3278" t="str">
        <f>UPPER(TEXT(Tabela_DB[[#This Row],[DATA]],"aaaa"))</f>
        <v>2021</v>
      </c>
    </row>
    <row r="3279" spans="1:8" x14ac:dyDescent="0.25">
      <c r="A3279" s="2">
        <v>44398</v>
      </c>
      <c r="B3279" t="s">
        <v>3</v>
      </c>
      <c r="C3279">
        <v>14614</v>
      </c>
      <c r="D3279" t="str">
        <f>VLOOKUP(B3279,Tabela_Auxiliar[],2,0)</f>
        <v>1. Receita Operacional Bruta</v>
      </c>
      <c r="E3279" t="str">
        <f>VLOOKUP(B3279,Tabela_Auxiliar[],4,0)</f>
        <v>Receita Bruta</v>
      </c>
      <c r="F3279" t="str">
        <f>VLOOKUP(B3279,Tabela_Auxiliar[],3,0)</f>
        <v>Entrada</v>
      </c>
      <c r="G3279" t="str">
        <f>UPPER(TEXT(Tabela_DB[[#This Row],[DATA]],"mmm"))</f>
        <v>JUL</v>
      </c>
      <c r="H3279" t="str">
        <f>UPPER(TEXT(Tabela_DB[[#This Row],[DATA]],"aaaa"))</f>
        <v>2021</v>
      </c>
    </row>
    <row r="3280" spans="1:8" x14ac:dyDescent="0.25">
      <c r="A3280" s="2">
        <v>44399</v>
      </c>
      <c r="B3280" t="s">
        <v>3</v>
      </c>
      <c r="C3280">
        <v>12866</v>
      </c>
      <c r="D3280" t="str">
        <f>VLOOKUP(B3280,Tabela_Auxiliar[],2,0)</f>
        <v>1. Receita Operacional Bruta</v>
      </c>
      <c r="E3280" t="str">
        <f>VLOOKUP(B3280,Tabela_Auxiliar[],4,0)</f>
        <v>Receita Bruta</v>
      </c>
      <c r="F3280" t="str">
        <f>VLOOKUP(B3280,Tabela_Auxiliar[],3,0)</f>
        <v>Entrada</v>
      </c>
      <c r="G3280" t="str">
        <f>UPPER(TEXT(Tabela_DB[[#This Row],[DATA]],"mmm"))</f>
        <v>JUL</v>
      </c>
      <c r="H3280" t="str">
        <f>UPPER(TEXT(Tabela_DB[[#This Row],[DATA]],"aaaa"))</f>
        <v>2021</v>
      </c>
    </row>
    <row r="3281" spans="1:8" x14ac:dyDescent="0.25">
      <c r="A3281" s="2">
        <v>44399</v>
      </c>
      <c r="B3281" t="s">
        <v>65</v>
      </c>
      <c r="C3281">
        <v>-1694</v>
      </c>
      <c r="D3281" t="str">
        <f>VLOOKUP(B3281,Tabela_Auxiliar[],2,0)</f>
        <v>4. Despesas Operacionais</v>
      </c>
      <c r="E3281" t="str">
        <f>VLOOKUP(B3281,Tabela_Auxiliar[],4,0)</f>
        <v>Despesa Gerais</v>
      </c>
      <c r="F3281" t="str">
        <f>VLOOKUP(B3281,Tabela_Auxiliar[],3,0)</f>
        <v>Saída</v>
      </c>
      <c r="G3281" t="str">
        <f>UPPER(TEXT(Tabela_DB[[#This Row],[DATA]],"mmm"))</f>
        <v>JUL</v>
      </c>
      <c r="H3281" t="str">
        <f>UPPER(TEXT(Tabela_DB[[#This Row],[DATA]],"aaaa"))</f>
        <v>2021</v>
      </c>
    </row>
    <row r="3282" spans="1:8" x14ac:dyDescent="0.25">
      <c r="A3282" s="2">
        <v>44399</v>
      </c>
      <c r="B3282" t="s">
        <v>3</v>
      </c>
      <c r="C3282">
        <v>14587</v>
      </c>
      <c r="D3282" t="str">
        <f>VLOOKUP(B3282,Tabela_Auxiliar[],2,0)</f>
        <v>1. Receita Operacional Bruta</v>
      </c>
      <c r="E3282" t="str">
        <f>VLOOKUP(B3282,Tabela_Auxiliar[],4,0)</f>
        <v>Receita Bruta</v>
      </c>
      <c r="F3282" t="str">
        <f>VLOOKUP(B3282,Tabela_Auxiliar[],3,0)</f>
        <v>Entrada</v>
      </c>
      <c r="G3282" t="str">
        <f>UPPER(TEXT(Tabela_DB[[#This Row],[DATA]],"mmm"))</f>
        <v>JUL</v>
      </c>
      <c r="H3282" t="str">
        <f>UPPER(TEXT(Tabela_DB[[#This Row],[DATA]],"aaaa"))</f>
        <v>2021</v>
      </c>
    </row>
    <row r="3283" spans="1:8" x14ac:dyDescent="0.25">
      <c r="A3283" s="2">
        <v>44399</v>
      </c>
      <c r="B3283" t="s">
        <v>34</v>
      </c>
      <c r="C3283">
        <v>-1807</v>
      </c>
      <c r="D3283" t="str">
        <f>VLOOKUP(B3283,Tabela_Auxiliar[],2,0)</f>
        <v>2. Deduções da Receita</v>
      </c>
      <c r="E3283" t="str">
        <f>VLOOKUP(B3283,Tabela_Auxiliar[],4,0)</f>
        <v>Imposto</v>
      </c>
      <c r="F3283" t="str">
        <f>VLOOKUP(B3283,Tabela_Auxiliar[],3,0)</f>
        <v>Saída</v>
      </c>
      <c r="G3283" t="str">
        <f>UPPER(TEXT(Tabela_DB[[#This Row],[DATA]],"mmm"))</f>
        <v>JUL</v>
      </c>
      <c r="H3283" t="str">
        <f>UPPER(TEXT(Tabela_DB[[#This Row],[DATA]],"aaaa"))</f>
        <v>2021</v>
      </c>
    </row>
    <row r="3284" spans="1:8" x14ac:dyDescent="0.25">
      <c r="A3284" s="2">
        <v>44399</v>
      </c>
      <c r="B3284" t="s">
        <v>38</v>
      </c>
      <c r="C3284">
        <v>-2177</v>
      </c>
      <c r="D3284" t="str">
        <f>VLOOKUP(B3284,Tabela_Auxiliar[],2,0)</f>
        <v>2. Deduções da Receita</v>
      </c>
      <c r="E3284" t="str">
        <f>VLOOKUP(B3284,Tabela_Auxiliar[],4,0)</f>
        <v>Deduções</v>
      </c>
      <c r="F3284" t="str">
        <f>VLOOKUP(B3284,Tabela_Auxiliar[],3,0)</f>
        <v>Saída</v>
      </c>
      <c r="G3284" t="str">
        <f>UPPER(TEXT(Tabela_DB[[#This Row],[DATA]],"mmm"))</f>
        <v>JUL</v>
      </c>
      <c r="H3284" t="str">
        <f>UPPER(TEXT(Tabela_DB[[#This Row],[DATA]],"aaaa"))</f>
        <v>2021</v>
      </c>
    </row>
    <row r="3285" spans="1:8" x14ac:dyDescent="0.25">
      <c r="A3285" s="2">
        <v>44399</v>
      </c>
      <c r="B3285" t="s">
        <v>4</v>
      </c>
      <c r="C3285">
        <v>13479</v>
      </c>
      <c r="D3285" t="str">
        <f>VLOOKUP(B3285,Tabela_Auxiliar[],2,0)</f>
        <v>1. Receita Operacional Bruta</v>
      </c>
      <c r="E3285" t="str">
        <f>VLOOKUP(B3285,Tabela_Auxiliar[],4,0)</f>
        <v>Receita Bruta</v>
      </c>
      <c r="F3285" t="str">
        <f>VLOOKUP(B3285,Tabela_Auxiliar[],3,0)</f>
        <v>Entrada</v>
      </c>
      <c r="G3285" t="str">
        <f>UPPER(TEXT(Tabela_DB[[#This Row],[DATA]],"mmm"))</f>
        <v>JUL</v>
      </c>
      <c r="H3285" t="str">
        <f>UPPER(TEXT(Tabela_DB[[#This Row],[DATA]],"aaaa"))</f>
        <v>2021</v>
      </c>
    </row>
    <row r="3286" spans="1:8" x14ac:dyDescent="0.25">
      <c r="A3286" s="2">
        <v>44399</v>
      </c>
      <c r="B3286" t="s">
        <v>37</v>
      </c>
      <c r="C3286">
        <v>-3893</v>
      </c>
      <c r="D3286" t="str">
        <f>VLOOKUP(B3286,Tabela_Auxiliar[],2,0)</f>
        <v>3. Custos do Produto/Mercadoria/Serviço</v>
      </c>
      <c r="E3286" t="str">
        <f>VLOOKUP(B3286,Tabela_Auxiliar[],4,0)</f>
        <v>Despesas c/ Produto</v>
      </c>
      <c r="F3286" t="str">
        <f>VLOOKUP(B3286,Tabela_Auxiliar[],3,0)</f>
        <v>Saída</v>
      </c>
      <c r="G3286" t="str">
        <f>UPPER(TEXT(Tabela_DB[[#This Row],[DATA]],"mmm"))</f>
        <v>JUL</v>
      </c>
      <c r="H3286" t="str">
        <f>UPPER(TEXT(Tabela_DB[[#This Row],[DATA]],"aaaa"))</f>
        <v>2021</v>
      </c>
    </row>
    <row r="3287" spans="1:8" x14ac:dyDescent="0.25">
      <c r="A3287" s="2">
        <v>44399</v>
      </c>
      <c r="B3287" t="s">
        <v>35</v>
      </c>
      <c r="C3287">
        <v>-1565</v>
      </c>
      <c r="D3287" t="str">
        <f>VLOOKUP(B3287,Tabela_Auxiliar[],2,0)</f>
        <v>2. Deduções da Receita</v>
      </c>
      <c r="E3287" t="str">
        <f>VLOOKUP(B3287,Tabela_Auxiliar[],4,0)</f>
        <v>Imposto</v>
      </c>
      <c r="F3287" t="str">
        <f>VLOOKUP(B3287,Tabela_Auxiliar[],3,0)</f>
        <v>Saída</v>
      </c>
      <c r="G3287" t="str">
        <f>UPPER(TEXT(Tabela_DB[[#This Row],[DATA]],"mmm"))</f>
        <v>JUL</v>
      </c>
      <c r="H3287" t="str">
        <f>UPPER(TEXT(Tabela_DB[[#This Row],[DATA]],"aaaa"))</f>
        <v>2021</v>
      </c>
    </row>
    <row r="3288" spans="1:8" x14ac:dyDescent="0.25">
      <c r="A3288" s="2">
        <v>44400</v>
      </c>
      <c r="B3288" t="s">
        <v>101</v>
      </c>
      <c r="C3288">
        <v>-1062</v>
      </c>
      <c r="D3288" t="str">
        <f>VLOOKUP(B3288,Tabela_Auxiliar[],2,0)</f>
        <v>5. Resultado Financeiro</v>
      </c>
      <c r="E3288" t="str">
        <f>VLOOKUP(B3288,Tabela_Auxiliar[],4,0)</f>
        <v>Despesa Financeira</v>
      </c>
      <c r="F3288" t="str">
        <f>VLOOKUP(B3288,Tabela_Auxiliar[],3,0)</f>
        <v>Saída</v>
      </c>
      <c r="G3288" t="str">
        <f>UPPER(TEXT(Tabela_DB[[#This Row],[DATA]],"mmm"))</f>
        <v>JUL</v>
      </c>
      <c r="H3288" t="str">
        <f>UPPER(TEXT(Tabela_DB[[#This Row],[DATA]],"aaaa"))</f>
        <v>2021</v>
      </c>
    </row>
    <row r="3289" spans="1:8" x14ac:dyDescent="0.25">
      <c r="A3289" s="2">
        <v>44400</v>
      </c>
      <c r="B3289" t="s">
        <v>5</v>
      </c>
      <c r="C3289">
        <v>-1532</v>
      </c>
      <c r="D3289" t="str">
        <f>VLOOKUP(B3289,Tabela_Auxiliar[],2,0)</f>
        <v>4. Despesas Operacionais</v>
      </c>
      <c r="E3289" t="str">
        <f>VLOOKUP(B3289,Tabela_Auxiliar[],4,0)</f>
        <v>Despesa com Pessoal</v>
      </c>
      <c r="F3289" t="str">
        <f>VLOOKUP(B3289,Tabela_Auxiliar[],3,0)</f>
        <v>Saída</v>
      </c>
      <c r="G3289" t="str">
        <f>UPPER(TEXT(Tabela_DB[[#This Row],[DATA]],"mmm"))</f>
        <v>JUL</v>
      </c>
      <c r="H3289" t="str">
        <f>UPPER(TEXT(Tabela_DB[[#This Row],[DATA]],"aaaa"))</f>
        <v>2021</v>
      </c>
    </row>
    <row r="3290" spans="1:8" x14ac:dyDescent="0.25">
      <c r="A3290" s="2">
        <v>44400</v>
      </c>
      <c r="B3290" t="s">
        <v>37</v>
      </c>
      <c r="C3290">
        <v>-3889</v>
      </c>
      <c r="D3290" t="str">
        <f>VLOOKUP(B3290,Tabela_Auxiliar[],2,0)</f>
        <v>3. Custos do Produto/Mercadoria/Serviço</v>
      </c>
      <c r="E3290" t="str">
        <f>VLOOKUP(B3290,Tabela_Auxiliar[],4,0)</f>
        <v>Despesas c/ Produto</v>
      </c>
      <c r="F3290" t="str">
        <f>VLOOKUP(B3290,Tabela_Auxiliar[],3,0)</f>
        <v>Saída</v>
      </c>
      <c r="G3290" t="str">
        <f>UPPER(TEXT(Tabela_DB[[#This Row],[DATA]],"mmm"))</f>
        <v>JUL</v>
      </c>
      <c r="H3290" t="str">
        <f>UPPER(TEXT(Tabela_DB[[#This Row],[DATA]],"aaaa"))</f>
        <v>2021</v>
      </c>
    </row>
    <row r="3291" spans="1:8" x14ac:dyDescent="0.25">
      <c r="A3291" s="2">
        <v>44400</v>
      </c>
      <c r="B3291" t="s">
        <v>50</v>
      </c>
      <c r="C3291">
        <v>-1123</v>
      </c>
      <c r="D3291" t="str">
        <f>VLOOKUP(B3291,Tabela_Auxiliar[],2,0)</f>
        <v>4. Despesas Operacionais</v>
      </c>
      <c r="E3291" t="str">
        <f>VLOOKUP(B3291,Tabela_Auxiliar[],4,0)</f>
        <v>Despesa com Pessoal</v>
      </c>
      <c r="F3291" t="str">
        <f>VLOOKUP(B3291,Tabela_Auxiliar[],3,0)</f>
        <v>Saída</v>
      </c>
      <c r="G3291" t="str">
        <f>UPPER(TEXT(Tabela_DB[[#This Row],[DATA]],"mmm"))</f>
        <v>JUL</v>
      </c>
      <c r="H3291" t="str">
        <f>UPPER(TEXT(Tabela_DB[[#This Row],[DATA]],"aaaa"))</f>
        <v>2021</v>
      </c>
    </row>
    <row r="3292" spans="1:8" x14ac:dyDescent="0.25">
      <c r="A3292" s="2">
        <v>44400</v>
      </c>
      <c r="B3292" t="s">
        <v>4</v>
      </c>
      <c r="C3292">
        <v>14201</v>
      </c>
      <c r="D3292" t="str">
        <f>VLOOKUP(B3292,Tabela_Auxiliar[],2,0)</f>
        <v>1. Receita Operacional Bruta</v>
      </c>
      <c r="E3292" t="str">
        <f>VLOOKUP(B3292,Tabela_Auxiliar[],4,0)</f>
        <v>Receita Bruta</v>
      </c>
      <c r="F3292" t="str">
        <f>VLOOKUP(B3292,Tabela_Auxiliar[],3,0)</f>
        <v>Entrada</v>
      </c>
      <c r="G3292" t="str">
        <f>UPPER(TEXT(Tabela_DB[[#This Row],[DATA]],"mmm"))</f>
        <v>JUL</v>
      </c>
      <c r="H3292" t="str">
        <f>UPPER(TEXT(Tabela_DB[[#This Row],[DATA]],"aaaa"))</f>
        <v>2021</v>
      </c>
    </row>
    <row r="3293" spans="1:8" x14ac:dyDescent="0.25">
      <c r="A3293" s="2">
        <v>44400</v>
      </c>
      <c r="B3293" t="s">
        <v>111</v>
      </c>
      <c r="C3293">
        <v>-1505</v>
      </c>
      <c r="D3293" t="str">
        <f>VLOOKUP(B3293,Tabela_Auxiliar[],2,0)</f>
        <v>2. Deduções da Receita</v>
      </c>
      <c r="E3293" t="str">
        <f>VLOOKUP(B3293,Tabela_Auxiliar[],4,0)</f>
        <v>Imposto</v>
      </c>
      <c r="F3293" t="str">
        <f>VLOOKUP(B3293,Tabela_Auxiliar[],3,0)</f>
        <v>Saída</v>
      </c>
      <c r="G3293" t="str">
        <f>UPPER(TEXT(Tabela_DB[[#This Row],[DATA]],"mmm"))</f>
        <v>JUL</v>
      </c>
      <c r="H3293" t="str">
        <f>UPPER(TEXT(Tabela_DB[[#This Row],[DATA]],"aaaa"))</f>
        <v>2021</v>
      </c>
    </row>
    <row r="3294" spans="1:8" x14ac:dyDescent="0.25">
      <c r="A3294" s="2">
        <v>44400</v>
      </c>
      <c r="B3294" t="s">
        <v>40</v>
      </c>
      <c r="C3294">
        <v>-1688</v>
      </c>
      <c r="D3294" t="str">
        <f>VLOOKUP(B3294,Tabela_Auxiliar[],2,0)</f>
        <v>4. Despesas Operacionais</v>
      </c>
      <c r="E3294" t="str">
        <f>VLOOKUP(B3294,Tabela_Auxiliar[],4,0)</f>
        <v>Despesa com Pessoal</v>
      </c>
      <c r="F3294" t="str">
        <f>VLOOKUP(B3294,Tabela_Auxiliar[],3,0)</f>
        <v>Saída</v>
      </c>
      <c r="G3294" t="str">
        <f>UPPER(TEXT(Tabela_DB[[#This Row],[DATA]],"mmm"))</f>
        <v>JUL</v>
      </c>
      <c r="H3294" t="str">
        <f>UPPER(TEXT(Tabela_DB[[#This Row],[DATA]],"aaaa"))</f>
        <v>2021</v>
      </c>
    </row>
    <row r="3295" spans="1:8" x14ac:dyDescent="0.25">
      <c r="A3295" s="2">
        <v>44400</v>
      </c>
      <c r="B3295" t="s">
        <v>111</v>
      </c>
      <c r="C3295">
        <v>-1115</v>
      </c>
      <c r="D3295" t="str">
        <f>VLOOKUP(B3295,Tabela_Auxiliar[],2,0)</f>
        <v>2. Deduções da Receita</v>
      </c>
      <c r="E3295" t="str">
        <f>VLOOKUP(B3295,Tabela_Auxiliar[],4,0)</f>
        <v>Imposto</v>
      </c>
      <c r="F3295" t="str">
        <f>VLOOKUP(B3295,Tabela_Auxiliar[],3,0)</f>
        <v>Saída</v>
      </c>
      <c r="G3295" t="str">
        <f>UPPER(TEXT(Tabela_DB[[#This Row],[DATA]],"mmm"))</f>
        <v>JUL</v>
      </c>
      <c r="H3295" t="str">
        <f>UPPER(TEXT(Tabela_DB[[#This Row],[DATA]],"aaaa"))</f>
        <v>2021</v>
      </c>
    </row>
    <row r="3296" spans="1:8" x14ac:dyDescent="0.25">
      <c r="A3296" s="2">
        <v>44400</v>
      </c>
      <c r="B3296" t="s">
        <v>62</v>
      </c>
      <c r="C3296">
        <v>-1271</v>
      </c>
      <c r="D3296" t="str">
        <f>VLOOKUP(B3296,Tabela_Auxiliar[],2,0)</f>
        <v>4. Despesas Operacionais</v>
      </c>
      <c r="E3296" t="str">
        <f>VLOOKUP(B3296,Tabela_Auxiliar[],4,0)</f>
        <v>Despesa Gerais</v>
      </c>
      <c r="F3296" t="str">
        <f>VLOOKUP(B3296,Tabela_Auxiliar[],3,0)</f>
        <v>Saída</v>
      </c>
      <c r="G3296" t="str">
        <f>UPPER(TEXT(Tabela_DB[[#This Row],[DATA]],"mmm"))</f>
        <v>JUL</v>
      </c>
      <c r="H3296" t="str">
        <f>UPPER(TEXT(Tabela_DB[[#This Row],[DATA]],"aaaa"))</f>
        <v>2021</v>
      </c>
    </row>
    <row r="3297" spans="1:8" x14ac:dyDescent="0.25">
      <c r="A3297" s="2">
        <v>44400</v>
      </c>
      <c r="B3297" t="s">
        <v>87</v>
      </c>
      <c r="C3297">
        <v>-1040</v>
      </c>
      <c r="D3297" t="str">
        <f>VLOOKUP(B3297,Tabela_Auxiliar[],2,0)</f>
        <v>4. Despesas Operacionais</v>
      </c>
      <c r="E3297" t="str">
        <f>VLOOKUP(B3297,Tabela_Auxiliar[],4,0)</f>
        <v>Despesa Tributária</v>
      </c>
      <c r="F3297" t="str">
        <f>VLOOKUP(B3297,Tabela_Auxiliar[],3,0)</f>
        <v>Saída</v>
      </c>
      <c r="G3297" t="str">
        <f>UPPER(TEXT(Tabela_DB[[#This Row],[DATA]],"mmm"))</f>
        <v>JUL</v>
      </c>
      <c r="H3297" t="str">
        <f>UPPER(TEXT(Tabela_DB[[#This Row],[DATA]],"aaaa"))</f>
        <v>2021</v>
      </c>
    </row>
    <row r="3298" spans="1:8" x14ac:dyDescent="0.25">
      <c r="A3298" s="2">
        <v>44400</v>
      </c>
      <c r="B3298" t="s">
        <v>8</v>
      </c>
      <c r="C3298">
        <v>-1582</v>
      </c>
      <c r="D3298" t="str">
        <f>VLOOKUP(B3298,Tabela_Auxiliar[],2,0)</f>
        <v>4. Despesas Operacionais</v>
      </c>
      <c r="E3298" t="str">
        <f>VLOOKUP(B3298,Tabela_Auxiliar[],4,0)</f>
        <v>Despesa com Pessoal</v>
      </c>
      <c r="F3298" t="str">
        <f>VLOOKUP(B3298,Tabela_Auxiliar[],3,0)</f>
        <v>Saída</v>
      </c>
      <c r="G3298" t="str">
        <f>UPPER(TEXT(Tabela_DB[[#This Row],[DATA]],"mmm"))</f>
        <v>JUL</v>
      </c>
      <c r="H3298" t="str">
        <f>UPPER(TEXT(Tabela_DB[[#This Row],[DATA]],"aaaa"))</f>
        <v>2021</v>
      </c>
    </row>
    <row r="3299" spans="1:8" x14ac:dyDescent="0.25">
      <c r="A3299" s="2">
        <v>44400</v>
      </c>
      <c r="B3299" t="s">
        <v>3</v>
      </c>
      <c r="C3299">
        <v>13108</v>
      </c>
      <c r="D3299" t="str">
        <f>VLOOKUP(B3299,Tabela_Auxiliar[],2,0)</f>
        <v>1. Receita Operacional Bruta</v>
      </c>
      <c r="E3299" t="str">
        <f>VLOOKUP(B3299,Tabela_Auxiliar[],4,0)</f>
        <v>Receita Bruta</v>
      </c>
      <c r="F3299" t="str">
        <f>VLOOKUP(B3299,Tabela_Auxiliar[],3,0)</f>
        <v>Entrada</v>
      </c>
      <c r="G3299" t="str">
        <f>UPPER(TEXT(Tabela_DB[[#This Row],[DATA]],"mmm"))</f>
        <v>JUL</v>
      </c>
      <c r="H3299" t="str">
        <f>UPPER(TEXT(Tabela_DB[[#This Row],[DATA]],"aaaa"))</f>
        <v>2021</v>
      </c>
    </row>
    <row r="3300" spans="1:8" x14ac:dyDescent="0.25">
      <c r="A3300" s="2">
        <v>44400</v>
      </c>
      <c r="B3300" t="s">
        <v>37</v>
      </c>
      <c r="C3300">
        <v>-4374</v>
      </c>
      <c r="D3300" t="str">
        <f>VLOOKUP(B3300,Tabela_Auxiliar[],2,0)</f>
        <v>3. Custos do Produto/Mercadoria/Serviço</v>
      </c>
      <c r="E3300" t="str">
        <f>VLOOKUP(B3300,Tabela_Auxiliar[],4,0)</f>
        <v>Despesas c/ Produto</v>
      </c>
      <c r="F3300" t="str">
        <f>VLOOKUP(B3300,Tabela_Auxiliar[],3,0)</f>
        <v>Saída</v>
      </c>
      <c r="G3300" t="str">
        <f>UPPER(TEXT(Tabela_DB[[#This Row],[DATA]],"mmm"))</f>
        <v>JUL</v>
      </c>
      <c r="H3300" t="str">
        <f>UPPER(TEXT(Tabela_DB[[#This Row],[DATA]],"aaaa"))</f>
        <v>2021</v>
      </c>
    </row>
    <row r="3301" spans="1:8" x14ac:dyDescent="0.25">
      <c r="A3301" s="2">
        <v>44400</v>
      </c>
      <c r="B3301" t="s">
        <v>4</v>
      </c>
      <c r="C3301">
        <v>10248</v>
      </c>
      <c r="D3301" t="str">
        <f>VLOOKUP(B3301,Tabela_Auxiliar[],2,0)</f>
        <v>1. Receita Operacional Bruta</v>
      </c>
      <c r="E3301" t="str">
        <f>VLOOKUP(B3301,Tabela_Auxiliar[],4,0)</f>
        <v>Receita Bruta</v>
      </c>
      <c r="F3301" t="str">
        <f>VLOOKUP(B3301,Tabela_Auxiliar[],3,0)</f>
        <v>Entrada</v>
      </c>
      <c r="G3301" t="str">
        <f>UPPER(TEXT(Tabela_DB[[#This Row],[DATA]],"mmm"))</f>
        <v>JUL</v>
      </c>
      <c r="H3301" t="str">
        <f>UPPER(TEXT(Tabela_DB[[#This Row],[DATA]],"aaaa"))</f>
        <v>2021</v>
      </c>
    </row>
    <row r="3302" spans="1:8" x14ac:dyDescent="0.25">
      <c r="A3302" s="2">
        <v>44400</v>
      </c>
      <c r="B3302" t="s">
        <v>37</v>
      </c>
      <c r="C3302">
        <v>-2821</v>
      </c>
      <c r="D3302" t="str">
        <f>VLOOKUP(B3302,Tabela_Auxiliar[],2,0)</f>
        <v>3. Custos do Produto/Mercadoria/Serviço</v>
      </c>
      <c r="E3302" t="str">
        <f>VLOOKUP(B3302,Tabela_Auxiliar[],4,0)</f>
        <v>Despesas c/ Produto</v>
      </c>
      <c r="F3302" t="str">
        <f>VLOOKUP(B3302,Tabela_Auxiliar[],3,0)</f>
        <v>Saída</v>
      </c>
      <c r="G3302" t="str">
        <f>UPPER(TEXT(Tabela_DB[[#This Row],[DATA]],"mmm"))</f>
        <v>JUL</v>
      </c>
      <c r="H3302" t="str">
        <f>UPPER(TEXT(Tabela_DB[[#This Row],[DATA]],"aaaa"))</f>
        <v>2021</v>
      </c>
    </row>
    <row r="3303" spans="1:8" x14ac:dyDescent="0.25">
      <c r="A3303" s="2">
        <v>44400</v>
      </c>
      <c r="B3303" t="s">
        <v>102</v>
      </c>
      <c r="C3303">
        <v>-1806</v>
      </c>
      <c r="D3303" t="str">
        <f>VLOOKUP(B3303,Tabela_Auxiliar[],2,0)</f>
        <v>6. Resultado após o Resultado Financeiro</v>
      </c>
      <c r="E3303" t="str">
        <f>VLOOKUP(B3303,Tabela_Auxiliar[],4,0)</f>
        <v>EBTIDA</v>
      </c>
      <c r="F3303" t="str">
        <f>VLOOKUP(B3303,Tabela_Auxiliar[],3,0)</f>
        <v>Saída</v>
      </c>
      <c r="G3303" t="str">
        <f>UPPER(TEXT(Tabela_DB[[#This Row],[DATA]],"mmm"))</f>
        <v>JUL</v>
      </c>
      <c r="H3303" t="str">
        <f>UPPER(TEXT(Tabela_DB[[#This Row],[DATA]],"aaaa"))</f>
        <v>2021</v>
      </c>
    </row>
    <row r="3304" spans="1:8" x14ac:dyDescent="0.25">
      <c r="A3304" s="2">
        <v>44400</v>
      </c>
      <c r="B3304" t="s">
        <v>66</v>
      </c>
      <c r="C3304">
        <v>-1863</v>
      </c>
      <c r="D3304" t="str">
        <f>VLOOKUP(B3304,Tabela_Auxiliar[],2,0)</f>
        <v>4. Despesas Operacionais</v>
      </c>
      <c r="E3304" t="str">
        <f>VLOOKUP(B3304,Tabela_Auxiliar[],4,0)</f>
        <v>Despesa com Vendas</v>
      </c>
      <c r="F3304" t="str">
        <f>VLOOKUP(B3304,Tabela_Auxiliar[],3,0)</f>
        <v>Saída</v>
      </c>
      <c r="G3304" t="str">
        <f>UPPER(TEXT(Tabela_DB[[#This Row],[DATA]],"mmm"))</f>
        <v>JUL</v>
      </c>
      <c r="H3304" t="str">
        <f>UPPER(TEXT(Tabela_DB[[#This Row],[DATA]],"aaaa"))</f>
        <v>2021</v>
      </c>
    </row>
    <row r="3305" spans="1:8" x14ac:dyDescent="0.25">
      <c r="A3305" s="2">
        <v>44400</v>
      </c>
      <c r="B3305" t="s">
        <v>38</v>
      </c>
      <c r="C3305">
        <v>-1937</v>
      </c>
      <c r="D3305" t="str">
        <f>VLOOKUP(B3305,Tabela_Auxiliar[],2,0)</f>
        <v>2. Deduções da Receita</v>
      </c>
      <c r="E3305" t="str">
        <f>VLOOKUP(B3305,Tabela_Auxiliar[],4,0)</f>
        <v>Deduções</v>
      </c>
      <c r="F3305" t="str">
        <f>VLOOKUP(B3305,Tabela_Auxiliar[],3,0)</f>
        <v>Saída</v>
      </c>
      <c r="G3305" t="str">
        <f>UPPER(TEXT(Tabela_DB[[#This Row],[DATA]],"mmm"))</f>
        <v>JUL</v>
      </c>
      <c r="H3305" t="str">
        <f>UPPER(TEXT(Tabela_DB[[#This Row],[DATA]],"aaaa"))</f>
        <v>2021</v>
      </c>
    </row>
    <row r="3306" spans="1:8" x14ac:dyDescent="0.25">
      <c r="A3306" s="2">
        <v>44400</v>
      </c>
      <c r="B3306" t="s">
        <v>53</v>
      </c>
      <c r="C3306">
        <v>-1342</v>
      </c>
      <c r="D3306" t="str">
        <f>VLOOKUP(B3306,Tabela_Auxiliar[],2,0)</f>
        <v>4. Despesas Operacionais</v>
      </c>
      <c r="E3306" t="str">
        <f>VLOOKUP(B3306,Tabela_Auxiliar[],4,0)</f>
        <v>Despesa com Pessoal</v>
      </c>
      <c r="F3306" t="str">
        <f>VLOOKUP(B3306,Tabela_Auxiliar[],3,0)</f>
        <v>Saída</v>
      </c>
      <c r="G3306" t="str">
        <f>UPPER(TEXT(Tabela_DB[[#This Row],[DATA]],"mmm"))</f>
        <v>JUL</v>
      </c>
      <c r="H3306" t="str">
        <f>UPPER(TEXT(Tabela_DB[[#This Row],[DATA]],"aaaa"))</f>
        <v>2021</v>
      </c>
    </row>
    <row r="3307" spans="1:8" x14ac:dyDescent="0.25">
      <c r="A3307" s="2">
        <v>44400</v>
      </c>
      <c r="B3307" t="s">
        <v>3</v>
      </c>
      <c r="C3307">
        <v>13882</v>
      </c>
      <c r="D3307" t="str">
        <f>VLOOKUP(B3307,Tabela_Auxiliar[],2,0)</f>
        <v>1. Receita Operacional Bruta</v>
      </c>
      <c r="E3307" t="str">
        <f>VLOOKUP(B3307,Tabela_Auxiliar[],4,0)</f>
        <v>Receita Bruta</v>
      </c>
      <c r="F3307" t="str">
        <f>VLOOKUP(B3307,Tabela_Auxiliar[],3,0)</f>
        <v>Entrada</v>
      </c>
      <c r="G3307" t="str">
        <f>UPPER(TEXT(Tabela_DB[[#This Row],[DATA]],"mmm"))</f>
        <v>JUL</v>
      </c>
      <c r="H3307" t="str">
        <f>UPPER(TEXT(Tabela_DB[[#This Row],[DATA]],"aaaa"))</f>
        <v>2021</v>
      </c>
    </row>
    <row r="3308" spans="1:8" x14ac:dyDescent="0.25">
      <c r="A3308" s="2">
        <v>44401</v>
      </c>
      <c r="B3308" t="s">
        <v>37</v>
      </c>
      <c r="C3308">
        <v>-4384</v>
      </c>
      <c r="D3308" t="str">
        <f>VLOOKUP(B3308,Tabela_Auxiliar[],2,0)</f>
        <v>3. Custos do Produto/Mercadoria/Serviço</v>
      </c>
      <c r="E3308" t="str">
        <f>VLOOKUP(B3308,Tabela_Auxiliar[],4,0)</f>
        <v>Despesas c/ Produto</v>
      </c>
      <c r="F3308" t="str">
        <f>VLOOKUP(B3308,Tabela_Auxiliar[],3,0)</f>
        <v>Saída</v>
      </c>
      <c r="G3308" t="str">
        <f>UPPER(TEXT(Tabela_DB[[#This Row],[DATA]],"mmm"))</f>
        <v>JUL</v>
      </c>
      <c r="H3308" t="str">
        <f>UPPER(TEXT(Tabela_DB[[#This Row],[DATA]],"aaaa"))</f>
        <v>2021</v>
      </c>
    </row>
    <row r="3309" spans="1:8" x14ac:dyDescent="0.25">
      <c r="A3309" s="2">
        <v>44401</v>
      </c>
      <c r="B3309" t="s">
        <v>53</v>
      </c>
      <c r="C3309">
        <v>-1585</v>
      </c>
      <c r="D3309" t="str">
        <f>VLOOKUP(B3309,Tabela_Auxiliar[],2,0)</f>
        <v>4. Despesas Operacionais</v>
      </c>
      <c r="E3309" t="str">
        <f>VLOOKUP(B3309,Tabela_Auxiliar[],4,0)</f>
        <v>Despesa com Pessoal</v>
      </c>
      <c r="F3309" t="str">
        <f>VLOOKUP(B3309,Tabela_Auxiliar[],3,0)</f>
        <v>Saída</v>
      </c>
      <c r="G3309" t="str">
        <f>UPPER(TEXT(Tabela_DB[[#This Row],[DATA]],"mmm"))</f>
        <v>JUL</v>
      </c>
      <c r="H3309" t="str">
        <f>UPPER(TEXT(Tabela_DB[[#This Row],[DATA]],"aaaa"))</f>
        <v>2021</v>
      </c>
    </row>
    <row r="3310" spans="1:8" x14ac:dyDescent="0.25">
      <c r="A3310" s="2">
        <v>44401</v>
      </c>
      <c r="B3310" t="s">
        <v>34</v>
      </c>
      <c r="C3310">
        <v>-2447</v>
      </c>
      <c r="D3310" t="str">
        <f>VLOOKUP(B3310,Tabela_Auxiliar[],2,0)</f>
        <v>2. Deduções da Receita</v>
      </c>
      <c r="E3310" t="str">
        <f>VLOOKUP(B3310,Tabela_Auxiliar[],4,0)</f>
        <v>Imposto</v>
      </c>
      <c r="F3310" t="str">
        <f>VLOOKUP(B3310,Tabela_Auxiliar[],3,0)</f>
        <v>Saída</v>
      </c>
      <c r="G3310" t="str">
        <f>UPPER(TEXT(Tabela_DB[[#This Row],[DATA]],"mmm"))</f>
        <v>JUL</v>
      </c>
      <c r="H3310" t="str">
        <f>UPPER(TEXT(Tabela_DB[[#This Row],[DATA]],"aaaa"))</f>
        <v>2021</v>
      </c>
    </row>
    <row r="3311" spans="1:8" x14ac:dyDescent="0.25">
      <c r="A3311" s="2">
        <v>44401</v>
      </c>
      <c r="B3311" t="s">
        <v>38</v>
      </c>
      <c r="C3311">
        <v>-1373</v>
      </c>
      <c r="D3311" t="str">
        <f>VLOOKUP(B3311,Tabela_Auxiliar[],2,0)</f>
        <v>2. Deduções da Receita</v>
      </c>
      <c r="E3311" t="str">
        <f>VLOOKUP(B3311,Tabela_Auxiliar[],4,0)</f>
        <v>Deduções</v>
      </c>
      <c r="F3311" t="str">
        <f>VLOOKUP(B3311,Tabela_Auxiliar[],3,0)</f>
        <v>Saída</v>
      </c>
      <c r="G3311" t="str">
        <f>UPPER(TEXT(Tabela_DB[[#This Row],[DATA]],"mmm"))</f>
        <v>JUL</v>
      </c>
      <c r="H3311" t="str">
        <f>UPPER(TEXT(Tabela_DB[[#This Row],[DATA]],"aaaa"))</f>
        <v>2021</v>
      </c>
    </row>
    <row r="3312" spans="1:8" x14ac:dyDescent="0.25">
      <c r="A3312" s="2">
        <v>44401</v>
      </c>
      <c r="B3312" t="s">
        <v>65</v>
      </c>
      <c r="C3312">
        <v>-1906</v>
      </c>
      <c r="D3312" t="str">
        <f>VLOOKUP(B3312,Tabela_Auxiliar[],2,0)</f>
        <v>4. Despesas Operacionais</v>
      </c>
      <c r="E3312" t="str">
        <f>VLOOKUP(B3312,Tabela_Auxiliar[],4,0)</f>
        <v>Despesa Gerais</v>
      </c>
      <c r="F3312" t="str">
        <f>VLOOKUP(B3312,Tabela_Auxiliar[],3,0)</f>
        <v>Saída</v>
      </c>
      <c r="G3312" t="str">
        <f>UPPER(TEXT(Tabela_DB[[#This Row],[DATA]],"mmm"))</f>
        <v>JUL</v>
      </c>
      <c r="H3312" t="str">
        <f>UPPER(TEXT(Tabela_DB[[#This Row],[DATA]],"aaaa"))</f>
        <v>2021</v>
      </c>
    </row>
    <row r="3313" spans="1:8" x14ac:dyDescent="0.25">
      <c r="A3313" s="2">
        <v>44401</v>
      </c>
      <c r="B3313" t="s">
        <v>34</v>
      </c>
      <c r="C3313">
        <v>-2042</v>
      </c>
      <c r="D3313" t="str">
        <f>VLOOKUP(B3313,Tabela_Auxiliar[],2,0)</f>
        <v>2. Deduções da Receita</v>
      </c>
      <c r="E3313" t="str">
        <f>VLOOKUP(B3313,Tabela_Auxiliar[],4,0)</f>
        <v>Imposto</v>
      </c>
      <c r="F3313" t="str">
        <f>VLOOKUP(B3313,Tabela_Auxiliar[],3,0)</f>
        <v>Saída</v>
      </c>
      <c r="G3313" t="str">
        <f>UPPER(TEXT(Tabela_DB[[#This Row],[DATA]],"mmm"))</f>
        <v>JUL</v>
      </c>
      <c r="H3313" t="str">
        <f>UPPER(TEXT(Tabela_DB[[#This Row],[DATA]],"aaaa"))</f>
        <v>2021</v>
      </c>
    </row>
    <row r="3314" spans="1:8" x14ac:dyDescent="0.25">
      <c r="A3314" s="2">
        <v>44401</v>
      </c>
      <c r="B3314" t="s">
        <v>89</v>
      </c>
      <c r="C3314">
        <v>-2253</v>
      </c>
      <c r="D3314" t="str">
        <f>VLOOKUP(B3314,Tabela_Auxiliar[],2,0)</f>
        <v>4. Despesas Operacionais</v>
      </c>
      <c r="E3314" t="str">
        <f>VLOOKUP(B3314,Tabela_Auxiliar[],4,0)</f>
        <v>Despesa Tributária</v>
      </c>
      <c r="F3314" t="str">
        <f>VLOOKUP(B3314,Tabela_Auxiliar[],3,0)</f>
        <v>Saída</v>
      </c>
      <c r="G3314" t="str">
        <f>UPPER(TEXT(Tabela_DB[[#This Row],[DATA]],"mmm"))</f>
        <v>JUL</v>
      </c>
      <c r="H3314" t="str">
        <f>UPPER(TEXT(Tabela_DB[[#This Row],[DATA]],"aaaa"))</f>
        <v>2021</v>
      </c>
    </row>
    <row r="3315" spans="1:8" x14ac:dyDescent="0.25">
      <c r="A3315" s="2">
        <v>44401</v>
      </c>
      <c r="B3315" t="s">
        <v>48</v>
      </c>
      <c r="C3315">
        <v>-1081</v>
      </c>
      <c r="D3315" t="str">
        <f>VLOOKUP(B3315,Tabela_Auxiliar[],2,0)</f>
        <v>4. Despesas Operacionais</v>
      </c>
      <c r="E3315" t="str">
        <f>VLOOKUP(B3315,Tabela_Auxiliar[],4,0)</f>
        <v>Despesa com Pessoal</v>
      </c>
      <c r="F3315" t="str">
        <f>VLOOKUP(B3315,Tabela_Auxiliar[],3,0)</f>
        <v>Saída</v>
      </c>
      <c r="G3315" t="str">
        <f>UPPER(TEXT(Tabela_DB[[#This Row],[DATA]],"mmm"))</f>
        <v>JUL</v>
      </c>
      <c r="H3315" t="str">
        <f>UPPER(TEXT(Tabela_DB[[#This Row],[DATA]],"aaaa"))</f>
        <v>2021</v>
      </c>
    </row>
    <row r="3316" spans="1:8" x14ac:dyDescent="0.25">
      <c r="A3316" s="2">
        <v>44401</v>
      </c>
      <c r="B3316" t="s">
        <v>66</v>
      </c>
      <c r="C3316">
        <v>-1473</v>
      </c>
      <c r="D3316" t="str">
        <f>VLOOKUP(B3316,Tabela_Auxiliar[],2,0)</f>
        <v>4. Despesas Operacionais</v>
      </c>
      <c r="E3316" t="str">
        <f>VLOOKUP(B3316,Tabela_Auxiliar[],4,0)</f>
        <v>Despesa com Vendas</v>
      </c>
      <c r="F3316" t="str">
        <f>VLOOKUP(B3316,Tabela_Auxiliar[],3,0)</f>
        <v>Saída</v>
      </c>
      <c r="G3316" t="str">
        <f>UPPER(TEXT(Tabela_DB[[#This Row],[DATA]],"mmm"))</f>
        <v>JUL</v>
      </c>
      <c r="H3316" t="str">
        <f>UPPER(TEXT(Tabela_DB[[#This Row],[DATA]],"aaaa"))</f>
        <v>2021</v>
      </c>
    </row>
    <row r="3317" spans="1:8" x14ac:dyDescent="0.25">
      <c r="A3317" s="2">
        <v>44401</v>
      </c>
      <c r="B3317" t="s">
        <v>34</v>
      </c>
      <c r="C3317">
        <v>-1537</v>
      </c>
      <c r="D3317" t="str">
        <f>VLOOKUP(B3317,Tabela_Auxiliar[],2,0)</f>
        <v>2. Deduções da Receita</v>
      </c>
      <c r="E3317" t="str">
        <f>VLOOKUP(B3317,Tabela_Auxiliar[],4,0)</f>
        <v>Imposto</v>
      </c>
      <c r="F3317" t="str">
        <f>VLOOKUP(B3317,Tabela_Auxiliar[],3,0)</f>
        <v>Saída</v>
      </c>
      <c r="G3317" t="str">
        <f>UPPER(TEXT(Tabela_DB[[#This Row],[DATA]],"mmm"))</f>
        <v>JUL</v>
      </c>
      <c r="H3317" t="str">
        <f>UPPER(TEXT(Tabela_DB[[#This Row],[DATA]],"aaaa"))</f>
        <v>2021</v>
      </c>
    </row>
    <row r="3318" spans="1:8" x14ac:dyDescent="0.25">
      <c r="A3318" s="2">
        <v>44401</v>
      </c>
      <c r="B3318" t="s">
        <v>111</v>
      </c>
      <c r="C3318">
        <v>-1013</v>
      </c>
      <c r="D3318" t="str">
        <f>VLOOKUP(B3318,Tabela_Auxiliar[],2,0)</f>
        <v>2. Deduções da Receita</v>
      </c>
      <c r="E3318" t="str">
        <f>VLOOKUP(B3318,Tabela_Auxiliar[],4,0)</f>
        <v>Imposto</v>
      </c>
      <c r="F3318" t="str">
        <f>VLOOKUP(B3318,Tabela_Auxiliar[],3,0)</f>
        <v>Saída</v>
      </c>
      <c r="G3318" t="str">
        <f>UPPER(TEXT(Tabela_DB[[#This Row],[DATA]],"mmm"))</f>
        <v>JUL</v>
      </c>
      <c r="H3318" t="str">
        <f>UPPER(TEXT(Tabela_DB[[#This Row],[DATA]],"aaaa"))</f>
        <v>2021</v>
      </c>
    </row>
    <row r="3319" spans="1:8" x14ac:dyDescent="0.25">
      <c r="A3319" s="2">
        <v>44401</v>
      </c>
      <c r="B3319" t="s">
        <v>37</v>
      </c>
      <c r="C3319">
        <v>-4453</v>
      </c>
      <c r="D3319" t="str">
        <f>VLOOKUP(B3319,Tabela_Auxiliar[],2,0)</f>
        <v>3. Custos do Produto/Mercadoria/Serviço</v>
      </c>
      <c r="E3319" t="str">
        <f>VLOOKUP(B3319,Tabela_Auxiliar[],4,0)</f>
        <v>Despesas c/ Produto</v>
      </c>
      <c r="F3319" t="str">
        <f>VLOOKUP(B3319,Tabela_Auxiliar[],3,0)</f>
        <v>Saída</v>
      </c>
      <c r="G3319" t="str">
        <f>UPPER(TEXT(Tabela_DB[[#This Row],[DATA]],"mmm"))</f>
        <v>JUL</v>
      </c>
      <c r="H3319" t="str">
        <f>UPPER(TEXT(Tabela_DB[[#This Row],[DATA]],"aaaa"))</f>
        <v>2021</v>
      </c>
    </row>
    <row r="3320" spans="1:8" x14ac:dyDescent="0.25">
      <c r="A3320" s="2">
        <v>44401</v>
      </c>
      <c r="B3320" t="s">
        <v>37</v>
      </c>
      <c r="C3320">
        <v>-4564</v>
      </c>
      <c r="D3320" t="str">
        <f>VLOOKUP(B3320,Tabela_Auxiliar[],2,0)</f>
        <v>3. Custos do Produto/Mercadoria/Serviço</v>
      </c>
      <c r="E3320" t="str">
        <f>VLOOKUP(B3320,Tabela_Auxiliar[],4,0)</f>
        <v>Despesas c/ Produto</v>
      </c>
      <c r="F3320" t="str">
        <f>VLOOKUP(B3320,Tabela_Auxiliar[],3,0)</f>
        <v>Saída</v>
      </c>
      <c r="G3320" t="str">
        <f>UPPER(TEXT(Tabela_DB[[#This Row],[DATA]],"mmm"))</f>
        <v>JUL</v>
      </c>
      <c r="H3320" t="str">
        <f>UPPER(TEXT(Tabela_DB[[#This Row],[DATA]],"aaaa"))</f>
        <v>2021</v>
      </c>
    </row>
    <row r="3321" spans="1:8" x14ac:dyDescent="0.25">
      <c r="A3321" s="2">
        <v>44401</v>
      </c>
      <c r="B3321" t="s">
        <v>4</v>
      </c>
      <c r="C3321">
        <v>13795</v>
      </c>
      <c r="D3321" t="str">
        <f>VLOOKUP(B3321,Tabela_Auxiliar[],2,0)</f>
        <v>1. Receita Operacional Bruta</v>
      </c>
      <c r="E3321" t="str">
        <f>VLOOKUP(B3321,Tabela_Auxiliar[],4,0)</f>
        <v>Receita Bruta</v>
      </c>
      <c r="F3321" t="str">
        <f>VLOOKUP(B3321,Tabela_Auxiliar[],3,0)</f>
        <v>Entrada</v>
      </c>
      <c r="G3321" t="str">
        <f>UPPER(TEXT(Tabela_DB[[#This Row],[DATA]],"mmm"))</f>
        <v>JUL</v>
      </c>
      <c r="H3321" t="str">
        <f>UPPER(TEXT(Tabela_DB[[#This Row],[DATA]],"aaaa"))</f>
        <v>2021</v>
      </c>
    </row>
    <row r="3322" spans="1:8" x14ac:dyDescent="0.25">
      <c r="A3322" s="2">
        <v>44402</v>
      </c>
      <c r="B3322" t="s">
        <v>4</v>
      </c>
      <c r="C3322">
        <v>10711</v>
      </c>
      <c r="D3322" t="str">
        <f>VLOOKUP(B3322,Tabela_Auxiliar[],2,0)</f>
        <v>1. Receita Operacional Bruta</v>
      </c>
      <c r="E3322" t="str">
        <f>VLOOKUP(B3322,Tabela_Auxiliar[],4,0)</f>
        <v>Receita Bruta</v>
      </c>
      <c r="F3322" t="str">
        <f>VLOOKUP(B3322,Tabela_Auxiliar[],3,0)</f>
        <v>Entrada</v>
      </c>
      <c r="G3322" t="str">
        <f>UPPER(TEXT(Tabela_DB[[#This Row],[DATA]],"mmm"))</f>
        <v>JUL</v>
      </c>
      <c r="H3322" t="str">
        <f>UPPER(TEXT(Tabela_DB[[#This Row],[DATA]],"aaaa"))</f>
        <v>2021</v>
      </c>
    </row>
    <row r="3323" spans="1:8" x14ac:dyDescent="0.25">
      <c r="A3323" s="2">
        <v>44402</v>
      </c>
      <c r="B3323" t="s">
        <v>101</v>
      </c>
      <c r="C3323">
        <v>-1435</v>
      </c>
      <c r="D3323" t="str">
        <f>VLOOKUP(B3323,Tabela_Auxiliar[],2,0)</f>
        <v>5. Resultado Financeiro</v>
      </c>
      <c r="E3323" t="str">
        <f>VLOOKUP(B3323,Tabela_Auxiliar[],4,0)</f>
        <v>Despesa Financeira</v>
      </c>
      <c r="F3323" t="str">
        <f>VLOOKUP(B3323,Tabela_Auxiliar[],3,0)</f>
        <v>Saída</v>
      </c>
      <c r="G3323" t="str">
        <f>UPPER(TEXT(Tabela_DB[[#This Row],[DATA]],"mmm"))</f>
        <v>JUL</v>
      </c>
      <c r="H3323" t="str">
        <f>UPPER(TEXT(Tabela_DB[[#This Row],[DATA]],"aaaa"))</f>
        <v>2021</v>
      </c>
    </row>
    <row r="3324" spans="1:8" x14ac:dyDescent="0.25">
      <c r="A3324" s="2">
        <v>44402</v>
      </c>
      <c r="B3324" t="s">
        <v>100</v>
      </c>
      <c r="C3324">
        <v>1949</v>
      </c>
      <c r="D3324" t="str">
        <f>VLOOKUP(B3324,Tabela_Auxiliar[],2,0)</f>
        <v>5. Resultado Financeiro</v>
      </c>
      <c r="E3324" t="str">
        <f>VLOOKUP(B3324,Tabela_Auxiliar[],4,0)</f>
        <v>Receita Financeira</v>
      </c>
      <c r="F3324" t="str">
        <f>VLOOKUP(B3324,Tabela_Auxiliar[],3,0)</f>
        <v>Saída</v>
      </c>
      <c r="G3324" t="str">
        <f>UPPER(TEXT(Tabela_DB[[#This Row],[DATA]],"mmm"))</f>
        <v>JUL</v>
      </c>
      <c r="H3324" t="str">
        <f>UPPER(TEXT(Tabela_DB[[#This Row],[DATA]],"aaaa"))</f>
        <v>2021</v>
      </c>
    </row>
    <row r="3325" spans="1:8" x14ac:dyDescent="0.25">
      <c r="A3325" s="2">
        <v>44402</v>
      </c>
      <c r="B3325" t="s">
        <v>111</v>
      </c>
      <c r="C3325">
        <v>-2049</v>
      </c>
      <c r="D3325" t="str">
        <f>VLOOKUP(B3325,Tabela_Auxiliar[],2,0)</f>
        <v>2. Deduções da Receita</v>
      </c>
      <c r="E3325" t="str">
        <f>VLOOKUP(B3325,Tabela_Auxiliar[],4,0)</f>
        <v>Imposto</v>
      </c>
      <c r="F3325" t="str">
        <f>VLOOKUP(B3325,Tabela_Auxiliar[],3,0)</f>
        <v>Saída</v>
      </c>
      <c r="G3325" t="str">
        <f>UPPER(TEXT(Tabela_DB[[#This Row],[DATA]],"mmm"))</f>
        <v>JUL</v>
      </c>
      <c r="H3325" t="str">
        <f>UPPER(TEXT(Tabela_DB[[#This Row],[DATA]],"aaaa"))</f>
        <v>2021</v>
      </c>
    </row>
    <row r="3326" spans="1:8" x14ac:dyDescent="0.25">
      <c r="A3326" s="2">
        <v>44402</v>
      </c>
      <c r="B3326" t="s">
        <v>4</v>
      </c>
      <c r="C3326">
        <v>10592</v>
      </c>
      <c r="D3326" t="str">
        <f>VLOOKUP(B3326,Tabela_Auxiliar[],2,0)</f>
        <v>1. Receita Operacional Bruta</v>
      </c>
      <c r="E3326" t="str">
        <f>VLOOKUP(B3326,Tabela_Auxiliar[],4,0)</f>
        <v>Receita Bruta</v>
      </c>
      <c r="F3326" t="str">
        <f>VLOOKUP(B3326,Tabela_Auxiliar[],3,0)</f>
        <v>Entrada</v>
      </c>
      <c r="G3326" t="str">
        <f>UPPER(TEXT(Tabela_DB[[#This Row],[DATA]],"mmm"))</f>
        <v>JUL</v>
      </c>
      <c r="H3326" t="str">
        <f>UPPER(TEXT(Tabela_DB[[#This Row],[DATA]],"aaaa"))</f>
        <v>2021</v>
      </c>
    </row>
    <row r="3327" spans="1:8" x14ac:dyDescent="0.25">
      <c r="A3327" s="2">
        <v>44402</v>
      </c>
      <c r="B3327" t="s">
        <v>4</v>
      </c>
      <c r="C3327">
        <v>10523</v>
      </c>
      <c r="D3327" t="str">
        <f>VLOOKUP(B3327,Tabela_Auxiliar[],2,0)</f>
        <v>1. Receita Operacional Bruta</v>
      </c>
      <c r="E3327" t="str">
        <f>VLOOKUP(B3327,Tabela_Auxiliar[],4,0)</f>
        <v>Receita Bruta</v>
      </c>
      <c r="F3327" t="str">
        <f>VLOOKUP(B3327,Tabela_Auxiliar[],3,0)</f>
        <v>Entrada</v>
      </c>
      <c r="G3327" t="str">
        <f>UPPER(TEXT(Tabela_DB[[#This Row],[DATA]],"mmm"))</f>
        <v>JUL</v>
      </c>
      <c r="H3327" t="str">
        <f>UPPER(TEXT(Tabela_DB[[#This Row],[DATA]],"aaaa"))</f>
        <v>2021</v>
      </c>
    </row>
    <row r="3328" spans="1:8" x14ac:dyDescent="0.25">
      <c r="A3328" s="2">
        <v>44402</v>
      </c>
      <c r="B3328" t="s">
        <v>3</v>
      </c>
      <c r="C3328">
        <v>11279</v>
      </c>
      <c r="D3328" t="str">
        <f>VLOOKUP(B3328,Tabela_Auxiliar[],2,0)</f>
        <v>1. Receita Operacional Bruta</v>
      </c>
      <c r="E3328" t="str">
        <f>VLOOKUP(B3328,Tabela_Auxiliar[],4,0)</f>
        <v>Receita Bruta</v>
      </c>
      <c r="F3328" t="str">
        <f>VLOOKUP(B3328,Tabela_Auxiliar[],3,0)</f>
        <v>Entrada</v>
      </c>
      <c r="G3328" t="str">
        <f>UPPER(TEXT(Tabela_DB[[#This Row],[DATA]],"mmm"))</f>
        <v>JUL</v>
      </c>
      <c r="H3328" t="str">
        <f>UPPER(TEXT(Tabela_DB[[#This Row],[DATA]],"aaaa"))</f>
        <v>2021</v>
      </c>
    </row>
    <row r="3329" spans="1:8" x14ac:dyDescent="0.25">
      <c r="A3329" s="2">
        <v>44402</v>
      </c>
      <c r="B3329" t="s">
        <v>38</v>
      </c>
      <c r="C3329">
        <v>-1518</v>
      </c>
      <c r="D3329" t="str">
        <f>VLOOKUP(B3329,Tabela_Auxiliar[],2,0)</f>
        <v>2. Deduções da Receita</v>
      </c>
      <c r="E3329" t="str">
        <f>VLOOKUP(B3329,Tabela_Auxiliar[],4,0)</f>
        <v>Deduções</v>
      </c>
      <c r="F3329" t="str">
        <f>VLOOKUP(B3329,Tabela_Auxiliar[],3,0)</f>
        <v>Saída</v>
      </c>
      <c r="G3329" t="str">
        <f>UPPER(TEXT(Tabela_DB[[#This Row],[DATA]],"mmm"))</f>
        <v>JUL</v>
      </c>
      <c r="H3329" t="str">
        <f>UPPER(TEXT(Tabela_DB[[#This Row],[DATA]],"aaaa"))</f>
        <v>2021</v>
      </c>
    </row>
    <row r="3330" spans="1:8" x14ac:dyDescent="0.25">
      <c r="A3330" s="2">
        <v>44402</v>
      </c>
      <c r="B3330" t="s">
        <v>3</v>
      </c>
      <c r="C3330">
        <v>10674</v>
      </c>
      <c r="D3330" t="str">
        <f>VLOOKUP(B3330,Tabela_Auxiliar[],2,0)</f>
        <v>1. Receita Operacional Bruta</v>
      </c>
      <c r="E3330" t="str">
        <f>VLOOKUP(B3330,Tabela_Auxiliar[],4,0)</f>
        <v>Receita Bruta</v>
      </c>
      <c r="F3330" t="str">
        <f>VLOOKUP(B3330,Tabela_Auxiliar[],3,0)</f>
        <v>Entrada</v>
      </c>
      <c r="G3330" t="str">
        <f>UPPER(TEXT(Tabela_DB[[#This Row],[DATA]],"mmm"))</f>
        <v>JUL</v>
      </c>
      <c r="H3330" t="str">
        <f>UPPER(TEXT(Tabela_DB[[#This Row],[DATA]],"aaaa"))</f>
        <v>2021</v>
      </c>
    </row>
    <row r="3331" spans="1:8" x14ac:dyDescent="0.25">
      <c r="A3331" s="2">
        <v>44402</v>
      </c>
      <c r="B3331" t="s">
        <v>35</v>
      </c>
      <c r="C3331">
        <v>-1146</v>
      </c>
      <c r="D3331" t="str">
        <f>VLOOKUP(B3331,Tabela_Auxiliar[],2,0)</f>
        <v>2. Deduções da Receita</v>
      </c>
      <c r="E3331" t="str">
        <f>VLOOKUP(B3331,Tabela_Auxiliar[],4,0)</f>
        <v>Imposto</v>
      </c>
      <c r="F3331" t="str">
        <f>VLOOKUP(B3331,Tabela_Auxiliar[],3,0)</f>
        <v>Saída</v>
      </c>
      <c r="G3331" t="str">
        <f>UPPER(TEXT(Tabela_DB[[#This Row],[DATA]],"mmm"))</f>
        <v>JUL</v>
      </c>
      <c r="H3331" t="str">
        <f>UPPER(TEXT(Tabela_DB[[#This Row],[DATA]],"aaaa"))</f>
        <v>2021</v>
      </c>
    </row>
    <row r="3332" spans="1:8" x14ac:dyDescent="0.25">
      <c r="A3332" s="2">
        <v>44402</v>
      </c>
      <c r="B3332" t="s">
        <v>40</v>
      </c>
      <c r="C3332">
        <v>-2438</v>
      </c>
      <c r="D3332" t="str">
        <f>VLOOKUP(B3332,Tabela_Auxiliar[],2,0)</f>
        <v>4. Despesas Operacionais</v>
      </c>
      <c r="E3332" t="str">
        <f>VLOOKUP(B3332,Tabela_Auxiliar[],4,0)</f>
        <v>Despesa com Pessoal</v>
      </c>
      <c r="F3332" t="str">
        <f>VLOOKUP(B3332,Tabela_Auxiliar[],3,0)</f>
        <v>Saída</v>
      </c>
      <c r="G3332" t="str">
        <f>UPPER(TEXT(Tabela_DB[[#This Row],[DATA]],"mmm"))</f>
        <v>JUL</v>
      </c>
      <c r="H3332" t="str">
        <f>UPPER(TEXT(Tabela_DB[[#This Row],[DATA]],"aaaa"))</f>
        <v>2021</v>
      </c>
    </row>
    <row r="3333" spans="1:8" x14ac:dyDescent="0.25">
      <c r="A3333" s="2">
        <v>44402</v>
      </c>
      <c r="B3333" t="s">
        <v>77</v>
      </c>
      <c r="C3333">
        <v>-1449</v>
      </c>
      <c r="D3333" t="str">
        <f>VLOOKUP(B3333,Tabela_Auxiliar[],2,0)</f>
        <v>4. Despesas Operacionais</v>
      </c>
      <c r="E3333" t="str">
        <f>VLOOKUP(B3333,Tabela_Auxiliar[],4,0)</f>
        <v>Serviços Contratados</v>
      </c>
      <c r="F3333" t="str">
        <f>VLOOKUP(B3333,Tabela_Auxiliar[],3,0)</f>
        <v>Saída</v>
      </c>
      <c r="G3333" t="str">
        <f>UPPER(TEXT(Tabela_DB[[#This Row],[DATA]],"mmm"))</f>
        <v>JUL</v>
      </c>
      <c r="H3333" t="str">
        <f>UPPER(TEXT(Tabela_DB[[#This Row],[DATA]],"aaaa"))</f>
        <v>2021</v>
      </c>
    </row>
    <row r="3334" spans="1:8" x14ac:dyDescent="0.25">
      <c r="A3334" s="2">
        <v>44402</v>
      </c>
      <c r="B3334" t="s">
        <v>34</v>
      </c>
      <c r="C3334">
        <v>-1358</v>
      </c>
      <c r="D3334" t="str">
        <f>VLOOKUP(B3334,Tabela_Auxiliar[],2,0)</f>
        <v>2. Deduções da Receita</v>
      </c>
      <c r="E3334" t="str">
        <f>VLOOKUP(B3334,Tabela_Auxiliar[],4,0)</f>
        <v>Imposto</v>
      </c>
      <c r="F3334" t="str">
        <f>VLOOKUP(B3334,Tabela_Auxiliar[],3,0)</f>
        <v>Saída</v>
      </c>
      <c r="G3334" t="str">
        <f>UPPER(TEXT(Tabela_DB[[#This Row],[DATA]],"mmm"))</f>
        <v>JUL</v>
      </c>
      <c r="H3334" t="str">
        <f>UPPER(TEXT(Tabela_DB[[#This Row],[DATA]],"aaaa"))</f>
        <v>2021</v>
      </c>
    </row>
    <row r="3335" spans="1:8" x14ac:dyDescent="0.25">
      <c r="A3335" s="2">
        <v>44402</v>
      </c>
      <c r="B3335" t="s">
        <v>37</v>
      </c>
      <c r="C3335">
        <v>-3702</v>
      </c>
      <c r="D3335" t="str">
        <f>VLOOKUP(B3335,Tabela_Auxiliar[],2,0)</f>
        <v>3. Custos do Produto/Mercadoria/Serviço</v>
      </c>
      <c r="E3335" t="str">
        <f>VLOOKUP(B3335,Tabela_Auxiliar[],4,0)</f>
        <v>Despesas c/ Produto</v>
      </c>
      <c r="F3335" t="str">
        <f>VLOOKUP(B3335,Tabela_Auxiliar[],3,0)</f>
        <v>Saída</v>
      </c>
      <c r="G3335" t="str">
        <f>UPPER(TEXT(Tabela_DB[[#This Row],[DATA]],"mmm"))</f>
        <v>JUL</v>
      </c>
      <c r="H3335" t="str">
        <f>UPPER(TEXT(Tabela_DB[[#This Row],[DATA]],"aaaa"))</f>
        <v>2021</v>
      </c>
    </row>
    <row r="3336" spans="1:8" x14ac:dyDescent="0.25">
      <c r="A3336" s="2">
        <v>44402</v>
      </c>
      <c r="B3336" t="s">
        <v>37</v>
      </c>
      <c r="C3336">
        <v>-4742</v>
      </c>
      <c r="D3336" t="str">
        <f>VLOOKUP(B3336,Tabela_Auxiliar[],2,0)</f>
        <v>3. Custos do Produto/Mercadoria/Serviço</v>
      </c>
      <c r="E3336" t="str">
        <f>VLOOKUP(B3336,Tabela_Auxiliar[],4,0)</f>
        <v>Despesas c/ Produto</v>
      </c>
      <c r="F3336" t="str">
        <f>VLOOKUP(B3336,Tabela_Auxiliar[],3,0)</f>
        <v>Saída</v>
      </c>
      <c r="G3336" t="str">
        <f>UPPER(TEXT(Tabela_DB[[#This Row],[DATA]],"mmm"))</f>
        <v>JUL</v>
      </c>
      <c r="H3336" t="str">
        <f>UPPER(TEXT(Tabela_DB[[#This Row],[DATA]],"aaaa"))</f>
        <v>2021</v>
      </c>
    </row>
    <row r="3337" spans="1:8" x14ac:dyDescent="0.25">
      <c r="A3337" s="2">
        <v>44402</v>
      </c>
      <c r="B3337" t="s">
        <v>38</v>
      </c>
      <c r="C3337">
        <v>-2403</v>
      </c>
      <c r="D3337" t="str">
        <f>VLOOKUP(B3337,Tabela_Auxiliar[],2,0)</f>
        <v>2. Deduções da Receita</v>
      </c>
      <c r="E3337" t="str">
        <f>VLOOKUP(B3337,Tabela_Auxiliar[],4,0)</f>
        <v>Deduções</v>
      </c>
      <c r="F3337" t="str">
        <f>VLOOKUP(B3337,Tabela_Auxiliar[],3,0)</f>
        <v>Saída</v>
      </c>
      <c r="G3337" t="str">
        <f>UPPER(TEXT(Tabela_DB[[#This Row],[DATA]],"mmm"))</f>
        <v>JUL</v>
      </c>
      <c r="H3337" t="str">
        <f>UPPER(TEXT(Tabela_DB[[#This Row],[DATA]],"aaaa"))</f>
        <v>2021</v>
      </c>
    </row>
    <row r="3338" spans="1:8" x14ac:dyDescent="0.25">
      <c r="A3338" s="2">
        <v>44403</v>
      </c>
      <c r="B3338" t="s">
        <v>3</v>
      </c>
      <c r="C3338">
        <v>13563</v>
      </c>
      <c r="D3338" t="str">
        <f>VLOOKUP(B3338,Tabela_Auxiliar[],2,0)</f>
        <v>1. Receita Operacional Bruta</v>
      </c>
      <c r="E3338" t="str">
        <f>VLOOKUP(B3338,Tabela_Auxiliar[],4,0)</f>
        <v>Receita Bruta</v>
      </c>
      <c r="F3338" t="str">
        <f>VLOOKUP(B3338,Tabela_Auxiliar[],3,0)</f>
        <v>Entrada</v>
      </c>
      <c r="G3338" t="str">
        <f>UPPER(TEXT(Tabela_DB[[#This Row],[DATA]],"mmm"))</f>
        <v>JUL</v>
      </c>
      <c r="H3338" t="str">
        <f>UPPER(TEXT(Tabela_DB[[#This Row],[DATA]],"aaaa"))</f>
        <v>2021</v>
      </c>
    </row>
    <row r="3339" spans="1:8" x14ac:dyDescent="0.25">
      <c r="A3339" s="2">
        <v>44403</v>
      </c>
      <c r="B3339" t="s">
        <v>47</v>
      </c>
      <c r="C3339">
        <v>-1271</v>
      </c>
      <c r="D3339" t="str">
        <f>VLOOKUP(B3339,Tabela_Auxiliar[],2,0)</f>
        <v>4. Despesas Operacionais</v>
      </c>
      <c r="E3339" t="str">
        <f>VLOOKUP(B3339,Tabela_Auxiliar[],4,0)</f>
        <v>Despesa com Pessoal</v>
      </c>
      <c r="F3339" t="str">
        <f>VLOOKUP(B3339,Tabela_Auxiliar[],3,0)</f>
        <v>Saída</v>
      </c>
      <c r="G3339" t="str">
        <f>UPPER(TEXT(Tabela_DB[[#This Row],[DATA]],"mmm"))</f>
        <v>JUL</v>
      </c>
      <c r="H3339" t="str">
        <f>UPPER(TEXT(Tabela_DB[[#This Row],[DATA]],"aaaa"))</f>
        <v>2021</v>
      </c>
    </row>
    <row r="3340" spans="1:8" x14ac:dyDescent="0.25">
      <c r="A3340" s="2">
        <v>44403</v>
      </c>
      <c r="B3340" t="s">
        <v>37</v>
      </c>
      <c r="C3340">
        <v>-4804</v>
      </c>
      <c r="D3340" t="str">
        <f>VLOOKUP(B3340,Tabela_Auxiliar[],2,0)</f>
        <v>3. Custos do Produto/Mercadoria/Serviço</v>
      </c>
      <c r="E3340" t="str">
        <f>VLOOKUP(B3340,Tabela_Auxiliar[],4,0)</f>
        <v>Despesas c/ Produto</v>
      </c>
      <c r="F3340" t="str">
        <f>VLOOKUP(B3340,Tabela_Auxiliar[],3,0)</f>
        <v>Saída</v>
      </c>
      <c r="G3340" t="str">
        <f>UPPER(TEXT(Tabela_DB[[#This Row],[DATA]],"mmm"))</f>
        <v>JUL</v>
      </c>
      <c r="H3340" t="str">
        <f>UPPER(TEXT(Tabela_DB[[#This Row],[DATA]],"aaaa"))</f>
        <v>2021</v>
      </c>
    </row>
    <row r="3341" spans="1:8" x14ac:dyDescent="0.25">
      <c r="A3341" s="2">
        <v>44403</v>
      </c>
      <c r="B3341" t="s">
        <v>54</v>
      </c>
      <c r="C3341">
        <v>-2332</v>
      </c>
      <c r="D3341" t="str">
        <f>VLOOKUP(B3341,Tabela_Auxiliar[],2,0)</f>
        <v>4. Despesas Operacionais</v>
      </c>
      <c r="E3341" t="str">
        <f>VLOOKUP(B3341,Tabela_Auxiliar[],4,0)</f>
        <v>Despesa com Pessoal</v>
      </c>
      <c r="F3341" t="str">
        <f>VLOOKUP(B3341,Tabela_Auxiliar[],3,0)</f>
        <v>Saída</v>
      </c>
      <c r="G3341" t="str">
        <f>UPPER(TEXT(Tabela_DB[[#This Row],[DATA]],"mmm"))</f>
        <v>JUL</v>
      </c>
      <c r="H3341" t="str">
        <f>UPPER(TEXT(Tabela_DB[[#This Row],[DATA]],"aaaa"))</f>
        <v>2021</v>
      </c>
    </row>
    <row r="3342" spans="1:8" x14ac:dyDescent="0.25">
      <c r="A3342" s="2">
        <v>44403</v>
      </c>
      <c r="B3342" t="s">
        <v>3</v>
      </c>
      <c r="C3342">
        <v>12408</v>
      </c>
      <c r="D3342" t="str">
        <f>VLOOKUP(B3342,Tabela_Auxiliar[],2,0)</f>
        <v>1. Receita Operacional Bruta</v>
      </c>
      <c r="E3342" t="str">
        <f>VLOOKUP(B3342,Tabela_Auxiliar[],4,0)</f>
        <v>Receita Bruta</v>
      </c>
      <c r="F3342" t="str">
        <f>VLOOKUP(B3342,Tabela_Auxiliar[],3,0)</f>
        <v>Entrada</v>
      </c>
      <c r="G3342" t="str">
        <f>UPPER(TEXT(Tabela_DB[[#This Row],[DATA]],"mmm"))</f>
        <v>JUL</v>
      </c>
      <c r="H3342" t="str">
        <f>UPPER(TEXT(Tabela_DB[[#This Row],[DATA]],"aaaa"))</f>
        <v>2021</v>
      </c>
    </row>
    <row r="3343" spans="1:8" x14ac:dyDescent="0.25">
      <c r="A3343" s="2">
        <v>44403</v>
      </c>
      <c r="B3343" t="s">
        <v>37</v>
      </c>
      <c r="C3343">
        <v>-2646</v>
      </c>
      <c r="D3343" t="str">
        <f>VLOOKUP(B3343,Tabela_Auxiliar[],2,0)</f>
        <v>3. Custos do Produto/Mercadoria/Serviço</v>
      </c>
      <c r="E3343" t="str">
        <f>VLOOKUP(B3343,Tabela_Auxiliar[],4,0)</f>
        <v>Despesas c/ Produto</v>
      </c>
      <c r="F3343" t="str">
        <f>VLOOKUP(B3343,Tabela_Auxiliar[],3,0)</f>
        <v>Saída</v>
      </c>
      <c r="G3343" t="str">
        <f>UPPER(TEXT(Tabela_DB[[#This Row],[DATA]],"mmm"))</f>
        <v>JUL</v>
      </c>
      <c r="H3343" t="str">
        <f>UPPER(TEXT(Tabela_DB[[#This Row],[DATA]],"aaaa"))</f>
        <v>2021</v>
      </c>
    </row>
    <row r="3344" spans="1:8" x14ac:dyDescent="0.25">
      <c r="A3344" s="2">
        <v>44403</v>
      </c>
      <c r="B3344" t="s">
        <v>71</v>
      </c>
      <c r="C3344">
        <v>-1530</v>
      </c>
      <c r="D3344" t="str">
        <f>VLOOKUP(B3344,Tabela_Auxiliar[],2,0)</f>
        <v>4. Despesas Operacionais</v>
      </c>
      <c r="E3344" t="str">
        <f>VLOOKUP(B3344,Tabela_Auxiliar[],4,0)</f>
        <v>Despesa com Ocupação</v>
      </c>
      <c r="F3344" t="str">
        <f>VLOOKUP(B3344,Tabela_Auxiliar[],3,0)</f>
        <v>Saída</v>
      </c>
      <c r="G3344" t="str">
        <f>UPPER(TEXT(Tabela_DB[[#This Row],[DATA]],"mmm"))</f>
        <v>JUL</v>
      </c>
      <c r="H3344" t="str">
        <f>UPPER(TEXT(Tabela_DB[[#This Row],[DATA]],"aaaa"))</f>
        <v>2021</v>
      </c>
    </row>
    <row r="3345" spans="1:8" x14ac:dyDescent="0.25">
      <c r="A3345" s="2">
        <v>44403</v>
      </c>
      <c r="B3345" t="s">
        <v>34</v>
      </c>
      <c r="C3345">
        <v>-1309</v>
      </c>
      <c r="D3345" t="str">
        <f>VLOOKUP(B3345,Tabela_Auxiliar[],2,0)</f>
        <v>2. Deduções da Receita</v>
      </c>
      <c r="E3345" t="str">
        <f>VLOOKUP(B3345,Tabela_Auxiliar[],4,0)</f>
        <v>Imposto</v>
      </c>
      <c r="F3345" t="str">
        <f>VLOOKUP(B3345,Tabela_Auxiliar[],3,0)</f>
        <v>Saída</v>
      </c>
      <c r="G3345" t="str">
        <f>UPPER(TEXT(Tabela_DB[[#This Row],[DATA]],"mmm"))</f>
        <v>JUL</v>
      </c>
      <c r="H3345" t="str">
        <f>UPPER(TEXT(Tabela_DB[[#This Row],[DATA]],"aaaa"))</f>
        <v>2021</v>
      </c>
    </row>
    <row r="3346" spans="1:8" x14ac:dyDescent="0.25">
      <c r="A3346" s="2">
        <v>44403</v>
      </c>
      <c r="B3346" t="s">
        <v>4</v>
      </c>
      <c r="C3346">
        <v>13069</v>
      </c>
      <c r="D3346" t="str">
        <f>VLOOKUP(B3346,Tabela_Auxiliar[],2,0)</f>
        <v>1. Receita Operacional Bruta</v>
      </c>
      <c r="E3346" t="str">
        <f>VLOOKUP(B3346,Tabela_Auxiliar[],4,0)</f>
        <v>Receita Bruta</v>
      </c>
      <c r="F3346" t="str">
        <f>VLOOKUP(B3346,Tabela_Auxiliar[],3,0)</f>
        <v>Entrada</v>
      </c>
      <c r="G3346" t="str">
        <f>UPPER(TEXT(Tabela_DB[[#This Row],[DATA]],"mmm"))</f>
        <v>JUL</v>
      </c>
      <c r="H3346" t="str">
        <f>UPPER(TEXT(Tabela_DB[[#This Row],[DATA]],"aaaa"))</f>
        <v>2021</v>
      </c>
    </row>
    <row r="3347" spans="1:8" x14ac:dyDescent="0.25">
      <c r="A3347" s="2">
        <v>44403</v>
      </c>
      <c r="B3347" t="s">
        <v>38</v>
      </c>
      <c r="C3347">
        <v>-1920</v>
      </c>
      <c r="D3347" t="str">
        <f>VLOOKUP(B3347,Tabela_Auxiliar[],2,0)</f>
        <v>2. Deduções da Receita</v>
      </c>
      <c r="E3347" t="str">
        <f>VLOOKUP(B3347,Tabela_Auxiliar[],4,0)</f>
        <v>Deduções</v>
      </c>
      <c r="F3347" t="str">
        <f>VLOOKUP(B3347,Tabela_Auxiliar[],3,0)</f>
        <v>Saída</v>
      </c>
      <c r="G3347" t="str">
        <f>UPPER(TEXT(Tabela_DB[[#This Row],[DATA]],"mmm"))</f>
        <v>JUL</v>
      </c>
      <c r="H3347" t="str">
        <f>UPPER(TEXT(Tabela_DB[[#This Row],[DATA]],"aaaa"))</f>
        <v>2021</v>
      </c>
    </row>
    <row r="3348" spans="1:8" x14ac:dyDescent="0.25">
      <c r="A3348" s="2">
        <v>44403</v>
      </c>
      <c r="B3348" t="s">
        <v>4</v>
      </c>
      <c r="C3348">
        <v>13565</v>
      </c>
      <c r="D3348" t="str">
        <f>VLOOKUP(B3348,Tabela_Auxiliar[],2,0)</f>
        <v>1. Receita Operacional Bruta</v>
      </c>
      <c r="E3348" t="str">
        <f>VLOOKUP(B3348,Tabela_Auxiliar[],4,0)</f>
        <v>Receita Bruta</v>
      </c>
      <c r="F3348" t="str">
        <f>VLOOKUP(B3348,Tabela_Auxiliar[],3,0)</f>
        <v>Entrada</v>
      </c>
      <c r="G3348" t="str">
        <f>UPPER(TEXT(Tabela_DB[[#This Row],[DATA]],"mmm"))</f>
        <v>JUL</v>
      </c>
      <c r="H3348" t="str">
        <f>UPPER(TEXT(Tabela_DB[[#This Row],[DATA]],"aaaa"))</f>
        <v>2021</v>
      </c>
    </row>
    <row r="3349" spans="1:8" x14ac:dyDescent="0.25">
      <c r="A3349" s="2">
        <v>44403</v>
      </c>
      <c r="B3349" t="s">
        <v>76</v>
      </c>
      <c r="C3349">
        <v>-1137</v>
      </c>
      <c r="D3349" t="str">
        <f>VLOOKUP(B3349,Tabela_Auxiliar[],2,0)</f>
        <v>4. Despesas Operacionais</v>
      </c>
      <c r="E3349" t="str">
        <f>VLOOKUP(B3349,Tabela_Auxiliar[],4,0)</f>
        <v>Serviços Contratados</v>
      </c>
      <c r="F3349" t="str">
        <f>VLOOKUP(B3349,Tabela_Auxiliar[],3,0)</f>
        <v>Saída</v>
      </c>
      <c r="G3349" t="str">
        <f>UPPER(TEXT(Tabela_DB[[#This Row],[DATA]],"mmm"))</f>
        <v>JUL</v>
      </c>
      <c r="H3349" t="str">
        <f>UPPER(TEXT(Tabela_DB[[#This Row],[DATA]],"aaaa"))</f>
        <v>2021</v>
      </c>
    </row>
    <row r="3350" spans="1:8" x14ac:dyDescent="0.25">
      <c r="A3350" s="2">
        <v>44403</v>
      </c>
      <c r="B3350" t="s">
        <v>37</v>
      </c>
      <c r="C3350">
        <v>-3353</v>
      </c>
      <c r="D3350" t="str">
        <f>VLOOKUP(B3350,Tabela_Auxiliar[],2,0)</f>
        <v>3. Custos do Produto/Mercadoria/Serviço</v>
      </c>
      <c r="E3350" t="str">
        <f>VLOOKUP(B3350,Tabela_Auxiliar[],4,0)</f>
        <v>Despesas c/ Produto</v>
      </c>
      <c r="F3350" t="str">
        <f>VLOOKUP(B3350,Tabela_Auxiliar[],3,0)</f>
        <v>Saída</v>
      </c>
      <c r="G3350" t="str">
        <f>UPPER(TEXT(Tabela_DB[[#This Row],[DATA]],"mmm"))</f>
        <v>JUL</v>
      </c>
      <c r="H3350" t="str">
        <f>UPPER(TEXT(Tabela_DB[[#This Row],[DATA]],"aaaa"))</f>
        <v>2021</v>
      </c>
    </row>
    <row r="3351" spans="1:8" x14ac:dyDescent="0.25">
      <c r="A3351" s="2">
        <v>44403</v>
      </c>
      <c r="B3351" t="s">
        <v>3</v>
      </c>
      <c r="C3351">
        <v>14452</v>
      </c>
      <c r="D3351" t="str">
        <f>VLOOKUP(B3351,Tabela_Auxiliar[],2,0)</f>
        <v>1. Receita Operacional Bruta</v>
      </c>
      <c r="E3351" t="str">
        <f>VLOOKUP(B3351,Tabela_Auxiliar[],4,0)</f>
        <v>Receita Bruta</v>
      </c>
      <c r="F3351" t="str">
        <f>VLOOKUP(B3351,Tabela_Auxiliar[],3,0)</f>
        <v>Entrada</v>
      </c>
      <c r="G3351" t="str">
        <f>UPPER(TEXT(Tabela_DB[[#This Row],[DATA]],"mmm"))</f>
        <v>JUL</v>
      </c>
      <c r="H3351" t="str">
        <f>UPPER(TEXT(Tabela_DB[[#This Row],[DATA]],"aaaa"))</f>
        <v>2021</v>
      </c>
    </row>
    <row r="3352" spans="1:8" x14ac:dyDescent="0.25">
      <c r="A3352" s="2">
        <v>44403</v>
      </c>
      <c r="B3352" t="s">
        <v>45</v>
      </c>
      <c r="C3352">
        <v>-2386</v>
      </c>
      <c r="D3352" t="str">
        <f>VLOOKUP(B3352,Tabela_Auxiliar[],2,0)</f>
        <v>4. Despesas Operacionais</v>
      </c>
      <c r="E3352" t="str">
        <f>VLOOKUP(B3352,Tabela_Auxiliar[],4,0)</f>
        <v>Despesa com Pessoal</v>
      </c>
      <c r="F3352" t="str">
        <f>VLOOKUP(B3352,Tabela_Auxiliar[],3,0)</f>
        <v>Saída</v>
      </c>
      <c r="G3352" t="str">
        <f>UPPER(TEXT(Tabela_DB[[#This Row],[DATA]],"mmm"))</f>
        <v>JUL</v>
      </c>
      <c r="H3352" t="str">
        <f>UPPER(TEXT(Tabela_DB[[#This Row],[DATA]],"aaaa"))</f>
        <v>2021</v>
      </c>
    </row>
    <row r="3353" spans="1:8" x14ac:dyDescent="0.25">
      <c r="A3353" s="2">
        <v>44403</v>
      </c>
      <c r="B3353" t="s">
        <v>68</v>
      </c>
      <c r="C3353">
        <v>-1430</v>
      </c>
      <c r="D3353" t="str">
        <f>VLOOKUP(B3353,Tabela_Auxiliar[],2,0)</f>
        <v>4. Despesas Operacionais</v>
      </c>
      <c r="E3353" t="str">
        <f>VLOOKUP(B3353,Tabela_Auxiliar[],4,0)</f>
        <v>Despesa com Ocupação</v>
      </c>
      <c r="F3353" t="str">
        <f>VLOOKUP(B3353,Tabela_Auxiliar[],3,0)</f>
        <v>Saída</v>
      </c>
      <c r="G3353" t="str">
        <f>UPPER(TEXT(Tabela_DB[[#This Row],[DATA]],"mmm"))</f>
        <v>JUL</v>
      </c>
      <c r="H3353" t="str">
        <f>UPPER(TEXT(Tabela_DB[[#This Row],[DATA]],"aaaa"))</f>
        <v>2021</v>
      </c>
    </row>
    <row r="3354" spans="1:8" x14ac:dyDescent="0.25">
      <c r="A3354" s="2">
        <v>44403</v>
      </c>
      <c r="B3354" t="s">
        <v>111</v>
      </c>
      <c r="C3354">
        <v>-1208</v>
      </c>
      <c r="D3354" t="str">
        <f>VLOOKUP(B3354,Tabela_Auxiliar[],2,0)</f>
        <v>2. Deduções da Receita</v>
      </c>
      <c r="E3354" t="str">
        <f>VLOOKUP(B3354,Tabela_Auxiliar[],4,0)</f>
        <v>Imposto</v>
      </c>
      <c r="F3354" t="str">
        <f>VLOOKUP(B3354,Tabela_Auxiliar[],3,0)</f>
        <v>Saída</v>
      </c>
      <c r="G3354" t="str">
        <f>UPPER(TEXT(Tabela_DB[[#This Row],[DATA]],"mmm"))</f>
        <v>JUL</v>
      </c>
      <c r="H3354" t="str">
        <f>UPPER(TEXT(Tabela_DB[[#This Row],[DATA]],"aaaa"))</f>
        <v>2021</v>
      </c>
    </row>
    <row r="3355" spans="1:8" x14ac:dyDescent="0.25">
      <c r="A3355" s="2">
        <v>44403</v>
      </c>
      <c r="B3355" t="s">
        <v>111</v>
      </c>
      <c r="C3355">
        <v>-1586</v>
      </c>
      <c r="D3355" t="str">
        <f>VLOOKUP(B3355,Tabela_Auxiliar[],2,0)</f>
        <v>2. Deduções da Receita</v>
      </c>
      <c r="E3355" t="str">
        <f>VLOOKUP(B3355,Tabela_Auxiliar[],4,0)</f>
        <v>Imposto</v>
      </c>
      <c r="F3355" t="str">
        <f>VLOOKUP(B3355,Tabela_Auxiliar[],3,0)</f>
        <v>Saída</v>
      </c>
      <c r="G3355" t="str">
        <f>UPPER(TEXT(Tabela_DB[[#This Row],[DATA]],"mmm"))</f>
        <v>JUL</v>
      </c>
      <c r="H3355" t="str">
        <f>UPPER(TEXT(Tabela_DB[[#This Row],[DATA]],"aaaa"))</f>
        <v>2021</v>
      </c>
    </row>
    <row r="3356" spans="1:8" x14ac:dyDescent="0.25">
      <c r="A3356" s="2">
        <v>44404</v>
      </c>
      <c r="B3356" t="s">
        <v>74</v>
      </c>
      <c r="C3356">
        <v>-2011</v>
      </c>
      <c r="D3356" t="str">
        <f>VLOOKUP(B3356,Tabela_Auxiliar[],2,0)</f>
        <v>4. Despesas Operacionais</v>
      </c>
      <c r="E3356" t="str">
        <f>VLOOKUP(B3356,Tabela_Auxiliar[],4,0)</f>
        <v>Serviços Contratados</v>
      </c>
      <c r="F3356" t="str">
        <f>VLOOKUP(B3356,Tabela_Auxiliar[],3,0)</f>
        <v>Saída</v>
      </c>
      <c r="G3356" t="str">
        <f>UPPER(TEXT(Tabela_DB[[#This Row],[DATA]],"mmm"))</f>
        <v>JUL</v>
      </c>
      <c r="H3356" t="str">
        <f>UPPER(TEXT(Tabela_DB[[#This Row],[DATA]],"aaaa"))</f>
        <v>2021</v>
      </c>
    </row>
    <row r="3357" spans="1:8" x14ac:dyDescent="0.25">
      <c r="A3357" s="2">
        <v>44404</v>
      </c>
      <c r="B3357" t="s">
        <v>48</v>
      </c>
      <c r="C3357">
        <v>-1058</v>
      </c>
      <c r="D3357" t="str">
        <f>VLOOKUP(B3357,Tabela_Auxiliar[],2,0)</f>
        <v>4. Despesas Operacionais</v>
      </c>
      <c r="E3357" t="str">
        <f>VLOOKUP(B3357,Tabela_Auxiliar[],4,0)</f>
        <v>Despesa com Pessoal</v>
      </c>
      <c r="F3357" t="str">
        <f>VLOOKUP(B3357,Tabela_Auxiliar[],3,0)</f>
        <v>Saída</v>
      </c>
      <c r="G3357" t="str">
        <f>UPPER(TEXT(Tabela_DB[[#This Row],[DATA]],"mmm"))</f>
        <v>JUL</v>
      </c>
      <c r="H3357" t="str">
        <f>UPPER(TEXT(Tabela_DB[[#This Row],[DATA]],"aaaa"))</f>
        <v>2021</v>
      </c>
    </row>
    <row r="3358" spans="1:8" x14ac:dyDescent="0.25">
      <c r="A3358" s="2">
        <v>44404</v>
      </c>
      <c r="B3358" t="s">
        <v>101</v>
      </c>
      <c r="C3358">
        <v>-1768</v>
      </c>
      <c r="D3358" t="str">
        <f>VLOOKUP(B3358,Tabela_Auxiliar[],2,0)</f>
        <v>5. Resultado Financeiro</v>
      </c>
      <c r="E3358" t="str">
        <f>VLOOKUP(B3358,Tabela_Auxiliar[],4,0)</f>
        <v>Despesa Financeira</v>
      </c>
      <c r="F3358" t="str">
        <f>VLOOKUP(B3358,Tabela_Auxiliar[],3,0)</f>
        <v>Saída</v>
      </c>
      <c r="G3358" t="str">
        <f>UPPER(TEXT(Tabela_DB[[#This Row],[DATA]],"mmm"))</f>
        <v>JUL</v>
      </c>
      <c r="H3358" t="str">
        <f>UPPER(TEXT(Tabela_DB[[#This Row],[DATA]],"aaaa"))</f>
        <v>2021</v>
      </c>
    </row>
    <row r="3359" spans="1:8" x14ac:dyDescent="0.25">
      <c r="A3359" s="2">
        <v>44404</v>
      </c>
      <c r="B3359" t="s">
        <v>111</v>
      </c>
      <c r="C3359">
        <v>-2393</v>
      </c>
      <c r="D3359" t="str">
        <f>VLOOKUP(B3359,Tabela_Auxiliar[],2,0)</f>
        <v>2. Deduções da Receita</v>
      </c>
      <c r="E3359" t="str">
        <f>VLOOKUP(B3359,Tabela_Auxiliar[],4,0)</f>
        <v>Imposto</v>
      </c>
      <c r="F3359" t="str">
        <f>VLOOKUP(B3359,Tabela_Auxiliar[],3,0)</f>
        <v>Saída</v>
      </c>
      <c r="G3359" t="str">
        <f>UPPER(TEXT(Tabela_DB[[#This Row],[DATA]],"mmm"))</f>
        <v>JUL</v>
      </c>
      <c r="H3359" t="str">
        <f>UPPER(TEXT(Tabela_DB[[#This Row],[DATA]],"aaaa"))</f>
        <v>2021</v>
      </c>
    </row>
    <row r="3360" spans="1:8" x14ac:dyDescent="0.25">
      <c r="A3360" s="2">
        <v>44404</v>
      </c>
      <c r="B3360" t="s">
        <v>34</v>
      </c>
      <c r="C3360">
        <v>-1738</v>
      </c>
      <c r="D3360" t="str">
        <f>VLOOKUP(B3360,Tabela_Auxiliar[],2,0)</f>
        <v>2. Deduções da Receita</v>
      </c>
      <c r="E3360" t="str">
        <f>VLOOKUP(B3360,Tabela_Auxiliar[],4,0)</f>
        <v>Imposto</v>
      </c>
      <c r="F3360" t="str">
        <f>VLOOKUP(B3360,Tabela_Auxiliar[],3,0)</f>
        <v>Saída</v>
      </c>
      <c r="G3360" t="str">
        <f>UPPER(TEXT(Tabela_DB[[#This Row],[DATA]],"mmm"))</f>
        <v>JUL</v>
      </c>
      <c r="H3360" t="str">
        <f>UPPER(TEXT(Tabela_DB[[#This Row],[DATA]],"aaaa"))</f>
        <v>2021</v>
      </c>
    </row>
    <row r="3361" spans="1:8" x14ac:dyDescent="0.25">
      <c r="A3361" s="2">
        <v>44404</v>
      </c>
      <c r="B3361" t="s">
        <v>37</v>
      </c>
      <c r="C3361">
        <v>-3309</v>
      </c>
      <c r="D3361" t="str">
        <f>VLOOKUP(B3361,Tabela_Auxiliar[],2,0)</f>
        <v>3. Custos do Produto/Mercadoria/Serviço</v>
      </c>
      <c r="E3361" t="str">
        <f>VLOOKUP(B3361,Tabela_Auxiliar[],4,0)</f>
        <v>Despesas c/ Produto</v>
      </c>
      <c r="F3361" t="str">
        <f>VLOOKUP(B3361,Tabela_Auxiliar[],3,0)</f>
        <v>Saída</v>
      </c>
      <c r="G3361" t="str">
        <f>UPPER(TEXT(Tabela_DB[[#This Row],[DATA]],"mmm"))</f>
        <v>JUL</v>
      </c>
      <c r="H3361" t="str">
        <f>UPPER(TEXT(Tabela_DB[[#This Row],[DATA]],"aaaa"))</f>
        <v>2021</v>
      </c>
    </row>
    <row r="3362" spans="1:8" x14ac:dyDescent="0.25">
      <c r="A3362" s="2">
        <v>44404</v>
      </c>
      <c r="B3362" t="s">
        <v>35</v>
      </c>
      <c r="C3362">
        <v>-1991</v>
      </c>
      <c r="D3362" t="str">
        <f>VLOOKUP(B3362,Tabela_Auxiliar[],2,0)</f>
        <v>2. Deduções da Receita</v>
      </c>
      <c r="E3362" t="str">
        <f>VLOOKUP(B3362,Tabela_Auxiliar[],4,0)</f>
        <v>Imposto</v>
      </c>
      <c r="F3362" t="str">
        <f>VLOOKUP(B3362,Tabela_Auxiliar[],3,0)</f>
        <v>Saída</v>
      </c>
      <c r="G3362" t="str">
        <f>UPPER(TEXT(Tabela_DB[[#This Row],[DATA]],"mmm"))</f>
        <v>JUL</v>
      </c>
      <c r="H3362" t="str">
        <f>UPPER(TEXT(Tabela_DB[[#This Row],[DATA]],"aaaa"))</f>
        <v>2021</v>
      </c>
    </row>
    <row r="3363" spans="1:8" x14ac:dyDescent="0.25">
      <c r="A3363" s="2">
        <v>44404</v>
      </c>
      <c r="B3363" t="s">
        <v>50</v>
      </c>
      <c r="C3363">
        <v>-2051</v>
      </c>
      <c r="D3363" t="str">
        <f>VLOOKUP(B3363,Tabela_Auxiliar[],2,0)</f>
        <v>4. Despesas Operacionais</v>
      </c>
      <c r="E3363" t="str">
        <f>VLOOKUP(B3363,Tabela_Auxiliar[],4,0)</f>
        <v>Despesa com Pessoal</v>
      </c>
      <c r="F3363" t="str">
        <f>VLOOKUP(B3363,Tabela_Auxiliar[],3,0)</f>
        <v>Saída</v>
      </c>
      <c r="G3363" t="str">
        <f>UPPER(TEXT(Tabela_DB[[#This Row],[DATA]],"mmm"))</f>
        <v>JUL</v>
      </c>
      <c r="H3363" t="str">
        <f>UPPER(TEXT(Tabela_DB[[#This Row],[DATA]],"aaaa"))</f>
        <v>2021</v>
      </c>
    </row>
    <row r="3364" spans="1:8" x14ac:dyDescent="0.25">
      <c r="A3364" s="2">
        <v>44404</v>
      </c>
      <c r="B3364" t="s">
        <v>70</v>
      </c>
      <c r="C3364">
        <v>-2054</v>
      </c>
      <c r="D3364" t="str">
        <f>VLOOKUP(B3364,Tabela_Auxiliar[],2,0)</f>
        <v>4. Despesas Operacionais</v>
      </c>
      <c r="E3364" t="str">
        <f>VLOOKUP(B3364,Tabela_Auxiliar[],4,0)</f>
        <v>Despesa com Ocupação</v>
      </c>
      <c r="F3364" t="str">
        <f>VLOOKUP(B3364,Tabela_Auxiliar[],3,0)</f>
        <v>Saída</v>
      </c>
      <c r="G3364" t="str">
        <f>UPPER(TEXT(Tabela_DB[[#This Row],[DATA]],"mmm"))</f>
        <v>JUL</v>
      </c>
      <c r="H3364" t="str">
        <f>UPPER(TEXT(Tabela_DB[[#This Row],[DATA]],"aaaa"))</f>
        <v>2021</v>
      </c>
    </row>
    <row r="3365" spans="1:8" x14ac:dyDescent="0.25">
      <c r="A3365" s="2">
        <v>44404</v>
      </c>
      <c r="B3365" t="s">
        <v>37</v>
      </c>
      <c r="C3365">
        <v>-4528</v>
      </c>
      <c r="D3365" t="str">
        <f>VLOOKUP(B3365,Tabela_Auxiliar[],2,0)</f>
        <v>3. Custos do Produto/Mercadoria/Serviço</v>
      </c>
      <c r="E3365" t="str">
        <f>VLOOKUP(B3365,Tabela_Auxiliar[],4,0)</f>
        <v>Despesas c/ Produto</v>
      </c>
      <c r="F3365" t="str">
        <f>VLOOKUP(B3365,Tabela_Auxiliar[],3,0)</f>
        <v>Saída</v>
      </c>
      <c r="G3365" t="str">
        <f>UPPER(TEXT(Tabela_DB[[#This Row],[DATA]],"mmm"))</f>
        <v>JUL</v>
      </c>
      <c r="H3365" t="str">
        <f>UPPER(TEXT(Tabela_DB[[#This Row],[DATA]],"aaaa"))</f>
        <v>2021</v>
      </c>
    </row>
    <row r="3366" spans="1:8" x14ac:dyDescent="0.25">
      <c r="A3366" s="2">
        <v>44404</v>
      </c>
      <c r="B3366" t="s">
        <v>65</v>
      </c>
      <c r="C3366">
        <v>-1293</v>
      </c>
      <c r="D3366" t="str">
        <f>VLOOKUP(B3366,Tabela_Auxiliar[],2,0)</f>
        <v>4. Despesas Operacionais</v>
      </c>
      <c r="E3366" t="str">
        <f>VLOOKUP(B3366,Tabela_Auxiliar[],4,0)</f>
        <v>Despesa Gerais</v>
      </c>
      <c r="F3366" t="str">
        <f>VLOOKUP(B3366,Tabela_Auxiliar[],3,0)</f>
        <v>Saída</v>
      </c>
      <c r="G3366" t="str">
        <f>UPPER(TEXT(Tabela_DB[[#This Row],[DATA]],"mmm"))</f>
        <v>JUL</v>
      </c>
      <c r="H3366" t="str">
        <f>UPPER(TEXT(Tabela_DB[[#This Row],[DATA]],"aaaa"))</f>
        <v>2021</v>
      </c>
    </row>
    <row r="3367" spans="1:8" x14ac:dyDescent="0.25">
      <c r="A3367" s="2">
        <v>44404</v>
      </c>
      <c r="B3367" t="s">
        <v>4</v>
      </c>
      <c r="C3367">
        <v>14991</v>
      </c>
      <c r="D3367" t="str">
        <f>VLOOKUP(B3367,Tabela_Auxiliar[],2,0)</f>
        <v>1. Receita Operacional Bruta</v>
      </c>
      <c r="E3367" t="str">
        <f>VLOOKUP(B3367,Tabela_Auxiliar[],4,0)</f>
        <v>Receita Bruta</v>
      </c>
      <c r="F3367" t="str">
        <f>VLOOKUP(B3367,Tabela_Auxiliar[],3,0)</f>
        <v>Entrada</v>
      </c>
      <c r="G3367" t="str">
        <f>UPPER(TEXT(Tabela_DB[[#This Row],[DATA]],"mmm"))</f>
        <v>JUL</v>
      </c>
      <c r="H3367" t="str">
        <f>UPPER(TEXT(Tabela_DB[[#This Row],[DATA]],"aaaa"))</f>
        <v>2021</v>
      </c>
    </row>
    <row r="3368" spans="1:8" x14ac:dyDescent="0.25">
      <c r="A3368" s="2">
        <v>44404</v>
      </c>
      <c r="B3368" t="s">
        <v>34</v>
      </c>
      <c r="C3368">
        <v>-2199</v>
      </c>
      <c r="D3368" t="str">
        <f>VLOOKUP(B3368,Tabela_Auxiliar[],2,0)</f>
        <v>2. Deduções da Receita</v>
      </c>
      <c r="E3368" t="str">
        <f>VLOOKUP(B3368,Tabela_Auxiliar[],4,0)</f>
        <v>Imposto</v>
      </c>
      <c r="F3368" t="str">
        <f>VLOOKUP(B3368,Tabela_Auxiliar[],3,0)</f>
        <v>Saída</v>
      </c>
      <c r="G3368" t="str">
        <f>UPPER(TEXT(Tabela_DB[[#This Row],[DATA]],"mmm"))</f>
        <v>JUL</v>
      </c>
      <c r="H3368" t="str">
        <f>UPPER(TEXT(Tabela_DB[[#This Row],[DATA]],"aaaa"))</f>
        <v>2021</v>
      </c>
    </row>
    <row r="3369" spans="1:8" x14ac:dyDescent="0.25">
      <c r="A3369" s="2">
        <v>44404</v>
      </c>
      <c r="B3369" t="s">
        <v>4</v>
      </c>
      <c r="C3369">
        <v>12745</v>
      </c>
      <c r="D3369" t="str">
        <f>VLOOKUP(B3369,Tabela_Auxiliar[],2,0)</f>
        <v>1. Receita Operacional Bruta</v>
      </c>
      <c r="E3369" t="str">
        <f>VLOOKUP(B3369,Tabela_Auxiliar[],4,0)</f>
        <v>Receita Bruta</v>
      </c>
      <c r="F3369" t="str">
        <f>VLOOKUP(B3369,Tabela_Auxiliar[],3,0)</f>
        <v>Entrada</v>
      </c>
      <c r="G3369" t="str">
        <f>UPPER(TEXT(Tabela_DB[[#This Row],[DATA]],"mmm"))</f>
        <v>JUL</v>
      </c>
      <c r="H3369" t="str">
        <f>UPPER(TEXT(Tabela_DB[[#This Row],[DATA]],"aaaa"))</f>
        <v>2021</v>
      </c>
    </row>
    <row r="3370" spans="1:8" x14ac:dyDescent="0.25">
      <c r="A3370" s="2">
        <v>44404</v>
      </c>
      <c r="B3370" t="s">
        <v>88</v>
      </c>
      <c r="C3370">
        <v>-2450</v>
      </c>
      <c r="D3370" t="str">
        <f>VLOOKUP(B3370,Tabela_Auxiliar[],2,0)</f>
        <v>4. Despesas Operacionais</v>
      </c>
      <c r="E3370" t="str">
        <f>VLOOKUP(B3370,Tabela_Auxiliar[],4,0)</f>
        <v>Despesa Tributária</v>
      </c>
      <c r="F3370" t="str">
        <f>VLOOKUP(B3370,Tabela_Auxiliar[],3,0)</f>
        <v>Saída</v>
      </c>
      <c r="G3370" t="str">
        <f>UPPER(TEXT(Tabela_DB[[#This Row],[DATA]],"mmm"))</f>
        <v>JUL</v>
      </c>
      <c r="H3370" t="str">
        <f>UPPER(TEXT(Tabela_DB[[#This Row],[DATA]],"aaaa"))</f>
        <v>2021</v>
      </c>
    </row>
    <row r="3371" spans="1:8" x14ac:dyDescent="0.25">
      <c r="A3371" s="2">
        <v>44404</v>
      </c>
      <c r="B3371" t="s">
        <v>60</v>
      </c>
      <c r="C3371">
        <v>-2163</v>
      </c>
      <c r="D3371" t="str">
        <f>VLOOKUP(B3371,Tabela_Auxiliar[],2,0)</f>
        <v>4. Despesas Operacionais</v>
      </c>
      <c r="E3371" t="str">
        <f>VLOOKUP(B3371,Tabela_Auxiliar[],4,0)</f>
        <v>Despesa de Depreciação</v>
      </c>
      <c r="F3371" t="str">
        <f>VLOOKUP(B3371,Tabela_Auxiliar[],3,0)</f>
        <v>Saída</v>
      </c>
      <c r="G3371" t="str">
        <f>UPPER(TEXT(Tabela_DB[[#This Row],[DATA]],"mmm"))</f>
        <v>JUL</v>
      </c>
      <c r="H3371" t="str">
        <f>UPPER(TEXT(Tabela_DB[[#This Row],[DATA]],"aaaa"))</f>
        <v>2021</v>
      </c>
    </row>
    <row r="3372" spans="1:8" x14ac:dyDescent="0.25">
      <c r="A3372" s="2">
        <v>44404</v>
      </c>
      <c r="B3372" t="s">
        <v>37</v>
      </c>
      <c r="C3372">
        <v>-2798</v>
      </c>
      <c r="D3372" t="str">
        <f>VLOOKUP(B3372,Tabela_Auxiliar[],2,0)</f>
        <v>3. Custos do Produto/Mercadoria/Serviço</v>
      </c>
      <c r="E3372" t="str">
        <f>VLOOKUP(B3372,Tabela_Auxiliar[],4,0)</f>
        <v>Despesas c/ Produto</v>
      </c>
      <c r="F3372" t="str">
        <f>VLOOKUP(B3372,Tabela_Auxiliar[],3,0)</f>
        <v>Saída</v>
      </c>
      <c r="G3372" t="str">
        <f>UPPER(TEXT(Tabela_DB[[#This Row],[DATA]],"mmm"))</f>
        <v>JUL</v>
      </c>
      <c r="H3372" t="str">
        <f>UPPER(TEXT(Tabela_DB[[#This Row],[DATA]],"aaaa"))</f>
        <v>2021</v>
      </c>
    </row>
    <row r="3373" spans="1:8" x14ac:dyDescent="0.25">
      <c r="A3373" s="2">
        <v>44404</v>
      </c>
      <c r="B3373" t="s">
        <v>69</v>
      </c>
      <c r="C3373">
        <v>-2217</v>
      </c>
      <c r="D3373" t="str">
        <f>VLOOKUP(B3373,Tabela_Auxiliar[],2,0)</f>
        <v>4. Despesas Operacionais</v>
      </c>
      <c r="E3373" t="str">
        <f>VLOOKUP(B3373,Tabela_Auxiliar[],4,0)</f>
        <v>Despesa com Ocupação</v>
      </c>
      <c r="F3373" t="str">
        <f>VLOOKUP(B3373,Tabela_Auxiliar[],3,0)</f>
        <v>Saída</v>
      </c>
      <c r="G3373" t="str">
        <f>UPPER(TEXT(Tabela_DB[[#This Row],[DATA]],"mmm"))</f>
        <v>JUL</v>
      </c>
      <c r="H3373" t="str">
        <f>UPPER(TEXT(Tabela_DB[[#This Row],[DATA]],"aaaa"))</f>
        <v>2021</v>
      </c>
    </row>
    <row r="3374" spans="1:8" x14ac:dyDescent="0.25">
      <c r="A3374" s="2">
        <v>44404</v>
      </c>
      <c r="B3374" t="s">
        <v>62</v>
      </c>
      <c r="C3374">
        <v>-1703</v>
      </c>
      <c r="D3374" t="str">
        <f>VLOOKUP(B3374,Tabela_Auxiliar[],2,0)</f>
        <v>4. Despesas Operacionais</v>
      </c>
      <c r="E3374" t="str">
        <f>VLOOKUP(B3374,Tabela_Auxiliar[],4,0)</f>
        <v>Despesa Gerais</v>
      </c>
      <c r="F3374" t="str">
        <f>VLOOKUP(B3374,Tabela_Auxiliar[],3,0)</f>
        <v>Saída</v>
      </c>
      <c r="G3374" t="str">
        <f>UPPER(TEXT(Tabela_DB[[#This Row],[DATA]],"mmm"))</f>
        <v>JUL</v>
      </c>
      <c r="H3374" t="str">
        <f>UPPER(TEXT(Tabela_DB[[#This Row],[DATA]],"aaaa"))</f>
        <v>2021</v>
      </c>
    </row>
    <row r="3375" spans="1:8" x14ac:dyDescent="0.25">
      <c r="A3375" s="2">
        <v>44404</v>
      </c>
      <c r="B3375" t="s">
        <v>111</v>
      </c>
      <c r="C3375">
        <v>-1179</v>
      </c>
      <c r="D3375" t="str">
        <f>VLOOKUP(B3375,Tabela_Auxiliar[],2,0)</f>
        <v>2. Deduções da Receita</v>
      </c>
      <c r="E3375" t="str">
        <f>VLOOKUP(B3375,Tabela_Auxiliar[],4,0)</f>
        <v>Imposto</v>
      </c>
      <c r="F3375" t="str">
        <f>VLOOKUP(B3375,Tabela_Auxiliar[],3,0)</f>
        <v>Saída</v>
      </c>
      <c r="G3375" t="str">
        <f>UPPER(TEXT(Tabela_DB[[#This Row],[DATA]],"mmm"))</f>
        <v>JUL</v>
      </c>
      <c r="H3375" t="str">
        <f>UPPER(TEXT(Tabela_DB[[#This Row],[DATA]],"aaaa"))</f>
        <v>2021</v>
      </c>
    </row>
    <row r="3376" spans="1:8" x14ac:dyDescent="0.25">
      <c r="A3376" s="2">
        <v>44405</v>
      </c>
      <c r="B3376" t="s">
        <v>38</v>
      </c>
      <c r="C3376">
        <v>-1836</v>
      </c>
      <c r="D3376" t="str">
        <f>VLOOKUP(B3376,Tabela_Auxiliar[],2,0)</f>
        <v>2. Deduções da Receita</v>
      </c>
      <c r="E3376" t="str">
        <f>VLOOKUP(B3376,Tabela_Auxiliar[],4,0)</f>
        <v>Deduções</v>
      </c>
      <c r="F3376" t="str">
        <f>VLOOKUP(B3376,Tabela_Auxiliar[],3,0)</f>
        <v>Saída</v>
      </c>
      <c r="G3376" t="str">
        <f>UPPER(TEXT(Tabela_DB[[#This Row],[DATA]],"mmm"))</f>
        <v>JUL</v>
      </c>
      <c r="H3376" t="str">
        <f>UPPER(TEXT(Tabela_DB[[#This Row],[DATA]],"aaaa"))</f>
        <v>2021</v>
      </c>
    </row>
    <row r="3377" spans="1:8" x14ac:dyDescent="0.25">
      <c r="A3377" s="2">
        <v>44405</v>
      </c>
      <c r="B3377" t="s">
        <v>4</v>
      </c>
      <c r="C3377">
        <v>12058</v>
      </c>
      <c r="D3377" t="str">
        <f>VLOOKUP(B3377,Tabela_Auxiliar[],2,0)</f>
        <v>1. Receita Operacional Bruta</v>
      </c>
      <c r="E3377" t="str">
        <f>VLOOKUP(B3377,Tabela_Auxiliar[],4,0)</f>
        <v>Receita Bruta</v>
      </c>
      <c r="F3377" t="str">
        <f>VLOOKUP(B3377,Tabela_Auxiliar[],3,0)</f>
        <v>Entrada</v>
      </c>
      <c r="G3377" t="str">
        <f>UPPER(TEXT(Tabela_DB[[#This Row],[DATA]],"mmm"))</f>
        <v>JUL</v>
      </c>
      <c r="H3377" t="str">
        <f>UPPER(TEXT(Tabela_DB[[#This Row],[DATA]],"aaaa"))</f>
        <v>2021</v>
      </c>
    </row>
    <row r="3378" spans="1:8" x14ac:dyDescent="0.25">
      <c r="A3378" s="2">
        <v>44405</v>
      </c>
      <c r="B3378" t="s">
        <v>37</v>
      </c>
      <c r="C3378">
        <v>-4941</v>
      </c>
      <c r="D3378" t="str">
        <f>VLOOKUP(B3378,Tabela_Auxiliar[],2,0)</f>
        <v>3. Custos do Produto/Mercadoria/Serviço</v>
      </c>
      <c r="E3378" t="str">
        <f>VLOOKUP(B3378,Tabela_Auxiliar[],4,0)</f>
        <v>Despesas c/ Produto</v>
      </c>
      <c r="F3378" t="str">
        <f>VLOOKUP(B3378,Tabela_Auxiliar[],3,0)</f>
        <v>Saída</v>
      </c>
      <c r="G3378" t="str">
        <f>UPPER(TEXT(Tabela_DB[[#This Row],[DATA]],"mmm"))</f>
        <v>JUL</v>
      </c>
      <c r="H3378" t="str">
        <f>UPPER(TEXT(Tabela_DB[[#This Row],[DATA]],"aaaa"))</f>
        <v>2021</v>
      </c>
    </row>
    <row r="3379" spans="1:8" x14ac:dyDescent="0.25">
      <c r="A3379" s="2">
        <v>44405</v>
      </c>
      <c r="B3379" t="s">
        <v>66</v>
      </c>
      <c r="C3379">
        <v>-1032</v>
      </c>
      <c r="D3379" t="str">
        <f>VLOOKUP(B3379,Tabela_Auxiliar[],2,0)</f>
        <v>4. Despesas Operacionais</v>
      </c>
      <c r="E3379" t="str">
        <f>VLOOKUP(B3379,Tabela_Auxiliar[],4,0)</f>
        <v>Despesa com Vendas</v>
      </c>
      <c r="F3379" t="str">
        <f>VLOOKUP(B3379,Tabela_Auxiliar[],3,0)</f>
        <v>Saída</v>
      </c>
      <c r="G3379" t="str">
        <f>UPPER(TEXT(Tabela_DB[[#This Row],[DATA]],"mmm"))</f>
        <v>JUL</v>
      </c>
      <c r="H3379" t="str">
        <f>UPPER(TEXT(Tabela_DB[[#This Row],[DATA]],"aaaa"))</f>
        <v>2021</v>
      </c>
    </row>
    <row r="3380" spans="1:8" x14ac:dyDescent="0.25">
      <c r="A3380" s="2">
        <v>44405</v>
      </c>
      <c r="B3380" t="s">
        <v>35</v>
      </c>
      <c r="C3380">
        <v>-2282</v>
      </c>
      <c r="D3380" t="str">
        <f>VLOOKUP(B3380,Tabela_Auxiliar[],2,0)</f>
        <v>2. Deduções da Receita</v>
      </c>
      <c r="E3380" t="str">
        <f>VLOOKUP(B3380,Tabela_Auxiliar[],4,0)</f>
        <v>Imposto</v>
      </c>
      <c r="F3380" t="str">
        <f>VLOOKUP(B3380,Tabela_Auxiliar[],3,0)</f>
        <v>Saída</v>
      </c>
      <c r="G3380" t="str">
        <f>UPPER(TEXT(Tabela_DB[[#This Row],[DATA]],"mmm"))</f>
        <v>JUL</v>
      </c>
      <c r="H3380" t="str">
        <f>UPPER(TEXT(Tabela_DB[[#This Row],[DATA]],"aaaa"))</f>
        <v>2021</v>
      </c>
    </row>
    <row r="3381" spans="1:8" x14ac:dyDescent="0.25">
      <c r="A3381" s="2">
        <v>44405</v>
      </c>
      <c r="B3381" t="s">
        <v>37</v>
      </c>
      <c r="C3381">
        <v>-3274</v>
      </c>
      <c r="D3381" t="str">
        <f>VLOOKUP(B3381,Tabela_Auxiliar[],2,0)</f>
        <v>3. Custos do Produto/Mercadoria/Serviço</v>
      </c>
      <c r="E3381" t="str">
        <f>VLOOKUP(B3381,Tabela_Auxiliar[],4,0)</f>
        <v>Despesas c/ Produto</v>
      </c>
      <c r="F3381" t="str">
        <f>VLOOKUP(B3381,Tabela_Auxiliar[],3,0)</f>
        <v>Saída</v>
      </c>
      <c r="G3381" t="str">
        <f>UPPER(TEXT(Tabela_DB[[#This Row],[DATA]],"mmm"))</f>
        <v>JUL</v>
      </c>
      <c r="H3381" t="str">
        <f>UPPER(TEXT(Tabela_DB[[#This Row],[DATA]],"aaaa"))</f>
        <v>2021</v>
      </c>
    </row>
    <row r="3382" spans="1:8" x14ac:dyDescent="0.25">
      <c r="A3382" s="2">
        <v>44405</v>
      </c>
      <c r="B3382" t="s">
        <v>49</v>
      </c>
      <c r="C3382">
        <v>-1006</v>
      </c>
      <c r="D3382" t="str">
        <f>VLOOKUP(B3382,Tabela_Auxiliar[],2,0)</f>
        <v>4. Despesas Operacionais</v>
      </c>
      <c r="E3382" t="str">
        <f>VLOOKUP(B3382,Tabela_Auxiliar[],4,0)</f>
        <v>Despesa com Pessoal</v>
      </c>
      <c r="F3382" t="str">
        <f>VLOOKUP(B3382,Tabela_Auxiliar[],3,0)</f>
        <v>Saída</v>
      </c>
      <c r="G3382" t="str">
        <f>UPPER(TEXT(Tabela_DB[[#This Row],[DATA]],"mmm"))</f>
        <v>JUL</v>
      </c>
      <c r="H3382" t="str">
        <f>UPPER(TEXT(Tabela_DB[[#This Row],[DATA]],"aaaa"))</f>
        <v>2021</v>
      </c>
    </row>
    <row r="3383" spans="1:8" x14ac:dyDescent="0.25">
      <c r="A3383" s="2">
        <v>44405</v>
      </c>
      <c r="B3383" t="s">
        <v>66</v>
      </c>
      <c r="C3383">
        <v>-1075</v>
      </c>
      <c r="D3383" t="str">
        <f>VLOOKUP(B3383,Tabela_Auxiliar[],2,0)</f>
        <v>4. Despesas Operacionais</v>
      </c>
      <c r="E3383" t="str">
        <f>VLOOKUP(B3383,Tabela_Auxiliar[],4,0)</f>
        <v>Despesa com Vendas</v>
      </c>
      <c r="F3383" t="str">
        <f>VLOOKUP(B3383,Tabela_Auxiliar[],3,0)</f>
        <v>Saída</v>
      </c>
      <c r="G3383" t="str">
        <f>UPPER(TEXT(Tabela_DB[[#This Row],[DATA]],"mmm"))</f>
        <v>JUL</v>
      </c>
      <c r="H3383" t="str">
        <f>UPPER(TEXT(Tabela_DB[[#This Row],[DATA]],"aaaa"))</f>
        <v>2021</v>
      </c>
    </row>
    <row r="3384" spans="1:8" x14ac:dyDescent="0.25">
      <c r="A3384" s="2">
        <v>44405</v>
      </c>
      <c r="B3384" t="s">
        <v>34</v>
      </c>
      <c r="C3384">
        <v>-1975</v>
      </c>
      <c r="D3384" t="str">
        <f>VLOOKUP(B3384,Tabela_Auxiliar[],2,0)</f>
        <v>2. Deduções da Receita</v>
      </c>
      <c r="E3384" t="str">
        <f>VLOOKUP(B3384,Tabela_Auxiliar[],4,0)</f>
        <v>Imposto</v>
      </c>
      <c r="F3384" t="str">
        <f>VLOOKUP(B3384,Tabela_Auxiliar[],3,0)</f>
        <v>Saída</v>
      </c>
      <c r="G3384" t="str">
        <f>UPPER(TEXT(Tabela_DB[[#This Row],[DATA]],"mmm"))</f>
        <v>JUL</v>
      </c>
      <c r="H3384" t="str">
        <f>UPPER(TEXT(Tabela_DB[[#This Row],[DATA]],"aaaa"))</f>
        <v>2021</v>
      </c>
    </row>
    <row r="3385" spans="1:8" x14ac:dyDescent="0.25">
      <c r="A3385" s="2">
        <v>44405</v>
      </c>
      <c r="B3385" t="s">
        <v>66</v>
      </c>
      <c r="C3385">
        <v>-1183</v>
      </c>
      <c r="D3385" t="str">
        <f>VLOOKUP(B3385,Tabela_Auxiliar[],2,0)</f>
        <v>4. Despesas Operacionais</v>
      </c>
      <c r="E3385" t="str">
        <f>VLOOKUP(B3385,Tabela_Auxiliar[],4,0)</f>
        <v>Despesa com Vendas</v>
      </c>
      <c r="F3385" t="str">
        <f>VLOOKUP(B3385,Tabela_Auxiliar[],3,0)</f>
        <v>Saída</v>
      </c>
      <c r="G3385" t="str">
        <f>UPPER(TEXT(Tabela_DB[[#This Row],[DATA]],"mmm"))</f>
        <v>JUL</v>
      </c>
      <c r="H3385" t="str">
        <f>UPPER(TEXT(Tabela_DB[[#This Row],[DATA]],"aaaa"))</f>
        <v>2021</v>
      </c>
    </row>
    <row r="3386" spans="1:8" x14ac:dyDescent="0.25">
      <c r="A3386" s="2">
        <v>44405</v>
      </c>
      <c r="B3386" t="s">
        <v>34</v>
      </c>
      <c r="C3386">
        <v>-1590</v>
      </c>
      <c r="D3386" t="str">
        <f>VLOOKUP(B3386,Tabela_Auxiliar[],2,0)</f>
        <v>2. Deduções da Receita</v>
      </c>
      <c r="E3386" t="str">
        <f>VLOOKUP(B3386,Tabela_Auxiliar[],4,0)</f>
        <v>Imposto</v>
      </c>
      <c r="F3386" t="str">
        <f>VLOOKUP(B3386,Tabela_Auxiliar[],3,0)</f>
        <v>Saída</v>
      </c>
      <c r="G3386" t="str">
        <f>UPPER(TEXT(Tabela_DB[[#This Row],[DATA]],"mmm"))</f>
        <v>JUL</v>
      </c>
      <c r="H3386" t="str">
        <f>UPPER(TEXT(Tabela_DB[[#This Row],[DATA]],"aaaa"))</f>
        <v>2021</v>
      </c>
    </row>
    <row r="3387" spans="1:8" x14ac:dyDescent="0.25">
      <c r="A3387" s="2">
        <v>44405</v>
      </c>
      <c r="B3387" t="s">
        <v>3</v>
      </c>
      <c r="C3387">
        <v>10196</v>
      </c>
      <c r="D3387" t="str">
        <f>VLOOKUP(B3387,Tabela_Auxiliar[],2,0)</f>
        <v>1. Receita Operacional Bruta</v>
      </c>
      <c r="E3387" t="str">
        <f>VLOOKUP(B3387,Tabela_Auxiliar[],4,0)</f>
        <v>Receita Bruta</v>
      </c>
      <c r="F3387" t="str">
        <f>VLOOKUP(B3387,Tabela_Auxiliar[],3,0)</f>
        <v>Entrada</v>
      </c>
      <c r="G3387" t="str">
        <f>UPPER(TEXT(Tabela_DB[[#This Row],[DATA]],"mmm"))</f>
        <v>JUL</v>
      </c>
      <c r="H3387" t="str">
        <f>UPPER(TEXT(Tabela_DB[[#This Row],[DATA]],"aaaa"))</f>
        <v>2021</v>
      </c>
    </row>
    <row r="3388" spans="1:8" x14ac:dyDescent="0.25">
      <c r="A3388" s="2">
        <v>44406</v>
      </c>
      <c r="B3388" t="s">
        <v>35</v>
      </c>
      <c r="C3388">
        <v>-1205</v>
      </c>
      <c r="D3388" t="str">
        <f>VLOOKUP(B3388,Tabela_Auxiliar[],2,0)</f>
        <v>2. Deduções da Receita</v>
      </c>
      <c r="E3388" t="str">
        <f>VLOOKUP(B3388,Tabela_Auxiliar[],4,0)</f>
        <v>Imposto</v>
      </c>
      <c r="F3388" t="str">
        <f>VLOOKUP(B3388,Tabela_Auxiliar[],3,0)</f>
        <v>Saída</v>
      </c>
      <c r="G3388" t="str">
        <f>UPPER(TEXT(Tabela_DB[[#This Row],[DATA]],"mmm"))</f>
        <v>JUL</v>
      </c>
      <c r="H3388" t="str">
        <f>UPPER(TEXT(Tabela_DB[[#This Row],[DATA]],"aaaa"))</f>
        <v>2021</v>
      </c>
    </row>
    <row r="3389" spans="1:8" x14ac:dyDescent="0.25">
      <c r="A3389" s="2">
        <v>44406</v>
      </c>
      <c r="B3389" t="s">
        <v>74</v>
      </c>
      <c r="C3389">
        <v>-1079</v>
      </c>
      <c r="D3389" t="str">
        <f>VLOOKUP(B3389,Tabela_Auxiliar[],2,0)</f>
        <v>4. Despesas Operacionais</v>
      </c>
      <c r="E3389" t="str">
        <f>VLOOKUP(B3389,Tabela_Auxiliar[],4,0)</f>
        <v>Serviços Contratados</v>
      </c>
      <c r="F3389" t="str">
        <f>VLOOKUP(B3389,Tabela_Auxiliar[],3,0)</f>
        <v>Saída</v>
      </c>
      <c r="G3389" t="str">
        <f>UPPER(TEXT(Tabela_DB[[#This Row],[DATA]],"mmm"))</f>
        <v>JUL</v>
      </c>
      <c r="H3389" t="str">
        <f>UPPER(TEXT(Tabela_DB[[#This Row],[DATA]],"aaaa"))</f>
        <v>2021</v>
      </c>
    </row>
    <row r="3390" spans="1:8" x14ac:dyDescent="0.25">
      <c r="A3390" s="2">
        <v>44406</v>
      </c>
      <c r="B3390" t="s">
        <v>54</v>
      </c>
      <c r="C3390">
        <v>-2178</v>
      </c>
      <c r="D3390" t="str">
        <f>VLOOKUP(B3390,Tabela_Auxiliar[],2,0)</f>
        <v>4. Despesas Operacionais</v>
      </c>
      <c r="E3390" t="str">
        <f>VLOOKUP(B3390,Tabela_Auxiliar[],4,0)</f>
        <v>Despesa com Pessoal</v>
      </c>
      <c r="F3390" t="str">
        <f>VLOOKUP(B3390,Tabela_Auxiliar[],3,0)</f>
        <v>Saída</v>
      </c>
      <c r="G3390" t="str">
        <f>UPPER(TEXT(Tabela_DB[[#This Row],[DATA]],"mmm"))</f>
        <v>JUL</v>
      </c>
      <c r="H3390" t="str">
        <f>UPPER(TEXT(Tabela_DB[[#This Row],[DATA]],"aaaa"))</f>
        <v>2021</v>
      </c>
    </row>
    <row r="3391" spans="1:8" x14ac:dyDescent="0.25">
      <c r="A3391" s="2">
        <v>44406</v>
      </c>
      <c r="B3391" t="s">
        <v>74</v>
      </c>
      <c r="C3391">
        <v>-1067</v>
      </c>
      <c r="D3391" t="str">
        <f>VLOOKUP(B3391,Tabela_Auxiliar[],2,0)</f>
        <v>4. Despesas Operacionais</v>
      </c>
      <c r="E3391" t="str">
        <f>VLOOKUP(B3391,Tabela_Auxiliar[],4,0)</f>
        <v>Serviços Contratados</v>
      </c>
      <c r="F3391" t="str">
        <f>VLOOKUP(B3391,Tabela_Auxiliar[],3,0)</f>
        <v>Saída</v>
      </c>
      <c r="G3391" t="str">
        <f>UPPER(TEXT(Tabela_DB[[#This Row],[DATA]],"mmm"))</f>
        <v>JUL</v>
      </c>
      <c r="H3391" t="str">
        <f>UPPER(TEXT(Tabela_DB[[#This Row],[DATA]],"aaaa"))</f>
        <v>2021</v>
      </c>
    </row>
    <row r="3392" spans="1:8" x14ac:dyDescent="0.25">
      <c r="A3392" s="2">
        <v>44406</v>
      </c>
      <c r="B3392" t="s">
        <v>42</v>
      </c>
      <c r="C3392">
        <v>-2031</v>
      </c>
      <c r="D3392" t="str">
        <f>VLOOKUP(B3392,Tabela_Auxiliar[],2,0)</f>
        <v>4. Despesas Operacionais</v>
      </c>
      <c r="E3392" t="str">
        <f>VLOOKUP(B3392,Tabela_Auxiliar[],4,0)</f>
        <v>Despesa com Pessoal</v>
      </c>
      <c r="F3392" t="str">
        <f>VLOOKUP(B3392,Tabela_Auxiliar[],3,0)</f>
        <v>Saída</v>
      </c>
      <c r="G3392" t="str">
        <f>UPPER(TEXT(Tabela_DB[[#This Row],[DATA]],"mmm"))</f>
        <v>JUL</v>
      </c>
      <c r="H3392" t="str">
        <f>UPPER(TEXT(Tabela_DB[[#This Row],[DATA]],"aaaa"))</f>
        <v>2021</v>
      </c>
    </row>
    <row r="3393" spans="1:8" x14ac:dyDescent="0.25">
      <c r="A3393" s="2">
        <v>44406</v>
      </c>
      <c r="B3393" t="s">
        <v>90</v>
      </c>
      <c r="C3393">
        <v>-1548</v>
      </c>
      <c r="D3393" t="str">
        <f>VLOOKUP(B3393,Tabela_Auxiliar[],2,0)</f>
        <v>4. Despesas Operacionais</v>
      </c>
      <c r="E3393" t="str">
        <f>VLOOKUP(B3393,Tabela_Auxiliar[],4,0)</f>
        <v>Despesa Tributária</v>
      </c>
      <c r="F3393" t="str">
        <f>VLOOKUP(B3393,Tabela_Auxiliar[],3,0)</f>
        <v>Saída</v>
      </c>
      <c r="G3393" t="str">
        <f>UPPER(TEXT(Tabela_DB[[#This Row],[DATA]],"mmm"))</f>
        <v>JUL</v>
      </c>
      <c r="H3393" t="str">
        <f>UPPER(TEXT(Tabela_DB[[#This Row],[DATA]],"aaaa"))</f>
        <v>2021</v>
      </c>
    </row>
    <row r="3394" spans="1:8" x14ac:dyDescent="0.25">
      <c r="A3394" s="2">
        <v>44406</v>
      </c>
      <c r="B3394" t="s">
        <v>4</v>
      </c>
      <c r="C3394">
        <v>14003</v>
      </c>
      <c r="D3394" t="str">
        <f>VLOOKUP(B3394,Tabela_Auxiliar[],2,0)</f>
        <v>1. Receita Operacional Bruta</v>
      </c>
      <c r="E3394" t="str">
        <f>VLOOKUP(B3394,Tabela_Auxiliar[],4,0)</f>
        <v>Receita Bruta</v>
      </c>
      <c r="F3394" t="str">
        <f>VLOOKUP(B3394,Tabela_Auxiliar[],3,0)</f>
        <v>Entrada</v>
      </c>
      <c r="G3394" t="str">
        <f>UPPER(TEXT(Tabela_DB[[#This Row],[DATA]],"mmm"))</f>
        <v>JUL</v>
      </c>
      <c r="H3394" t="str">
        <f>UPPER(TEXT(Tabela_DB[[#This Row],[DATA]],"aaaa"))</f>
        <v>2021</v>
      </c>
    </row>
    <row r="3395" spans="1:8" x14ac:dyDescent="0.25">
      <c r="A3395" s="2">
        <v>44406</v>
      </c>
      <c r="B3395" t="s">
        <v>42</v>
      </c>
      <c r="C3395">
        <v>-1603</v>
      </c>
      <c r="D3395" t="str">
        <f>VLOOKUP(B3395,Tabela_Auxiliar[],2,0)</f>
        <v>4. Despesas Operacionais</v>
      </c>
      <c r="E3395" t="str">
        <f>VLOOKUP(B3395,Tabela_Auxiliar[],4,0)</f>
        <v>Despesa com Pessoal</v>
      </c>
      <c r="F3395" t="str">
        <f>VLOOKUP(B3395,Tabela_Auxiliar[],3,0)</f>
        <v>Saída</v>
      </c>
      <c r="G3395" t="str">
        <f>UPPER(TEXT(Tabela_DB[[#This Row],[DATA]],"mmm"))</f>
        <v>JUL</v>
      </c>
      <c r="H3395" t="str">
        <f>UPPER(TEXT(Tabela_DB[[#This Row],[DATA]],"aaaa"))</f>
        <v>2021</v>
      </c>
    </row>
    <row r="3396" spans="1:8" x14ac:dyDescent="0.25">
      <c r="A3396" s="2">
        <v>44406</v>
      </c>
      <c r="B3396" t="s">
        <v>111</v>
      </c>
      <c r="C3396">
        <v>-1694</v>
      </c>
      <c r="D3396" t="str">
        <f>VLOOKUP(B3396,Tabela_Auxiliar[],2,0)</f>
        <v>2. Deduções da Receita</v>
      </c>
      <c r="E3396" t="str">
        <f>VLOOKUP(B3396,Tabela_Auxiliar[],4,0)</f>
        <v>Imposto</v>
      </c>
      <c r="F3396" t="str">
        <f>VLOOKUP(B3396,Tabela_Auxiliar[],3,0)</f>
        <v>Saída</v>
      </c>
      <c r="G3396" t="str">
        <f>UPPER(TEXT(Tabela_DB[[#This Row],[DATA]],"mmm"))</f>
        <v>JUL</v>
      </c>
      <c r="H3396" t="str">
        <f>UPPER(TEXT(Tabela_DB[[#This Row],[DATA]],"aaaa"))</f>
        <v>2021</v>
      </c>
    </row>
    <row r="3397" spans="1:8" x14ac:dyDescent="0.25">
      <c r="A3397" s="2">
        <v>44406</v>
      </c>
      <c r="B3397" t="s">
        <v>111</v>
      </c>
      <c r="C3397">
        <v>-2038</v>
      </c>
      <c r="D3397" t="str">
        <f>VLOOKUP(B3397,Tabela_Auxiliar[],2,0)</f>
        <v>2. Deduções da Receita</v>
      </c>
      <c r="E3397" t="str">
        <f>VLOOKUP(B3397,Tabela_Auxiliar[],4,0)</f>
        <v>Imposto</v>
      </c>
      <c r="F3397" t="str">
        <f>VLOOKUP(B3397,Tabela_Auxiliar[],3,0)</f>
        <v>Saída</v>
      </c>
      <c r="G3397" t="str">
        <f>UPPER(TEXT(Tabela_DB[[#This Row],[DATA]],"mmm"))</f>
        <v>JUL</v>
      </c>
      <c r="H3397" t="str">
        <f>UPPER(TEXT(Tabela_DB[[#This Row],[DATA]],"aaaa"))</f>
        <v>2021</v>
      </c>
    </row>
    <row r="3398" spans="1:8" x14ac:dyDescent="0.25">
      <c r="A3398" s="2">
        <v>44406</v>
      </c>
      <c r="B3398" t="s">
        <v>38</v>
      </c>
      <c r="C3398">
        <v>-1879</v>
      </c>
      <c r="D3398" t="str">
        <f>VLOOKUP(B3398,Tabela_Auxiliar[],2,0)</f>
        <v>2. Deduções da Receita</v>
      </c>
      <c r="E3398" t="str">
        <f>VLOOKUP(B3398,Tabela_Auxiliar[],4,0)</f>
        <v>Deduções</v>
      </c>
      <c r="F3398" t="str">
        <f>VLOOKUP(B3398,Tabela_Auxiliar[],3,0)</f>
        <v>Saída</v>
      </c>
      <c r="G3398" t="str">
        <f>UPPER(TEXT(Tabela_DB[[#This Row],[DATA]],"mmm"))</f>
        <v>JUL</v>
      </c>
      <c r="H3398" t="str">
        <f>UPPER(TEXT(Tabela_DB[[#This Row],[DATA]],"aaaa"))</f>
        <v>2021</v>
      </c>
    </row>
    <row r="3399" spans="1:8" x14ac:dyDescent="0.25">
      <c r="A3399" s="2">
        <v>44406</v>
      </c>
      <c r="B3399" t="s">
        <v>111</v>
      </c>
      <c r="C3399">
        <v>-1152</v>
      </c>
      <c r="D3399" t="str">
        <f>VLOOKUP(B3399,Tabela_Auxiliar[],2,0)</f>
        <v>2. Deduções da Receita</v>
      </c>
      <c r="E3399" t="str">
        <f>VLOOKUP(B3399,Tabela_Auxiliar[],4,0)</f>
        <v>Imposto</v>
      </c>
      <c r="F3399" t="str">
        <f>VLOOKUP(B3399,Tabela_Auxiliar[],3,0)</f>
        <v>Saída</v>
      </c>
      <c r="G3399" t="str">
        <f>UPPER(TEXT(Tabela_DB[[#This Row],[DATA]],"mmm"))</f>
        <v>JUL</v>
      </c>
      <c r="H3399" t="str">
        <f>UPPER(TEXT(Tabela_DB[[#This Row],[DATA]],"aaaa"))</f>
        <v>2021</v>
      </c>
    </row>
    <row r="3400" spans="1:8" x14ac:dyDescent="0.25">
      <c r="A3400" s="2">
        <v>44406</v>
      </c>
      <c r="B3400" t="s">
        <v>46</v>
      </c>
      <c r="C3400">
        <v>-1609</v>
      </c>
      <c r="D3400" t="str">
        <f>VLOOKUP(B3400,Tabela_Auxiliar[],2,0)</f>
        <v>4. Despesas Operacionais</v>
      </c>
      <c r="E3400" t="str">
        <f>VLOOKUP(B3400,Tabela_Auxiliar[],4,0)</f>
        <v>Despesa com Pessoal</v>
      </c>
      <c r="F3400" t="str">
        <f>VLOOKUP(B3400,Tabela_Auxiliar[],3,0)</f>
        <v>Saída</v>
      </c>
      <c r="G3400" t="str">
        <f>UPPER(TEXT(Tabela_DB[[#This Row],[DATA]],"mmm"))</f>
        <v>JUL</v>
      </c>
      <c r="H3400" t="str">
        <f>UPPER(TEXT(Tabela_DB[[#This Row],[DATA]],"aaaa"))</f>
        <v>2021</v>
      </c>
    </row>
    <row r="3401" spans="1:8" x14ac:dyDescent="0.25">
      <c r="A3401" s="2">
        <v>44406</v>
      </c>
      <c r="B3401" t="s">
        <v>90</v>
      </c>
      <c r="C3401">
        <v>-1004</v>
      </c>
      <c r="D3401" t="str">
        <f>VLOOKUP(B3401,Tabela_Auxiliar[],2,0)</f>
        <v>4. Despesas Operacionais</v>
      </c>
      <c r="E3401" t="str">
        <f>VLOOKUP(B3401,Tabela_Auxiliar[],4,0)</f>
        <v>Despesa Tributária</v>
      </c>
      <c r="F3401" t="str">
        <f>VLOOKUP(B3401,Tabela_Auxiliar[],3,0)</f>
        <v>Saída</v>
      </c>
      <c r="G3401" t="str">
        <f>UPPER(TEXT(Tabela_DB[[#This Row],[DATA]],"mmm"))</f>
        <v>JUL</v>
      </c>
      <c r="H3401" t="str">
        <f>UPPER(TEXT(Tabela_DB[[#This Row],[DATA]],"aaaa"))</f>
        <v>2021</v>
      </c>
    </row>
    <row r="3402" spans="1:8" x14ac:dyDescent="0.25">
      <c r="A3402" s="2">
        <v>44406</v>
      </c>
      <c r="B3402" t="s">
        <v>3</v>
      </c>
      <c r="C3402">
        <v>12565</v>
      </c>
      <c r="D3402" t="str">
        <f>VLOOKUP(B3402,Tabela_Auxiliar[],2,0)</f>
        <v>1. Receita Operacional Bruta</v>
      </c>
      <c r="E3402" t="str">
        <f>VLOOKUP(B3402,Tabela_Auxiliar[],4,0)</f>
        <v>Receita Bruta</v>
      </c>
      <c r="F3402" t="str">
        <f>VLOOKUP(B3402,Tabela_Auxiliar[],3,0)</f>
        <v>Entrada</v>
      </c>
      <c r="G3402" t="str">
        <f>UPPER(TEXT(Tabela_DB[[#This Row],[DATA]],"mmm"))</f>
        <v>JUL</v>
      </c>
      <c r="H3402" t="str">
        <f>UPPER(TEXT(Tabela_DB[[#This Row],[DATA]],"aaaa"))</f>
        <v>2021</v>
      </c>
    </row>
    <row r="3403" spans="1:8" x14ac:dyDescent="0.25">
      <c r="A3403" s="2">
        <v>44406</v>
      </c>
      <c r="B3403" t="s">
        <v>35</v>
      </c>
      <c r="C3403">
        <v>-1054</v>
      </c>
      <c r="D3403" t="str">
        <f>VLOOKUP(B3403,Tabela_Auxiliar[],2,0)</f>
        <v>2. Deduções da Receita</v>
      </c>
      <c r="E3403" t="str">
        <f>VLOOKUP(B3403,Tabela_Auxiliar[],4,0)</f>
        <v>Imposto</v>
      </c>
      <c r="F3403" t="str">
        <f>VLOOKUP(B3403,Tabela_Auxiliar[],3,0)</f>
        <v>Saída</v>
      </c>
      <c r="G3403" t="str">
        <f>UPPER(TEXT(Tabela_DB[[#This Row],[DATA]],"mmm"))</f>
        <v>JUL</v>
      </c>
      <c r="H3403" t="str">
        <f>UPPER(TEXT(Tabela_DB[[#This Row],[DATA]],"aaaa"))</f>
        <v>2021</v>
      </c>
    </row>
    <row r="3404" spans="1:8" x14ac:dyDescent="0.25">
      <c r="A3404" s="2">
        <v>44406</v>
      </c>
      <c r="B3404" t="s">
        <v>34</v>
      </c>
      <c r="C3404">
        <v>-1994</v>
      </c>
      <c r="D3404" t="str">
        <f>VLOOKUP(B3404,Tabela_Auxiliar[],2,0)</f>
        <v>2. Deduções da Receita</v>
      </c>
      <c r="E3404" t="str">
        <f>VLOOKUP(B3404,Tabela_Auxiliar[],4,0)</f>
        <v>Imposto</v>
      </c>
      <c r="F3404" t="str">
        <f>VLOOKUP(B3404,Tabela_Auxiliar[],3,0)</f>
        <v>Saída</v>
      </c>
      <c r="G3404" t="str">
        <f>UPPER(TEXT(Tabela_DB[[#This Row],[DATA]],"mmm"))</f>
        <v>JUL</v>
      </c>
      <c r="H3404" t="str">
        <f>UPPER(TEXT(Tabela_DB[[#This Row],[DATA]],"aaaa"))</f>
        <v>2021</v>
      </c>
    </row>
    <row r="3405" spans="1:8" x14ac:dyDescent="0.25">
      <c r="A3405" s="2">
        <v>44406</v>
      </c>
      <c r="B3405" t="s">
        <v>111</v>
      </c>
      <c r="C3405">
        <v>-1982</v>
      </c>
      <c r="D3405" t="str">
        <f>VLOOKUP(B3405,Tabela_Auxiliar[],2,0)</f>
        <v>2. Deduções da Receita</v>
      </c>
      <c r="E3405" t="str">
        <f>VLOOKUP(B3405,Tabela_Auxiliar[],4,0)</f>
        <v>Imposto</v>
      </c>
      <c r="F3405" t="str">
        <f>VLOOKUP(B3405,Tabela_Auxiliar[],3,0)</f>
        <v>Saída</v>
      </c>
      <c r="G3405" t="str">
        <f>UPPER(TEXT(Tabela_DB[[#This Row],[DATA]],"mmm"))</f>
        <v>JUL</v>
      </c>
      <c r="H3405" t="str">
        <f>UPPER(TEXT(Tabela_DB[[#This Row],[DATA]],"aaaa"))</f>
        <v>2021</v>
      </c>
    </row>
    <row r="3406" spans="1:8" x14ac:dyDescent="0.25">
      <c r="A3406" s="2">
        <v>44406</v>
      </c>
      <c r="B3406" t="s">
        <v>38</v>
      </c>
      <c r="C3406">
        <v>-1532</v>
      </c>
      <c r="D3406" t="str">
        <f>VLOOKUP(B3406,Tabela_Auxiliar[],2,0)</f>
        <v>2. Deduções da Receita</v>
      </c>
      <c r="E3406" t="str">
        <f>VLOOKUP(B3406,Tabela_Auxiliar[],4,0)</f>
        <v>Deduções</v>
      </c>
      <c r="F3406" t="str">
        <f>VLOOKUP(B3406,Tabela_Auxiliar[],3,0)</f>
        <v>Saída</v>
      </c>
      <c r="G3406" t="str">
        <f>UPPER(TEXT(Tabela_DB[[#This Row],[DATA]],"mmm"))</f>
        <v>JUL</v>
      </c>
      <c r="H3406" t="str">
        <f>UPPER(TEXT(Tabela_DB[[#This Row],[DATA]],"aaaa"))</f>
        <v>2021</v>
      </c>
    </row>
    <row r="3407" spans="1:8" x14ac:dyDescent="0.25">
      <c r="A3407" s="2">
        <v>44406</v>
      </c>
      <c r="B3407" t="s">
        <v>34</v>
      </c>
      <c r="C3407">
        <v>-2429</v>
      </c>
      <c r="D3407" t="str">
        <f>VLOOKUP(B3407,Tabela_Auxiliar[],2,0)</f>
        <v>2. Deduções da Receita</v>
      </c>
      <c r="E3407" t="str">
        <f>VLOOKUP(B3407,Tabela_Auxiliar[],4,0)</f>
        <v>Imposto</v>
      </c>
      <c r="F3407" t="str">
        <f>VLOOKUP(B3407,Tabela_Auxiliar[],3,0)</f>
        <v>Saída</v>
      </c>
      <c r="G3407" t="str">
        <f>UPPER(TEXT(Tabela_DB[[#This Row],[DATA]],"mmm"))</f>
        <v>JUL</v>
      </c>
      <c r="H3407" t="str">
        <f>UPPER(TEXT(Tabela_DB[[#This Row],[DATA]],"aaaa"))</f>
        <v>2021</v>
      </c>
    </row>
    <row r="3408" spans="1:8" x14ac:dyDescent="0.25">
      <c r="A3408" s="2">
        <v>44406</v>
      </c>
      <c r="B3408" t="s">
        <v>111</v>
      </c>
      <c r="C3408">
        <v>-1471</v>
      </c>
      <c r="D3408" t="str">
        <f>VLOOKUP(B3408,Tabela_Auxiliar[],2,0)</f>
        <v>2. Deduções da Receita</v>
      </c>
      <c r="E3408" t="str">
        <f>VLOOKUP(B3408,Tabela_Auxiliar[],4,0)</f>
        <v>Imposto</v>
      </c>
      <c r="F3408" t="str">
        <f>VLOOKUP(B3408,Tabela_Auxiliar[],3,0)</f>
        <v>Saída</v>
      </c>
      <c r="G3408" t="str">
        <f>UPPER(TEXT(Tabela_DB[[#This Row],[DATA]],"mmm"))</f>
        <v>JUL</v>
      </c>
      <c r="H3408" t="str">
        <f>UPPER(TEXT(Tabela_DB[[#This Row],[DATA]],"aaaa"))</f>
        <v>2021</v>
      </c>
    </row>
    <row r="3409" spans="1:8" x14ac:dyDescent="0.25">
      <c r="A3409" s="2">
        <v>44406</v>
      </c>
      <c r="B3409" t="s">
        <v>50</v>
      </c>
      <c r="C3409">
        <v>-1860</v>
      </c>
      <c r="D3409" t="str">
        <f>VLOOKUP(B3409,Tabela_Auxiliar[],2,0)</f>
        <v>4. Despesas Operacionais</v>
      </c>
      <c r="E3409" t="str">
        <f>VLOOKUP(B3409,Tabela_Auxiliar[],4,0)</f>
        <v>Despesa com Pessoal</v>
      </c>
      <c r="F3409" t="str">
        <f>VLOOKUP(B3409,Tabela_Auxiliar[],3,0)</f>
        <v>Saída</v>
      </c>
      <c r="G3409" t="str">
        <f>UPPER(TEXT(Tabela_DB[[#This Row],[DATA]],"mmm"))</f>
        <v>JUL</v>
      </c>
      <c r="H3409" t="str">
        <f>UPPER(TEXT(Tabela_DB[[#This Row],[DATA]],"aaaa"))</f>
        <v>2021</v>
      </c>
    </row>
    <row r="3410" spans="1:8" x14ac:dyDescent="0.25">
      <c r="A3410" s="2">
        <v>44407</v>
      </c>
      <c r="B3410" t="s">
        <v>44</v>
      </c>
      <c r="C3410">
        <v>-1592</v>
      </c>
      <c r="D3410" t="str">
        <f>VLOOKUP(B3410,Tabela_Auxiliar[],2,0)</f>
        <v>4. Despesas Operacionais</v>
      </c>
      <c r="E3410" t="str">
        <f>VLOOKUP(B3410,Tabela_Auxiliar[],4,0)</f>
        <v>Despesa com Pessoal</v>
      </c>
      <c r="F3410" t="str">
        <f>VLOOKUP(B3410,Tabela_Auxiliar[],3,0)</f>
        <v>Saída</v>
      </c>
      <c r="G3410" t="str">
        <f>UPPER(TEXT(Tabela_DB[[#This Row],[DATA]],"mmm"))</f>
        <v>JUL</v>
      </c>
      <c r="H3410" t="str">
        <f>UPPER(TEXT(Tabela_DB[[#This Row],[DATA]],"aaaa"))</f>
        <v>2021</v>
      </c>
    </row>
    <row r="3411" spans="1:8" x14ac:dyDescent="0.25">
      <c r="A3411" s="2">
        <v>44407</v>
      </c>
      <c r="B3411" t="s">
        <v>64</v>
      </c>
      <c r="C3411">
        <v>-2205</v>
      </c>
      <c r="D3411" t="str">
        <f>VLOOKUP(B3411,Tabela_Auxiliar[],2,0)</f>
        <v>4. Despesas Operacionais</v>
      </c>
      <c r="E3411" t="str">
        <f>VLOOKUP(B3411,Tabela_Auxiliar[],4,0)</f>
        <v>Despesa Gerais</v>
      </c>
      <c r="F3411" t="str">
        <f>VLOOKUP(B3411,Tabela_Auxiliar[],3,0)</f>
        <v>Saída</v>
      </c>
      <c r="G3411" t="str">
        <f>UPPER(TEXT(Tabela_DB[[#This Row],[DATA]],"mmm"))</f>
        <v>JUL</v>
      </c>
      <c r="H3411" t="str">
        <f>UPPER(TEXT(Tabela_DB[[#This Row],[DATA]],"aaaa"))</f>
        <v>2021</v>
      </c>
    </row>
    <row r="3412" spans="1:8" x14ac:dyDescent="0.25">
      <c r="A3412" s="2">
        <v>44407</v>
      </c>
      <c r="B3412" t="s">
        <v>35</v>
      </c>
      <c r="C3412">
        <v>-1740</v>
      </c>
      <c r="D3412" t="str">
        <f>VLOOKUP(B3412,Tabela_Auxiliar[],2,0)</f>
        <v>2. Deduções da Receita</v>
      </c>
      <c r="E3412" t="str">
        <f>VLOOKUP(B3412,Tabela_Auxiliar[],4,0)</f>
        <v>Imposto</v>
      </c>
      <c r="F3412" t="str">
        <f>VLOOKUP(B3412,Tabela_Auxiliar[],3,0)</f>
        <v>Saída</v>
      </c>
      <c r="G3412" t="str">
        <f>UPPER(TEXT(Tabela_DB[[#This Row],[DATA]],"mmm"))</f>
        <v>JUL</v>
      </c>
      <c r="H3412" t="str">
        <f>UPPER(TEXT(Tabela_DB[[#This Row],[DATA]],"aaaa"))</f>
        <v>2021</v>
      </c>
    </row>
    <row r="3413" spans="1:8" x14ac:dyDescent="0.25">
      <c r="A3413" s="2">
        <v>44407</v>
      </c>
      <c r="B3413" t="s">
        <v>58</v>
      </c>
      <c r="C3413">
        <v>-2159</v>
      </c>
      <c r="D3413" t="str">
        <f>VLOOKUP(B3413,Tabela_Auxiliar[],2,0)</f>
        <v>4. Despesas Operacionais</v>
      </c>
      <c r="E3413" t="str">
        <f>VLOOKUP(B3413,Tabela_Auxiliar[],4,0)</f>
        <v>Despesa de Depreciação</v>
      </c>
      <c r="F3413" t="str">
        <f>VLOOKUP(B3413,Tabela_Auxiliar[],3,0)</f>
        <v>Saída</v>
      </c>
      <c r="G3413" t="str">
        <f>UPPER(TEXT(Tabela_DB[[#This Row],[DATA]],"mmm"))</f>
        <v>JUL</v>
      </c>
      <c r="H3413" t="str">
        <f>UPPER(TEXT(Tabela_DB[[#This Row],[DATA]],"aaaa"))</f>
        <v>2021</v>
      </c>
    </row>
    <row r="3414" spans="1:8" x14ac:dyDescent="0.25">
      <c r="A3414" s="2">
        <v>44407</v>
      </c>
      <c r="B3414" t="s">
        <v>70</v>
      </c>
      <c r="C3414">
        <v>-1136</v>
      </c>
      <c r="D3414" t="str">
        <f>VLOOKUP(B3414,Tabela_Auxiliar[],2,0)</f>
        <v>4. Despesas Operacionais</v>
      </c>
      <c r="E3414" t="str">
        <f>VLOOKUP(B3414,Tabela_Auxiliar[],4,0)</f>
        <v>Despesa com Ocupação</v>
      </c>
      <c r="F3414" t="str">
        <f>VLOOKUP(B3414,Tabela_Auxiliar[],3,0)</f>
        <v>Saída</v>
      </c>
      <c r="G3414" t="str">
        <f>UPPER(TEXT(Tabela_DB[[#This Row],[DATA]],"mmm"))</f>
        <v>JUL</v>
      </c>
      <c r="H3414" t="str">
        <f>UPPER(TEXT(Tabela_DB[[#This Row],[DATA]],"aaaa"))</f>
        <v>2021</v>
      </c>
    </row>
    <row r="3415" spans="1:8" x14ac:dyDescent="0.25">
      <c r="A3415" s="2">
        <v>44407</v>
      </c>
      <c r="B3415" t="s">
        <v>4</v>
      </c>
      <c r="C3415">
        <v>12116</v>
      </c>
      <c r="D3415" t="str">
        <f>VLOOKUP(B3415,Tabela_Auxiliar[],2,0)</f>
        <v>1. Receita Operacional Bruta</v>
      </c>
      <c r="E3415" t="str">
        <f>VLOOKUP(B3415,Tabela_Auxiliar[],4,0)</f>
        <v>Receita Bruta</v>
      </c>
      <c r="F3415" t="str">
        <f>VLOOKUP(B3415,Tabela_Auxiliar[],3,0)</f>
        <v>Entrada</v>
      </c>
      <c r="G3415" t="str">
        <f>UPPER(TEXT(Tabela_DB[[#This Row],[DATA]],"mmm"))</f>
        <v>JUL</v>
      </c>
      <c r="H3415" t="str">
        <f>UPPER(TEXT(Tabela_DB[[#This Row],[DATA]],"aaaa"))</f>
        <v>2021</v>
      </c>
    </row>
    <row r="3416" spans="1:8" x14ac:dyDescent="0.25">
      <c r="A3416" s="2">
        <v>44407</v>
      </c>
      <c r="B3416" t="s">
        <v>37</v>
      </c>
      <c r="C3416">
        <v>-3932</v>
      </c>
      <c r="D3416" t="str">
        <f>VLOOKUP(B3416,Tabela_Auxiliar[],2,0)</f>
        <v>3. Custos do Produto/Mercadoria/Serviço</v>
      </c>
      <c r="E3416" t="str">
        <f>VLOOKUP(B3416,Tabela_Auxiliar[],4,0)</f>
        <v>Despesas c/ Produto</v>
      </c>
      <c r="F3416" t="str">
        <f>VLOOKUP(B3416,Tabela_Auxiliar[],3,0)</f>
        <v>Saída</v>
      </c>
      <c r="G3416" t="str">
        <f>UPPER(TEXT(Tabela_DB[[#This Row],[DATA]],"mmm"))</f>
        <v>JUL</v>
      </c>
      <c r="H3416" t="str">
        <f>UPPER(TEXT(Tabela_DB[[#This Row],[DATA]],"aaaa"))</f>
        <v>2021</v>
      </c>
    </row>
    <row r="3417" spans="1:8" x14ac:dyDescent="0.25">
      <c r="A3417" s="2">
        <v>44407</v>
      </c>
      <c r="B3417" t="s">
        <v>4</v>
      </c>
      <c r="C3417">
        <v>14812</v>
      </c>
      <c r="D3417" t="str">
        <f>VLOOKUP(B3417,Tabela_Auxiliar[],2,0)</f>
        <v>1. Receita Operacional Bruta</v>
      </c>
      <c r="E3417" t="str">
        <f>VLOOKUP(B3417,Tabela_Auxiliar[],4,0)</f>
        <v>Receita Bruta</v>
      </c>
      <c r="F3417" t="str">
        <f>VLOOKUP(B3417,Tabela_Auxiliar[],3,0)</f>
        <v>Entrada</v>
      </c>
      <c r="G3417" t="str">
        <f>UPPER(TEXT(Tabela_DB[[#This Row],[DATA]],"mmm"))</f>
        <v>JUL</v>
      </c>
      <c r="H3417" t="str">
        <f>UPPER(TEXT(Tabela_DB[[#This Row],[DATA]],"aaaa"))</f>
        <v>2021</v>
      </c>
    </row>
    <row r="3418" spans="1:8" x14ac:dyDescent="0.25">
      <c r="A3418" s="2">
        <v>44407</v>
      </c>
      <c r="B3418" t="s">
        <v>76</v>
      </c>
      <c r="C3418">
        <v>-1319</v>
      </c>
      <c r="D3418" t="str">
        <f>VLOOKUP(B3418,Tabela_Auxiliar[],2,0)</f>
        <v>4. Despesas Operacionais</v>
      </c>
      <c r="E3418" t="str">
        <f>VLOOKUP(B3418,Tabela_Auxiliar[],4,0)</f>
        <v>Serviços Contratados</v>
      </c>
      <c r="F3418" t="str">
        <f>VLOOKUP(B3418,Tabela_Auxiliar[],3,0)</f>
        <v>Saída</v>
      </c>
      <c r="G3418" t="str">
        <f>UPPER(TEXT(Tabela_DB[[#This Row],[DATA]],"mmm"))</f>
        <v>JUL</v>
      </c>
      <c r="H3418" t="str">
        <f>UPPER(TEXT(Tabela_DB[[#This Row],[DATA]],"aaaa"))</f>
        <v>2021</v>
      </c>
    </row>
    <row r="3419" spans="1:8" x14ac:dyDescent="0.25">
      <c r="A3419" s="2">
        <v>44407</v>
      </c>
      <c r="B3419" t="s">
        <v>79</v>
      </c>
      <c r="C3419">
        <v>-1537</v>
      </c>
      <c r="D3419" t="str">
        <f>VLOOKUP(B3419,Tabela_Auxiliar[],2,0)</f>
        <v>4. Despesas Operacionais</v>
      </c>
      <c r="E3419" t="str">
        <f>VLOOKUP(B3419,Tabela_Auxiliar[],4,0)</f>
        <v>Serviços Contratados</v>
      </c>
      <c r="F3419" t="str">
        <f>VLOOKUP(B3419,Tabela_Auxiliar[],3,0)</f>
        <v>Saída</v>
      </c>
      <c r="G3419" t="str">
        <f>UPPER(TEXT(Tabela_DB[[#This Row],[DATA]],"mmm"))</f>
        <v>JUL</v>
      </c>
      <c r="H3419" t="str">
        <f>UPPER(TEXT(Tabela_DB[[#This Row],[DATA]],"aaaa"))</f>
        <v>2021</v>
      </c>
    </row>
    <row r="3420" spans="1:8" x14ac:dyDescent="0.25">
      <c r="A3420" s="2">
        <v>44407</v>
      </c>
      <c r="B3420" t="s">
        <v>34</v>
      </c>
      <c r="C3420">
        <v>-2438</v>
      </c>
      <c r="D3420" t="str">
        <f>VLOOKUP(B3420,Tabela_Auxiliar[],2,0)</f>
        <v>2. Deduções da Receita</v>
      </c>
      <c r="E3420" t="str">
        <f>VLOOKUP(B3420,Tabela_Auxiliar[],4,0)</f>
        <v>Imposto</v>
      </c>
      <c r="F3420" t="str">
        <f>VLOOKUP(B3420,Tabela_Auxiliar[],3,0)</f>
        <v>Saída</v>
      </c>
      <c r="G3420" t="str">
        <f>UPPER(TEXT(Tabela_DB[[#This Row],[DATA]],"mmm"))</f>
        <v>JUL</v>
      </c>
      <c r="H3420" t="str">
        <f>UPPER(TEXT(Tabela_DB[[#This Row],[DATA]],"aaaa"))</f>
        <v>2021</v>
      </c>
    </row>
    <row r="3421" spans="1:8" x14ac:dyDescent="0.25">
      <c r="A3421" s="2">
        <v>44407</v>
      </c>
      <c r="B3421" t="s">
        <v>3</v>
      </c>
      <c r="C3421">
        <v>11206</v>
      </c>
      <c r="D3421" t="str">
        <f>VLOOKUP(B3421,Tabela_Auxiliar[],2,0)</f>
        <v>1. Receita Operacional Bruta</v>
      </c>
      <c r="E3421" t="str">
        <f>VLOOKUP(B3421,Tabela_Auxiliar[],4,0)</f>
        <v>Receita Bruta</v>
      </c>
      <c r="F3421" t="str">
        <f>VLOOKUP(B3421,Tabela_Auxiliar[],3,0)</f>
        <v>Entrada</v>
      </c>
      <c r="G3421" t="str">
        <f>UPPER(TEXT(Tabela_DB[[#This Row],[DATA]],"mmm"))</f>
        <v>JUL</v>
      </c>
      <c r="H3421" t="str">
        <f>UPPER(TEXT(Tabela_DB[[#This Row],[DATA]],"aaaa"))</f>
        <v>2021</v>
      </c>
    </row>
    <row r="3422" spans="1:8" x14ac:dyDescent="0.25">
      <c r="A3422" s="2">
        <v>44407</v>
      </c>
      <c r="B3422" t="s">
        <v>35</v>
      </c>
      <c r="C3422">
        <v>-1834</v>
      </c>
      <c r="D3422" t="str">
        <f>VLOOKUP(B3422,Tabela_Auxiliar[],2,0)</f>
        <v>2. Deduções da Receita</v>
      </c>
      <c r="E3422" t="str">
        <f>VLOOKUP(B3422,Tabela_Auxiliar[],4,0)</f>
        <v>Imposto</v>
      </c>
      <c r="F3422" t="str">
        <f>VLOOKUP(B3422,Tabela_Auxiliar[],3,0)</f>
        <v>Saída</v>
      </c>
      <c r="G3422" t="str">
        <f>UPPER(TEXT(Tabela_DB[[#This Row],[DATA]],"mmm"))</f>
        <v>JUL</v>
      </c>
      <c r="H3422" t="str">
        <f>UPPER(TEXT(Tabela_DB[[#This Row],[DATA]],"aaaa"))</f>
        <v>2021</v>
      </c>
    </row>
    <row r="3423" spans="1:8" x14ac:dyDescent="0.25">
      <c r="A3423" s="2">
        <v>44407</v>
      </c>
      <c r="B3423" t="s">
        <v>90</v>
      </c>
      <c r="C3423">
        <v>-1131</v>
      </c>
      <c r="D3423" t="str">
        <f>VLOOKUP(B3423,Tabela_Auxiliar[],2,0)</f>
        <v>4. Despesas Operacionais</v>
      </c>
      <c r="E3423" t="str">
        <f>VLOOKUP(B3423,Tabela_Auxiliar[],4,0)</f>
        <v>Despesa Tributária</v>
      </c>
      <c r="F3423" t="str">
        <f>VLOOKUP(B3423,Tabela_Auxiliar[],3,0)</f>
        <v>Saída</v>
      </c>
      <c r="G3423" t="str">
        <f>UPPER(TEXT(Tabela_DB[[#This Row],[DATA]],"mmm"))</f>
        <v>JUL</v>
      </c>
      <c r="H3423" t="str">
        <f>UPPER(TEXT(Tabela_DB[[#This Row],[DATA]],"aaaa"))</f>
        <v>2021</v>
      </c>
    </row>
    <row r="3424" spans="1:8" x14ac:dyDescent="0.25">
      <c r="A3424" s="2">
        <v>44407</v>
      </c>
      <c r="B3424" t="s">
        <v>4</v>
      </c>
      <c r="C3424">
        <v>13419</v>
      </c>
      <c r="D3424" t="str">
        <f>VLOOKUP(B3424,Tabela_Auxiliar[],2,0)</f>
        <v>1. Receita Operacional Bruta</v>
      </c>
      <c r="E3424" t="str">
        <f>VLOOKUP(B3424,Tabela_Auxiliar[],4,0)</f>
        <v>Receita Bruta</v>
      </c>
      <c r="F3424" t="str">
        <f>VLOOKUP(B3424,Tabela_Auxiliar[],3,0)</f>
        <v>Entrada</v>
      </c>
      <c r="G3424" t="str">
        <f>UPPER(TEXT(Tabela_DB[[#This Row],[DATA]],"mmm"))</f>
        <v>JUL</v>
      </c>
      <c r="H3424" t="str">
        <f>UPPER(TEXT(Tabela_DB[[#This Row],[DATA]],"aaaa"))</f>
        <v>2021</v>
      </c>
    </row>
    <row r="3425" spans="1:8" x14ac:dyDescent="0.25">
      <c r="A3425" s="2">
        <v>44407</v>
      </c>
      <c r="B3425" t="s">
        <v>35</v>
      </c>
      <c r="C3425">
        <v>-2266</v>
      </c>
      <c r="D3425" t="str">
        <f>VLOOKUP(B3425,Tabela_Auxiliar[],2,0)</f>
        <v>2. Deduções da Receita</v>
      </c>
      <c r="E3425" t="str">
        <f>VLOOKUP(B3425,Tabela_Auxiliar[],4,0)</f>
        <v>Imposto</v>
      </c>
      <c r="F3425" t="str">
        <f>VLOOKUP(B3425,Tabela_Auxiliar[],3,0)</f>
        <v>Saída</v>
      </c>
      <c r="G3425" t="str">
        <f>UPPER(TEXT(Tabela_DB[[#This Row],[DATA]],"mmm"))</f>
        <v>JUL</v>
      </c>
      <c r="H3425" t="str">
        <f>UPPER(TEXT(Tabela_DB[[#This Row],[DATA]],"aaaa"))</f>
        <v>2021</v>
      </c>
    </row>
    <row r="3426" spans="1:8" x14ac:dyDescent="0.25">
      <c r="A3426" s="2">
        <v>44407</v>
      </c>
      <c r="B3426" t="s">
        <v>3</v>
      </c>
      <c r="C3426">
        <v>13968</v>
      </c>
      <c r="D3426" t="str">
        <f>VLOOKUP(B3426,Tabela_Auxiliar[],2,0)</f>
        <v>1. Receita Operacional Bruta</v>
      </c>
      <c r="E3426" t="str">
        <f>VLOOKUP(B3426,Tabela_Auxiliar[],4,0)</f>
        <v>Receita Bruta</v>
      </c>
      <c r="F3426" t="str">
        <f>VLOOKUP(B3426,Tabela_Auxiliar[],3,0)</f>
        <v>Entrada</v>
      </c>
      <c r="G3426" t="str">
        <f>UPPER(TEXT(Tabela_DB[[#This Row],[DATA]],"mmm"))</f>
        <v>JUL</v>
      </c>
      <c r="H3426" t="str">
        <f>UPPER(TEXT(Tabela_DB[[#This Row],[DATA]],"aaaa"))</f>
        <v>2021</v>
      </c>
    </row>
    <row r="3427" spans="1:8" x14ac:dyDescent="0.25">
      <c r="A3427" s="2">
        <v>44407</v>
      </c>
      <c r="B3427" t="s">
        <v>38</v>
      </c>
      <c r="C3427">
        <v>-1036</v>
      </c>
      <c r="D3427" t="str">
        <f>VLOOKUP(B3427,Tabela_Auxiliar[],2,0)</f>
        <v>2. Deduções da Receita</v>
      </c>
      <c r="E3427" t="str">
        <f>VLOOKUP(B3427,Tabela_Auxiliar[],4,0)</f>
        <v>Deduções</v>
      </c>
      <c r="F3427" t="str">
        <f>VLOOKUP(B3427,Tabela_Auxiliar[],3,0)</f>
        <v>Saída</v>
      </c>
      <c r="G3427" t="str">
        <f>UPPER(TEXT(Tabela_DB[[#This Row],[DATA]],"mmm"))</f>
        <v>JUL</v>
      </c>
      <c r="H3427" t="str">
        <f>UPPER(TEXT(Tabela_DB[[#This Row],[DATA]],"aaaa"))</f>
        <v>2021</v>
      </c>
    </row>
    <row r="3428" spans="1:8" x14ac:dyDescent="0.25">
      <c r="A3428" s="2">
        <v>44407</v>
      </c>
      <c r="B3428" t="s">
        <v>51</v>
      </c>
      <c r="C3428">
        <v>-2046</v>
      </c>
      <c r="D3428" t="str">
        <f>VLOOKUP(B3428,Tabela_Auxiliar[],2,0)</f>
        <v>4. Despesas Operacionais</v>
      </c>
      <c r="E3428" t="str">
        <f>VLOOKUP(B3428,Tabela_Auxiliar[],4,0)</f>
        <v>Despesa com Pessoal</v>
      </c>
      <c r="F3428" t="str">
        <f>VLOOKUP(B3428,Tabela_Auxiliar[],3,0)</f>
        <v>Saída</v>
      </c>
      <c r="G3428" t="str">
        <f>UPPER(TEXT(Tabela_DB[[#This Row],[DATA]],"mmm"))</f>
        <v>JUL</v>
      </c>
      <c r="H3428" t="str">
        <f>UPPER(TEXT(Tabela_DB[[#This Row],[DATA]],"aaaa"))</f>
        <v>2021</v>
      </c>
    </row>
    <row r="3429" spans="1:8" x14ac:dyDescent="0.25">
      <c r="A3429" s="2">
        <v>44407</v>
      </c>
      <c r="B3429" t="s">
        <v>72</v>
      </c>
      <c r="C3429">
        <v>-2184</v>
      </c>
      <c r="D3429" t="str">
        <f>VLOOKUP(B3429,Tabela_Auxiliar[],2,0)</f>
        <v>4. Despesas Operacionais</v>
      </c>
      <c r="E3429" t="str">
        <f>VLOOKUP(B3429,Tabela_Auxiliar[],4,0)</f>
        <v>Despesa com Ocupação</v>
      </c>
      <c r="F3429" t="str">
        <f>VLOOKUP(B3429,Tabela_Auxiliar[],3,0)</f>
        <v>Saída</v>
      </c>
      <c r="G3429" t="str">
        <f>UPPER(TEXT(Tabela_DB[[#This Row],[DATA]],"mmm"))</f>
        <v>JUL</v>
      </c>
      <c r="H3429" t="str">
        <f>UPPER(TEXT(Tabela_DB[[#This Row],[DATA]],"aaaa"))</f>
        <v>2021</v>
      </c>
    </row>
    <row r="3430" spans="1:8" x14ac:dyDescent="0.25">
      <c r="A3430" s="2">
        <v>44407</v>
      </c>
      <c r="B3430" t="s">
        <v>35</v>
      </c>
      <c r="C3430">
        <v>-1178</v>
      </c>
      <c r="D3430" t="str">
        <f>VLOOKUP(B3430,Tabela_Auxiliar[],2,0)</f>
        <v>2. Deduções da Receita</v>
      </c>
      <c r="E3430" t="str">
        <f>VLOOKUP(B3430,Tabela_Auxiliar[],4,0)</f>
        <v>Imposto</v>
      </c>
      <c r="F3430" t="str">
        <f>VLOOKUP(B3430,Tabela_Auxiliar[],3,0)</f>
        <v>Saída</v>
      </c>
      <c r="G3430" t="str">
        <f>UPPER(TEXT(Tabela_DB[[#This Row],[DATA]],"mmm"))</f>
        <v>JUL</v>
      </c>
      <c r="H3430" t="str">
        <f>UPPER(TEXT(Tabela_DB[[#This Row],[DATA]],"aaaa"))</f>
        <v>2021</v>
      </c>
    </row>
    <row r="3431" spans="1:8" x14ac:dyDescent="0.25">
      <c r="A3431" s="2">
        <v>44407</v>
      </c>
      <c r="B3431" t="s">
        <v>3</v>
      </c>
      <c r="C3431">
        <v>11105</v>
      </c>
      <c r="D3431" t="str">
        <f>VLOOKUP(B3431,Tabela_Auxiliar[],2,0)</f>
        <v>1. Receita Operacional Bruta</v>
      </c>
      <c r="E3431" t="str">
        <f>VLOOKUP(B3431,Tabela_Auxiliar[],4,0)</f>
        <v>Receita Bruta</v>
      </c>
      <c r="F3431" t="str">
        <f>VLOOKUP(B3431,Tabela_Auxiliar[],3,0)</f>
        <v>Entrada</v>
      </c>
      <c r="G3431" t="str">
        <f>UPPER(TEXT(Tabela_DB[[#This Row],[DATA]],"mmm"))</f>
        <v>JUL</v>
      </c>
      <c r="H3431" t="str">
        <f>UPPER(TEXT(Tabela_DB[[#This Row],[DATA]],"aaaa"))</f>
        <v>2021</v>
      </c>
    </row>
    <row r="3432" spans="1:8" x14ac:dyDescent="0.25">
      <c r="A3432" s="2">
        <v>44407</v>
      </c>
      <c r="B3432" t="s">
        <v>66</v>
      </c>
      <c r="C3432">
        <v>-1389</v>
      </c>
      <c r="D3432" t="str">
        <f>VLOOKUP(B3432,Tabela_Auxiliar[],2,0)</f>
        <v>4. Despesas Operacionais</v>
      </c>
      <c r="E3432" t="str">
        <f>VLOOKUP(B3432,Tabela_Auxiliar[],4,0)</f>
        <v>Despesa com Vendas</v>
      </c>
      <c r="F3432" t="str">
        <f>VLOOKUP(B3432,Tabela_Auxiliar[],3,0)</f>
        <v>Saída</v>
      </c>
      <c r="G3432" t="str">
        <f>UPPER(TEXT(Tabela_DB[[#This Row],[DATA]],"mmm"))</f>
        <v>JUL</v>
      </c>
      <c r="H3432" t="str">
        <f>UPPER(TEXT(Tabela_DB[[#This Row],[DATA]],"aaaa"))</f>
        <v>2021</v>
      </c>
    </row>
    <row r="3433" spans="1:8" x14ac:dyDescent="0.25">
      <c r="A3433" s="2">
        <v>44407</v>
      </c>
      <c r="B3433" t="s">
        <v>38</v>
      </c>
      <c r="C3433">
        <v>-2132</v>
      </c>
      <c r="D3433" t="str">
        <f>VLOOKUP(B3433,Tabela_Auxiliar[],2,0)</f>
        <v>2. Deduções da Receita</v>
      </c>
      <c r="E3433" t="str">
        <f>VLOOKUP(B3433,Tabela_Auxiliar[],4,0)</f>
        <v>Deduções</v>
      </c>
      <c r="F3433" t="str">
        <f>VLOOKUP(B3433,Tabela_Auxiliar[],3,0)</f>
        <v>Saída</v>
      </c>
      <c r="G3433" t="str">
        <f>UPPER(TEXT(Tabela_DB[[#This Row],[DATA]],"mmm"))</f>
        <v>JUL</v>
      </c>
      <c r="H3433" t="str">
        <f>UPPER(TEXT(Tabela_DB[[#This Row],[DATA]],"aaaa"))</f>
        <v>2021</v>
      </c>
    </row>
    <row r="3434" spans="1:8" x14ac:dyDescent="0.25">
      <c r="A3434" s="2">
        <v>44408</v>
      </c>
      <c r="B3434" t="s">
        <v>38</v>
      </c>
      <c r="C3434">
        <v>-1535</v>
      </c>
      <c r="D3434" t="str">
        <f>VLOOKUP(B3434,Tabela_Auxiliar[],2,0)</f>
        <v>2. Deduções da Receita</v>
      </c>
      <c r="E3434" t="str">
        <f>VLOOKUP(B3434,Tabela_Auxiliar[],4,0)</f>
        <v>Deduções</v>
      </c>
      <c r="F3434" t="str">
        <f>VLOOKUP(B3434,Tabela_Auxiliar[],3,0)</f>
        <v>Saída</v>
      </c>
      <c r="G3434" t="str">
        <f>UPPER(TEXT(Tabela_DB[[#This Row],[DATA]],"mmm"))</f>
        <v>JUL</v>
      </c>
      <c r="H3434" t="str">
        <f>UPPER(TEXT(Tabela_DB[[#This Row],[DATA]],"aaaa"))</f>
        <v>2021</v>
      </c>
    </row>
    <row r="3435" spans="1:8" x14ac:dyDescent="0.25">
      <c r="A3435" s="2">
        <v>44408</v>
      </c>
      <c r="B3435" t="s">
        <v>58</v>
      </c>
      <c r="C3435">
        <v>-1376</v>
      </c>
      <c r="D3435" t="str">
        <f>VLOOKUP(B3435,Tabela_Auxiliar[],2,0)</f>
        <v>4. Despesas Operacionais</v>
      </c>
      <c r="E3435" t="str">
        <f>VLOOKUP(B3435,Tabela_Auxiliar[],4,0)</f>
        <v>Despesa de Depreciação</v>
      </c>
      <c r="F3435" t="str">
        <f>VLOOKUP(B3435,Tabela_Auxiliar[],3,0)</f>
        <v>Saída</v>
      </c>
      <c r="G3435" t="str">
        <f>UPPER(TEXT(Tabela_DB[[#This Row],[DATA]],"mmm"))</f>
        <v>JUL</v>
      </c>
      <c r="H3435" t="str">
        <f>UPPER(TEXT(Tabela_DB[[#This Row],[DATA]],"aaaa"))</f>
        <v>2021</v>
      </c>
    </row>
    <row r="3436" spans="1:8" x14ac:dyDescent="0.25">
      <c r="A3436" s="2">
        <v>44408</v>
      </c>
      <c r="B3436" t="s">
        <v>111</v>
      </c>
      <c r="C3436">
        <v>-1770</v>
      </c>
      <c r="D3436" t="str">
        <f>VLOOKUP(B3436,Tabela_Auxiliar[],2,0)</f>
        <v>2. Deduções da Receita</v>
      </c>
      <c r="E3436" t="str">
        <f>VLOOKUP(B3436,Tabela_Auxiliar[],4,0)</f>
        <v>Imposto</v>
      </c>
      <c r="F3436" t="str">
        <f>VLOOKUP(B3436,Tabela_Auxiliar[],3,0)</f>
        <v>Saída</v>
      </c>
      <c r="G3436" t="str">
        <f>UPPER(TEXT(Tabela_DB[[#This Row],[DATA]],"mmm"))</f>
        <v>JUL</v>
      </c>
      <c r="H3436" t="str">
        <f>UPPER(TEXT(Tabela_DB[[#This Row],[DATA]],"aaaa"))</f>
        <v>2021</v>
      </c>
    </row>
    <row r="3437" spans="1:8" x14ac:dyDescent="0.25">
      <c r="A3437" s="2">
        <v>44408</v>
      </c>
      <c r="B3437" t="s">
        <v>34</v>
      </c>
      <c r="C3437">
        <v>-1877</v>
      </c>
      <c r="D3437" t="str">
        <f>VLOOKUP(B3437,Tabela_Auxiliar[],2,0)</f>
        <v>2. Deduções da Receita</v>
      </c>
      <c r="E3437" t="str">
        <f>VLOOKUP(B3437,Tabela_Auxiliar[],4,0)</f>
        <v>Imposto</v>
      </c>
      <c r="F3437" t="str">
        <f>VLOOKUP(B3437,Tabela_Auxiliar[],3,0)</f>
        <v>Saída</v>
      </c>
      <c r="G3437" t="str">
        <f>UPPER(TEXT(Tabela_DB[[#This Row],[DATA]],"mmm"))</f>
        <v>JUL</v>
      </c>
      <c r="H3437" t="str">
        <f>UPPER(TEXT(Tabela_DB[[#This Row],[DATA]],"aaaa"))</f>
        <v>2021</v>
      </c>
    </row>
    <row r="3438" spans="1:8" x14ac:dyDescent="0.25">
      <c r="A3438" s="2">
        <v>44408</v>
      </c>
      <c r="B3438" t="s">
        <v>101</v>
      </c>
      <c r="C3438">
        <v>-1922</v>
      </c>
      <c r="D3438" t="str">
        <f>VLOOKUP(B3438,Tabela_Auxiliar[],2,0)</f>
        <v>5. Resultado Financeiro</v>
      </c>
      <c r="E3438" t="str">
        <f>VLOOKUP(B3438,Tabela_Auxiliar[],4,0)</f>
        <v>Despesa Financeira</v>
      </c>
      <c r="F3438" t="str">
        <f>VLOOKUP(B3438,Tabela_Auxiliar[],3,0)</f>
        <v>Saída</v>
      </c>
      <c r="G3438" t="str">
        <f>UPPER(TEXT(Tabela_DB[[#This Row],[DATA]],"mmm"))</f>
        <v>JUL</v>
      </c>
      <c r="H3438" t="str">
        <f>UPPER(TEXT(Tabela_DB[[#This Row],[DATA]],"aaaa"))</f>
        <v>2021</v>
      </c>
    </row>
    <row r="3439" spans="1:8" x14ac:dyDescent="0.25">
      <c r="A3439" s="2">
        <v>44408</v>
      </c>
      <c r="B3439" t="s">
        <v>4</v>
      </c>
      <c r="C3439">
        <v>14405</v>
      </c>
      <c r="D3439" t="str">
        <f>VLOOKUP(B3439,Tabela_Auxiliar[],2,0)</f>
        <v>1. Receita Operacional Bruta</v>
      </c>
      <c r="E3439" t="str">
        <f>VLOOKUP(B3439,Tabela_Auxiliar[],4,0)</f>
        <v>Receita Bruta</v>
      </c>
      <c r="F3439" t="str">
        <f>VLOOKUP(B3439,Tabela_Auxiliar[],3,0)</f>
        <v>Entrada</v>
      </c>
      <c r="G3439" t="str">
        <f>UPPER(TEXT(Tabela_DB[[#This Row],[DATA]],"mmm"))</f>
        <v>JUL</v>
      </c>
      <c r="H3439" t="str">
        <f>UPPER(TEXT(Tabela_DB[[#This Row],[DATA]],"aaaa"))</f>
        <v>2021</v>
      </c>
    </row>
    <row r="3440" spans="1:8" x14ac:dyDescent="0.25">
      <c r="A3440" s="2">
        <v>44408</v>
      </c>
      <c r="B3440" t="s">
        <v>84</v>
      </c>
      <c r="C3440">
        <v>-1944</v>
      </c>
      <c r="D3440" t="str">
        <f>VLOOKUP(B3440,Tabela_Auxiliar[],2,0)</f>
        <v>4. Despesas Operacionais</v>
      </c>
      <c r="E3440" t="str">
        <f>VLOOKUP(B3440,Tabela_Auxiliar[],4,0)</f>
        <v>Despesa com Veículos</v>
      </c>
      <c r="F3440" t="str">
        <f>VLOOKUP(B3440,Tabela_Auxiliar[],3,0)</f>
        <v>Saída</v>
      </c>
      <c r="G3440" t="str">
        <f>UPPER(TEXT(Tabela_DB[[#This Row],[DATA]],"mmm"))</f>
        <v>JUL</v>
      </c>
      <c r="H3440" t="str">
        <f>UPPER(TEXT(Tabela_DB[[#This Row],[DATA]],"aaaa"))</f>
        <v>2021</v>
      </c>
    </row>
    <row r="3441" spans="1:8" x14ac:dyDescent="0.25">
      <c r="A3441" s="2">
        <v>44408</v>
      </c>
      <c r="B3441" t="s">
        <v>76</v>
      </c>
      <c r="C3441">
        <v>-2288</v>
      </c>
      <c r="D3441" t="str">
        <f>VLOOKUP(B3441,Tabela_Auxiliar[],2,0)</f>
        <v>4. Despesas Operacionais</v>
      </c>
      <c r="E3441" t="str">
        <f>VLOOKUP(B3441,Tabela_Auxiliar[],4,0)</f>
        <v>Serviços Contratados</v>
      </c>
      <c r="F3441" t="str">
        <f>VLOOKUP(B3441,Tabela_Auxiliar[],3,0)</f>
        <v>Saída</v>
      </c>
      <c r="G3441" t="str">
        <f>UPPER(TEXT(Tabela_DB[[#This Row],[DATA]],"mmm"))</f>
        <v>JUL</v>
      </c>
      <c r="H3441" t="str">
        <f>UPPER(TEXT(Tabela_DB[[#This Row],[DATA]],"aaaa"))</f>
        <v>2021</v>
      </c>
    </row>
    <row r="3442" spans="1:8" x14ac:dyDescent="0.25">
      <c r="A3442" s="2">
        <v>44408</v>
      </c>
      <c r="B3442" t="s">
        <v>111</v>
      </c>
      <c r="C3442">
        <v>-1203</v>
      </c>
      <c r="D3442" t="str">
        <f>VLOOKUP(B3442,Tabela_Auxiliar[],2,0)</f>
        <v>2. Deduções da Receita</v>
      </c>
      <c r="E3442" t="str">
        <f>VLOOKUP(B3442,Tabela_Auxiliar[],4,0)</f>
        <v>Imposto</v>
      </c>
      <c r="F3442" t="str">
        <f>VLOOKUP(B3442,Tabela_Auxiliar[],3,0)</f>
        <v>Saída</v>
      </c>
      <c r="G3442" t="str">
        <f>UPPER(TEXT(Tabela_DB[[#This Row],[DATA]],"mmm"))</f>
        <v>JUL</v>
      </c>
      <c r="H3442" t="str">
        <f>UPPER(TEXT(Tabela_DB[[#This Row],[DATA]],"aaaa"))</f>
        <v>2021</v>
      </c>
    </row>
    <row r="3443" spans="1:8" x14ac:dyDescent="0.25">
      <c r="A3443" s="2">
        <v>44408</v>
      </c>
      <c r="B3443" t="s">
        <v>38</v>
      </c>
      <c r="C3443">
        <v>-1408</v>
      </c>
      <c r="D3443" t="str">
        <f>VLOOKUP(B3443,Tabela_Auxiliar[],2,0)</f>
        <v>2. Deduções da Receita</v>
      </c>
      <c r="E3443" t="str">
        <f>VLOOKUP(B3443,Tabela_Auxiliar[],4,0)</f>
        <v>Deduções</v>
      </c>
      <c r="F3443" t="str">
        <f>VLOOKUP(B3443,Tabela_Auxiliar[],3,0)</f>
        <v>Saída</v>
      </c>
      <c r="G3443" t="str">
        <f>UPPER(TEXT(Tabela_DB[[#This Row],[DATA]],"mmm"))</f>
        <v>JUL</v>
      </c>
      <c r="H3443" t="str">
        <f>UPPER(TEXT(Tabela_DB[[#This Row],[DATA]],"aaaa"))</f>
        <v>2021</v>
      </c>
    </row>
    <row r="3444" spans="1:8" x14ac:dyDescent="0.25">
      <c r="A3444" s="2">
        <v>44408</v>
      </c>
      <c r="B3444" t="s">
        <v>111</v>
      </c>
      <c r="C3444">
        <v>-2368</v>
      </c>
      <c r="D3444" t="str">
        <f>VLOOKUP(B3444,Tabela_Auxiliar[],2,0)</f>
        <v>2. Deduções da Receita</v>
      </c>
      <c r="E3444" t="str">
        <f>VLOOKUP(B3444,Tabela_Auxiliar[],4,0)</f>
        <v>Imposto</v>
      </c>
      <c r="F3444" t="str">
        <f>VLOOKUP(B3444,Tabela_Auxiliar[],3,0)</f>
        <v>Saída</v>
      </c>
      <c r="G3444" t="str">
        <f>UPPER(TEXT(Tabela_DB[[#This Row],[DATA]],"mmm"))</f>
        <v>JUL</v>
      </c>
      <c r="H3444" t="str">
        <f>UPPER(TEXT(Tabela_DB[[#This Row],[DATA]],"aaaa"))</f>
        <v>2021</v>
      </c>
    </row>
    <row r="3445" spans="1:8" x14ac:dyDescent="0.25">
      <c r="A3445" s="2">
        <v>44408</v>
      </c>
      <c r="B3445" t="s">
        <v>35</v>
      </c>
      <c r="C3445">
        <v>-1283</v>
      </c>
      <c r="D3445" t="str">
        <f>VLOOKUP(B3445,Tabela_Auxiliar[],2,0)</f>
        <v>2. Deduções da Receita</v>
      </c>
      <c r="E3445" t="str">
        <f>VLOOKUP(B3445,Tabela_Auxiliar[],4,0)</f>
        <v>Imposto</v>
      </c>
      <c r="F3445" t="str">
        <f>VLOOKUP(B3445,Tabela_Auxiliar[],3,0)</f>
        <v>Saída</v>
      </c>
      <c r="G3445" t="str">
        <f>UPPER(TEXT(Tabela_DB[[#This Row],[DATA]],"mmm"))</f>
        <v>JUL</v>
      </c>
      <c r="H3445" t="str">
        <f>UPPER(TEXT(Tabela_DB[[#This Row],[DATA]],"aaaa"))</f>
        <v>2021</v>
      </c>
    </row>
    <row r="3446" spans="1:8" x14ac:dyDescent="0.25">
      <c r="A3446" s="2">
        <v>44408</v>
      </c>
      <c r="B3446" t="s">
        <v>3</v>
      </c>
      <c r="C3446">
        <v>13665</v>
      </c>
      <c r="D3446" t="str">
        <f>VLOOKUP(B3446,Tabela_Auxiliar[],2,0)</f>
        <v>1. Receita Operacional Bruta</v>
      </c>
      <c r="E3446" t="str">
        <f>VLOOKUP(B3446,Tabela_Auxiliar[],4,0)</f>
        <v>Receita Bruta</v>
      </c>
      <c r="F3446" t="str">
        <f>VLOOKUP(B3446,Tabela_Auxiliar[],3,0)</f>
        <v>Entrada</v>
      </c>
      <c r="G3446" t="str">
        <f>UPPER(TEXT(Tabela_DB[[#This Row],[DATA]],"mmm"))</f>
        <v>JUL</v>
      </c>
      <c r="H3446" t="str">
        <f>UPPER(TEXT(Tabela_DB[[#This Row],[DATA]],"aaaa"))</f>
        <v>2021</v>
      </c>
    </row>
    <row r="3447" spans="1:8" x14ac:dyDescent="0.25">
      <c r="A3447" s="2">
        <v>44408</v>
      </c>
      <c r="B3447" t="s">
        <v>111</v>
      </c>
      <c r="C3447">
        <v>-2418</v>
      </c>
      <c r="D3447" t="str">
        <f>VLOOKUP(B3447,Tabela_Auxiliar[],2,0)</f>
        <v>2. Deduções da Receita</v>
      </c>
      <c r="E3447" t="str">
        <f>VLOOKUP(B3447,Tabela_Auxiliar[],4,0)</f>
        <v>Imposto</v>
      </c>
      <c r="F3447" t="str">
        <f>VLOOKUP(B3447,Tabela_Auxiliar[],3,0)</f>
        <v>Saída</v>
      </c>
      <c r="G3447" t="str">
        <f>UPPER(TEXT(Tabela_DB[[#This Row],[DATA]],"mmm"))</f>
        <v>JUL</v>
      </c>
      <c r="H3447" t="str">
        <f>UPPER(TEXT(Tabela_DB[[#This Row],[DATA]],"aaaa"))</f>
        <v>2021</v>
      </c>
    </row>
    <row r="3448" spans="1:8" x14ac:dyDescent="0.25">
      <c r="A3448" s="2">
        <v>44408</v>
      </c>
      <c r="B3448" t="s">
        <v>3</v>
      </c>
      <c r="C3448">
        <v>10516</v>
      </c>
      <c r="D3448" t="str">
        <f>VLOOKUP(B3448,Tabela_Auxiliar[],2,0)</f>
        <v>1. Receita Operacional Bruta</v>
      </c>
      <c r="E3448" t="str">
        <f>VLOOKUP(B3448,Tabela_Auxiliar[],4,0)</f>
        <v>Receita Bruta</v>
      </c>
      <c r="F3448" t="str">
        <f>VLOOKUP(B3448,Tabela_Auxiliar[],3,0)</f>
        <v>Entrada</v>
      </c>
      <c r="G3448" t="str">
        <f>UPPER(TEXT(Tabela_DB[[#This Row],[DATA]],"mmm"))</f>
        <v>JUL</v>
      </c>
      <c r="H3448" t="str">
        <f>UPPER(TEXT(Tabela_DB[[#This Row],[DATA]],"aaaa"))</f>
        <v>2021</v>
      </c>
    </row>
    <row r="3449" spans="1:8" x14ac:dyDescent="0.25">
      <c r="A3449" s="2">
        <v>44408</v>
      </c>
      <c r="B3449" t="s">
        <v>34</v>
      </c>
      <c r="C3449">
        <v>-2448</v>
      </c>
      <c r="D3449" t="str">
        <f>VLOOKUP(B3449,Tabela_Auxiliar[],2,0)</f>
        <v>2. Deduções da Receita</v>
      </c>
      <c r="E3449" t="str">
        <f>VLOOKUP(B3449,Tabela_Auxiliar[],4,0)</f>
        <v>Imposto</v>
      </c>
      <c r="F3449" t="str">
        <f>VLOOKUP(B3449,Tabela_Auxiliar[],3,0)</f>
        <v>Saída</v>
      </c>
      <c r="G3449" t="str">
        <f>UPPER(TEXT(Tabela_DB[[#This Row],[DATA]],"mmm"))</f>
        <v>JUL</v>
      </c>
      <c r="H3449" t="str">
        <f>UPPER(TEXT(Tabela_DB[[#This Row],[DATA]],"aaaa"))</f>
        <v>2021</v>
      </c>
    </row>
    <row r="3450" spans="1:8" x14ac:dyDescent="0.25">
      <c r="A3450" s="2">
        <v>44408</v>
      </c>
      <c r="B3450" t="s">
        <v>35</v>
      </c>
      <c r="C3450">
        <v>-1344</v>
      </c>
      <c r="D3450" t="str">
        <f>VLOOKUP(B3450,Tabela_Auxiliar[],2,0)</f>
        <v>2. Deduções da Receita</v>
      </c>
      <c r="E3450" t="str">
        <f>VLOOKUP(B3450,Tabela_Auxiliar[],4,0)</f>
        <v>Imposto</v>
      </c>
      <c r="F3450" t="str">
        <f>VLOOKUP(B3450,Tabela_Auxiliar[],3,0)</f>
        <v>Saída</v>
      </c>
      <c r="G3450" t="str">
        <f>UPPER(TEXT(Tabela_DB[[#This Row],[DATA]],"mmm"))</f>
        <v>JUL</v>
      </c>
      <c r="H3450" t="str">
        <f>UPPER(TEXT(Tabela_DB[[#This Row],[DATA]],"aaaa"))</f>
        <v>2021</v>
      </c>
    </row>
    <row r="3451" spans="1:8" x14ac:dyDescent="0.25">
      <c r="A3451" s="2">
        <v>44408</v>
      </c>
      <c r="B3451" t="s">
        <v>3</v>
      </c>
      <c r="C3451">
        <v>12147</v>
      </c>
      <c r="D3451" t="str">
        <f>VLOOKUP(B3451,Tabela_Auxiliar[],2,0)</f>
        <v>1. Receita Operacional Bruta</v>
      </c>
      <c r="E3451" t="str">
        <f>VLOOKUP(B3451,Tabela_Auxiliar[],4,0)</f>
        <v>Receita Bruta</v>
      </c>
      <c r="F3451" t="str">
        <f>VLOOKUP(B3451,Tabela_Auxiliar[],3,0)</f>
        <v>Entrada</v>
      </c>
      <c r="G3451" t="str">
        <f>UPPER(TEXT(Tabela_DB[[#This Row],[DATA]],"mmm"))</f>
        <v>JUL</v>
      </c>
      <c r="H3451" t="str">
        <f>UPPER(TEXT(Tabela_DB[[#This Row],[DATA]],"aaaa"))</f>
        <v>2021</v>
      </c>
    </row>
    <row r="3452" spans="1:8" x14ac:dyDescent="0.25">
      <c r="A3452" s="2">
        <v>44408</v>
      </c>
      <c r="B3452" t="s">
        <v>4</v>
      </c>
      <c r="C3452">
        <v>10941</v>
      </c>
      <c r="D3452" t="str">
        <f>VLOOKUP(B3452,Tabela_Auxiliar[],2,0)</f>
        <v>1. Receita Operacional Bruta</v>
      </c>
      <c r="E3452" t="str">
        <f>VLOOKUP(B3452,Tabela_Auxiliar[],4,0)</f>
        <v>Receita Bruta</v>
      </c>
      <c r="F3452" t="str">
        <f>VLOOKUP(B3452,Tabela_Auxiliar[],3,0)</f>
        <v>Entrada</v>
      </c>
      <c r="G3452" t="str">
        <f>UPPER(TEXT(Tabela_DB[[#This Row],[DATA]],"mmm"))</f>
        <v>JUL</v>
      </c>
      <c r="H3452" t="str">
        <f>UPPER(TEXT(Tabela_DB[[#This Row],[DATA]],"aaaa"))</f>
        <v>2021</v>
      </c>
    </row>
    <row r="3453" spans="1:8" x14ac:dyDescent="0.25">
      <c r="A3453" s="2">
        <v>44408</v>
      </c>
      <c r="B3453" t="s">
        <v>38</v>
      </c>
      <c r="C3453">
        <v>-2278</v>
      </c>
      <c r="D3453" t="str">
        <f>VLOOKUP(B3453,Tabela_Auxiliar[],2,0)</f>
        <v>2. Deduções da Receita</v>
      </c>
      <c r="E3453" t="str">
        <f>VLOOKUP(B3453,Tabela_Auxiliar[],4,0)</f>
        <v>Deduções</v>
      </c>
      <c r="F3453" t="str">
        <f>VLOOKUP(B3453,Tabela_Auxiliar[],3,0)</f>
        <v>Saída</v>
      </c>
      <c r="G3453" t="str">
        <f>UPPER(TEXT(Tabela_DB[[#This Row],[DATA]],"mmm"))</f>
        <v>JUL</v>
      </c>
      <c r="H3453" t="str">
        <f>UPPER(TEXT(Tabela_DB[[#This Row],[DATA]],"aaaa"))</f>
        <v>2021</v>
      </c>
    </row>
    <row r="3454" spans="1:8" x14ac:dyDescent="0.25">
      <c r="A3454" s="2">
        <v>44408</v>
      </c>
      <c r="B3454" t="s">
        <v>34</v>
      </c>
      <c r="C3454">
        <v>-2047</v>
      </c>
      <c r="D3454" t="str">
        <f>VLOOKUP(B3454,Tabela_Auxiliar[],2,0)</f>
        <v>2. Deduções da Receita</v>
      </c>
      <c r="E3454" t="str">
        <f>VLOOKUP(B3454,Tabela_Auxiliar[],4,0)</f>
        <v>Imposto</v>
      </c>
      <c r="F3454" t="str">
        <f>VLOOKUP(B3454,Tabela_Auxiliar[],3,0)</f>
        <v>Saída</v>
      </c>
      <c r="G3454" t="str">
        <f>UPPER(TEXT(Tabela_DB[[#This Row],[DATA]],"mmm"))</f>
        <v>JUL</v>
      </c>
      <c r="H3454" t="str">
        <f>UPPER(TEXT(Tabela_DB[[#This Row],[DATA]],"aaaa"))</f>
        <v>2021</v>
      </c>
    </row>
    <row r="3455" spans="1:8" x14ac:dyDescent="0.25">
      <c r="A3455" s="2">
        <v>44408</v>
      </c>
      <c r="B3455" t="s">
        <v>111</v>
      </c>
      <c r="C3455">
        <v>-1765</v>
      </c>
      <c r="D3455" t="str">
        <f>VLOOKUP(B3455,Tabela_Auxiliar[],2,0)</f>
        <v>2. Deduções da Receita</v>
      </c>
      <c r="E3455" t="str">
        <f>VLOOKUP(B3455,Tabela_Auxiliar[],4,0)</f>
        <v>Imposto</v>
      </c>
      <c r="F3455" t="str">
        <f>VLOOKUP(B3455,Tabela_Auxiliar[],3,0)</f>
        <v>Saída</v>
      </c>
      <c r="G3455" t="str">
        <f>UPPER(TEXT(Tabela_DB[[#This Row],[DATA]],"mmm"))</f>
        <v>JUL</v>
      </c>
      <c r="H3455" t="str">
        <f>UPPER(TEXT(Tabela_DB[[#This Row],[DATA]],"aaaa"))</f>
        <v>2021</v>
      </c>
    </row>
    <row r="3456" spans="1:8" x14ac:dyDescent="0.25">
      <c r="A3456" s="2">
        <v>44409</v>
      </c>
      <c r="B3456" t="s">
        <v>102</v>
      </c>
      <c r="C3456">
        <v>-1731</v>
      </c>
      <c r="D3456" t="str">
        <f>VLOOKUP(B3456,Tabela_Auxiliar[],2,0)</f>
        <v>6. Resultado após o Resultado Financeiro</v>
      </c>
      <c r="E3456" t="str">
        <f>VLOOKUP(B3456,Tabela_Auxiliar[],4,0)</f>
        <v>EBTIDA</v>
      </c>
      <c r="F3456" t="str">
        <f>VLOOKUP(B3456,Tabela_Auxiliar[],3,0)</f>
        <v>Saída</v>
      </c>
      <c r="G3456" t="str">
        <f>UPPER(TEXT(Tabela_DB[[#This Row],[DATA]],"mmm"))</f>
        <v>AGO</v>
      </c>
      <c r="H3456" t="str">
        <f>UPPER(TEXT(Tabela_DB[[#This Row],[DATA]],"aaaa"))</f>
        <v>2021</v>
      </c>
    </row>
    <row r="3457" spans="1:8" x14ac:dyDescent="0.25">
      <c r="A3457" s="2">
        <v>44409</v>
      </c>
      <c r="B3457" t="s">
        <v>35</v>
      </c>
      <c r="C3457">
        <v>-1252</v>
      </c>
      <c r="D3457" t="str">
        <f>VLOOKUP(B3457,Tabela_Auxiliar[],2,0)</f>
        <v>2. Deduções da Receita</v>
      </c>
      <c r="E3457" t="str">
        <f>VLOOKUP(B3457,Tabela_Auxiliar[],4,0)</f>
        <v>Imposto</v>
      </c>
      <c r="F3457" t="str">
        <f>VLOOKUP(B3457,Tabela_Auxiliar[],3,0)</f>
        <v>Saída</v>
      </c>
      <c r="G3457" t="str">
        <f>UPPER(TEXT(Tabela_DB[[#This Row],[DATA]],"mmm"))</f>
        <v>AGO</v>
      </c>
      <c r="H3457" t="str">
        <f>UPPER(TEXT(Tabela_DB[[#This Row],[DATA]],"aaaa"))</f>
        <v>2021</v>
      </c>
    </row>
    <row r="3458" spans="1:8" x14ac:dyDescent="0.25">
      <c r="A3458" s="2">
        <v>44409</v>
      </c>
      <c r="B3458" t="s">
        <v>46</v>
      </c>
      <c r="C3458">
        <v>-1448</v>
      </c>
      <c r="D3458" t="str">
        <f>VLOOKUP(B3458,Tabela_Auxiliar[],2,0)</f>
        <v>4. Despesas Operacionais</v>
      </c>
      <c r="E3458" t="str">
        <f>VLOOKUP(B3458,Tabela_Auxiliar[],4,0)</f>
        <v>Despesa com Pessoal</v>
      </c>
      <c r="F3458" t="str">
        <f>VLOOKUP(B3458,Tabela_Auxiliar[],3,0)</f>
        <v>Saída</v>
      </c>
      <c r="G3458" t="str">
        <f>UPPER(TEXT(Tabela_DB[[#This Row],[DATA]],"mmm"))</f>
        <v>AGO</v>
      </c>
      <c r="H3458" t="str">
        <f>UPPER(TEXT(Tabela_DB[[#This Row],[DATA]],"aaaa"))</f>
        <v>2021</v>
      </c>
    </row>
    <row r="3459" spans="1:8" x14ac:dyDescent="0.25">
      <c r="A3459" s="2">
        <v>44409</v>
      </c>
      <c r="B3459" t="s">
        <v>50</v>
      </c>
      <c r="C3459">
        <v>-1547</v>
      </c>
      <c r="D3459" t="str">
        <f>VLOOKUP(B3459,Tabela_Auxiliar[],2,0)</f>
        <v>4. Despesas Operacionais</v>
      </c>
      <c r="E3459" t="str">
        <f>VLOOKUP(B3459,Tabela_Auxiliar[],4,0)</f>
        <v>Despesa com Pessoal</v>
      </c>
      <c r="F3459" t="str">
        <f>VLOOKUP(B3459,Tabela_Auxiliar[],3,0)</f>
        <v>Saída</v>
      </c>
      <c r="G3459" t="str">
        <f>UPPER(TEXT(Tabela_DB[[#This Row],[DATA]],"mmm"))</f>
        <v>AGO</v>
      </c>
      <c r="H3459" t="str">
        <f>UPPER(TEXT(Tabela_DB[[#This Row],[DATA]],"aaaa"))</f>
        <v>2021</v>
      </c>
    </row>
    <row r="3460" spans="1:8" x14ac:dyDescent="0.25">
      <c r="A3460" s="2">
        <v>44409</v>
      </c>
      <c r="B3460" t="s">
        <v>52</v>
      </c>
      <c r="C3460">
        <v>-1340</v>
      </c>
      <c r="D3460" t="str">
        <f>VLOOKUP(B3460,Tabela_Auxiliar[],2,0)</f>
        <v>4. Despesas Operacionais</v>
      </c>
      <c r="E3460" t="str">
        <f>VLOOKUP(B3460,Tabela_Auxiliar[],4,0)</f>
        <v>Despesa com Pessoal</v>
      </c>
      <c r="F3460" t="str">
        <f>VLOOKUP(B3460,Tabela_Auxiliar[],3,0)</f>
        <v>Saída</v>
      </c>
      <c r="G3460" t="str">
        <f>UPPER(TEXT(Tabela_DB[[#This Row],[DATA]],"mmm"))</f>
        <v>AGO</v>
      </c>
      <c r="H3460" t="str">
        <f>UPPER(TEXT(Tabela_DB[[#This Row],[DATA]],"aaaa"))</f>
        <v>2021</v>
      </c>
    </row>
    <row r="3461" spans="1:8" x14ac:dyDescent="0.25">
      <c r="A3461" s="2">
        <v>44409</v>
      </c>
      <c r="B3461" t="s">
        <v>37</v>
      </c>
      <c r="C3461">
        <v>-4175</v>
      </c>
      <c r="D3461" t="str">
        <f>VLOOKUP(B3461,Tabela_Auxiliar[],2,0)</f>
        <v>3. Custos do Produto/Mercadoria/Serviço</v>
      </c>
      <c r="E3461" t="str">
        <f>VLOOKUP(B3461,Tabela_Auxiliar[],4,0)</f>
        <v>Despesas c/ Produto</v>
      </c>
      <c r="F3461" t="str">
        <f>VLOOKUP(B3461,Tabela_Auxiliar[],3,0)</f>
        <v>Saída</v>
      </c>
      <c r="G3461" t="str">
        <f>UPPER(TEXT(Tabela_DB[[#This Row],[DATA]],"mmm"))</f>
        <v>AGO</v>
      </c>
      <c r="H3461" t="str">
        <f>UPPER(TEXT(Tabela_DB[[#This Row],[DATA]],"aaaa"))</f>
        <v>2021</v>
      </c>
    </row>
    <row r="3462" spans="1:8" x14ac:dyDescent="0.25">
      <c r="A3462" s="2">
        <v>44409</v>
      </c>
      <c r="B3462" t="s">
        <v>55</v>
      </c>
      <c r="C3462">
        <v>-1510</v>
      </c>
      <c r="D3462" t="str">
        <f>VLOOKUP(B3462,Tabela_Auxiliar[],2,0)</f>
        <v>4. Despesas Operacionais</v>
      </c>
      <c r="E3462" t="str">
        <f>VLOOKUP(B3462,Tabela_Auxiliar[],4,0)</f>
        <v>Despesa com Pessoal</v>
      </c>
      <c r="F3462" t="str">
        <f>VLOOKUP(B3462,Tabela_Auxiliar[],3,0)</f>
        <v>Saída</v>
      </c>
      <c r="G3462" t="str">
        <f>UPPER(TEXT(Tabela_DB[[#This Row],[DATA]],"mmm"))</f>
        <v>AGO</v>
      </c>
      <c r="H3462" t="str">
        <f>UPPER(TEXT(Tabela_DB[[#This Row],[DATA]],"aaaa"))</f>
        <v>2021</v>
      </c>
    </row>
    <row r="3463" spans="1:8" x14ac:dyDescent="0.25">
      <c r="A3463" s="2">
        <v>44409</v>
      </c>
      <c r="B3463" t="s">
        <v>111</v>
      </c>
      <c r="C3463">
        <v>-2222</v>
      </c>
      <c r="D3463" t="str">
        <f>VLOOKUP(B3463,Tabela_Auxiliar[],2,0)</f>
        <v>2. Deduções da Receita</v>
      </c>
      <c r="E3463" t="str">
        <f>VLOOKUP(B3463,Tabela_Auxiliar[],4,0)</f>
        <v>Imposto</v>
      </c>
      <c r="F3463" t="str">
        <f>VLOOKUP(B3463,Tabela_Auxiliar[],3,0)</f>
        <v>Saída</v>
      </c>
      <c r="G3463" t="str">
        <f>UPPER(TEXT(Tabela_DB[[#This Row],[DATA]],"mmm"))</f>
        <v>AGO</v>
      </c>
      <c r="H3463" t="str">
        <f>UPPER(TEXT(Tabela_DB[[#This Row],[DATA]],"aaaa"))</f>
        <v>2021</v>
      </c>
    </row>
    <row r="3464" spans="1:8" x14ac:dyDescent="0.25">
      <c r="A3464" s="2">
        <v>44409</v>
      </c>
      <c r="B3464" t="s">
        <v>3</v>
      </c>
      <c r="C3464">
        <v>13422</v>
      </c>
      <c r="D3464" t="str">
        <f>VLOOKUP(B3464,Tabela_Auxiliar[],2,0)</f>
        <v>1. Receita Operacional Bruta</v>
      </c>
      <c r="E3464" t="str">
        <f>VLOOKUP(B3464,Tabela_Auxiliar[],4,0)</f>
        <v>Receita Bruta</v>
      </c>
      <c r="F3464" t="str">
        <f>VLOOKUP(B3464,Tabela_Auxiliar[],3,0)</f>
        <v>Entrada</v>
      </c>
      <c r="G3464" t="str">
        <f>UPPER(TEXT(Tabela_DB[[#This Row],[DATA]],"mmm"))</f>
        <v>AGO</v>
      </c>
      <c r="H3464" t="str">
        <f>UPPER(TEXT(Tabela_DB[[#This Row],[DATA]],"aaaa"))</f>
        <v>2021</v>
      </c>
    </row>
    <row r="3465" spans="1:8" x14ac:dyDescent="0.25">
      <c r="A3465" s="2">
        <v>44409</v>
      </c>
      <c r="B3465" t="s">
        <v>3</v>
      </c>
      <c r="C3465">
        <v>13761</v>
      </c>
      <c r="D3465" t="str">
        <f>VLOOKUP(B3465,Tabela_Auxiliar[],2,0)</f>
        <v>1. Receita Operacional Bruta</v>
      </c>
      <c r="E3465" t="str">
        <f>VLOOKUP(B3465,Tabela_Auxiliar[],4,0)</f>
        <v>Receita Bruta</v>
      </c>
      <c r="F3465" t="str">
        <f>VLOOKUP(B3465,Tabela_Auxiliar[],3,0)</f>
        <v>Entrada</v>
      </c>
      <c r="G3465" t="str">
        <f>UPPER(TEXT(Tabela_DB[[#This Row],[DATA]],"mmm"))</f>
        <v>AGO</v>
      </c>
      <c r="H3465" t="str">
        <f>UPPER(TEXT(Tabela_DB[[#This Row],[DATA]],"aaaa"))</f>
        <v>2021</v>
      </c>
    </row>
    <row r="3466" spans="1:8" x14ac:dyDescent="0.25">
      <c r="A3466" s="2">
        <v>44409</v>
      </c>
      <c r="B3466" t="s">
        <v>3</v>
      </c>
      <c r="C3466">
        <v>13758</v>
      </c>
      <c r="D3466" t="str">
        <f>VLOOKUP(B3466,Tabela_Auxiliar[],2,0)</f>
        <v>1. Receita Operacional Bruta</v>
      </c>
      <c r="E3466" t="str">
        <f>VLOOKUP(B3466,Tabela_Auxiliar[],4,0)</f>
        <v>Receita Bruta</v>
      </c>
      <c r="F3466" t="str">
        <f>VLOOKUP(B3466,Tabela_Auxiliar[],3,0)</f>
        <v>Entrada</v>
      </c>
      <c r="G3466" t="str">
        <f>UPPER(TEXT(Tabela_DB[[#This Row],[DATA]],"mmm"))</f>
        <v>AGO</v>
      </c>
      <c r="H3466" t="str">
        <f>UPPER(TEXT(Tabela_DB[[#This Row],[DATA]],"aaaa"))</f>
        <v>2021</v>
      </c>
    </row>
    <row r="3467" spans="1:8" x14ac:dyDescent="0.25">
      <c r="A3467" s="2">
        <v>44409</v>
      </c>
      <c r="B3467" t="s">
        <v>35</v>
      </c>
      <c r="C3467">
        <v>-2459</v>
      </c>
      <c r="D3467" t="str">
        <f>VLOOKUP(B3467,Tabela_Auxiliar[],2,0)</f>
        <v>2. Deduções da Receita</v>
      </c>
      <c r="E3467" t="str">
        <f>VLOOKUP(B3467,Tabela_Auxiliar[],4,0)</f>
        <v>Imposto</v>
      </c>
      <c r="F3467" t="str">
        <f>VLOOKUP(B3467,Tabela_Auxiliar[],3,0)</f>
        <v>Saída</v>
      </c>
      <c r="G3467" t="str">
        <f>UPPER(TEXT(Tabela_DB[[#This Row],[DATA]],"mmm"))</f>
        <v>AGO</v>
      </c>
      <c r="H3467" t="str">
        <f>UPPER(TEXT(Tabela_DB[[#This Row],[DATA]],"aaaa"))</f>
        <v>2021</v>
      </c>
    </row>
    <row r="3468" spans="1:8" x14ac:dyDescent="0.25">
      <c r="A3468" s="2">
        <v>44409</v>
      </c>
      <c r="B3468" t="s">
        <v>3</v>
      </c>
      <c r="C3468">
        <v>11515</v>
      </c>
      <c r="D3468" t="str">
        <f>VLOOKUP(B3468,Tabela_Auxiliar[],2,0)</f>
        <v>1. Receita Operacional Bruta</v>
      </c>
      <c r="E3468" t="str">
        <f>VLOOKUP(B3468,Tabela_Auxiliar[],4,0)</f>
        <v>Receita Bruta</v>
      </c>
      <c r="F3468" t="str">
        <f>VLOOKUP(B3468,Tabela_Auxiliar[],3,0)</f>
        <v>Entrada</v>
      </c>
      <c r="G3468" t="str">
        <f>UPPER(TEXT(Tabela_DB[[#This Row],[DATA]],"mmm"))</f>
        <v>AGO</v>
      </c>
      <c r="H3468" t="str">
        <f>UPPER(TEXT(Tabela_DB[[#This Row],[DATA]],"aaaa"))</f>
        <v>2021</v>
      </c>
    </row>
    <row r="3469" spans="1:8" x14ac:dyDescent="0.25">
      <c r="A3469" s="2">
        <v>44409</v>
      </c>
      <c r="B3469" t="s">
        <v>34</v>
      </c>
      <c r="C3469">
        <v>-1651</v>
      </c>
      <c r="D3469" t="str">
        <f>VLOOKUP(B3469,Tabela_Auxiliar[],2,0)</f>
        <v>2. Deduções da Receita</v>
      </c>
      <c r="E3469" t="str">
        <f>VLOOKUP(B3469,Tabela_Auxiliar[],4,0)</f>
        <v>Imposto</v>
      </c>
      <c r="F3469" t="str">
        <f>VLOOKUP(B3469,Tabela_Auxiliar[],3,0)</f>
        <v>Saída</v>
      </c>
      <c r="G3469" t="str">
        <f>UPPER(TEXT(Tabela_DB[[#This Row],[DATA]],"mmm"))</f>
        <v>AGO</v>
      </c>
      <c r="H3469" t="str">
        <f>UPPER(TEXT(Tabela_DB[[#This Row],[DATA]],"aaaa"))</f>
        <v>2021</v>
      </c>
    </row>
    <row r="3470" spans="1:8" x14ac:dyDescent="0.25">
      <c r="A3470" s="2">
        <v>44409</v>
      </c>
      <c r="B3470" t="s">
        <v>3</v>
      </c>
      <c r="C3470">
        <v>10582</v>
      </c>
      <c r="D3470" t="str">
        <f>VLOOKUP(B3470,Tabela_Auxiliar[],2,0)</f>
        <v>1. Receita Operacional Bruta</v>
      </c>
      <c r="E3470" t="str">
        <f>VLOOKUP(B3470,Tabela_Auxiliar[],4,0)</f>
        <v>Receita Bruta</v>
      </c>
      <c r="F3470" t="str">
        <f>VLOOKUP(B3470,Tabela_Auxiliar[],3,0)</f>
        <v>Entrada</v>
      </c>
      <c r="G3470" t="str">
        <f>UPPER(TEXT(Tabela_DB[[#This Row],[DATA]],"mmm"))</f>
        <v>AGO</v>
      </c>
      <c r="H3470" t="str">
        <f>UPPER(TEXT(Tabela_DB[[#This Row],[DATA]],"aaaa"))</f>
        <v>2021</v>
      </c>
    </row>
    <row r="3471" spans="1:8" x14ac:dyDescent="0.25">
      <c r="A3471" s="2">
        <v>44409</v>
      </c>
      <c r="B3471" t="s">
        <v>38</v>
      </c>
      <c r="C3471">
        <v>-1200</v>
      </c>
      <c r="D3471" t="str">
        <f>VLOOKUP(B3471,Tabela_Auxiliar[],2,0)</f>
        <v>2. Deduções da Receita</v>
      </c>
      <c r="E3471" t="str">
        <f>VLOOKUP(B3471,Tabela_Auxiliar[],4,0)</f>
        <v>Deduções</v>
      </c>
      <c r="F3471" t="str">
        <f>VLOOKUP(B3471,Tabela_Auxiliar[],3,0)</f>
        <v>Saída</v>
      </c>
      <c r="G3471" t="str">
        <f>UPPER(TEXT(Tabela_DB[[#This Row],[DATA]],"mmm"))</f>
        <v>AGO</v>
      </c>
      <c r="H3471" t="str">
        <f>UPPER(TEXT(Tabela_DB[[#This Row],[DATA]],"aaaa"))</f>
        <v>2021</v>
      </c>
    </row>
    <row r="3472" spans="1:8" x14ac:dyDescent="0.25">
      <c r="A3472" s="2">
        <v>44409</v>
      </c>
      <c r="B3472" t="s">
        <v>84</v>
      </c>
      <c r="C3472">
        <v>-2304</v>
      </c>
      <c r="D3472" t="str">
        <f>VLOOKUP(B3472,Tabela_Auxiliar[],2,0)</f>
        <v>4. Despesas Operacionais</v>
      </c>
      <c r="E3472" t="str">
        <f>VLOOKUP(B3472,Tabela_Auxiliar[],4,0)</f>
        <v>Despesa com Veículos</v>
      </c>
      <c r="F3472" t="str">
        <f>VLOOKUP(B3472,Tabela_Auxiliar[],3,0)</f>
        <v>Saída</v>
      </c>
      <c r="G3472" t="str">
        <f>UPPER(TEXT(Tabela_DB[[#This Row],[DATA]],"mmm"))</f>
        <v>AGO</v>
      </c>
      <c r="H3472" t="str">
        <f>UPPER(TEXT(Tabela_DB[[#This Row],[DATA]],"aaaa"))</f>
        <v>2021</v>
      </c>
    </row>
    <row r="3473" spans="1:8" x14ac:dyDescent="0.25">
      <c r="A3473" s="2">
        <v>44409</v>
      </c>
      <c r="B3473" t="s">
        <v>38</v>
      </c>
      <c r="C3473">
        <v>-2201</v>
      </c>
      <c r="D3473" t="str">
        <f>VLOOKUP(B3473,Tabela_Auxiliar[],2,0)</f>
        <v>2. Deduções da Receita</v>
      </c>
      <c r="E3473" t="str">
        <f>VLOOKUP(B3473,Tabela_Auxiliar[],4,0)</f>
        <v>Deduções</v>
      </c>
      <c r="F3473" t="str">
        <f>VLOOKUP(B3473,Tabela_Auxiliar[],3,0)</f>
        <v>Saída</v>
      </c>
      <c r="G3473" t="str">
        <f>UPPER(TEXT(Tabela_DB[[#This Row],[DATA]],"mmm"))</f>
        <v>AGO</v>
      </c>
      <c r="H3473" t="str">
        <f>UPPER(TEXT(Tabela_DB[[#This Row],[DATA]],"aaaa"))</f>
        <v>2021</v>
      </c>
    </row>
    <row r="3474" spans="1:8" x14ac:dyDescent="0.25">
      <c r="A3474" s="2">
        <v>44409</v>
      </c>
      <c r="B3474" t="s">
        <v>35</v>
      </c>
      <c r="C3474">
        <v>-1617</v>
      </c>
      <c r="D3474" t="str">
        <f>VLOOKUP(B3474,Tabela_Auxiliar[],2,0)</f>
        <v>2. Deduções da Receita</v>
      </c>
      <c r="E3474" t="str">
        <f>VLOOKUP(B3474,Tabela_Auxiliar[],4,0)</f>
        <v>Imposto</v>
      </c>
      <c r="F3474" t="str">
        <f>VLOOKUP(B3474,Tabela_Auxiliar[],3,0)</f>
        <v>Saída</v>
      </c>
      <c r="G3474" t="str">
        <f>UPPER(TEXT(Tabela_DB[[#This Row],[DATA]],"mmm"))</f>
        <v>AGO</v>
      </c>
      <c r="H3474" t="str">
        <f>UPPER(TEXT(Tabela_DB[[#This Row],[DATA]],"aaaa"))</f>
        <v>2021</v>
      </c>
    </row>
    <row r="3475" spans="1:8" x14ac:dyDescent="0.25">
      <c r="A3475" s="2">
        <v>44409</v>
      </c>
      <c r="B3475" t="s">
        <v>102</v>
      </c>
      <c r="C3475">
        <v>-2478</v>
      </c>
      <c r="D3475" t="str">
        <f>VLOOKUP(B3475,Tabela_Auxiliar[],2,0)</f>
        <v>6. Resultado após o Resultado Financeiro</v>
      </c>
      <c r="E3475" t="str">
        <f>VLOOKUP(B3475,Tabela_Auxiliar[],4,0)</f>
        <v>EBTIDA</v>
      </c>
      <c r="F3475" t="str">
        <f>VLOOKUP(B3475,Tabela_Auxiliar[],3,0)</f>
        <v>Saída</v>
      </c>
      <c r="G3475" t="str">
        <f>UPPER(TEXT(Tabela_DB[[#This Row],[DATA]],"mmm"))</f>
        <v>AGO</v>
      </c>
      <c r="H3475" t="str">
        <f>UPPER(TEXT(Tabela_DB[[#This Row],[DATA]],"aaaa"))</f>
        <v>2021</v>
      </c>
    </row>
    <row r="3476" spans="1:8" x14ac:dyDescent="0.25">
      <c r="A3476" s="2">
        <v>44410</v>
      </c>
      <c r="B3476" t="s">
        <v>35</v>
      </c>
      <c r="C3476">
        <v>-1358</v>
      </c>
      <c r="D3476" t="str">
        <f>VLOOKUP(B3476,Tabela_Auxiliar[],2,0)</f>
        <v>2. Deduções da Receita</v>
      </c>
      <c r="E3476" t="str">
        <f>VLOOKUP(B3476,Tabela_Auxiliar[],4,0)</f>
        <v>Imposto</v>
      </c>
      <c r="F3476" t="str">
        <f>VLOOKUP(B3476,Tabela_Auxiliar[],3,0)</f>
        <v>Saída</v>
      </c>
      <c r="G3476" t="str">
        <f>UPPER(TEXT(Tabela_DB[[#This Row],[DATA]],"mmm"))</f>
        <v>AGO</v>
      </c>
      <c r="H3476" t="str">
        <f>UPPER(TEXT(Tabela_DB[[#This Row],[DATA]],"aaaa"))</f>
        <v>2021</v>
      </c>
    </row>
    <row r="3477" spans="1:8" x14ac:dyDescent="0.25">
      <c r="A3477" s="2">
        <v>44410</v>
      </c>
      <c r="B3477" t="s">
        <v>3</v>
      </c>
      <c r="C3477">
        <v>10775</v>
      </c>
      <c r="D3477" t="str">
        <f>VLOOKUP(B3477,Tabela_Auxiliar[],2,0)</f>
        <v>1. Receita Operacional Bruta</v>
      </c>
      <c r="E3477" t="str">
        <f>VLOOKUP(B3477,Tabela_Auxiliar[],4,0)</f>
        <v>Receita Bruta</v>
      </c>
      <c r="F3477" t="str">
        <f>VLOOKUP(B3477,Tabela_Auxiliar[],3,0)</f>
        <v>Entrada</v>
      </c>
      <c r="G3477" t="str">
        <f>UPPER(TEXT(Tabela_DB[[#This Row],[DATA]],"mmm"))</f>
        <v>AGO</v>
      </c>
      <c r="H3477" t="str">
        <f>UPPER(TEXT(Tabela_DB[[#This Row],[DATA]],"aaaa"))</f>
        <v>2021</v>
      </c>
    </row>
    <row r="3478" spans="1:8" x14ac:dyDescent="0.25">
      <c r="A3478" s="2">
        <v>44410</v>
      </c>
      <c r="B3478" t="s">
        <v>102</v>
      </c>
      <c r="C3478">
        <v>-1532</v>
      </c>
      <c r="D3478" t="str">
        <f>VLOOKUP(B3478,Tabela_Auxiliar[],2,0)</f>
        <v>6. Resultado após o Resultado Financeiro</v>
      </c>
      <c r="E3478" t="str">
        <f>VLOOKUP(B3478,Tabela_Auxiliar[],4,0)</f>
        <v>EBTIDA</v>
      </c>
      <c r="F3478" t="str">
        <f>VLOOKUP(B3478,Tabela_Auxiliar[],3,0)</f>
        <v>Saída</v>
      </c>
      <c r="G3478" t="str">
        <f>UPPER(TEXT(Tabela_DB[[#This Row],[DATA]],"mmm"))</f>
        <v>AGO</v>
      </c>
      <c r="H3478" t="str">
        <f>UPPER(TEXT(Tabela_DB[[#This Row],[DATA]],"aaaa"))</f>
        <v>2021</v>
      </c>
    </row>
    <row r="3479" spans="1:8" x14ac:dyDescent="0.25">
      <c r="A3479" s="2">
        <v>44410</v>
      </c>
      <c r="B3479" t="s">
        <v>55</v>
      </c>
      <c r="C3479">
        <v>-1929</v>
      </c>
      <c r="D3479" t="str">
        <f>VLOOKUP(B3479,Tabela_Auxiliar[],2,0)</f>
        <v>4. Despesas Operacionais</v>
      </c>
      <c r="E3479" t="str">
        <f>VLOOKUP(B3479,Tabela_Auxiliar[],4,0)</f>
        <v>Despesa com Pessoal</v>
      </c>
      <c r="F3479" t="str">
        <f>VLOOKUP(B3479,Tabela_Auxiliar[],3,0)</f>
        <v>Saída</v>
      </c>
      <c r="G3479" t="str">
        <f>UPPER(TEXT(Tabela_DB[[#This Row],[DATA]],"mmm"))</f>
        <v>AGO</v>
      </c>
      <c r="H3479" t="str">
        <f>UPPER(TEXT(Tabela_DB[[#This Row],[DATA]],"aaaa"))</f>
        <v>2021</v>
      </c>
    </row>
    <row r="3480" spans="1:8" x14ac:dyDescent="0.25">
      <c r="A3480" s="2">
        <v>44410</v>
      </c>
      <c r="B3480" t="s">
        <v>38</v>
      </c>
      <c r="C3480">
        <v>-2285</v>
      </c>
      <c r="D3480" t="str">
        <f>VLOOKUP(B3480,Tabela_Auxiliar[],2,0)</f>
        <v>2. Deduções da Receita</v>
      </c>
      <c r="E3480" t="str">
        <f>VLOOKUP(B3480,Tabela_Auxiliar[],4,0)</f>
        <v>Deduções</v>
      </c>
      <c r="F3480" t="str">
        <f>VLOOKUP(B3480,Tabela_Auxiliar[],3,0)</f>
        <v>Saída</v>
      </c>
      <c r="G3480" t="str">
        <f>UPPER(TEXT(Tabela_DB[[#This Row],[DATA]],"mmm"))</f>
        <v>AGO</v>
      </c>
      <c r="H3480" t="str">
        <f>UPPER(TEXT(Tabela_DB[[#This Row],[DATA]],"aaaa"))</f>
        <v>2021</v>
      </c>
    </row>
    <row r="3481" spans="1:8" x14ac:dyDescent="0.25">
      <c r="A3481" s="2">
        <v>44410</v>
      </c>
      <c r="B3481" t="s">
        <v>89</v>
      </c>
      <c r="C3481">
        <v>-1280</v>
      </c>
      <c r="D3481" t="str">
        <f>VLOOKUP(B3481,Tabela_Auxiliar[],2,0)</f>
        <v>4. Despesas Operacionais</v>
      </c>
      <c r="E3481" t="str">
        <f>VLOOKUP(B3481,Tabela_Auxiliar[],4,0)</f>
        <v>Despesa Tributária</v>
      </c>
      <c r="F3481" t="str">
        <f>VLOOKUP(B3481,Tabela_Auxiliar[],3,0)</f>
        <v>Saída</v>
      </c>
      <c r="G3481" t="str">
        <f>UPPER(TEXT(Tabela_DB[[#This Row],[DATA]],"mmm"))</f>
        <v>AGO</v>
      </c>
      <c r="H3481" t="str">
        <f>UPPER(TEXT(Tabela_DB[[#This Row],[DATA]],"aaaa"))</f>
        <v>2021</v>
      </c>
    </row>
    <row r="3482" spans="1:8" x14ac:dyDescent="0.25">
      <c r="A3482" s="2">
        <v>44410</v>
      </c>
      <c r="B3482" t="s">
        <v>3</v>
      </c>
      <c r="C3482">
        <v>11907</v>
      </c>
      <c r="D3482" t="str">
        <f>VLOOKUP(B3482,Tabela_Auxiliar[],2,0)</f>
        <v>1. Receita Operacional Bruta</v>
      </c>
      <c r="E3482" t="str">
        <f>VLOOKUP(B3482,Tabela_Auxiliar[],4,0)</f>
        <v>Receita Bruta</v>
      </c>
      <c r="F3482" t="str">
        <f>VLOOKUP(B3482,Tabela_Auxiliar[],3,0)</f>
        <v>Entrada</v>
      </c>
      <c r="G3482" t="str">
        <f>UPPER(TEXT(Tabela_DB[[#This Row],[DATA]],"mmm"))</f>
        <v>AGO</v>
      </c>
      <c r="H3482" t="str">
        <f>UPPER(TEXT(Tabela_DB[[#This Row],[DATA]],"aaaa"))</f>
        <v>2021</v>
      </c>
    </row>
    <row r="3483" spans="1:8" x14ac:dyDescent="0.25">
      <c r="A3483" s="2">
        <v>44410</v>
      </c>
      <c r="B3483" t="s">
        <v>50</v>
      </c>
      <c r="C3483">
        <v>-2250</v>
      </c>
      <c r="D3483" t="str">
        <f>VLOOKUP(B3483,Tabela_Auxiliar[],2,0)</f>
        <v>4. Despesas Operacionais</v>
      </c>
      <c r="E3483" t="str">
        <f>VLOOKUP(B3483,Tabela_Auxiliar[],4,0)</f>
        <v>Despesa com Pessoal</v>
      </c>
      <c r="F3483" t="str">
        <f>VLOOKUP(B3483,Tabela_Auxiliar[],3,0)</f>
        <v>Saída</v>
      </c>
      <c r="G3483" t="str">
        <f>UPPER(TEXT(Tabela_DB[[#This Row],[DATA]],"mmm"))</f>
        <v>AGO</v>
      </c>
      <c r="H3483" t="str">
        <f>UPPER(TEXT(Tabela_DB[[#This Row],[DATA]],"aaaa"))</f>
        <v>2021</v>
      </c>
    </row>
    <row r="3484" spans="1:8" x14ac:dyDescent="0.25">
      <c r="A3484" s="2">
        <v>44410</v>
      </c>
      <c r="B3484" t="s">
        <v>35</v>
      </c>
      <c r="C3484">
        <v>-1775</v>
      </c>
      <c r="D3484" t="str">
        <f>VLOOKUP(B3484,Tabela_Auxiliar[],2,0)</f>
        <v>2. Deduções da Receita</v>
      </c>
      <c r="E3484" t="str">
        <f>VLOOKUP(B3484,Tabela_Auxiliar[],4,0)</f>
        <v>Imposto</v>
      </c>
      <c r="F3484" t="str">
        <f>VLOOKUP(B3484,Tabela_Auxiliar[],3,0)</f>
        <v>Saída</v>
      </c>
      <c r="G3484" t="str">
        <f>UPPER(TEXT(Tabela_DB[[#This Row],[DATA]],"mmm"))</f>
        <v>AGO</v>
      </c>
      <c r="H3484" t="str">
        <f>UPPER(TEXT(Tabela_DB[[#This Row],[DATA]],"aaaa"))</f>
        <v>2021</v>
      </c>
    </row>
    <row r="3485" spans="1:8" x14ac:dyDescent="0.25">
      <c r="A3485" s="2">
        <v>44410</v>
      </c>
      <c r="B3485" t="s">
        <v>4</v>
      </c>
      <c r="C3485">
        <v>11040</v>
      </c>
      <c r="D3485" t="str">
        <f>VLOOKUP(B3485,Tabela_Auxiliar[],2,0)</f>
        <v>1. Receita Operacional Bruta</v>
      </c>
      <c r="E3485" t="str">
        <f>VLOOKUP(B3485,Tabela_Auxiliar[],4,0)</f>
        <v>Receita Bruta</v>
      </c>
      <c r="F3485" t="str">
        <f>VLOOKUP(B3485,Tabela_Auxiliar[],3,0)</f>
        <v>Entrada</v>
      </c>
      <c r="G3485" t="str">
        <f>UPPER(TEXT(Tabela_DB[[#This Row],[DATA]],"mmm"))</f>
        <v>AGO</v>
      </c>
      <c r="H3485" t="str">
        <f>UPPER(TEXT(Tabela_DB[[#This Row],[DATA]],"aaaa"))</f>
        <v>2021</v>
      </c>
    </row>
    <row r="3486" spans="1:8" x14ac:dyDescent="0.25">
      <c r="A3486" s="2">
        <v>44410</v>
      </c>
      <c r="B3486" t="s">
        <v>35</v>
      </c>
      <c r="C3486">
        <v>-2106</v>
      </c>
      <c r="D3486" t="str">
        <f>VLOOKUP(B3486,Tabela_Auxiliar[],2,0)</f>
        <v>2. Deduções da Receita</v>
      </c>
      <c r="E3486" t="str">
        <f>VLOOKUP(B3486,Tabela_Auxiliar[],4,0)</f>
        <v>Imposto</v>
      </c>
      <c r="F3486" t="str">
        <f>VLOOKUP(B3486,Tabela_Auxiliar[],3,0)</f>
        <v>Saída</v>
      </c>
      <c r="G3486" t="str">
        <f>UPPER(TEXT(Tabela_DB[[#This Row],[DATA]],"mmm"))</f>
        <v>AGO</v>
      </c>
      <c r="H3486" t="str">
        <f>UPPER(TEXT(Tabela_DB[[#This Row],[DATA]],"aaaa"))</f>
        <v>2021</v>
      </c>
    </row>
    <row r="3487" spans="1:8" x14ac:dyDescent="0.25">
      <c r="A3487" s="2">
        <v>44410</v>
      </c>
      <c r="B3487" t="s">
        <v>37</v>
      </c>
      <c r="C3487">
        <v>-4555</v>
      </c>
      <c r="D3487" t="str">
        <f>VLOOKUP(B3487,Tabela_Auxiliar[],2,0)</f>
        <v>3. Custos do Produto/Mercadoria/Serviço</v>
      </c>
      <c r="E3487" t="str">
        <f>VLOOKUP(B3487,Tabela_Auxiliar[],4,0)</f>
        <v>Despesas c/ Produto</v>
      </c>
      <c r="F3487" t="str">
        <f>VLOOKUP(B3487,Tabela_Auxiliar[],3,0)</f>
        <v>Saída</v>
      </c>
      <c r="G3487" t="str">
        <f>UPPER(TEXT(Tabela_DB[[#This Row],[DATA]],"mmm"))</f>
        <v>AGO</v>
      </c>
      <c r="H3487" t="str">
        <f>UPPER(TEXT(Tabela_DB[[#This Row],[DATA]],"aaaa"))</f>
        <v>2021</v>
      </c>
    </row>
    <row r="3488" spans="1:8" x14ac:dyDescent="0.25">
      <c r="A3488" s="2">
        <v>44410</v>
      </c>
      <c r="B3488" t="s">
        <v>75</v>
      </c>
      <c r="C3488">
        <v>-1052</v>
      </c>
      <c r="D3488" t="str">
        <f>VLOOKUP(B3488,Tabela_Auxiliar[],2,0)</f>
        <v>4. Despesas Operacionais</v>
      </c>
      <c r="E3488" t="str">
        <f>VLOOKUP(B3488,Tabela_Auxiliar[],4,0)</f>
        <v>Serviços Contratados</v>
      </c>
      <c r="F3488" t="str">
        <f>VLOOKUP(B3488,Tabela_Auxiliar[],3,0)</f>
        <v>Saída</v>
      </c>
      <c r="G3488" t="str">
        <f>UPPER(TEXT(Tabela_DB[[#This Row],[DATA]],"mmm"))</f>
        <v>AGO</v>
      </c>
      <c r="H3488" t="str">
        <f>UPPER(TEXT(Tabela_DB[[#This Row],[DATA]],"aaaa"))</f>
        <v>2021</v>
      </c>
    </row>
    <row r="3489" spans="1:8" x14ac:dyDescent="0.25">
      <c r="A3489" s="2">
        <v>44410</v>
      </c>
      <c r="B3489" t="s">
        <v>35</v>
      </c>
      <c r="C3489">
        <v>-2492</v>
      </c>
      <c r="D3489" t="str">
        <f>VLOOKUP(B3489,Tabela_Auxiliar[],2,0)</f>
        <v>2. Deduções da Receita</v>
      </c>
      <c r="E3489" t="str">
        <f>VLOOKUP(B3489,Tabela_Auxiliar[],4,0)</f>
        <v>Imposto</v>
      </c>
      <c r="F3489" t="str">
        <f>VLOOKUP(B3489,Tabela_Auxiliar[],3,0)</f>
        <v>Saída</v>
      </c>
      <c r="G3489" t="str">
        <f>UPPER(TEXT(Tabela_DB[[#This Row],[DATA]],"mmm"))</f>
        <v>AGO</v>
      </c>
      <c r="H3489" t="str">
        <f>UPPER(TEXT(Tabela_DB[[#This Row],[DATA]],"aaaa"))</f>
        <v>2021</v>
      </c>
    </row>
    <row r="3490" spans="1:8" x14ac:dyDescent="0.25">
      <c r="A3490" s="2">
        <v>44410</v>
      </c>
      <c r="B3490" t="s">
        <v>37</v>
      </c>
      <c r="C3490">
        <v>-4192</v>
      </c>
      <c r="D3490" t="str">
        <f>VLOOKUP(B3490,Tabela_Auxiliar[],2,0)</f>
        <v>3. Custos do Produto/Mercadoria/Serviço</v>
      </c>
      <c r="E3490" t="str">
        <f>VLOOKUP(B3490,Tabela_Auxiliar[],4,0)</f>
        <v>Despesas c/ Produto</v>
      </c>
      <c r="F3490" t="str">
        <f>VLOOKUP(B3490,Tabela_Auxiliar[],3,0)</f>
        <v>Saída</v>
      </c>
      <c r="G3490" t="str">
        <f>UPPER(TEXT(Tabela_DB[[#This Row],[DATA]],"mmm"))</f>
        <v>AGO</v>
      </c>
      <c r="H3490" t="str">
        <f>UPPER(TEXT(Tabela_DB[[#This Row],[DATA]],"aaaa"))</f>
        <v>2021</v>
      </c>
    </row>
    <row r="3491" spans="1:8" x14ac:dyDescent="0.25">
      <c r="A3491" s="2">
        <v>44410</v>
      </c>
      <c r="B3491" t="s">
        <v>34</v>
      </c>
      <c r="C3491">
        <v>-1300</v>
      </c>
      <c r="D3491" t="str">
        <f>VLOOKUP(B3491,Tabela_Auxiliar[],2,0)</f>
        <v>2. Deduções da Receita</v>
      </c>
      <c r="E3491" t="str">
        <f>VLOOKUP(B3491,Tabela_Auxiliar[],4,0)</f>
        <v>Imposto</v>
      </c>
      <c r="F3491" t="str">
        <f>VLOOKUP(B3491,Tabela_Auxiliar[],3,0)</f>
        <v>Saída</v>
      </c>
      <c r="G3491" t="str">
        <f>UPPER(TEXT(Tabela_DB[[#This Row],[DATA]],"mmm"))</f>
        <v>AGO</v>
      </c>
      <c r="H3491" t="str">
        <f>UPPER(TEXT(Tabela_DB[[#This Row],[DATA]],"aaaa"))</f>
        <v>2021</v>
      </c>
    </row>
    <row r="3492" spans="1:8" x14ac:dyDescent="0.25">
      <c r="A3492" s="2">
        <v>44410</v>
      </c>
      <c r="B3492" t="s">
        <v>111</v>
      </c>
      <c r="C3492">
        <v>-2222</v>
      </c>
      <c r="D3492" t="str">
        <f>VLOOKUP(B3492,Tabela_Auxiliar[],2,0)</f>
        <v>2. Deduções da Receita</v>
      </c>
      <c r="E3492" t="str">
        <f>VLOOKUP(B3492,Tabela_Auxiliar[],4,0)</f>
        <v>Imposto</v>
      </c>
      <c r="F3492" t="str">
        <f>VLOOKUP(B3492,Tabela_Auxiliar[],3,0)</f>
        <v>Saída</v>
      </c>
      <c r="G3492" t="str">
        <f>UPPER(TEXT(Tabela_DB[[#This Row],[DATA]],"mmm"))</f>
        <v>AGO</v>
      </c>
      <c r="H3492" t="str">
        <f>UPPER(TEXT(Tabela_DB[[#This Row],[DATA]],"aaaa"))</f>
        <v>2021</v>
      </c>
    </row>
    <row r="3493" spans="1:8" x14ac:dyDescent="0.25">
      <c r="A3493" s="2">
        <v>44410</v>
      </c>
      <c r="B3493" t="s">
        <v>4</v>
      </c>
      <c r="C3493">
        <v>12439</v>
      </c>
      <c r="D3493" t="str">
        <f>VLOOKUP(B3493,Tabela_Auxiliar[],2,0)</f>
        <v>1. Receita Operacional Bruta</v>
      </c>
      <c r="E3493" t="str">
        <f>VLOOKUP(B3493,Tabela_Auxiliar[],4,0)</f>
        <v>Receita Bruta</v>
      </c>
      <c r="F3493" t="str">
        <f>VLOOKUP(B3493,Tabela_Auxiliar[],3,0)</f>
        <v>Entrada</v>
      </c>
      <c r="G3493" t="str">
        <f>UPPER(TEXT(Tabela_DB[[#This Row],[DATA]],"mmm"))</f>
        <v>AGO</v>
      </c>
      <c r="H3493" t="str">
        <f>UPPER(TEXT(Tabela_DB[[#This Row],[DATA]],"aaaa"))</f>
        <v>2021</v>
      </c>
    </row>
    <row r="3494" spans="1:8" x14ac:dyDescent="0.25">
      <c r="A3494" s="2">
        <v>44410</v>
      </c>
      <c r="B3494" t="s">
        <v>3</v>
      </c>
      <c r="C3494">
        <v>13769</v>
      </c>
      <c r="D3494" t="str">
        <f>VLOOKUP(B3494,Tabela_Auxiliar[],2,0)</f>
        <v>1. Receita Operacional Bruta</v>
      </c>
      <c r="E3494" t="str">
        <f>VLOOKUP(B3494,Tabela_Auxiliar[],4,0)</f>
        <v>Receita Bruta</v>
      </c>
      <c r="F3494" t="str">
        <f>VLOOKUP(B3494,Tabela_Auxiliar[],3,0)</f>
        <v>Entrada</v>
      </c>
      <c r="G3494" t="str">
        <f>UPPER(TEXT(Tabela_DB[[#This Row],[DATA]],"mmm"))</f>
        <v>AGO</v>
      </c>
      <c r="H3494" t="str">
        <f>UPPER(TEXT(Tabela_DB[[#This Row],[DATA]],"aaaa"))</f>
        <v>2021</v>
      </c>
    </row>
    <row r="3495" spans="1:8" x14ac:dyDescent="0.25">
      <c r="A3495" s="2">
        <v>44410</v>
      </c>
      <c r="B3495" t="s">
        <v>3</v>
      </c>
      <c r="C3495">
        <v>11971</v>
      </c>
      <c r="D3495" t="str">
        <f>VLOOKUP(B3495,Tabela_Auxiliar[],2,0)</f>
        <v>1. Receita Operacional Bruta</v>
      </c>
      <c r="E3495" t="str">
        <f>VLOOKUP(B3495,Tabela_Auxiliar[],4,0)</f>
        <v>Receita Bruta</v>
      </c>
      <c r="F3495" t="str">
        <f>VLOOKUP(B3495,Tabela_Auxiliar[],3,0)</f>
        <v>Entrada</v>
      </c>
      <c r="G3495" t="str">
        <f>UPPER(TEXT(Tabela_DB[[#This Row],[DATA]],"mmm"))</f>
        <v>AGO</v>
      </c>
      <c r="H3495" t="str">
        <f>UPPER(TEXT(Tabela_DB[[#This Row],[DATA]],"aaaa"))</f>
        <v>2021</v>
      </c>
    </row>
    <row r="3496" spans="1:8" x14ac:dyDescent="0.25">
      <c r="A3496" s="2">
        <v>44410</v>
      </c>
      <c r="B3496" t="s">
        <v>34</v>
      </c>
      <c r="C3496">
        <v>-1072</v>
      </c>
      <c r="D3496" t="str">
        <f>VLOOKUP(B3496,Tabela_Auxiliar[],2,0)</f>
        <v>2. Deduções da Receita</v>
      </c>
      <c r="E3496" t="str">
        <f>VLOOKUP(B3496,Tabela_Auxiliar[],4,0)</f>
        <v>Imposto</v>
      </c>
      <c r="F3496" t="str">
        <f>VLOOKUP(B3496,Tabela_Auxiliar[],3,0)</f>
        <v>Saída</v>
      </c>
      <c r="G3496" t="str">
        <f>UPPER(TEXT(Tabela_DB[[#This Row],[DATA]],"mmm"))</f>
        <v>AGO</v>
      </c>
      <c r="H3496" t="str">
        <f>UPPER(TEXT(Tabela_DB[[#This Row],[DATA]],"aaaa"))</f>
        <v>2021</v>
      </c>
    </row>
    <row r="3497" spans="1:8" x14ac:dyDescent="0.25">
      <c r="A3497" s="2">
        <v>44410</v>
      </c>
      <c r="B3497" t="s">
        <v>3</v>
      </c>
      <c r="C3497">
        <v>12032</v>
      </c>
      <c r="D3497" t="str">
        <f>VLOOKUP(B3497,Tabela_Auxiliar[],2,0)</f>
        <v>1. Receita Operacional Bruta</v>
      </c>
      <c r="E3497" t="str">
        <f>VLOOKUP(B3497,Tabela_Auxiliar[],4,0)</f>
        <v>Receita Bruta</v>
      </c>
      <c r="F3497" t="str">
        <f>VLOOKUP(B3497,Tabela_Auxiliar[],3,0)</f>
        <v>Entrada</v>
      </c>
      <c r="G3497" t="str">
        <f>UPPER(TEXT(Tabela_DB[[#This Row],[DATA]],"mmm"))</f>
        <v>AGO</v>
      </c>
      <c r="H3497" t="str">
        <f>UPPER(TEXT(Tabela_DB[[#This Row],[DATA]],"aaaa"))</f>
        <v>2021</v>
      </c>
    </row>
    <row r="3498" spans="1:8" x14ac:dyDescent="0.25">
      <c r="A3498" s="2">
        <v>44411</v>
      </c>
      <c r="B3498" t="s">
        <v>38</v>
      </c>
      <c r="C3498">
        <v>-2468</v>
      </c>
      <c r="D3498" t="str">
        <f>VLOOKUP(B3498,Tabela_Auxiliar[],2,0)</f>
        <v>2. Deduções da Receita</v>
      </c>
      <c r="E3498" t="str">
        <f>VLOOKUP(B3498,Tabela_Auxiliar[],4,0)</f>
        <v>Deduções</v>
      </c>
      <c r="F3498" t="str">
        <f>VLOOKUP(B3498,Tabela_Auxiliar[],3,0)</f>
        <v>Saída</v>
      </c>
      <c r="G3498" t="str">
        <f>UPPER(TEXT(Tabela_DB[[#This Row],[DATA]],"mmm"))</f>
        <v>AGO</v>
      </c>
      <c r="H3498" t="str">
        <f>UPPER(TEXT(Tabela_DB[[#This Row],[DATA]],"aaaa"))</f>
        <v>2021</v>
      </c>
    </row>
    <row r="3499" spans="1:8" x14ac:dyDescent="0.25">
      <c r="A3499" s="2">
        <v>44411</v>
      </c>
      <c r="B3499" t="s">
        <v>37</v>
      </c>
      <c r="C3499">
        <v>-3014</v>
      </c>
      <c r="D3499" t="str">
        <f>VLOOKUP(B3499,Tabela_Auxiliar[],2,0)</f>
        <v>3. Custos do Produto/Mercadoria/Serviço</v>
      </c>
      <c r="E3499" t="str">
        <f>VLOOKUP(B3499,Tabela_Auxiliar[],4,0)</f>
        <v>Despesas c/ Produto</v>
      </c>
      <c r="F3499" t="str">
        <f>VLOOKUP(B3499,Tabela_Auxiliar[],3,0)</f>
        <v>Saída</v>
      </c>
      <c r="G3499" t="str">
        <f>UPPER(TEXT(Tabela_DB[[#This Row],[DATA]],"mmm"))</f>
        <v>AGO</v>
      </c>
      <c r="H3499" t="str">
        <f>UPPER(TEXT(Tabela_DB[[#This Row],[DATA]],"aaaa"))</f>
        <v>2021</v>
      </c>
    </row>
    <row r="3500" spans="1:8" x14ac:dyDescent="0.25">
      <c r="A3500" s="2">
        <v>44411</v>
      </c>
      <c r="B3500" t="s">
        <v>4</v>
      </c>
      <c r="C3500">
        <v>13163</v>
      </c>
      <c r="D3500" t="str">
        <f>VLOOKUP(B3500,Tabela_Auxiliar[],2,0)</f>
        <v>1. Receita Operacional Bruta</v>
      </c>
      <c r="E3500" t="str">
        <f>VLOOKUP(B3500,Tabela_Auxiliar[],4,0)</f>
        <v>Receita Bruta</v>
      </c>
      <c r="F3500" t="str">
        <f>VLOOKUP(B3500,Tabela_Auxiliar[],3,0)</f>
        <v>Entrada</v>
      </c>
      <c r="G3500" t="str">
        <f>UPPER(TEXT(Tabela_DB[[#This Row],[DATA]],"mmm"))</f>
        <v>AGO</v>
      </c>
      <c r="H3500" t="str">
        <f>UPPER(TEXT(Tabela_DB[[#This Row],[DATA]],"aaaa"))</f>
        <v>2021</v>
      </c>
    </row>
    <row r="3501" spans="1:8" x14ac:dyDescent="0.25">
      <c r="A3501" s="2">
        <v>44411</v>
      </c>
      <c r="B3501" t="s">
        <v>35</v>
      </c>
      <c r="C3501">
        <v>-2027</v>
      </c>
      <c r="D3501" t="str">
        <f>VLOOKUP(B3501,Tabela_Auxiliar[],2,0)</f>
        <v>2. Deduções da Receita</v>
      </c>
      <c r="E3501" t="str">
        <f>VLOOKUP(B3501,Tabela_Auxiliar[],4,0)</f>
        <v>Imposto</v>
      </c>
      <c r="F3501" t="str">
        <f>VLOOKUP(B3501,Tabela_Auxiliar[],3,0)</f>
        <v>Saída</v>
      </c>
      <c r="G3501" t="str">
        <f>UPPER(TEXT(Tabela_DB[[#This Row],[DATA]],"mmm"))</f>
        <v>AGO</v>
      </c>
      <c r="H3501" t="str">
        <f>UPPER(TEXT(Tabela_DB[[#This Row],[DATA]],"aaaa"))</f>
        <v>2021</v>
      </c>
    </row>
    <row r="3502" spans="1:8" x14ac:dyDescent="0.25">
      <c r="A3502" s="2">
        <v>44411</v>
      </c>
      <c r="B3502" t="s">
        <v>34</v>
      </c>
      <c r="C3502">
        <v>-1975</v>
      </c>
      <c r="D3502" t="str">
        <f>VLOOKUP(B3502,Tabela_Auxiliar[],2,0)</f>
        <v>2. Deduções da Receita</v>
      </c>
      <c r="E3502" t="str">
        <f>VLOOKUP(B3502,Tabela_Auxiliar[],4,0)</f>
        <v>Imposto</v>
      </c>
      <c r="F3502" t="str">
        <f>VLOOKUP(B3502,Tabela_Auxiliar[],3,0)</f>
        <v>Saída</v>
      </c>
      <c r="G3502" t="str">
        <f>UPPER(TEXT(Tabela_DB[[#This Row],[DATA]],"mmm"))</f>
        <v>AGO</v>
      </c>
      <c r="H3502" t="str">
        <f>UPPER(TEXT(Tabela_DB[[#This Row],[DATA]],"aaaa"))</f>
        <v>2021</v>
      </c>
    </row>
    <row r="3503" spans="1:8" x14ac:dyDescent="0.25">
      <c r="A3503" s="2">
        <v>44411</v>
      </c>
      <c r="B3503" t="s">
        <v>34</v>
      </c>
      <c r="C3503">
        <v>-2152</v>
      </c>
      <c r="D3503" t="str">
        <f>VLOOKUP(B3503,Tabela_Auxiliar[],2,0)</f>
        <v>2. Deduções da Receita</v>
      </c>
      <c r="E3503" t="str">
        <f>VLOOKUP(B3503,Tabela_Auxiliar[],4,0)</f>
        <v>Imposto</v>
      </c>
      <c r="F3503" t="str">
        <f>VLOOKUP(B3503,Tabela_Auxiliar[],3,0)</f>
        <v>Saída</v>
      </c>
      <c r="G3503" t="str">
        <f>UPPER(TEXT(Tabela_DB[[#This Row],[DATA]],"mmm"))</f>
        <v>AGO</v>
      </c>
      <c r="H3503" t="str">
        <f>UPPER(TEXT(Tabela_DB[[#This Row],[DATA]],"aaaa"))</f>
        <v>2021</v>
      </c>
    </row>
    <row r="3504" spans="1:8" x14ac:dyDescent="0.25">
      <c r="A3504" s="2">
        <v>44411</v>
      </c>
      <c r="B3504" t="s">
        <v>3</v>
      </c>
      <c r="C3504">
        <v>11619</v>
      </c>
      <c r="D3504" t="str">
        <f>VLOOKUP(B3504,Tabela_Auxiliar[],2,0)</f>
        <v>1. Receita Operacional Bruta</v>
      </c>
      <c r="E3504" t="str">
        <f>VLOOKUP(B3504,Tabela_Auxiliar[],4,0)</f>
        <v>Receita Bruta</v>
      </c>
      <c r="F3504" t="str">
        <f>VLOOKUP(B3504,Tabela_Auxiliar[],3,0)</f>
        <v>Entrada</v>
      </c>
      <c r="G3504" t="str">
        <f>UPPER(TEXT(Tabela_DB[[#This Row],[DATA]],"mmm"))</f>
        <v>AGO</v>
      </c>
      <c r="H3504" t="str">
        <f>UPPER(TEXT(Tabela_DB[[#This Row],[DATA]],"aaaa"))</f>
        <v>2021</v>
      </c>
    </row>
    <row r="3505" spans="1:8" x14ac:dyDescent="0.25">
      <c r="A3505" s="2">
        <v>44411</v>
      </c>
      <c r="B3505" t="s">
        <v>84</v>
      </c>
      <c r="C3505">
        <v>-1705</v>
      </c>
      <c r="D3505" t="str">
        <f>VLOOKUP(B3505,Tabela_Auxiliar[],2,0)</f>
        <v>4. Despesas Operacionais</v>
      </c>
      <c r="E3505" t="str">
        <f>VLOOKUP(B3505,Tabela_Auxiliar[],4,0)</f>
        <v>Despesa com Veículos</v>
      </c>
      <c r="F3505" t="str">
        <f>VLOOKUP(B3505,Tabela_Auxiliar[],3,0)</f>
        <v>Saída</v>
      </c>
      <c r="G3505" t="str">
        <f>UPPER(TEXT(Tabela_DB[[#This Row],[DATA]],"mmm"))</f>
        <v>AGO</v>
      </c>
      <c r="H3505" t="str">
        <f>UPPER(TEXT(Tabela_DB[[#This Row],[DATA]],"aaaa"))</f>
        <v>2021</v>
      </c>
    </row>
    <row r="3506" spans="1:8" x14ac:dyDescent="0.25">
      <c r="A3506" s="2">
        <v>44411</v>
      </c>
      <c r="B3506" t="s">
        <v>111</v>
      </c>
      <c r="C3506">
        <v>-1371</v>
      </c>
      <c r="D3506" t="str">
        <f>VLOOKUP(B3506,Tabela_Auxiliar[],2,0)</f>
        <v>2. Deduções da Receita</v>
      </c>
      <c r="E3506" t="str">
        <f>VLOOKUP(B3506,Tabela_Auxiliar[],4,0)</f>
        <v>Imposto</v>
      </c>
      <c r="F3506" t="str">
        <f>VLOOKUP(B3506,Tabela_Auxiliar[],3,0)</f>
        <v>Saída</v>
      </c>
      <c r="G3506" t="str">
        <f>UPPER(TEXT(Tabela_DB[[#This Row],[DATA]],"mmm"))</f>
        <v>AGO</v>
      </c>
      <c r="H3506" t="str">
        <f>UPPER(TEXT(Tabela_DB[[#This Row],[DATA]],"aaaa"))</f>
        <v>2021</v>
      </c>
    </row>
    <row r="3507" spans="1:8" x14ac:dyDescent="0.25">
      <c r="A3507" s="2">
        <v>44411</v>
      </c>
      <c r="B3507" t="s">
        <v>37</v>
      </c>
      <c r="C3507">
        <v>-3568</v>
      </c>
      <c r="D3507" t="str">
        <f>VLOOKUP(B3507,Tabela_Auxiliar[],2,0)</f>
        <v>3. Custos do Produto/Mercadoria/Serviço</v>
      </c>
      <c r="E3507" t="str">
        <f>VLOOKUP(B3507,Tabela_Auxiliar[],4,0)</f>
        <v>Despesas c/ Produto</v>
      </c>
      <c r="F3507" t="str">
        <f>VLOOKUP(B3507,Tabela_Auxiliar[],3,0)</f>
        <v>Saída</v>
      </c>
      <c r="G3507" t="str">
        <f>UPPER(TEXT(Tabela_DB[[#This Row],[DATA]],"mmm"))</f>
        <v>AGO</v>
      </c>
      <c r="H3507" t="str">
        <f>UPPER(TEXT(Tabela_DB[[#This Row],[DATA]],"aaaa"))</f>
        <v>2021</v>
      </c>
    </row>
    <row r="3508" spans="1:8" x14ac:dyDescent="0.25">
      <c r="A3508" s="2">
        <v>44411</v>
      </c>
      <c r="B3508" t="s">
        <v>34</v>
      </c>
      <c r="C3508">
        <v>-1383</v>
      </c>
      <c r="D3508" t="str">
        <f>VLOOKUP(B3508,Tabela_Auxiliar[],2,0)</f>
        <v>2. Deduções da Receita</v>
      </c>
      <c r="E3508" t="str">
        <f>VLOOKUP(B3508,Tabela_Auxiliar[],4,0)</f>
        <v>Imposto</v>
      </c>
      <c r="F3508" t="str">
        <f>VLOOKUP(B3508,Tabela_Auxiliar[],3,0)</f>
        <v>Saída</v>
      </c>
      <c r="G3508" t="str">
        <f>UPPER(TEXT(Tabela_DB[[#This Row],[DATA]],"mmm"))</f>
        <v>AGO</v>
      </c>
      <c r="H3508" t="str">
        <f>UPPER(TEXT(Tabela_DB[[#This Row],[DATA]],"aaaa"))</f>
        <v>2021</v>
      </c>
    </row>
    <row r="3509" spans="1:8" x14ac:dyDescent="0.25">
      <c r="A3509" s="2">
        <v>44411</v>
      </c>
      <c r="B3509" t="s">
        <v>60</v>
      </c>
      <c r="C3509">
        <v>-1854</v>
      </c>
      <c r="D3509" t="str">
        <f>VLOOKUP(B3509,Tabela_Auxiliar[],2,0)</f>
        <v>4. Despesas Operacionais</v>
      </c>
      <c r="E3509" t="str">
        <f>VLOOKUP(B3509,Tabela_Auxiliar[],4,0)</f>
        <v>Despesa de Depreciação</v>
      </c>
      <c r="F3509" t="str">
        <f>VLOOKUP(B3509,Tabela_Auxiliar[],3,0)</f>
        <v>Saída</v>
      </c>
      <c r="G3509" t="str">
        <f>UPPER(TEXT(Tabela_DB[[#This Row],[DATA]],"mmm"))</f>
        <v>AGO</v>
      </c>
      <c r="H3509" t="str">
        <f>UPPER(TEXT(Tabela_DB[[#This Row],[DATA]],"aaaa"))</f>
        <v>2021</v>
      </c>
    </row>
    <row r="3510" spans="1:8" x14ac:dyDescent="0.25">
      <c r="A3510" s="2">
        <v>44411</v>
      </c>
      <c r="B3510" t="s">
        <v>111</v>
      </c>
      <c r="C3510">
        <v>-1992</v>
      </c>
      <c r="D3510" t="str">
        <f>VLOOKUP(B3510,Tabela_Auxiliar[],2,0)</f>
        <v>2. Deduções da Receita</v>
      </c>
      <c r="E3510" t="str">
        <f>VLOOKUP(B3510,Tabela_Auxiliar[],4,0)</f>
        <v>Imposto</v>
      </c>
      <c r="F3510" t="str">
        <f>VLOOKUP(B3510,Tabela_Auxiliar[],3,0)</f>
        <v>Saída</v>
      </c>
      <c r="G3510" t="str">
        <f>UPPER(TEXT(Tabela_DB[[#This Row],[DATA]],"mmm"))</f>
        <v>AGO</v>
      </c>
      <c r="H3510" t="str">
        <f>UPPER(TEXT(Tabela_DB[[#This Row],[DATA]],"aaaa"))</f>
        <v>2021</v>
      </c>
    </row>
    <row r="3511" spans="1:8" x14ac:dyDescent="0.25">
      <c r="A3511" s="2">
        <v>44411</v>
      </c>
      <c r="B3511" t="s">
        <v>84</v>
      </c>
      <c r="C3511">
        <v>-1785</v>
      </c>
      <c r="D3511" t="str">
        <f>VLOOKUP(B3511,Tabela_Auxiliar[],2,0)</f>
        <v>4. Despesas Operacionais</v>
      </c>
      <c r="E3511" t="str">
        <f>VLOOKUP(B3511,Tabela_Auxiliar[],4,0)</f>
        <v>Despesa com Veículos</v>
      </c>
      <c r="F3511" t="str">
        <f>VLOOKUP(B3511,Tabela_Auxiliar[],3,0)</f>
        <v>Saída</v>
      </c>
      <c r="G3511" t="str">
        <f>UPPER(TEXT(Tabela_DB[[#This Row],[DATA]],"mmm"))</f>
        <v>AGO</v>
      </c>
      <c r="H3511" t="str">
        <f>UPPER(TEXT(Tabela_DB[[#This Row],[DATA]],"aaaa"))</f>
        <v>2021</v>
      </c>
    </row>
    <row r="3512" spans="1:8" x14ac:dyDescent="0.25">
      <c r="A3512" s="2">
        <v>44412</v>
      </c>
      <c r="B3512" t="s">
        <v>3</v>
      </c>
      <c r="C3512">
        <v>13609</v>
      </c>
      <c r="D3512" t="str">
        <f>VLOOKUP(B3512,Tabela_Auxiliar[],2,0)</f>
        <v>1. Receita Operacional Bruta</v>
      </c>
      <c r="E3512" t="str">
        <f>VLOOKUP(B3512,Tabela_Auxiliar[],4,0)</f>
        <v>Receita Bruta</v>
      </c>
      <c r="F3512" t="str">
        <f>VLOOKUP(B3512,Tabela_Auxiliar[],3,0)</f>
        <v>Entrada</v>
      </c>
      <c r="G3512" t="str">
        <f>UPPER(TEXT(Tabela_DB[[#This Row],[DATA]],"mmm"))</f>
        <v>AGO</v>
      </c>
      <c r="H3512" t="str">
        <f>UPPER(TEXT(Tabela_DB[[#This Row],[DATA]],"aaaa"))</f>
        <v>2021</v>
      </c>
    </row>
    <row r="3513" spans="1:8" x14ac:dyDescent="0.25">
      <c r="A3513" s="2">
        <v>44412</v>
      </c>
      <c r="B3513" t="s">
        <v>3</v>
      </c>
      <c r="C3513">
        <v>12681</v>
      </c>
      <c r="D3513" t="str">
        <f>VLOOKUP(B3513,Tabela_Auxiliar[],2,0)</f>
        <v>1. Receita Operacional Bruta</v>
      </c>
      <c r="E3513" t="str">
        <f>VLOOKUP(B3513,Tabela_Auxiliar[],4,0)</f>
        <v>Receita Bruta</v>
      </c>
      <c r="F3513" t="str">
        <f>VLOOKUP(B3513,Tabela_Auxiliar[],3,0)</f>
        <v>Entrada</v>
      </c>
      <c r="G3513" t="str">
        <f>UPPER(TEXT(Tabela_DB[[#This Row],[DATA]],"mmm"))</f>
        <v>AGO</v>
      </c>
      <c r="H3513" t="str">
        <f>UPPER(TEXT(Tabela_DB[[#This Row],[DATA]],"aaaa"))</f>
        <v>2021</v>
      </c>
    </row>
    <row r="3514" spans="1:8" x14ac:dyDescent="0.25">
      <c r="A3514" s="2">
        <v>44412</v>
      </c>
      <c r="B3514" t="s">
        <v>57</v>
      </c>
      <c r="C3514">
        <v>-1532</v>
      </c>
      <c r="D3514" t="str">
        <f>VLOOKUP(B3514,Tabela_Auxiliar[],2,0)</f>
        <v>4. Despesas Operacionais</v>
      </c>
      <c r="E3514" t="str">
        <f>VLOOKUP(B3514,Tabela_Auxiliar[],4,0)</f>
        <v>Despesa com Pessoal</v>
      </c>
      <c r="F3514" t="str">
        <f>VLOOKUP(B3514,Tabela_Auxiliar[],3,0)</f>
        <v>Saída</v>
      </c>
      <c r="G3514" t="str">
        <f>UPPER(TEXT(Tabela_DB[[#This Row],[DATA]],"mmm"))</f>
        <v>AGO</v>
      </c>
      <c r="H3514" t="str">
        <f>UPPER(TEXT(Tabela_DB[[#This Row],[DATA]],"aaaa"))</f>
        <v>2021</v>
      </c>
    </row>
    <row r="3515" spans="1:8" x14ac:dyDescent="0.25">
      <c r="A3515" s="2">
        <v>44412</v>
      </c>
      <c r="B3515" t="s">
        <v>111</v>
      </c>
      <c r="C3515">
        <v>-1992</v>
      </c>
      <c r="D3515" t="str">
        <f>VLOOKUP(B3515,Tabela_Auxiliar[],2,0)</f>
        <v>2. Deduções da Receita</v>
      </c>
      <c r="E3515" t="str">
        <f>VLOOKUP(B3515,Tabela_Auxiliar[],4,0)</f>
        <v>Imposto</v>
      </c>
      <c r="F3515" t="str">
        <f>VLOOKUP(B3515,Tabela_Auxiliar[],3,0)</f>
        <v>Saída</v>
      </c>
      <c r="G3515" t="str">
        <f>UPPER(TEXT(Tabela_DB[[#This Row],[DATA]],"mmm"))</f>
        <v>AGO</v>
      </c>
      <c r="H3515" t="str">
        <f>UPPER(TEXT(Tabela_DB[[#This Row],[DATA]],"aaaa"))</f>
        <v>2021</v>
      </c>
    </row>
    <row r="3516" spans="1:8" x14ac:dyDescent="0.25">
      <c r="A3516" s="2">
        <v>44412</v>
      </c>
      <c r="B3516" t="s">
        <v>37</v>
      </c>
      <c r="C3516">
        <v>-4243</v>
      </c>
      <c r="D3516" t="str">
        <f>VLOOKUP(B3516,Tabela_Auxiliar[],2,0)</f>
        <v>3. Custos do Produto/Mercadoria/Serviço</v>
      </c>
      <c r="E3516" t="str">
        <f>VLOOKUP(B3516,Tabela_Auxiliar[],4,0)</f>
        <v>Despesas c/ Produto</v>
      </c>
      <c r="F3516" t="str">
        <f>VLOOKUP(B3516,Tabela_Auxiliar[],3,0)</f>
        <v>Saída</v>
      </c>
      <c r="G3516" t="str">
        <f>UPPER(TEXT(Tabela_DB[[#This Row],[DATA]],"mmm"))</f>
        <v>AGO</v>
      </c>
      <c r="H3516" t="str">
        <f>UPPER(TEXT(Tabela_DB[[#This Row],[DATA]],"aaaa"))</f>
        <v>2021</v>
      </c>
    </row>
    <row r="3517" spans="1:8" x14ac:dyDescent="0.25">
      <c r="A3517" s="2">
        <v>44412</v>
      </c>
      <c r="B3517" t="s">
        <v>38</v>
      </c>
      <c r="C3517">
        <v>-1203</v>
      </c>
      <c r="D3517" t="str">
        <f>VLOOKUP(B3517,Tabela_Auxiliar[],2,0)</f>
        <v>2. Deduções da Receita</v>
      </c>
      <c r="E3517" t="str">
        <f>VLOOKUP(B3517,Tabela_Auxiliar[],4,0)</f>
        <v>Deduções</v>
      </c>
      <c r="F3517" t="str">
        <f>VLOOKUP(B3517,Tabela_Auxiliar[],3,0)</f>
        <v>Saída</v>
      </c>
      <c r="G3517" t="str">
        <f>UPPER(TEXT(Tabela_DB[[#This Row],[DATA]],"mmm"))</f>
        <v>AGO</v>
      </c>
      <c r="H3517" t="str">
        <f>UPPER(TEXT(Tabela_DB[[#This Row],[DATA]],"aaaa"))</f>
        <v>2021</v>
      </c>
    </row>
    <row r="3518" spans="1:8" x14ac:dyDescent="0.25">
      <c r="A3518" s="2">
        <v>44412</v>
      </c>
      <c r="B3518" t="s">
        <v>3</v>
      </c>
      <c r="C3518">
        <v>10907</v>
      </c>
      <c r="D3518" t="str">
        <f>VLOOKUP(B3518,Tabela_Auxiliar[],2,0)</f>
        <v>1. Receita Operacional Bruta</v>
      </c>
      <c r="E3518" t="str">
        <f>VLOOKUP(B3518,Tabela_Auxiliar[],4,0)</f>
        <v>Receita Bruta</v>
      </c>
      <c r="F3518" t="str">
        <f>VLOOKUP(B3518,Tabela_Auxiliar[],3,0)</f>
        <v>Entrada</v>
      </c>
      <c r="G3518" t="str">
        <f>UPPER(TEXT(Tabela_DB[[#This Row],[DATA]],"mmm"))</f>
        <v>AGO</v>
      </c>
      <c r="H3518" t="str">
        <f>UPPER(TEXT(Tabela_DB[[#This Row],[DATA]],"aaaa"))</f>
        <v>2021</v>
      </c>
    </row>
    <row r="3519" spans="1:8" x14ac:dyDescent="0.25">
      <c r="A3519" s="2">
        <v>44412</v>
      </c>
      <c r="B3519" t="s">
        <v>37</v>
      </c>
      <c r="C3519">
        <v>-2751</v>
      </c>
      <c r="D3519" t="str">
        <f>VLOOKUP(B3519,Tabela_Auxiliar[],2,0)</f>
        <v>3. Custos do Produto/Mercadoria/Serviço</v>
      </c>
      <c r="E3519" t="str">
        <f>VLOOKUP(B3519,Tabela_Auxiliar[],4,0)</f>
        <v>Despesas c/ Produto</v>
      </c>
      <c r="F3519" t="str">
        <f>VLOOKUP(B3519,Tabela_Auxiliar[],3,0)</f>
        <v>Saída</v>
      </c>
      <c r="G3519" t="str">
        <f>UPPER(TEXT(Tabela_DB[[#This Row],[DATA]],"mmm"))</f>
        <v>AGO</v>
      </c>
      <c r="H3519" t="str">
        <f>UPPER(TEXT(Tabela_DB[[#This Row],[DATA]],"aaaa"))</f>
        <v>2021</v>
      </c>
    </row>
    <row r="3520" spans="1:8" x14ac:dyDescent="0.25">
      <c r="A3520" s="2">
        <v>44412</v>
      </c>
      <c r="B3520" t="s">
        <v>3</v>
      </c>
      <c r="C3520">
        <v>14848</v>
      </c>
      <c r="D3520" t="str">
        <f>VLOOKUP(B3520,Tabela_Auxiliar[],2,0)</f>
        <v>1. Receita Operacional Bruta</v>
      </c>
      <c r="E3520" t="str">
        <f>VLOOKUP(B3520,Tabela_Auxiliar[],4,0)</f>
        <v>Receita Bruta</v>
      </c>
      <c r="F3520" t="str">
        <f>VLOOKUP(B3520,Tabela_Auxiliar[],3,0)</f>
        <v>Entrada</v>
      </c>
      <c r="G3520" t="str">
        <f>UPPER(TEXT(Tabela_DB[[#This Row],[DATA]],"mmm"))</f>
        <v>AGO</v>
      </c>
      <c r="H3520" t="str">
        <f>UPPER(TEXT(Tabela_DB[[#This Row],[DATA]],"aaaa"))</f>
        <v>2021</v>
      </c>
    </row>
    <row r="3521" spans="1:8" x14ac:dyDescent="0.25">
      <c r="A3521" s="2">
        <v>44412</v>
      </c>
      <c r="B3521" t="s">
        <v>4</v>
      </c>
      <c r="C3521">
        <v>11658</v>
      </c>
      <c r="D3521" t="str">
        <f>VLOOKUP(B3521,Tabela_Auxiliar[],2,0)</f>
        <v>1. Receita Operacional Bruta</v>
      </c>
      <c r="E3521" t="str">
        <f>VLOOKUP(B3521,Tabela_Auxiliar[],4,0)</f>
        <v>Receita Bruta</v>
      </c>
      <c r="F3521" t="str">
        <f>VLOOKUP(B3521,Tabela_Auxiliar[],3,0)</f>
        <v>Entrada</v>
      </c>
      <c r="G3521" t="str">
        <f>UPPER(TEXT(Tabela_DB[[#This Row],[DATA]],"mmm"))</f>
        <v>AGO</v>
      </c>
      <c r="H3521" t="str">
        <f>UPPER(TEXT(Tabela_DB[[#This Row],[DATA]],"aaaa"))</f>
        <v>2021</v>
      </c>
    </row>
    <row r="3522" spans="1:8" x14ac:dyDescent="0.25">
      <c r="A3522" s="2">
        <v>44412</v>
      </c>
      <c r="B3522" t="s">
        <v>4</v>
      </c>
      <c r="C3522">
        <v>13682</v>
      </c>
      <c r="D3522" t="str">
        <f>VLOOKUP(B3522,Tabela_Auxiliar[],2,0)</f>
        <v>1. Receita Operacional Bruta</v>
      </c>
      <c r="E3522" t="str">
        <f>VLOOKUP(B3522,Tabela_Auxiliar[],4,0)</f>
        <v>Receita Bruta</v>
      </c>
      <c r="F3522" t="str">
        <f>VLOOKUP(B3522,Tabela_Auxiliar[],3,0)</f>
        <v>Entrada</v>
      </c>
      <c r="G3522" t="str">
        <f>UPPER(TEXT(Tabela_DB[[#This Row],[DATA]],"mmm"))</f>
        <v>AGO</v>
      </c>
      <c r="H3522" t="str">
        <f>UPPER(TEXT(Tabela_DB[[#This Row],[DATA]],"aaaa"))</f>
        <v>2021</v>
      </c>
    </row>
    <row r="3523" spans="1:8" x14ac:dyDescent="0.25">
      <c r="A3523" s="2">
        <v>44412</v>
      </c>
      <c r="B3523" t="s">
        <v>4</v>
      </c>
      <c r="C3523">
        <v>12820</v>
      </c>
      <c r="D3523" t="str">
        <f>VLOOKUP(B3523,Tabela_Auxiliar[],2,0)</f>
        <v>1. Receita Operacional Bruta</v>
      </c>
      <c r="E3523" t="str">
        <f>VLOOKUP(B3523,Tabela_Auxiliar[],4,0)</f>
        <v>Receita Bruta</v>
      </c>
      <c r="F3523" t="str">
        <f>VLOOKUP(B3523,Tabela_Auxiliar[],3,0)</f>
        <v>Entrada</v>
      </c>
      <c r="G3523" t="str">
        <f>UPPER(TEXT(Tabela_DB[[#This Row],[DATA]],"mmm"))</f>
        <v>AGO</v>
      </c>
      <c r="H3523" t="str">
        <f>UPPER(TEXT(Tabela_DB[[#This Row],[DATA]],"aaaa"))</f>
        <v>2021</v>
      </c>
    </row>
    <row r="3524" spans="1:8" x14ac:dyDescent="0.25">
      <c r="A3524" s="2">
        <v>44412</v>
      </c>
      <c r="B3524" t="s">
        <v>4</v>
      </c>
      <c r="C3524">
        <v>11456</v>
      </c>
      <c r="D3524" t="str">
        <f>VLOOKUP(B3524,Tabela_Auxiliar[],2,0)</f>
        <v>1. Receita Operacional Bruta</v>
      </c>
      <c r="E3524" t="str">
        <f>VLOOKUP(B3524,Tabela_Auxiliar[],4,0)</f>
        <v>Receita Bruta</v>
      </c>
      <c r="F3524" t="str">
        <f>VLOOKUP(B3524,Tabela_Auxiliar[],3,0)</f>
        <v>Entrada</v>
      </c>
      <c r="G3524" t="str">
        <f>UPPER(TEXT(Tabela_DB[[#This Row],[DATA]],"mmm"))</f>
        <v>AGO</v>
      </c>
      <c r="H3524" t="str">
        <f>UPPER(TEXT(Tabela_DB[[#This Row],[DATA]],"aaaa"))</f>
        <v>2021</v>
      </c>
    </row>
    <row r="3525" spans="1:8" x14ac:dyDescent="0.25">
      <c r="A3525" s="2">
        <v>44412</v>
      </c>
      <c r="B3525" t="s">
        <v>3</v>
      </c>
      <c r="C3525">
        <v>12380</v>
      </c>
      <c r="D3525" t="str">
        <f>VLOOKUP(B3525,Tabela_Auxiliar[],2,0)</f>
        <v>1. Receita Operacional Bruta</v>
      </c>
      <c r="E3525" t="str">
        <f>VLOOKUP(B3525,Tabela_Auxiliar[],4,0)</f>
        <v>Receita Bruta</v>
      </c>
      <c r="F3525" t="str">
        <f>VLOOKUP(B3525,Tabela_Auxiliar[],3,0)</f>
        <v>Entrada</v>
      </c>
      <c r="G3525" t="str">
        <f>UPPER(TEXT(Tabela_DB[[#This Row],[DATA]],"mmm"))</f>
        <v>AGO</v>
      </c>
      <c r="H3525" t="str">
        <f>UPPER(TEXT(Tabela_DB[[#This Row],[DATA]],"aaaa"))</f>
        <v>2021</v>
      </c>
    </row>
    <row r="3526" spans="1:8" x14ac:dyDescent="0.25">
      <c r="A3526" s="2">
        <v>44412</v>
      </c>
      <c r="B3526" t="s">
        <v>102</v>
      </c>
      <c r="C3526">
        <v>-1614</v>
      </c>
      <c r="D3526" t="str">
        <f>VLOOKUP(B3526,Tabela_Auxiliar[],2,0)</f>
        <v>6. Resultado após o Resultado Financeiro</v>
      </c>
      <c r="E3526" t="str">
        <f>VLOOKUP(B3526,Tabela_Auxiliar[],4,0)</f>
        <v>EBTIDA</v>
      </c>
      <c r="F3526" t="str">
        <f>VLOOKUP(B3526,Tabela_Auxiliar[],3,0)</f>
        <v>Saída</v>
      </c>
      <c r="G3526" t="str">
        <f>UPPER(TEXT(Tabela_DB[[#This Row],[DATA]],"mmm"))</f>
        <v>AGO</v>
      </c>
      <c r="H3526" t="str">
        <f>UPPER(TEXT(Tabela_DB[[#This Row],[DATA]],"aaaa"))</f>
        <v>2021</v>
      </c>
    </row>
    <row r="3527" spans="1:8" x14ac:dyDescent="0.25">
      <c r="A3527" s="2">
        <v>44412</v>
      </c>
      <c r="B3527" t="s">
        <v>38</v>
      </c>
      <c r="C3527">
        <v>-2289</v>
      </c>
      <c r="D3527" t="str">
        <f>VLOOKUP(B3527,Tabela_Auxiliar[],2,0)</f>
        <v>2. Deduções da Receita</v>
      </c>
      <c r="E3527" t="str">
        <f>VLOOKUP(B3527,Tabela_Auxiliar[],4,0)</f>
        <v>Deduções</v>
      </c>
      <c r="F3527" t="str">
        <f>VLOOKUP(B3527,Tabela_Auxiliar[],3,0)</f>
        <v>Saída</v>
      </c>
      <c r="G3527" t="str">
        <f>UPPER(TEXT(Tabela_DB[[#This Row],[DATA]],"mmm"))</f>
        <v>AGO</v>
      </c>
      <c r="H3527" t="str">
        <f>UPPER(TEXT(Tabela_DB[[#This Row],[DATA]],"aaaa"))</f>
        <v>2021</v>
      </c>
    </row>
    <row r="3528" spans="1:8" x14ac:dyDescent="0.25">
      <c r="A3528" s="2">
        <v>44413</v>
      </c>
      <c r="B3528" t="s">
        <v>5</v>
      </c>
      <c r="C3528">
        <v>-2349</v>
      </c>
      <c r="D3528" t="str">
        <f>VLOOKUP(B3528,Tabela_Auxiliar[],2,0)</f>
        <v>4. Despesas Operacionais</v>
      </c>
      <c r="E3528" t="str">
        <f>VLOOKUP(B3528,Tabela_Auxiliar[],4,0)</f>
        <v>Despesa com Pessoal</v>
      </c>
      <c r="F3528" t="str">
        <f>VLOOKUP(B3528,Tabela_Auxiliar[],3,0)</f>
        <v>Saída</v>
      </c>
      <c r="G3528" t="str">
        <f>UPPER(TEXT(Tabela_DB[[#This Row],[DATA]],"mmm"))</f>
        <v>AGO</v>
      </c>
      <c r="H3528" t="str">
        <f>UPPER(TEXT(Tabela_DB[[#This Row],[DATA]],"aaaa"))</f>
        <v>2021</v>
      </c>
    </row>
    <row r="3529" spans="1:8" x14ac:dyDescent="0.25">
      <c r="A3529" s="2">
        <v>44413</v>
      </c>
      <c r="B3529" t="s">
        <v>47</v>
      </c>
      <c r="C3529">
        <v>-1978</v>
      </c>
      <c r="D3529" t="str">
        <f>VLOOKUP(B3529,Tabela_Auxiliar[],2,0)</f>
        <v>4. Despesas Operacionais</v>
      </c>
      <c r="E3529" t="str">
        <f>VLOOKUP(B3529,Tabela_Auxiliar[],4,0)</f>
        <v>Despesa com Pessoal</v>
      </c>
      <c r="F3529" t="str">
        <f>VLOOKUP(B3529,Tabela_Auxiliar[],3,0)</f>
        <v>Saída</v>
      </c>
      <c r="G3529" t="str">
        <f>UPPER(TEXT(Tabela_DB[[#This Row],[DATA]],"mmm"))</f>
        <v>AGO</v>
      </c>
      <c r="H3529" t="str">
        <f>UPPER(TEXT(Tabela_DB[[#This Row],[DATA]],"aaaa"))</f>
        <v>2021</v>
      </c>
    </row>
    <row r="3530" spans="1:8" x14ac:dyDescent="0.25">
      <c r="A3530" s="2">
        <v>44413</v>
      </c>
      <c r="B3530" t="s">
        <v>8</v>
      </c>
      <c r="C3530">
        <v>-1922</v>
      </c>
      <c r="D3530" t="str">
        <f>VLOOKUP(B3530,Tabela_Auxiliar[],2,0)</f>
        <v>4. Despesas Operacionais</v>
      </c>
      <c r="E3530" t="str">
        <f>VLOOKUP(B3530,Tabela_Auxiliar[],4,0)</f>
        <v>Despesa com Pessoal</v>
      </c>
      <c r="F3530" t="str">
        <f>VLOOKUP(B3530,Tabela_Auxiliar[],3,0)</f>
        <v>Saída</v>
      </c>
      <c r="G3530" t="str">
        <f>UPPER(TEXT(Tabela_DB[[#This Row],[DATA]],"mmm"))</f>
        <v>AGO</v>
      </c>
      <c r="H3530" t="str">
        <f>UPPER(TEXT(Tabela_DB[[#This Row],[DATA]],"aaaa"))</f>
        <v>2021</v>
      </c>
    </row>
    <row r="3531" spans="1:8" x14ac:dyDescent="0.25">
      <c r="A3531" s="2">
        <v>44413</v>
      </c>
      <c r="B3531" t="s">
        <v>83</v>
      </c>
      <c r="C3531">
        <v>-2434</v>
      </c>
      <c r="D3531" t="str">
        <f>VLOOKUP(B3531,Tabela_Auxiliar[],2,0)</f>
        <v>4. Despesas Operacionais</v>
      </c>
      <c r="E3531" t="str">
        <f>VLOOKUP(B3531,Tabela_Auxiliar[],4,0)</f>
        <v>Despesa com Veículos</v>
      </c>
      <c r="F3531" t="str">
        <f>VLOOKUP(B3531,Tabela_Auxiliar[],3,0)</f>
        <v>Saída</v>
      </c>
      <c r="G3531" t="str">
        <f>UPPER(TEXT(Tabela_DB[[#This Row],[DATA]],"mmm"))</f>
        <v>AGO</v>
      </c>
      <c r="H3531" t="str">
        <f>UPPER(TEXT(Tabela_DB[[#This Row],[DATA]],"aaaa"))</f>
        <v>2021</v>
      </c>
    </row>
    <row r="3532" spans="1:8" x14ac:dyDescent="0.25">
      <c r="A3532" s="2">
        <v>44413</v>
      </c>
      <c r="B3532" t="s">
        <v>3</v>
      </c>
      <c r="C3532">
        <v>12823</v>
      </c>
      <c r="D3532" t="str">
        <f>VLOOKUP(B3532,Tabela_Auxiliar[],2,0)</f>
        <v>1. Receita Operacional Bruta</v>
      </c>
      <c r="E3532" t="str">
        <f>VLOOKUP(B3532,Tabela_Auxiliar[],4,0)</f>
        <v>Receita Bruta</v>
      </c>
      <c r="F3532" t="str">
        <f>VLOOKUP(B3532,Tabela_Auxiliar[],3,0)</f>
        <v>Entrada</v>
      </c>
      <c r="G3532" t="str">
        <f>UPPER(TEXT(Tabela_DB[[#This Row],[DATA]],"mmm"))</f>
        <v>AGO</v>
      </c>
      <c r="H3532" t="str">
        <f>UPPER(TEXT(Tabela_DB[[#This Row],[DATA]],"aaaa"))</f>
        <v>2021</v>
      </c>
    </row>
    <row r="3533" spans="1:8" x14ac:dyDescent="0.25">
      <c r="A3533" s="2">
        <v>44413</v>
      </c>
      <c r="B3533" t="s">
        <v>3</v>
      </c>
      <c r="C3533">
        <v>13619</v>
      </c>
      <c r="D3533" t="str">
        <f>VLOOKUP(B3533,Tabela_Auxiliar[],2,0)</f>
        <v>1. Receita Operacional Bruta</v>
      </c>
      <c r="E3533" t="str">
        <f>VLOOKUP(B3533,Tabela_Auxiliar[],4,0)</f>
        <v>Receita Bruta</v>
      </c>
      <c r="F3533" t="str">
        <f>VLOOKUP(B3533,Tabela_Auxiliar[],3,0)</f>
        <v>Entrada</v>
      </c>
      <c r="G3533" t="str">
        <f>UPPER(TEXT(Tabela_DB[[#This Row],[DATA]],"mmm"))</f>
        <v>AGO</v>
      </c>
      <c r="H3533" t="str">
        <f>UPPER(TEXT(Tabela_DB[[#This Row],[DATA]],"aaaa"))</f>
        <v>2021</v>
      </c>
    </row>
    <row r="3534" spans="1:8" x14ac:dyDescent="0.25">
      <c r="A3534" s="2">
        <v>44413</v>
      </c>
      <c r="B3534" t="s">
        <v>70</v>
      </c>
      <c r="C3534">
        <v>-1714</v>
      </c>
      <c r="D3534" t="str">
        <f>VLOOKUP(B3534,Tabela_Auxiliar[],2,0)</f>
        <v>4. Despesas Operacionais</v>
      </c>
      <c r="E3534" t="str">
        <f>VLOOKUP(B3534,Tabela_Auxiliar[],4,0)</f>
        <v>Despesa com Ocupação</v>
      </c>
      <c r="F3534" t="str">
        <f>VLOOKUP(B3534,Tabela_Auxiliar[],3,0)</f>
        <v>Saída</v>
      </c>
      <c r="G3534" t="str">
        <f>UPPER(TEXT(Tabela_DB[[#This Row],[DATA]],"mmm"))</f>
        <v>AGO</v>
      </c>
      <c r="H3534" t="str">
        <f>UPPER(TEXT(Tabela_DB[[#This Row],[DATA]],"aaaa"))</f>
        <v>2021</v>
      </c>
    </row>
    <row r="3535" spans="1:8" x14ac:dyDescent="0.25">
      <c r="A3535" s="2">
        <v>44413</v>
      </c>
      <c r="B3535" t="s">
        <v>35</v>
      </c>
      <c r="C3535">
        <v>-1768</v>
      </c>
      <c r="D3535" t="str">
        <f>VLOOKUP(B3535,Tabela_Auxiliar[],2,0)</f>
        <v>2. Deduções da Receita</v>
      </c>
      <c r="E3535" t="str">
        <f>VLOOKUP(B3535,Tabela_Auxiliar[],4,0)</f>
        <v>Imposto</v>
      </c>
      <c r="F3535" t="str">
        <f>VLOOKUP(B3535,Tabela_Auxiliar[],3,0)</f>
        <v>Saída</v>
      </c>
      <c r="G3535" t="str">
        <f>UPPER(TEXT(Tabela_DB[[#This Row],[DATA]],"mmm"))</f>
        <v>AGO</v>
      </c>
      <c r="H3535" t="str">
        <f>UPPER(TEXT(Tabela_DB[[#This Row],[DATA]],"aaaa"))</f>
        <v>2021</v>
      </c>
    </row>
    <row r="3536" spans="1:8" x14ac:dyDescent="0.25">
      <c r="A3536" s="2">
        <v>44413</v>
      </c>
      <c r="B3536" t="s">
        <v>111</v>
      </c>
      <c r="C3536">
        <v>-2182</v>
      </c>
      <c r="D3536" t="str">
        <f>VLOOKUP(B3536,Tabela_Auxiliar[],2,0)</f>
        <v>2. Deduções da Receita</v>
      </c>
      <c r="E3536" t="str">
        <f>VLOOKUP(B3536,Tabela_Auxiliar[],4,0)</f>
        <v>Imposto</v>
      </c>
      <c r="F3536" t="str">
        <f>VLOOKUP(B3536,Tabela_Auxiliar[],3,0)</f>
        <v>Saída</v>
      </c>
      <c r="G3536" t="str">
        <f>UPPER(TEXT(Tabela_DB[[#This Row],[DATA]],"mmm"))</f>
        <v>AGO</v>
      </c>
      <c r="H3536" t="str">
        <f>UPPER(TEXT(Tabela_DB[[#This Row],[DATA]],"aaaa"))</f>
        <v>2021</v>
      </c>
    </row>
    <row r="3537" spans="1:8" x14ac:dyDescent="0.25">
      <c r="A3537" s="2">
        <v>44413</v>
      </c>
      <c r="B3537" t="s">
        <v>54</v>
      </c>
      <c r="C3537">
        <v>-2050</v>
      </c>
      <c r="D3537" t="str">
        <f>VLOOKUP(B3537,Tabela_Auxiliar[],2,0)</f>
        <v>4. Despesas Operacionais</v>
      </c>
      <c r="E3537" t="str">
        <f>VLOOKUP(B3537,Tabela_Auxiliar[],4,0)</f>
        <v>Despesa com Pessoal</v>
      </c>
      <c r="F3537" t="str">
        <f>VLOOKUP(B3537,Tabela_Auxiliar[],3,0)</f>
        <v>Saída</v>
      </c>
      <c r="G3537" t="str">
        <f>UPPER(TEXT(Tabela_DB[[#This Row],[DATA]],"mmm"))</f>
        <v>AGO</v>
      </c>
      <c r="H3537" t="str">
        <f>UPPER(TEXT(Tabela_DB[[#This Row],[DATA]],"aaaa"))</f>
        <v>2021</v>
      </c>
    </row>
    <row r="3538" spans="1:8" x14ac:dyDescent="0.25">
      <c r="A3538" s="2">
        <v>44413</v>
      </c>
      <c r="B3538" t="s">
        <v>35</v>
      </c>
      <c r="C3538">
        <v>-2128</v>
      </c>
      <c r="D3538" t="str">
        <f>VLOOKUP(B3538,Tabela_Auxiliar[],2,0)</f>
        <v>2. Deduções da Receita</v>
      </c>
      <c r="E3538" t="str">
        <f>VLOOKUP(B3538,Tabela_Auxiliar[],4,0)</f>
        <v>Imposto</v>
      </c>
      <c r="F3538" t="str">
        <f>VLOOKUP(B3538,Tabela_Auxiliar[],3,0)</f>
        <v>Saída</v>
      </c>
      <c r="G3538" t="str">
        <f>UPPER(TEXT(Tabela_DB[[#This Row],[DATA]],"mmm"))</f>
        <v>AGO</v>
      </c>
      <c r="H3538" t="str">
        <f>UPPER(TEXT(Tabela_DB[[#This Row],[DATA]],"aaaa"))</f>
        <v>2021</v>
      </c>
    </row>
    <row r="3539" spans="1:8" x14ac:dyDescent="0.25">
      <c r="A3539" s="2">
        <v>44413</v>
      </c>
      <c r="B3539" t="s">
        <v>4</v>
      </c>
      <c r="C3539">
        <v>13461</v>
      </c>
      <c r="D3539" t="str">
        <f>VLOOKUP(B3539,Tabela_Auxiliar[],2,0)</f>
        <v>1. Receita Operacional Bruta</v>
      </c>
      <c r="E3539" t="str">
        <f>VLOOKUP(B3539,Tabela_Auxiliar[],4,0)</f>
        <v>Receita Bruta</v>
      </c>
      <c r="F3539" t="str">
        <f>VLOOKUP(B3539,Tabela_Auxiliar[],3,0)</f>
        <v>Entrada</v>
      </c>
      <c r="G3539" t="str">
        <f>UPPER(TEXT(Tabela_DB[[#This Row],[DATA]],"mmm"))</f>
        <v>AGO</v>
      </c>
      <c r="H3539" t="str">
        <f>UPPER(TEXT(Tabela_DB[[#This Row],[DATA]],"aaaa"))</f>
        <v>2021</v>
      </c>
    </row>
    <row r="3540" spans="1:8" x14ac:dyDescent="0.25">
      <c r="A3540" s="2">
        <v>44413</v>
      </c>
      <c r="B3540" t="s">
        <v>111</v>
      </c>
      <c r="C3540">
        <v>-1753</v>
      </c>
      <c r="D3540" t="str">
        <f>VLOOKUP(B3540,Tabela_Auxiliar[],2,0)</f>
        <v>2. Deduções da Receita</v>
      </c>
      <c r="E3540" t="str">
        <f>VLOOKUP(B3540,Tabela_Auxiliar[],4,0)</f>
        <v>Imposto</v>
      </c>
      <c r="F3540" t="str">
        <f>VLOOKUP(B3540,Tabela_Auxiliar[],3,0)</f>
        <v>Saída</v>
      </c>
      <c r="G3540" t="str">
        <f>UPPER(TEXT(Tabela_DB[[#This Row],[DATA]],"mmm"))</f>
        <v>AGO</v>
      </c>
      <c r="H3540" t="str">
        <f>UPPER(TEXT(Tabela_DB[[#This Row],[DATA]],"aaaa"))</f>
        <v>2021</v>
      </c>
    </row>
    <row r="3541" spans="1:8" x14ac:dyDescent="0.25">
      <c r="A3541" s="2">
        <v>44413</v>
      </c>
      <c r="B3541" t="s">
        <v>38</v>
      </c>
      <c r="C3541">
        <v>-1462</v>
      </c>
      <c r="D3541" t="str">
        <f>VLOOKUP(B3541,Tabela_Auxiliar[],2,0)</f>
        <v>2. Deduções da Receita</v>
      </c>
      <c r="E3541" t="str">
        <f>VLOOKUP(B3541,Tabela_Auxiliar[],4,0)</f>
        <v>Deduções</v>
      </c>
      <c r="F3541" t="str">
        <f>VLOOKUP(B3541,Tabela_Auxiliar[],3,0)</f>
        <v>Saída</v>
      </c>
      <c r="G3541" t="str">
        <f>UPPER(TEXT(Tabela_DB[[#This Row],[DATA]],"mmm"))</f>
        <v>AGO</v>
      </c>
      <c r="H3541" t="str">
        <f>UPPER(TEXT(Tabela_DB[[#This Row],[DATA]],"aaaa"))</f>
        <v>2021</v>
      </c>
    </row>
    <row r="3542" spans="1:8" x14ac:dyDescent="0.25">
      <c r="A3542" s="2">
        <v>44413</v>
      </c>
      <c r="B3542" t="s">
        <v>111</v>
      </c>
      <c r="C3542">
        <v>-2443</v>
      </c>
      <c r="D3542" t="str">
        <f>VLOOKUP(B3542,Tabela_Auxiliar[],2,0)</f>
        <v>2. Deduções da Receita</v>
      </c>
      <c r="E3542" t="str">
        <f>VLOOKUP(B3542,Tabela_Auxiliar[],4,0)</f>
        <v>Imposto</v>
      </c>
      <c r="F3542" t="str">
        <f>VLOOKUP(B3542,Tabela_Auxiliar[],3,0)</f>
        <v>Saída</v>
      </c>
      <c r="G3542" t="str">
        <f>UPPER(TEXT(Tabela_DB[[#This Row],[DATA]],"mmm"))</f>
        <v>AGO</v>
      </c>
      <c r="H3542" t="str">
        <f>UPPER(TEXT(Tabela_DB[[#This Row],[DATA]],"aaaa"))</f>
        <v>2021</v>
      </c>
    </row>
    <row r="3543" spans="1:8" x14ac:dyDescent="0.25">
      <c r="A3543" s="2">
        <v>44413</v>
      </c>
      <c r="B3543" t="s">
        <v>111</v>
      </c>
      <c r="C3543">
        <v>-2179</v>
      </c>
      <c r="D3543" t="str">
        <f>VLOOKUP(B3543,Tabela_Auxiliar[],2,0)</f>
        <v>2. Deduções da Receita</v>
      </c>
      <c r="E3543" t="str">
        <f>VLOOKUP(B3543,Tabela_Auxiliar[],4,0)</f>
        <v>Imposto</v>
      </c>
      <c r="F3543" t="str">
        <f>VLOOKUP(B3543,Tabela_Auxiliar[],3,0)</f>
        <v>Saída</v>
      </c>
      <c r="G3543" t="str">
        <f>UPPER(TEXT(Tabela_DB[[#This Row],[DATA]],"mmm"))</f>
        <v>AGO</v>
      </c>
      <c r="H3543" t="str">
        <f>UPPER(TEXT(Tabela_DB[[#This Row],[DATA]],"aaaa"))</f>
        <v>2021</v>
      </c>
    </row>
    <row r="3544" spans="1:8" x14ac:dyDescent="0.25">
      <c r="A3544" s="2">
        <v>44413</v>
      </c>
      <c r="B3544" t="s">
        <v>54</v>
      </c>
      <c r="C3544">
        <v>-2398</v>
      </c>
      <c r="D3544" t="str">
        <f>VLOOKUP(B3544,Tabela_Auxiliar[],2,0)</f>
        <v>4. Despesas Operacionais</v>
      </c>
      <c r="E3544" t="str">
        <f>VLOOKUP(B3544,Tabela_Auxiliar[],4,0)</f>
        <v>Despesa com Pessoal</v>
      </c>
      <c r="F3544" t="str">
        <f>VLOOKUP(B3544,Tabela_Auxiliar[],3,0)</f>
        <v>Saída</v>
      </c>
      <c r="G3544" t="str">
        <f>UPPER(TEXT(Tabela_DB[[#This Row],[DATA]],"mmm"))</f>
        <v>AGO</v>
      </c>
      <c r="H3544" t="str">
        <f>UPPER(TEXT(Tabela_DB[[#This Row],[DATA]],"aaaa"))</f>
        <v>2021</v>
      </c>
    </row>
    <row r="3545" spans="1:8" x14ac:dyDescent="0.25">
      <c r="A3545" s="2">
        <v>44413</v>
      </c>
      <c r="B3545" t="s">
        <v>111</v>
      </c>
      <c r="C3545">
        <v>-1026</v>
      </c>
      <c r="D3545" t="str">
        <f>VLOOKUP(B3545,Tabela_Auxiliar[],2,0)</f>
        <v>2. Deduções da Receita</v>
      </c>
      <c r="E3545" t="str">
        <f>VLOOKUP(B3545,Tabela_Auxiliar[],4,0)</f>
        <v>Imposto</v>
      </c>
      <c r="F3545" t="str">
        <f>VLOOKUP(B3545,Tabela_Auxiliar[],3,0)</f>
        <v>Saída</v>
      </c>
      <c r="G3545" t="str">
        <f>UPPER(TEXT(Tabela_DB[[#This Row],[DATA]],"mmm"))</f>
        <v>AGO</v>
      </c>
      <c r="H3545" t="str">
        <f>UPPER(TEXT(Tabela_DB[[#This Row],[DATA]],"aaaa"))</f>
        <v>2021</v>
      </c>
    </row>
    <row r="3546" spans="1:8" x14ac:dyDescent="0.25">
      <c r="A3546" s="2">
        <v>44413</v>
      </c>
      <c r="B3546" t="s">
        <v>60</v>
      </c>
      <c r="C3546">
        <v>-1665</v>
      </c>
      <c r="D3546" t="str">
        <f>VLOOKUP(B3546,Tabela_Auxiliar[],2,0)</f>
        <v>4. Despesas Operacionais</v>
      </c>
      <c r="E3546" t="str">
        <f>VLOOKUP(B3546,Tabela_Auxiliar[],4,0)</f>
        <v>Despesa de Depreciação</v>
      </c>
      <c r="F3546" t="str">
        <f>VLOOKUP(B3546,Tabela_Auxiliar[],3,0)</f>
        <v>Saída</v>
      </c>
      <c r="G3546" t="str">
        <f>UPPER(TEXT(Tabela_DB[[#This Row],[DATA]],"mmm"))</f>
        <v>AGO</v>
      </c>
      <c r="H3546" t="str">
        <f>UPPER(TEXT(Tabela_DB[[#This Row],[DATA]],"aaaa"))</f>
        <v>2021</v>
      </c>
    </row>
    <row r="3547" spans="1:8" x14ac:dyDescent="0.25">
      <c r="A3547" s="2">
        <v>44413</v>
      </c>
      <c r="B3547" t="s">
        <v>37</v>
      </c>
      <c r="C3547">
        <v>-3511</v>
      </c>
      <c r="D3547" t="str">
        <f>VLOOKUP(B3547,Tabela_Auxiliar[],2,0)</f>
        <v>3. Custos do Produto/Mercadoria/Serviço</v>
      </c>
      <c r="E3547" t="str">
        <f>VLOOKUP(B3547,Tabela_Auxiliar[],4,0)</f>
        <v>Despesas c/ Produto</v>
      </c>
      <c r="F3547" t="str">
        <f>VLOOKUP(B3547,Tabela_Auxiliar[],3,0)</f>
        <v>Saída</v>
      </c>
      <c r="G3547" t="str">
        <f>UPPER(TEXT(Tabela_DB[[#This Row],[DATA]],"mmm"))</f>
        <v>AGO</v>
      </c>
      <c r="H3547" t="str">
        <f>UPPER(TEXT(Tabela_DB[[#This Row],[DATA]],"aaaa"))</f>
        <v>2021</v>
      </c>
    </row>
    <row r="3548" spans="1:8" x14ac:dyDescent="0.25">
      <c r="A3548" s="2">
        <v>44413</v>
      </c>
      <c r="B3548" t="s">
        <v>4</v>
      </c>
      <c r="C3548">
        <v>14020</v>
      </c>
      <c r="D3548" t="str">
        <f>VLOOKUP(B3548,Tabela_Auxiliar[],2,0)</f>
        <v>1. Receita Operacional Bruta</v>
      </c>
      <c r="E3548" t="str">
        <f>VLOOKUP(B3548,Tabela_Auxiliar[],4,0)</f>
        <v>Receita Bruta</v>
      </c>
      <c r="F3548" t="str">
        <f>VLOOKUP(B3548,Tabela_Auxiliar[],3,0)</f>
        <v>Entrada</v>
      </c>
      <c r="G3548" t="str">
        <f>UPPER(TEXT(Tabela_DB[[#This Row],[DATA]],"mmm"))</f>
        <v>AGO</v>
      </c>
      <c r="H3548" t="str">
        <f>UPPER(TEXT(Tabela_DB[[#This Row],[DATA]],"aaaa"))</f>
        <v>2021</v>
      </c>
    </row>
    <row r="3549" spans="1:8" x14ac:dyDescent="0.25">
      <c r="A3549" s="2">
        <v>44413</v>
      </c>
      <c r="B3549" t="s">
        <v>111</v>
      </c>
      <c r="C3549">
        <v>-1751</v>
      </c>
      <c r="D3549" t="str">
        <f>VLOOKUP(B3549,Tabela_Auxiliar[],2,0)</f>
        <v>2. Deduções da Receita</v>
      </c>
      <c r="E3549" t="str">
        <f>VLOOKUP(B3549,Tabela_Auxiliar[],4,0)</f>
        <v>Imposto</v>
      </c>
      <c r="F3549" t="str">
        <f>VLOOKUP(B3549,Tabela_Auxiliar[],3,0)</f>
        <v>Saída</v>
      </c>
      <c r="G3549" t="str">
        <f>UPPER(TEXT(Tabela_DB[[#This Row],[DATA]],"mmm"))</f>
        <v>AGO</v>
      </c>
      <c r="H3549" t="str">
        <f>UPPER(TEXT(Tabela_DB[[#This Row],[DATA]],"aaaa"))</f>
        <v>2021</v>
      </c>
    </row>
    <row r="3550" spans="1:8" x14ac:dyDescent="0.25">
      <c r="A3550" s="2">
        <v>44414</v>
      </c>
      <c r="B3550" t="s">
        <v>35</v>
      </c>
      <c r="C3550">
        <v>-2470</v>
      </c>
      <c r="D3550" t="str">
        <f>VLOOKUP(B3550,Tabela_Auxiliar[],2,0)</f>
        <v>2. Deduções da Receita</v>
      </c>
      <c r="E3550" t="str">
        <f>VLOOKUP(B3550,Tabela_Auxiliar[],4,0)</f>
        <v>Imposto</v>
      </c>
      <c r="F3550" t="str">
        <f>VLOOKUP(B3550,Tabela_Auxiliar[],3,0)</f>
        <v>Saída</v>
      </c>
      <c r="G3550" t="str">
        <f>UPPER(TEXT(Tabela_DB[[#This Row],[DATA]],"mmm"))</f>
        <v>AGO</v>
      </c>
      <c r="H3550" t="str">
        <f>UPPER(TEXT(Tabela_DB[[#This Row],[DATA]],"aaaa"))</f>
        <v>2021</v>
      </c>
    </row>
    <row r="3551" spans="1:8" x14ac:dyDescent="0.25">
      <c r="A3551" s="2">
        <v>44414</v>
      </c>
      <c r="B3551" t="s">
        <v>35</v>
      </c>
      <c r="C3551">
        <v>-1700</v>
      </c>
      <c r="D3551" t="str">
        <f>VLOOKUP(B3551,Tabela_Auxiliar[],2,0)</f>
        <v>2. Deduções da Receita</v>
      </c>
      <c r="E3551" t="str">
        <f>VLOOKUP(B3551,Tabela_Auxiliar[],4,0)</f>
        <v>Imposto</v>
      </c>
      <c r="F3551" t="str">
        <f>VLOOKUP(B3551,Tabela_Auxiliar[],3,0)</f>
        <v>Saída</v>
      </c>
      <c r="G3551" t="str">
        <f>UPPER(TEXT(Tabela_DB[[#This Row],[DATA]],"mmm"))</f>
        <v>AGO</v>
      </c>
      <c r="H3551" t="str">
        <f>UPPER(TEXT(Tabela_DB[[#This Row],[DATA]],"aaaa"))</f>
        <v>2021</v>
      </c>
    </row>
    <row r="3552" spans="1:8" x14ac:dyDescent="0.25">
      <c r="A3552" s="2">
        <v>44414</v>
      </c>
      <c r="B3552" t="s">
        <v>111</v>
      </c>
      <c r="C3552">
        <v>-1400</v>
      </c>
      <c r="D3552" t="str">
        <f>VLOOKUP(B3552,Tabela_Auxiliar[],2,0)</f>
        <v>2. Deduções da Receita</v>
      </c>
      <c r="E3552" t="str">
        <f>VLOOKUP(B3552,Tabela_Auxiliar[],4,0)</f>
        <v>Imposto</v>
      </c>
      <c r="F3552" t="str">
        <f>VLOOKUP(B3552,Tabela_Auxiliar[],3,0)</f>
        <v>Saída</v>
      </c>
      <c r="G3552" t="str">
        <f>UPPER(TEXT(Tabela_DB[[#This Row],[DATA]],"mmm"))</f>
        <v>AGO</v>
      </c>
      <c r="H3552" t="str">
        <f>UPPER(TEXT(Tabela_DB[[#This Row],[DATA]],"aaaa"))</f>
        <v>2021</v>
      </c>
    </row>
    <row r="3553" spans="1:8" x14ac:dyDescent="0.25">
      <c r="A3553" s="2">
        <v>44414</v>
      </c>
      <c r="B3553" t="s">
        <v>58</v>
      </c>
      <c r="C3553">
        <v>-1038</v>
      </c>
      <c r="D3553" t="str">
        <f>VLOOKUP(B3553,Tabela_Auxiliar[],2,0)</f>
        <v>4. Despesas Operacionais</v>
      </c>
      <c r="E3553" t="str">
        <f>VLOOKUP(B3553,Tabela_Auxiliar[],4,0)</f>
        <v>Despesa de Depreciação</v>
      </c>
      <c r="F3553" t="str">
        <f>VLOOKUP(B3553,Tabela_Auxiliar[],3,0)</f>
        <v>Saída</v>
      </c>
      <c r="G3553" t="str">
        <f>UPPER(TEXT(Tabela_DB[[#This Row],[DATA]],"mmm"))</f>
        <v>AGO</v>
      </c>
      <c r="H3553" t="str">
        <f>UPPER(TEXT(Tabela_DB[[#This Row],[DATA]],"aaaa"))</f>
        <v>2021</v>
      </c>
    </row>
    <row r="3554" spans="1:8" x14ac:dyDescent="0.25">
      <c r="A3554" s="2">
        <v>44414</v>
      </c>
      <c r="B3554" t="s">
        <v>3</v>
      </c>
      <c r="C3554">
        <v>14268</v>
      </c>
      <c r="D3554" t="str">
        <f>VLOOKUP(B3554,Tabela_Auxiliar[],2,0)</f>
        <v>1. Receita Operacional Bruta</v>
      </c>
      <c r="E3554" t="str">
        <f>VLOOKUP(B3554,Tabela_Auxiliar[],4,0)</f>
        <v>Receita Bruta</v>
      </c>
      <c r="F3554" t="str">
        <f>VLOOKUP(B3554,Tabela_Auxiliar[],3,0)</f>
        <v>Entrada</v>
      </c>
      <c r="G3554" t="str">
        <f>UPPER(TEXT(Tabela_DB[[#This Row],[DATA]],"mmm"))</f>
        <v>AGO</v>
      </c>
      <c r="H3554" t="str">
        <f>UPPER(TEXT(Tabela_DB[[#This Row],[DATA]],"aaaa"))</f>
        <v>2021</v>
      </c>
    </row>
    <row r="3555" spans="1:8" x14ac:dyDescent="0.25">
      <c r="A3555" s="2">
        <v>44414</v>
      </c>
      <c r="B3555" t="s">
        <v>38</v>
      </c>
      <c r="C3555">
        <v>-1625</v>
      </c>
      <c r="D3555" t="str">
        <f>VLOOKUP(B3555,Tabela_Auxiliar[],2,0)</f>
        <v>2. Deduções da Receita</v>
      </c>
      <c r="E3555" t="str">
        <f>VLOOKUP(B3555,Tabela_Auxiliar[],4,0)</f>
        <v>Deduções</v>
      </c>
      <c r="F3555" t="str">
        <f>VLOOKUP(B3555,Tabela_Auxiliar[],3,0)</f>
        <v>Saída</v>
      </c>
      <c r="G3555" t="str">
        <f>UPPER(TEXT(Tabela_DB[[#This Row],[DATA]],"mmm"))</f>
        <v>AGO</v>
      </c>
      <c r="H3555" t="str">
        <f>UPPER(TEXT(Tabela_DB[[#This Row],[DATA]],"aaaa"))</f>
        <v>2021</v>
      </c>
    </row>
    <row r="3556" spans="1:8" x14ac:dyDescent="0.25">
      <c r="A3556" s="2">
        <v>44414</v>
      </c>
      <c r="B3556" t="s">
        <v>3</v>
      </c>
      <c r="C3556">
        <v>10976</v>
      </c>
      <c r="D3556" t="str">
        <f>VLOOKUP(B3556,Tabela_Auxiliar[],2,0)</f>
        <v>1. Receita Operacional Bruta</v>
      </c>
      <c r="E3556" t="str">
        <f>VLOOKUP(B3556,Tabela_Auxiliar[],4,0)</f>
        <v>Receita Bruta</v>
      </c>
      <c r="F3556" t="str">
        <f>VLOOKUP(B3556,Tabela_Auxiliar[],3,0)</f>
        <v>Entrada</v>
      </c>
      <c r="G3556" t="str">
        <f>UPPER(TEXT(Tabela_DB[[#This Row],[DATA]],"mmm"))</f>
        <v>AGO</v>
      </c>
      <c r="H3556" t="str">
        <f>UPPER(TEXT(Tabela_DB[[#This Row],[DATA]],"aaaa"))</f>
        <v>2021</v>
      </c>
    </row>
    <row r="3557" spans="1:8" x14ac:dyDescent="0.25">
      <c r="A3557" s="2">
        <v>44414</v>
      </c>
      <c r="B3557" t="s">
        <v>37</v>
      </c>
      <c r="C3557">
        <v>-3941</v>
      </c>
      <c r="D3557" t="str">
        <f>VLOOKUP(B3557,Tabela_Auxiliar[],2,0)</f>
        <v>3. Custos do Produto/Mercadoria/Serviço</v>
      </c>
      <c r="E3557" t="str">
        <f>VLOOKUP(B3557,Tabela_Auxiliar[],4,0)</f>
        <v>Despesas c/ Produto</v>
      </c>
      <c r="F3557" t="str">
        <f>VLOOKUP(B3557,Tabela_Auxiliar[],3,0)</f>
        <v>Saída</v>
      </c>
      <c r="G3557" t="str">
        <f>UPPER(TEXT(Tabela_DB[[#This Row],[DATA]],"mmm"))</f>
        <v>AGO</v>
      </c>
      <c r="H3557" t="str">
        <f>UPPER(TEXT(Tabela_DB[[#This Row],[DATA]],"aaaa"))</f>
        <v>2021</v>
      </c>
    </row>
    <row r="3558" spans="1:8" x14ac:dyDescent="0.25">
      <c r="A3558" s="2">
        <v>44414</v>
      </c>
      <c r="B3558" t="s">
        <v>63</v>
      </c>
      <c r="C3558">
        <v>-2413</v>
      </c>
      <c r="D3558" t="str">
        <f>VLOOKUP(B3558,Tabela_Auxiliar[],2,0)</f>
        <v>4. Despesas Operacionais</v>
      </c>
      <c r="E3558" t="str">
        <f>VLOOKUP(B3558,Tabela_Auxiliar[],4,0)</f>
        <v>Despesa Gerais</v>
      </c>
      <c r="F3558" t="str">
        <f>VLOOKUP(B3558,Tabela_Auxiliar[],3,0)</f>
        <v>Saída</v>
      </c>
      <c r="G3558" t="str">
        <f>UPPER(TEXT(Tabela_DB[[#This Row],[DATA]],"mmm"))</f>
        <v>AGO</v>
      </c>
      <c r="H3558" t="str">
        <f>UPPER(TEXT(Tabela_DB[[#This Row],[DATA]],"aaaa"))</f>
        <v>2021</v>
      </c>
    </row>
    <row r="3559" spans="1:8" x14ac:dyDescent="0.25">
      <c r="A3559" s="2">
        <v>44414</v>
      </c>
      <c r="B3559" t="s">
        <v>35</v>
      </c>
      <c r="C3559">
        <v>-1769</v>
      </c>
      <c r="D3559" t="str">
        <f>VLOOKUP(B3559,Tabela_Auxiliar[],2,0)</f>
        <v>2. Deduções da Receita</v>
      </c>
      <c r="E3559" t="str">
        <f>VLOOKUP(B3559,Tabela_Auxiliar[],4,0)</f>
        <v>Imposto</v>
      </c>
      <c r="F3559" t="str">
        <f>VLOOKUP(B3559,Tabela_Auxiliar[],3,0)</f>
        <v>Saída</v>
      </c>
      <c r="G3559" t="str">
        <f>UPPER(TEXT(Tabela_DB[[#This Row],[DATA]],"mmm"))</f>
        <v>AGO</v>
      </c>
      <c r="H3559" t="str">
        <f>UPPER(TEXT(Tabela_DB[[#This Row],[DATA]],"aaaa"))</f>
        <v>2021</v>
      </c>
    </row>
    <row r="3560" spans="1:8" x14ac:dyDescent="0.25">
      <c r="A3560" s="2">
        <v>44414</v>
      </c>
      <c r="B3560" t="s">
        <v>111</v>
      </c>
      <c r="C3560">
        <v>-1700</v>
      </c>
      <c r="D3560" t="str">
        <f>VLOOKUP(B3560,Tabela_Auxiliar[],2,0)</f>
        <v>2. Deduções da Receita</v>
      </c>
      <c r="E3560" t="str">
        <f>VLOOKUP(B3560,Tabela_Auxiliar[],4,0)</f>
        <v>Imposto</v>
      </c>
      <c r="F3560" t="str">
        <f>VLOOKUP(B3560,Tabela_Auxiliar[],3,0)</f>
        <v>Saída</v>
      </c>
      <c r="G3560" t="str">
        <f>UPPER(TEXT(Tabela_DB[[#This Row],[DATA]],"mmm"))</f>
        <v>AGO</v>
      </c>
      <c r="H3560" t="str">
        <f>UPPER(TEXT(Tabela_DB[[#This Row],[DATA]],"aaaa"))</f>
        <v>2021</v>
      </c>
    </row>
    <row r="3561" spans="1:8" x14ac:dyDescent="0.25">
      <c r="A3561" s="2">
        <v>44414</v>
      </c>
      <c r="B3561" t="s">
        <v>8</v>
      </c>
      <c r="C3561">
        <v>-1057</v>
      </c>
      <c r="D3561" t="str">
        <f>VLOOKUP(B3561,Tabela_Auxiliar[],2,0)</f>
        <v>4. Despesas Operacionais</v>
      </c>
      <c r="E3561" t="str">
        <f>VLOOKUP(B3561,Tabela_Auxiliar[],4,0)</f>
        <v>Despesa com Pessoal</v>
      </c>
      <c r="F3561" t="str">
        <f>VLOOKUP(B3561,Tabela_Auxiliar[],3,0)</f>
        <v>Saída</v>
      </c>
      <c r="G3561" t="str">
        <f>UPPER(TEXT(Tabela_DB[[#This Row],[DATA]],"mmm"))</f>
        <v>AGO</v>
      </c>
      <c r="H3561" t="str">
        <f>UPPER(TEXT(Tabela_DB[[#This Row],[DATA]],"aaaa"))</f>
        <v>2021</v>
      </c>
    </row>
    <row r="3562" spans="1:8" x14ac:dyDescent="0.25">
      <c r="A3562" s="2">
        <v>44414</v>
      </c>
      <c r="B3562" t="s">
        <v>58</v>
      </c>
      <c r="C3562">
        <v>-1276</v>
      </c>
      <c r="D3562" t="str">
        <f>VLOOKUP(B3562,Tabela_Auxiliar[],2,0)</f>
        <v>4. Despesas Operacionais</v>
      </c>
      <c r="E3562" t="str">
        <f>VLOOKUP(B3562,Tabela_Auxiliar[],4,0)</f>
        <v>Despesa de Depreciação</v>
      </c>
      <c r="F3562" t="str">
        <f>VLOOKUP(B3562,Tabela_Auxiliar[],3,0)</f>
        <v>Saída</v>
      </c>
      <c r="G3562" t="str">
        <f>UPPER(TEXT(Tabela_DB[[#This Row],[DATA]],"mmm"))</f>
        <v>AGO</v>
      </c>
      <c r="H3562" t="str">
        <f>UPPER(TEXT(Tabela_DB[[#This Row],[DATA]],"aaaa"))</f>
        <v>2021</v>
      </c>
    </row>
    <row r="3563" spans="1:8" x14ac:dyDescent="0.25">
      <c r="A3563" s="2">
        <v>44414</v>
      </c>
      <c r="B3563" t="s">
        <v>45</v>
      </c>
      <c r="C3563">
        <v>-1106</v>
      </c>
      <c r="D3563" t="str">
        <f>VLOOKUP(B3563,Tabela_Auxiliar[],2,0)</f>
        <v>4. Despesas Operacionais</v>
      </c>
      <c r="E3563" t="str">
        <f>VLOOKUP(B3563,Tabela_Auxiliar[],4,0)</f>
        <v>Despesa com Pessoal</v>
      </c>
      <c r="F3563" t="str">
        <f>VLOOKUP(B3563,Tabela_Auxiliar[],3,0)</f>
        <v>Saída</v>
      </c>
      <c r="G3563" t="str">
        <f>UPPER(TEXT(Tabela_DB[[#This Row],[DATA]],"mmm"))</f>
        <v>AGO</v>
      </c>
      <c r="H3563" t="str">
        <f>UPPER(TEXT(Tabela_DB[[#This Row],[DATA]],"aaaa"))</f>
        <v>2021</v>
      </c>
    </row>
    <row r="3564" spans="1:8" x14ac:dyDescent="0.25">
      <c r="A3564" s="2">
        <v>44414</v>
      </c>
      <c r="B3564" t="s">
        <v>34</v>
      </c>
      <c r="C3564">
        <v>-2225</v>
      </c>
      <c r="D3564" t="str">
        <f>VLOOKUP(B3564,Tabela_Auxiliar[],2,0)</f>
        <v>2. Deduções da Receita</v>
      </c>
      <c r="E3564" t="str">
        <f>VLOOKUP(B3564,Tabela_Auxiliar[],4,0)</f>
        <v>Imposto</v>
      </c>
      <c r="F3564" t="str">
        <f>VLOOKUP(B3564,Tabela_Auxiliar[],3,0)</f>
        <v>Saída</v>
      </c>
      <c r="G3564" t="str">
        <f>UPPER(TEXT(Tabela_DB[[#This Row],[DATA]],"mmm"))</f>
        <v>AGO</v>
      </c>
      <c r="H3564" t="str">
        <f>UPPER(TEXT(Tabela_DB[[#This Row],[DATA]],"aaaa"))</f>
        <v>2021</v>
      </c>
    </row>
    <row r="3565" spans="1:8" x14ac:dyDescent="0.25">
      <c r="A3565" s="2">
        <v>44414</v>
      </c>
      <c r="B3565" t="s">
        <v>111</v>
      </c>
      <c r="C3565">
        <v>-1192</v>
      </c>
      <c r="D3565" t="str">
        <f>VLOOKUP(B3565,Tabela_Auxiliar[],2,0)</f>
        <v>2. Deduções da Receita</v>
      </c>
      <c r="E3565" t="str">
        <f>VLOOKUP(B3565,Tabela_Auxiliar[],4,0)</f>
        <v>Imposto</v>
      </c>
      <c r="F3565" t="str">
        <f>VLOOKUP(B3565,Tabela_Auxiliar[],3,0)</f>
        <v>Saída</v>
      </c>
      <c r="G3565" t="str">
        <f>UPPER(TEXT(Tabela_DB[[#This Row],[DATA]],"mmm"))</f>
        <v>AGO</v>
      </c>
      <c r="H3565" t="str">
        <f>UPPER(TEXT(Tabela_DB[[#This Row],[DATA]],"aaaa"))</f>
        <v>2021</v>
      </c>
    </row>
    <row r="3566" spans="1:8" x14ac:dyDescent="0.25">
      <c r="A3566" s="2">
        <v>44415</v>
      </c>
      <c r="B3566" t="s">
        <v>35</v>
      </c>
      <c r="C3566">
        <v>-1485</v>
      </c>
      <c r="D3566" t="str">
        <f>VLOOKUP(B3566,Tabela_Auxiliar[],2,0)</f>
        <v>2. Deduções da Receita</v>
      </c>
      <c r="E3566" t="str">
        <f>VLOOKUP(B3566,Tabela_Auxiliar[],4,0)</f>
        <v>Imposto</v>
      </c>
      <c r="F3566" t="str">
        <f>VLOOKUP(B3566,Tabela_Auxiliar[],3,0)</f>
        <v>Saída</v>
      </c>
      <c r="G3566" t="str">
        <f>UPPER(TEXT(Tabela_DB[[#This Row],[DATA]],"mmm"))</f>
        <v>AGO</v>
      </c>
      <c r="H3566" t="str">
        <f>UPPER(TEXT(Tabela_DB[[#This Row],[DATA]],"aaaa"))</f>
        <v>2021</v>
      </c>
    </row>
    <row r="3567" spans="1:8" x14ac:dyDescent="0.25">
      <c r="A3567" s="2">
        <v>44415</v>
      </c>
      <c r="B3567" t="s">
        <v>66</v>
      </c>
      <c r="C3567">
        <v>-1196</v>
      </c>
      <c r="D3567" t="str">
        <f>VLOOKUP(B3567,Tabela_Auxiliar[],2,0)</f>
        <v>4. Despesas Operacionais</v>
      </c>
      <c r="E3567" t="str">
        <f>VLOOKUP(B3567,Tabela_Auxiliar[],4,0)</f>
        <v>Despesa com Vendas</v>
      </c>
      <c r="F3567" t="str">
        <f>VLOOKUP(B3567,Tabela_Auxiliar[],3,0)</f>
        <v>Saída</v>
      </c>
      <c r="G3567" t="str">
        <f>UPPER(TEXT(Tabela_DB[[#This Row],[DATA]],"mmm"))</f>
        <v>AGO</v>
      </c>
      <c r="H3567" t="str">
        <f>UPPER(TEXT(Tabela_DB[[#This Row],[DATA]],"aaaa"))</f>
        <v>2021</v>
      </c>
    </row>
    <row r="3568" spans="1:8" x14ac:dyDescent="0.25">
      <c r="A3568" s="2">
        <v>44415</v>
      </c>
      <c r="B3568" t="s">
        <v>64</v>
      </c>
      <c r="C3568">
        <v>-1718</v>
      </c>
      <c r="D3568" t="str">
        <f>VLOOKUP(B3568,Tabela_Auxiliar[],2,0)</f>
        <v>4. Despesas Operacionais</v>
      </c>
      <c r="E3568" t="str">
        <f>VLOOKUP(B3568,Tabela_Auxiliar[],4,0)</f>
        <v>Despesa Gerais</v>
      </c>
      <c r="F3568" t="str">
        <f>VLOOKUP(B3568,Tabela_Auxiliar[],3,0)</f>
        <v>Saída</v>
      </c>
      <c r="G3568" t="str">
        <f>UPPER(TEXT(Tabela_DB[[#This Row],[DATA]],"mmm"))</f>
        <v>AGO</v>
      </c>
      <c r="H3568" t="str">
        <f>UPPER(TEXT(Tabela_DB[[#This Row],[DATA]],"aaaa"))</f>
        <v>2021</v>
      </c>
    </row>
    <row r="3569" spans="1:8" x14ac:dyDescent="0.25">
      <c r="A3569" s="2">
        <v>44415</v>
      </c>
      <c r="B3569" t="s">
        <v>76</v>
      </c>
      <c r="C3569">
        <v>-2491</v>
      </c>
      <c r="D3569" t="str">
        <f>VLOOKUP(B3569,Tabela_Auxiliar[],2,0)</f>
        <v>4. Despesas Operacionais</v>
      </c>
      <c r="E3569" t="str">
        <f>VLOOKUP(B3569,Tabela_Auxiliar[],4,0)</f>
        <v>Serviços Contratados</v>
      </c>
      <c r="F3569" t="str">
        <f>VLOOKUP(B3569,Tabela_Auxiliar[],3,0)</f>
        <v>Saída</v>
      </c>
      <c r="G3569" t="str">
        <f>UPPER(TEXT(Tabela_DB[[#This Row],[DATA]],"mmm"))</f>
        <v>AGO</v>
      </c>
      <c r="H3569" t="str">
        <f>UPPER(TEXT(Tabela_DB[[#This Row],[DATA]],"aaaa"))</f>
        <v>2021</v>
      </c>
    </row>
    <row r="3570" spans="1:8" x14ac:dyDescent="0.25">
      <c r="A3570" s="2">
        <v>44415</v>
      </c>
      <c r="B3570" t="s">
        <v>3</v>
      </c>
      <c r="C3570">
        <v>14888</v>
      </c>
      <c r="D3570" t="str">
        <f>VLOOKUP(B3570,Tabela_Auxiliar[],2,0)</f>
        <v>1. Receita Operacional Bruta</v>
      </c>
      <c r="E3570" t="str">
        <f>VLOOKUP(B3570,Tabela_Auxiliar[],4,0)</f>
        <v>Receita Bruta</v>
      </c>
      <c r="F3570" t="str">
        <f>VLOOKUP(B3570,Tabela_Auxiliar[],3,0)</f>
        <v>Entrada</v>
      </c>
      <c r="G3570" t="str">
        <f>UPPER(TEXT(Tabela_DB[[#This Row],[DATA]],"mmm"))</f>
        <v>AGO</v>
      </c>
      <c r="H3570" t="str">
        <f>UPPER(TEXT(Tabela_DB[[#This Row],[DATA]],"aaaa"))</f>
        <v>2021</v>
      </c>
    </row>
    <row r="3571" spans="1:8" x14ac:dyDescent="0.25">
      <c r="A3571" s="2">
        <v>44415</v>
      </c>
      <c r="B3571" t="s">
        <v>87</v>
      </c>
      <c r="C3571">
        <v>-1570</v>
      </c>
      <c r="D3571" t="str">
        <f>VLOOKUP(B3571,Tabela_Auxiliar[],2,0)</f>
        <v>4. Despesas Operacionais</v>
      </c>
      <c r="E3571" t="str">
        <f>VLOOKUP(B3571,Tabela_Auxiliar[],4,0)</f>
        <v>Despesa Tributária</v>
      </c>
      <c r="F3571" t="str">
        <f>VLOOKUP(B3571,Tabela_Auxiliar[],3,0)</f>
        <v>Saída</v>
      </c>
      <c r="G3571" t="str">
        <f>UPPER(TEXT(Tabela_DB[[#This Row],[DATA]],"mmm"))</f>
        <v>AGO</v>
      </c>
      <c r="H3571" t="str">
        <f>UPPER(TEXT(Tabela_DB[[#This Row],[DATA]],"aaaa"))</f>
        <v>2021</v>
      </c>
    </row>
    <row r="3572" spans="1:8" x14ac:dyDescent="0.25">
      <c r="A3572" s="2">
        <v>44415</v>
      </c>
      <c r="B3572" t="s">
        <v>56</v>
      </c>
      <c r="C3572">
        <v>-1179</v>
      </c>
      <c r="D3572" t="str">
        <f>VLOOKUP(B3572,Tabela_Auxiliar[],2,0)</f>
        <v>4. Despesas Operacionais</v>
      </c>
      <c r="E3572" t="str">
        <f>VLOOKUP(B3572,Tabela_Auxiliar[],4,0)</f>
        <v>Despesa com Pessoal</v>
      </c>
      <c r="F3572" t="str">
        <f>VLOOKUP(B3572,Tabela_Auxiliar[],3,0)</f>
        <v>Saída</v>
      </c>
      <c r="G3572" t="str">
        <f>UPPER(TEXT(Tabela_DB[[#This Row],[DATA]],"mmm"))</f>
        <v>AGO</v>
      </c>
      <c r="H3572" t="str">
        <f>UPPER(TEXT(Tabela_DB[[#This Row],[DATA]],"aaaa"))</f>
        <v>2021</v>
      </c>
    </row>
    <row r="3573" spans="1:8" x14ac:dyDescent="0.25">
      <c r="A3573" s="2">
        <v>44415</v>
      </c>
      <c r="B3573" t="s">
        <v>3</v>
      </c>
      <c r="C3573">
        <v>13088</v>
      </c>
      <c r="D3573" t="str">
        <f>VLOOKUP(B3573,Tabela_Auxiliar[],2,0)</f>
        <v>1. Receita Operacional Bruta</v>
      </c>
      <c r="E3573" t="str">
        <f>VLOOKUP(B3573,Tabela_Auxiliar[],4,0)</f>
        <v>Receita Bruta</v>
      </c>
      <c r="F3573" t="str">
        <f>VLOOKUP(B3573,Tabela_Auxiliar[],3,0)</f>
        <v>Entrada</v>
      </c>
      <c r="G3573" t="str">
        <f>UPPER(TEXT(Tabela_DB[[#This Row],[DATA]],"mmm"))</f>
        <v>AGO</v>
      </c>
      <c r="H3573" t="str">
        <f>UPPER(TEXT(Tabela_DB[[#This Row],[DATA]],"aaaa"))</f>
        <v>2021</v>
      </c>
    </row>
    <row r="3574" spans="1:8" x14ac:dyDescent="0.25">
      <c r="A3574" s="2">
        <v>44415</v>
      </c>
      <c r="B3574" t="s">
        <v>4</v>
      </c>
      <c r="C3574">
        <v>13063</v>
      </c>
      <c r="D3574" t="str">
        <f>VLOOKUP(B3574,Tabela_Auxiliar[],2,0)</f>
        <v>1. Receita Operacional Bruta</v>
      </c>
      <c r="E3574" t="str">
        <f>VLOOKUP(B3574,Tabela_Auxiliar[],4,0)</f>
        <v>Receita Bruta</v>
      </c>
      <c r="F3574" t="str">
        <f>VLOOKUP(B3574,Tabela_Auxiliar[],3,0)</f>
        <v>Entrada</v>
      </c>
      <c r="G3574" t="str">
        <f>UPPER(TEXT(Tabela_DB[[#This Row],[DATA]],"mmm"))</f>
        <v>AGO</v>
      </c>
      <c r="H3574" t="str">
        <f>UPPER(TEXT(Tabela_DB[[#This Row],[DATA]],"aaaa"))</f>
        <v>2021</v>
      </c>
    </row>
    <row r="3575" spans="1:8" x14ac:dyDescent="0.25">
      <c r="A3575" s="2">
        <v>44415</v>
      </c>
      <c r="B3575" t="s">
        <v>44</v>
      </c>
      <c r="C3575">
        <v>-2373</v>
      </c>
      <c r="D3575" t="str">
        <f>VLOOKUP(B3575,Tabela_Auxiliar[],2,0)</f>
        <v>4. Despesas Operacionais</v>
      </c>
      <c r="E3575" t="str">
        <f>VLOOKUP(B3575,Tabela_Auxiliar[],4,0)</f>
        <v>Despesa com Pessoal</v>
      </c>
      <c r="F3575" t="str">
        <f>VLOOKUP(B3575,Tabela_Auxiliar[],3,0)</f>
        <v>Saída</v>
      </c>
      <c r="G3575" t="str">
        <f>UPPER(TEXT(Tabela_DB[[#This Row],[DATA]],"mmm"))</f>
        <v>AGO</v>
      </c>
      <c r="H3575" t="str">
        <f>UPPER(TEXT(Tabela_DB[[#This Row],[DATA]],"aaaa"))</f>
        <v>2021</v>
      </c>
    </row>
    <row r="3576" spans="1:8" x14ac:dyDescent="0.25">
      <c r="A3576" s="2">
        <v>44415</v>
      </c>
      <c r="B3576" t="s">
        <v>35</v>
      </c>
      <c r="C3576">
        <v>-2186</v>
      </c>
      <c r="D3576" t="str">
        <f>VLOOKUP(B3576,Tabela_Auxiliar[],2,0)</f>
        <v>2. Deduções da Receita</v>
      </c>
      <c r="E3576" t="str">
        <f>VLOOKUP(B3576,Tabela_Auxiliar[],4,0)</f>
        <v>Imposto</v>
      </c>
      <c r="F3576" t="str">
        <f>VLOOKUP(B3576,Tabela_Auxiliar[],3,0)</f>
        <v>Saída</v>
      </c>
      <c r="G3576" t="str">
        <f>UPPER(TEXT(Tabela_DB[[#This Row],[DATA]],"mmm"))</f>
        <v>AGO</v>
      </c>
      <c r="H3576" t="str">
        <f>UPPER(TEXT(Tabela_DB[[#This Row],[DATA]],"aaaa"))</f>
        <v>2021</v>
      </c>
    </row>
    <row r="3577" spans="1:8" x14ac:dyDescent="0.25">
      <c r="A3577" s="2">
        <v>44415</v>
      </c>
      <c r="B3577" t="s">
        <v>37</v>
      </c>
      <c r="C3577">
        <v>-2945</v>
      </c>
      <c r="D3577" t="str">
        <f>VLOOKUP(B3577,Tabela_Auxiliar[],2,0)</f>
        <v>3. Custos do Produto/Mercadoria/Serviço</v>
      </c>
      <c r="E3577" t="str">
        <f>VLOOKUP(B3577,Tabela_Auxiliar[],4,0)</f>
        <v>Despesas c/ Produto</v>
      </c>
      <c r="F3577" t="str">
        <f>VLOOKUP(B3577,Tabela_Auxiliar[],3,0)</f>
        <v>Saída</v>
      </c>
      <c r="G3577" t="str">
        <f>UPPER(TEXT(Tabela_DB[[#This Row],[DATA]],"mmm"))</f>
        <v>AGO</v>
      </c>
      <c r="H3577" t="str">
        <f>UPPER(TEXT(Tabela_DB[[#This Row],[DATA]],"aaaa"))</f>
        <v>2021</v>
      </c>
    </row>
    <row r="3578" spans="1:8" x14ac:dyDescent="0.25">
      <c r="A3578" s="2">
        <v>44416</v>
      </c>
      <c r="B3578" t="s">
        <v>38</v>
      </c>
      <c r="C3578">
        <v>-1968</v>
      </c>
      <c r="D3578" t="str">
        <f>VLOOKUP(B3578,Tabela_Auxiliar[],2,0)</f>
        <v>2. Deduções da Receita</v>
      </c>
      <c r="E3578" t="str">
        <f>VLOOKUP(B3578,Tabela_Auxiliar[],4,0)</f>
        <v>Deduções</v>
      </c>
      <c r="F3578" t="str">
        <f>VLOOKUP(B3578,Tabela_Auxiliar[],3,0)</f>
        <v>Saída</v>
      </c>
      <c r="G3578" t="str">
        <f>UPPER(TEXT(Tabela_DB[[#This Row],[DATA]],"mmm"))</f>
        <v>AGO</v>
      </c>
      <c r="H3578" t="str">
        <f>UPPER(TEXT(Tabela_DB[[#This Row],[DATA]],"aaaa"))</f>
        <v>2021</v>
      </c>
    </row>
    <row r="3579" spans="1:8" x14ac:dyDescent="0.25">
      <c r="A3579" s="2">
        <v>44416</v>
      </c>
      <c r="B3579" t="s">
        <v>38</v>
      </c>
      <c r="C3579">
        <v>-2336</v>
      </c>
      <c r="D3579" t="str">
        <f>VLOOKUP(B3579,Tabela_Auxiliar[],2,0)</f>
        <v>2. Deduções da Receita</v>
      </c>
      <c r="E3579" t="str">
        <f>VLOOKUP(B3579,Tabela_Auxiliar[],4,0)</f>
        <v>Deduções</v>
      </c>
      <c r="F3579" t="str">
        <f>VLOOKUP(B3579,Tabela_Auxiliar[],3,0)</f>
        <v>Saída</v>
      </c>
      <c r="G3579" t="str">
        <f>UPPER(TEXT(Tabela_DB[[#This Row],[DATA]],"mmm"))</f>
        <v>AGO</v>
      </c>
      <c r="H3579" t="str">
        <f>UPPER(TEXT(Tabela_DB[[#This Row],[DATA]],"aaaa"))</f>
        <v>2021</v>
      </c>
    </row>
    <row r="3580" spans="1:8" x14ac:dyDescent="0.25">
      <c r="A3580" s="2">
        <v>44416</v>
      </c>
      <c r="B3580" t="s">
        <v>82</v>
      </c>
      <c r="C3580">
        <v>-1974</v>
      </c>
      <c r="D3580" t="str">
        <f>VLOOKUP(B3580,Tabela_Auxiliar[],2,0)</f>
        <v>4. Despesas Operacionais</v>
      </c>
      <c r="E3580" t="str">
        <f>VLOOKUP(B3580,Tabela_Auxiliar[],4,0)</f>
        <v>Despesa com Veículos</v>
      </c>
      <c r="F3580" t="str">
        <f>VLOOKUP(B3580,Tabela_Auxiliar[],3,0)</f>
        <v>Saída</v>
      </c>
      <c r="G3580" t="str">
        <f>UPPER(TEXT(Tabela_DB[[#This Row],[DATA]],"mmm"))</f>
        <v>AGO</v>
      </c>
      <c r="H3580" t="str">
        <f>UPPER(TEXT(Tabela_DB[[#This Row],[DATA]],"aaaa"))</f>
        <v>2021</v>
      </c>
    </row>
    <row r="3581" spans="1:8" x14ac:dyDescent="0.25">
      <c r="A3581" s="2">
        <v>44416</v>
      </c>
      <c r="B3581" t="s">
        <v>67</v>
      </c>
      <c r="C3581">
        <v>-1780</v>
      </c>
      <c r="D3581" t="str">
        <f>VLOOKUP(B3581,Tabela_Auxiliar[],2,0)</f>
        <v>4. Despesas Operacionais</v>
      </c>
      <c r="E3581" t="str">
        <f>VLOOKUP(B3581,Tabela_Auxiliar[],4,0)</f>
        <v>Despesa com Vendas</v>
      </c>
      <c r="F3581" t="str">
        <f>VLOOKUP(B3581,Tabela_Auxiliar[],3,0)</f>
        <v>Saída</v>
      </c>
      <c r="G3581" t="str">
        <f>UPPER(TEXT(Tabela_DB[[#This Row],[DATA]],"mmm"))</f>
        <v>AGO</v>
      </c>
      <c r="H3581" t="str">
        <f>UPPER(TEXT(Tabela_DB[[#This Row],[DATA]],"aaaa"))</f>
        <v>2021</v>
      </c>
    </row>
    <row r="3582" spans="1:8" x14ac:dyDescent="0.25">
      <c r="A3582" s="2">
        <v>44416</v>
      </c>
      <c r="B3582" t="s">
        <v>3</v>
      </c>
      <c r="C3582">
        <v>14267</v>
      </c>
      <c r="D3582" t="str">
        <f>VLOOKUP(B3582,Tabela_Auxiliar[],2,0)</f>
        <v>1. Receita Operacional Bruta</v>
      </c>
      <c r="E3582" t="str">
        <f>VLOOKUP(B3582,Tabela_Auxiliar[],4,0)</f>
        <v>Receita Bruta</v>
      </c>
      <c r="F3582" t="str">
        <f>VLOOKUP(B3582,Tabela_Auxiliar[],3,0)</f>
        <v>Entrada</v>
      </c>
      <c r="G3582" t="str">
        <f>UPPER(TEXT(Tabela_DB[[#This Row],[DATA]],"mmm"))</f>
        <v>AGO</v>
      </c>
      <c r="H3582" t="str">
        <f>UPPER(TEXT(Tabela_DB[[#This Row],[DATA]],"aaaa"))</f>
        <v>2021</v>
      </c>
    </row>
    <row r="3583" spans="1:8" x14ac:dyDescent="0.25">
      <c r="A3583" s="2">
        <v>44416</v>
      </c>
      <c r="B3583" t="s">
        <v>3</v>
      </c>
      <c r="C3583">
        <v>11848</v>
      </c>
      <c r="D3583" t="str">
        <f>VLOOKUP(B3583,Tabela_Auxiliar[],2,0)</f>
        <v>1. Receita Operacional Bruta</v>
      </c>
      <c r="E3583" t="str">
        <f>VLOOKUP(B3583,Tabela_Auxiliar[],4,0)</f>
        <v>Receita Bruta</v>
      </c>
      <c r="F3583" t="str">
        <f>VLOOKUP(B3583,Tabela_Auxiliar[],3,0)</f>
        <v>Entrada</v>
      </c>
      <c r="G3583" t="str">
        <f>UPPER(TEXT(Tabela_DB[[#This Row],[DATA]],"mmm"))</f>
        <v>AGO</v>
      </c>
      <c r="H3583" t="str">
        <f>UPPER(TEXT(Tabela_DB[[#This Row],[DATA]],"aaaa"))</f>
        <v>2021</v>
      </c>
    </row>
    <row r="3584" spans="1:8" x14ac:dyDescent="0.25">
      <c r="A3584" s="2">
        <v>44416</v>
      </c>
      <c r="B3584" t="s">
        <v>63</v>
      </c>
      <c r="C3584">
        <v>-1761</v>
      </c>
      <c r="D3584" t="str">
        <f>VLOOKUP(B3584,Tabela_Auxiliar[],2,0)</f>
        <v>4. Despesas Operacionais</v>
      </c>
      <c r="E3584" t="str">
        <f>VLOOKUP(B3584,Tabela_Auxiliar[],4,0)</f>
        <v>Despesa Gerais</v>
      </c>
      <c r="F3584" t="str">
        <f>VLOOKUP(B3584,Tabela_Auxiliar[],3,0)</f>
        <v>Saída</v>
      </c>
      <c r="G3584" t="str">
        <f>UPPER(TEXT(Tabela_DB[[#This Row],[DATA]],"mmm"))</f>
        <v>AGO</v>
      </c>
      <c r="H3584" t="str">
        <f>UPPER(TEXT(Tabela_DB[[#This Row],[DATA]],"aaaa"))</f>
        <v>2021</v>
      </c>
    </row>
    <row r="3585" spans="1:8" x14ac:dyDescent="0.25">
      <c r="A3585" s="2">
        <v>44416</v>
      </c>
      <c r="B3585" t="s">
        <v>111</v>
      </c>
      <c r="C3585">
        <v>-2171</v>
      </c>
      <c r="D3585" t="str">
        <f>VLOOKUP(B3585,Tabela_Auxiliar[],2,0)</f>
        <v>2. Deduções da Receita</v>
      </c>
      <c r="E3585" t="str">
        <f>VLOOKUP(B3585,Tabela_Auxiliar[],4,0)</f>
        <v>Imposto</v>
      </c>
      <c r="F3585" t="str">
        <f>VLOOKUP(B3585,Tabela_Auxiliar[],3,0)</f>
        <v>Saída</v>
      </c>
      <c r="G3585" t="str">
        <f>UPPER(TEXT(Tabela_DB[[#This Row],[DATA]],"mmm"))</f>
        <v>AGO</v>
      </c>
      <c r="H3585" t="str">
        <f>UPPER(TEXT(Tabela_DB[[#This Row],[DATA]],"aaaa"))</f>
        <v>2021</v>
      </c>
    </row>
    <row r="3586" spans="1:8" x14ac:dyDescent="0.25">
      <c r="A3586" s="2">
        <v>44416</v>
      </c>
      <c r="B3586" t="s">
        <v>4</v>
      </c>
      <c r="C3586">
        <v>10729</v>
      </c>
      <c r="D3586" t="str">
        <f>VLOOKUP(B3586,Tabela_Auxiliar[],2,0)</f>
        <v>1. Receita Operacional Bruta</v>
      </c>
      <c r="E3586" t="str">
        <f>VLOOKUP(B3586,Tabela_Auxiliar[],4,0)</f>
        <v>Receita Bruta</v>
      </c>
      <c r="F3586" t="str">
        <f>VLOOKUP(B3586,Tabela_Auxiliar[],3,0)</f>
        <v>Entrada</v>
      </c>
      <c r="G3586" t="str">
        <f>UPPER(TEXT(Tabela_DB[[#This Row],[DATA]],"mmm"))</f>
        <v>AGO</v>
      </c>
      <c r="H3586" t="str">
        <f>UPPER(TEXT(Tabela_DB[[#This Row],[DATA]],"aaaa"))</f>
        <v>2021</v>
      </c>
    </row>
    <row r="3587" spans="1:8" x14ac:dyDescent="0.25">
      <c r="A3587" s="2">
        <v>44416</v>
      </c>
      <c r="B3587" t="s">
        <v>35</v>
      </c>
      <c r="C3587">
        <v>-1415</v>
      </c>
      <c r="D3587" t="str">
        <f>VLOOKUP(B3587,Tabela_Auxiliar[],2,0)</f>
        <v>2. Deduções da Receita</v>
      </c>
      <c r="E3587" t="str">
        <f>VLOOKUP(B3587,Tabela_Auxiliar[],4,0)</f>
        <v>Imposto</v>
      </c>
      <c r="F3587" t="str">
        <f>VLOOKUP(B3587,Tabela_Auxiliar[],3,0)</f>
        <v>Saída</v>
      </c>
      <c r="G3587" t="str">
        <f>UPPER(TEXT(Tabela_DB[[#This Row],[DATA]],"mmm"))</f>
        <v>AGO</v>
      </c>
      <c r="H3587" t="str">
        <f>UPPER(TEXT(Tabela_DB[[#This Row],[DATA]],"aaaa"))</f>
        <v>2021</v>
      </c>
    </row>
    <row r="3588" spans="1:8" x14ac:dyDescent="0.25">
      <c r="A3588" s="2">
        <v>44416</v>
      </c>
      <c r="B3588" t="s">
        <v>63</v>
      </c>
      <c r="C3588">
        <v>-2337</v>
      </c>
      <c r="D3588" t="str">
        <f>VLOOKUP(B3588,Tabela_Auxiliar[],2,0)</f>
        <v>4. Despesas Operacionais</v>
      </c>
      <c r="E3588" t="str">
        <f>VLOOKUP(B3588,Tabela_Auxiliar[],4,0)</f>
        <v>Despesa Gerais</v>
      </c>
      <c r="F3588" t="str">
        <f>VLOOKUP(B3588,Tabela_Auxiliar[],3,0)</f>
        <v>Saída</v>
      </c>
      <c r="G3588" t="str">
        <f>UPPER(TEXT(Tabela_DB[[#This Row],[DATA]],"mmm"))</f>
        <v>AGO</v>
      </c>
      <c r="H3588" t="str">
        <f>UPPER(TEXT(Tabela_DB[[#This Row],[DATA]],"aaaa"))</f>
        <v>2021</v>
      </c>
    </row>
    <row r="3589" spans="1:8" x14ac:dyDescent="0.25">
      <c r="A3589" s="2">
        <v>44416</v>
      </c>
      <c r="B3589" t="s">
        <v>38</v>
      </c>
      <c r="C3589">
        <v>-1006</v>
      </c>
      <c r="D3589" t="str">
        <f>VLOOKUP(B3589,Tabela_Auxiliar[],2,0)</f>
        <v>2. Deduções da Receita</v>
      </c>
      <c r="E3589" t="str">
        <f>VLOOKUP(B3589,Tabela_Auxiliar[],4,0)</f>
        <v>Deduções</v>
      </c>
      <c r="F3589" t="str">
        <f>VLOOKUP(B3589,Tabela_Auxiliar[],3,0)</f>
        <v>Saída</v>
      </c>
      <c r="G3589" t="str">
        <f>UPPER(TEXT(Tabela_DB[[#This Row],[DATA]],"mmm"))</f>
        <v>AGO</v>
      </c>
      <c r="H3589" t="str">
        <f>UPPER(TEXT(Tabela_DB[[#This Row],[DATA]],"aaaa"))</f>
        <v>2021</v>
      </c>
    </row>
    <row r="3590" spans="1:8" x14ac:dyDescent="0.25">
      <c r="A3590" s="2">
        <v>44416</v>
      </c>
      <c r="B3590" t="s">
        <v>4</v>
      </c>
      <c r="C3590">
        <v>13925</v>
      </c>
      <c r="D3590" t="str">
        <f>VLOOKUP(B3590,Tabela_Auxiliar[],2,0)</f>
        <v>1. Receita Operacional Bruta</v>
      </c>
      <c r="E3590" t="str">
        <f>VLOOKUP(B3590,Tabela_Auxiliar[],4,0)</f>
        <v>Receita Bruta</v>
      </c>
      <c r="F3590" t="str">
        <f>VLOOKUP(B3590,Tabela_Auxiliar[],3,0)</f>
        <v>Entrada</v>
      </c>
      <c r="G3590" t="str">
        <f>UPPER(TEXT(Tabela_DB[[#This Row],[DATA]],"mmm"))</f>
        <v>AGO</v>
      </c>
      <c r="H3590" t="str">
        <f>UPPER(TEXT(Tabela_DB[[#This Row],[DATA]],"aaaa"))</f>
        <v>2021</v>
      </c>
    </row>
    <row r="3591" spans="1:8" x14ac:dyDescent="0.25">
      <c r="A3591" s="2">
        <v>44416</v>
      </c>
      <c r="B3591" t="s">
        <v>35</v>
      </c>
      <c r="C3591">
        <v>-1184</v>
      </c>
      <c r="D3591" t="str">
        <f>VLOOKUP(B3591,Tabela_Auxiliar[],2,0)</f>
        <v>2. Deduções da Receita</v>
      </c>
      <c r="E3591" t="str">
        <f>VLOOKUP(B3591,Tabela_Auxiliar[],4,0)</f>
        <v>Imposto</v>
      </c>
      <c r="F3591" t="str">
        <f>VLOOKUP(B3591,Tabela_Auxiliar[],3,0)</f>
        <v>Saída</v>
      </c>
      <c r="G3591" t="str">
        <f>UPPER(TEXT(Tabela_DB[[#This Row],[DATA]],"mmm"))</f>
        <v>AGO</v>
      </c>
      <c r="H3591" t="str">
        <f>UPPER(TEXT(Tabela_DB[[#This Row],[DATA]],"aaaa"))</f>
        <v>2021</v>
      </c>
    </row>
    <row r="3592" spans="1:8" x14ac:dyDescent="0.25">
      <c r="A3592" s="2">
        <v>44416</v>
      </c>
      <c r="B3592" t="s">
        <v>3</v>
      </c>
      <c r="C3592">
        <v>14036</v>
      </c>
      <c r="D3592" t="str">
        <f>VLOOKUP(B3592,Tabela_Auxiliar[],2,0)</f>
        <v>1. Receita Operacional Bruta</v>
      </c>
      <c r="E3592" t="str">
        <f>VLOOKUP(B3592,Tabela_Auxiliar[],4,0)</f>
        <v>Receita Bruta</v>
      </c>
      <c r="F3592" t="str">
        <f>VLOOKUP(B3592,Tabela_Auxiliar[],3,0)</f>
        <v>Entrada</v>
      </c>
      <c r="G3592" t="str">
        <f>UPPER(TEXT(Tabela_DB[[#This Row],[DATA]],"mmm"))</f>
        <v>AGO</v>
      </c>
      <c r="H3592" t="str">
        <f>UPPER(TEXT(Tabela_DB[[#This Row],[DATA]],"aaaa"))</f>
        <v>2021</v>
      </c>
    </row>
    <row r="3593" spans="1:8" x14ac:dyDescent="0.25">
      <c r="A3593" s="2">
        <v>44416</v>
      </c>
      <c r="B3593" t="s">
        <v>111</v>
      </c>
      <c r="C3593">
        <v>-1709</v>
      </c>
      <c r="D3593" t="str">
        <f>VLOOKUP(B3593,Tabela_Auxiliar[],2,0)</f>
        <v>2. Deduções da Receita</v>
      </c>
      <c r="E3593" t="str">
        <f>VLOOKUP(B3593,Tabela_Auxiliar[],4,0)</f>
        <v>Imposto</v>
      </c>
      <c r="F3593" t="str">
        <f>VLOOKUP(B3593,Tabela_Auxiliar[],3,0)</f>
        <v>Saída</v>
      </c>
      <c r="G3593" t="str">
        <f>UPPER(TEXT(Tabela_DB[[#This Row],[DATA]],"mmm"))</f>
        <v>AGO</v>
      </c>
      <c r="H3593" t="str">
        <f>UPPER(TEXT(Tabela_DB[[#This Row],[DATA]],"aaaa"))</f>
        <v>2021</v>
      </c>
    </row>
    <row r="3594" spans="1:8" x14ac:dyDescent="0.25">
      <c r="A3594" s="2">
        <v>44416</v>
      </c>
      <c r="B3594" t="s">
        <v>38</v>
      </c>
      <c r="C3594">
        <v>-2090</v>
      </c>
      <c r="D3594" t="str">
        <f>VLOOKUP(B3594,Tabela_Auxiliar[],2,0)</f>
        <v>2. Deduções da Receita</v>
      </c>
      <c r="E3594" t="str">
        <f>VLOOKUP(B3594,Tabela_Auxiliar[],4,0)</f>
        <v>Deduções</v>
      </c>
      <c r="F3594" t="str">
        <f>VLOOKUP(B3594,Tabela_Auxiliar[],3,0)</f>
        <v>Saída</v>
      </c>
      <c r="G3594" t="str">
        <f>UPPER(TEXT(Tabela_DB[[#This Row],[DATA]],"mmm"))</f>
        <v>AGO</v>
      </c>
      <c r="H3594" t="str">
        <f>UPPER(TEXT(Tabela_DB[[#This Row],[DATA]],"aaaa"))</f>
        <v>2021</v>
      </c>
    </row>
    <row r="3595" spans="1:8" x14ac:dyDescent="0.25">
      <c r="A3595" s="2">
        <v>44416</v>
      </c>
      <c r="B3595" t="s">
        <v>52</v>
      </c>
      <c r="C3595">
        <v>-1630</v>
      </c>
      <c r="D3595" t="str">
        <f>VLOOKUP(B3595,Tabela_Auxiliar[],2,0)</f>
        <v>4. Despesas Operacionais</v>
      </c>
      <c r="E3595" t="str">
        <f>VLOOKUP(B3595,Tabela_Auxiliar[],4,0)</f>
        <v>Despesa com Pessoal</v>
      </c>
      <c r="F3595" t="str">
        <f>VLOOKUP(B3595,Tabela_Auxiliar[],3,0)</f>
        <v>Saída</v>
      </c>
      <c r="G3595" t="str">
        <f>UPPER(TEXT(Tabela_DB[[#This Row],[DATA]],"mmm"))</f>
        <v>AGO</v>
      </c>
      <c r="H3595" t="str">
        <f>UPPER(TEXT(Tabela_DB[[#This Row],[DATA]],"aaaa"))</f>
        <v>2021</v>
      </c>
    </row>
    <row r="3596" spans="1:8" x14ac:dyDescent="0.25">
      <c r="A3596" s="2">
        <v>44417</v>
      </c>
      <c r="B3596" t="s">
        <v>3</v>
      </c>
      <c r="C3596">
        <v>12223</v>
      </c>
      <c r="D3596" t="str">
        <f>VLOOKUP(B3596,Tabela_Auxiliar[],2,0)</f>
        <v>1. Receita Operacional Bruta</v>
      </c>
      <c r="E3596" t="str">
        <f>VLOOKUP(B3596,Tabela_Auxiliar[],4,0)</f>
        <v>Receita Bruta</v>
      </c>
      <c r="F3596" t="str">
        <f>VLOOKUP(B3596,Tabela_Auxiliar[],3,0)</f>
        <v>Entrada</v>
      </c>
      <c r="G3596" t="str">
        <f>UPPER(TEXT(Tabela_DB[[#This Row],[DATA]],"mmm"))</f>
        <v>AGO</v>
      </c>
      <c r="H3596" t="str">
        <f>UPPER(TEXT(Tabela_DB[[#This Row],[DATA]],"aaaa"))</f>
        <v>2021</v>
      </c>
    </row>
    <row r="3597" spans="1:8" x14ac:dyDescent="0.25">
      <c r="A3597" s="2">
        <v>44417</v>
      </c>
      <c r="B3597" t="s">
        <v>3</v>
      </c>
      <c r="C3597">
        <v>10514</v>
      </c>
      <c r="D3597" t="str">
        <f>VLOOKUP(B3597,Tabela_Auxiliar[],2,0)</f>
        <v>1. Receita Operacional Bruta</v>
      </c>
      <c r="E3597" t="str">
        <f>VLOOKUP(B3597,Tabela_Auxiliar[],4,0)</f>
        <v>Receita Bruta</v>
      </c>
      <c r="F3597" t="str">
        <f>VLOOKUP(B3597,Tabela_Auxiliar[],3,0)</f>
        <v>Entrada</v>
      </c>
      <c r="G3597" t="str">
        <f>UPPER(TEXT(Tabela_DB[[#This Row],[DATA]],"mmm"))</f>
        <v>AGO</v>
      </c>
      <c r="H3597" t="str">
        <f>UPPER(TEXT(Tabela_DB[[#This Row],[DATA]],"aaaa"))</f>
        <v>2021</v>
      </c>
    </row>
    <row r="3598" spans="1:8" x14ac:dyDescent="0.25">
      <c r="A3598" s="2">
        <v>44417</v>
      </c>
      <c r="B3598" t="s">
        <v>37</v>
      </c>
      <c r="C3598">
        <v>-4155</v>
      </c>
      <c r="D3598" t="str">
        <f>VLOOKUP(B3598,Tabela_Auxiliar[],2,0)</f>
        <v>3. Custos do Produto/Mercadoria/Serviço</v>
      </c>
      <c r="E3598" t="str">
        <f>VLOOKUP(B3598,Tabela_Auxiliar[],4,0)</f>
        <v>Despesas c/ Produto</v>
      </c>
      <c r="F3598" t="str">
        <f>VLOOKUP(B3598,Tabela_Auxiliar[],3,0)</f>
        <v>Saída</v>
      </c>
      <c r="G3598" t="str">
        <f>UPPER(TEXT(Tabela_DB[[#This Row],[DATA]],"mmm"))</f>
        <v>AGO</v>
      </c>
      <c r="H3598" t="str">
        <f>UPPER(TEXT(Tabela_DB[[#This Row],[DATA]],"aaaa"))</f>
        <v>2021</v>
      </c>
    </row>
    <row r="3599" spans="1:8" x14ac:dyDescent="0.25">
      <c r="A3599" s="2">
        <v>44417</v>
      </c>
      <c r="B3599" t="s">
        <v>34</v>
      </c>
      <c r="C3599">
        <v>-2225</v>
      </c>
      <c r="D3599" t="str">
        <f>VLOOKUP(B3599,Tabela_Auxiliar[],2,0)</f>
        <v>2. Deduções da Receita</v>
      </c>
      <c r="E3599" t="str">
        <f>VLOOKUP(B3599,Tabela_Auxiliar[],4,0)</f>
        <v>Imposto</v>
      </c>
      <c r="F3599" t="str">
        <f>VLOOKUP(B3599,Tabela_Auxiliar[],3,0)</f>
        <v>Saída</v>
      </c>
      <c r="G3599" t="str">
        <f>UPPER(TEXT(Tabela_DB[[#This Row],[DATA]],"mmm"))</f>
        <v>AGO</v>
      </c>
      <c r="H3599" t="str">
        <f>UPPER(TEXT(Tabela_DB[[#This Row],[DATA]],"aaaa"))</f>
        <v>2021</v>
      </c>
    </row>
    <row r="3600" spans="1:8" x14ac:dyDescent="0.25">
      <c r="A3600" s="2">
        <v>44417</v>
      </c>
      <c r="B3600" t="s">
        <v>47</v>
      </c>
      <c r="C3600">
        <v>-1501</v>
      </c>
      <c r="D3600" t="str">
        <f>VLOOKUP(B3600,Tabela_Auxiliar[],2,0)</f>
        <v>4. Despesas Operacionais</v>
      </c>
      <c r="E3600" t="str">
        <f>VLOOKUP(B3600,Tabela_Auxiliar[],4,0)</f>
        <v>Despesa com Pessoal</v>
      </c>
      <c r="F3600" t="str">
        <f>VLOOKUP(B3600,Tabela_Auxiliar[],3,0)</f>
        <v>Saída</v>
      </c>
      <c r="G3600" t="str">
        <f>UPPER(TEXT(Tabela_DB[[#This Row],[DATA]],"mmm"))</f>
        <v>AGO</v>
      </c>
      <c r="H3600" t="str">
        <f>UPPER(TEXT(Tabela_DB[[#This Row],[DATA]],"aaaa"))</f>
        <v>2021</v>
      </c>
    </row>
    <row r="3601" spans="1:8" x14ac:dyDescent="0.25">
      <c r="A3601" s="2">
        <v>44417</v>
      </c>
      <c r="B3601" t="s">
        <v>4</v>
      </c>
      <c r="C3601">
        <v>13874</v>
      </c>
      <c r="D3601" t="str">
        <f>VLOOKUP(B3601,Tabela_Auxiliar[],2,0)</f>
        <v>1. Receita Operacional Bruta</v>
      </c>
      <c r="E3601" t="str">
        <f>VLOOKUP(B3601,Tabela_Auxiliar[],4,0)</f>
        <v>Receita Bruta</v>
      </c>
      <c r="F3601" t="str">
        <f>VLOOKUP(B3601,Tabela_Auxiliar[],3,0)</f>
        <v>Entrada</v>
      </c>
      <c r="G3601" t="str">
        <f>UPPER(TEXT(Tabela_DB[[#This Row],[DATA]],"mmm"))</f>
        <v>AGO</v>
      </c>
      <c r="H3601" t="str">
        <f>UPPER(TEXT(Tabela_DB[[#This Row],[DATA]],"aaaa"))</f>
        <v>2021</v>
      </c>
    </row>
    <row r="3602" spans="1:8" x14ac:dyDescent="0.25">
      <c r="A3602" s="2">
        <v>44418</v>
      </c>
      <c r="B3602" t="s">
        <v>90</v>
      </c>
      <c r="C3602">
        <v>-1061</v>
      </c>
      <c r="D3602" t="str">
        <f>VLOOKUP(B3602,Tabela_Auxiliar[],2,0)</f>
        <v>4. Despesas Operacionais</v>
      </c>
      <c r="E3602" t="str">
        <f>VLOOKUP(B3602,Tabela_Auxiliar[],4,0)</f>
        <v>Despesa Tributária</v>
      </c>
      <c r="F3602" t="str">
        <f>VLOOKUP(B3602,Tabela_Auxiliar[],3,0)</f>
        <v>Saída</v>
      </c>
      <c r="G3602" t="str">
        <f>UPPER(TEXT(Tabela_DB[[#This Row],[DATA]],"mmm"))</f>
        <v>AGO</v>
      </c>
      <c r="H3602" t="str">
        <f>UPPER(TEXT(Tabela_DB[[#This Row],[DATA]],"aaaa"))</f>
        <v>2021</v>
      </c>
    </row>
    <row r="3603" spans="1:8" x14ac:dyDescent="0.25">
      <c r="A3603" s="2">
        <v>44418</v>
      </c>
      <c r="B3603" t="s">
        <v>34</v>
      </c>
      <c r="C3603">
        <v>-1773</v>
      </c>
      <c r="D3603" t="str">
        <f>VLOOKUP(B3603,Tabela_Auxiliar[],2,0)</f>
        <v>2. Deduções da Receita</v>
      </c>
      <c r="E3603" t="str">
        <f>VLOOKUP(B3603,Tabela_Auxiliar[],4,0)</f>
        <v>Imposto</v>
      </c>
      <c r="F3603" t="str">
        <f>VLOOKUP(B3603,Tabela_Auxiliar[],3,0)</f>
        <v>Saída</v>
      </c>
      <c r="G3603" t="str">
        <f>UPPER(TEXT(Tabela_DB[[#This Row],[DATA]],"mmm"))</f>
        <v>AGO</v>
      </c>
      <c r="H3603" t="str">
        <f>UPPER(TEXT(Tabela_DB[[#This Row],[DATA]],"aaaa"))</f>
        <v>2021</v>
      </c>
    </row>
    <row r="3604" spans="1:8" x14ac:dyDescent="0.25">
      <c r="A3604" s="2">
        <v>44418</v>
      </c>
      <c r="B3604" t="s">
        <v>66</v>
      </c>
      <c r="C3604">
        <v>-2250</v>
      </c>
      <c r="D3604" t="str">
        <f>VLOOKUP(B3604,Tabela_Auxiliar[],2,0)</f>
        <v>4. Despesas Operacionais</v>
      </c>
      <c r="E3604" t="str">
        <f>VLOOKUP(B3604,Tabela_Auxiliar[],4,0)</f>
        <v>Despesa com Vendas</v>
      </c>
      <c r="F3604" t="str">
        <f>VLOOKUP(B3604,Tabela_Auxiliar[],3,0)</f>
        <v>Saída</v>
      </c>
      <c r="G3604" t="str">
        <f>UPPER(TEXT(Tabela_DB[[#This Row],[DATA]],"mmm"))</f>
        <v>AGO</v>
      </c>
      <c r="H3604" t="str">
        <f>UPPER(TEXT(Tabela_DB[[#This Row],[DATA]],"aaaa"))</f>
        <v>2021</v>
      </c>
    </row>
    <row r="3605" spans="1:8" x14ac:dyDescent="0.25">
      <c r="A3605" s="2">
        <v>44418</v>
      </c>
      <c r="B3605" t="s">
        <v>47</v>
      </c>
      <c r="C3605">
        <v>-2015</v>
      </c>
      <c r="D3605" t="str">
        <f>VLOOKUP(B3605,Tabela_Auxiliar[],2,0)</f>
        <v>4. Despesas Operacionais</v>
      </c>
      <c r="E3605" t="str">
        <f>VLOOKUP(B3605,Tabela_Auxiliar[],4,0)</f>
        <v>Despesa com Pessoal</v>
      </c>
      <c r="F3605" t="str">
        <f>VLOOKUP(B3605,Tabela_Auxiliar[],3,0)</f>
        <v>Saída</v>
      </c>
      <c r="G3605" t="str">
        <f>UPPER(TEXT(Tabela_DB[[#This Row],[DATA]],"mmm"))</f>
        <v>AGO</v>
      </c>
      <c r="H3605" t="str">
        <f>UPPER(TEXT(Tabela_DB[[#This Row],[DATA]],"aaaa"))</f>
        <v>2021</v>
      </c>
    </row>
    <row r="3606" spans="1:8" x14ac:dyDescent="0.25">
      <c r="A3606" s="2">
        <v>44418</v>
      </c>
      <c r="B3606" t="s">
        <v>3</v>
      </c>
      <c r="C3606">
        <v>10667</v>
      </c>
      <c r="D3606" t="str">
        <f>VLOOKUP(B3606,Tabela_Auxiliar[],2,0)</f>
        <v>1. Receita Operacional Bruta</v>
      </c>
      <c r="E3606" t="str">
        <f>VLOOKUP(B3606,Tabela_Auxiliar[],4,0)</f>
        <v>Receita Bruta</v>
      </c>
      <c r="F3606" t="str">
        <f>VLOOKUP(B3606,Tabela_Auxiliar[],3,0)</f>
        <v>Entrada</v>
      </c>
      <c r="G3606" t="str">
        <f>UPPER(TEXT(Tabela_DB[[#This Row],[DATA]],"mmm"))</f>
        <v>AGO</v>
      </c>
      <c r="H3606" t="str">
        <f>UPPER(TEXT(Tabela_DB[[#This Row],[DATA]],"aaaa"))</f>
        <v>2021</v>
      </c>
    </row>
    <row r="3607" spans="1:8" x14ac:dyDescent="0.25">
      <c r="A3607" s="2">
        <v>44418</v>
      </c>
      <c r="B3607" t="s">
        <v>85</v>
      </c>
      <c r="C3607">
        <v>-2380</v>
      </c>
      <c r="D3607" t="str">
        <f>VLOOKUP(B3607,Tabela_Auxiliar[],2,0)</f>
        <v>4. Despesas Operacionais</v>
      </c>
      <c r="E3607" t="str">
        <f>VLOOKUP(B3607,Tabela_Auxiliar[],4,0)</f>
        <v>Despesa com Veículos</v>
      </c>
      <c r="F3607" t="str">
        <f>VLOOKUP(B3607,Tabela_Auxiliar[],3,0)</f>
        <v>Saída</v>
      </c>
      <c r="G3607" t="str">
        <f>UPPER(TEXT(Tabela_DB[[#This Row],[DATA]],"mmm"))</f>
        <v>AGO</v>
      </c>
      <c r="H3607" t="str">
        <f>UPPER(TEXT(Tabela_DB[[#This Row],[DATA]],"aaaa"))</f>
        <v>2021</v>
      </c>
    </row>
    <row r="3608" spans="1:8" x14ac:dyDescent="0.25">
      <c r="A3608" s="2">
        <v>44418</v>
      </c>
      <c r="B3608" t="s">
        <v>8</v>
      </c>
      <c r="C3608">
        <v>-1771</v>
      </c>
      <c r="D3608" t="str">
        <f>VLOOKUP(B3608,Tabela_Auxiliar[],2,0)</f>
        <v>4. Despesas Operacionais</v>
      </c>
      <c r="E3608" t="str">
        <f>VLOOKUP(B3608,Tabela_Auxiliar[],4,0)</f>
        <v>Despesa com Pessoal</v>
      </c>
      <c r="F3608" t="str">
        <f>VLOOKUP(B3608,Tabela_Auxiliar[],3,0)</f>
        <v>Saída</v>
      </c>
      <c r="G3608" t="str">
        <f>UPPER(TEXT(Tabela_DB[[#This Row],[DATA]],"mmm"))</f>
        <v>AGO</v>
      </c>
      <c r="H3608" t="str">
        <f>UPPER(TEXT(Tabela_DB[[#This Row],[DATA]],"aaaa"))</f>
        <v>2021</v>
      </c>
    </row>
    <row r="3609" spans="1:8" x14ac:dyDescent="0.25">
      <c r="A3609" s="2">
        <v>44418</v>
      </c>
      <c r="B3609" t="s">
        <v>37</v>
      </c>
      <c r="C3609">
        <v>-4915</v>
      </c>
      <c r="D3609" t="str">
        <f>VLOOKUP(B3609,Tabela_Auxiliar[],2,0)</f>
        <v>3. Custos do Produto/Mercadoria/Serviço</v>
      </c>
      <c r="E3609" t="str">
        <f>VLOOKUP(B3609,Tabela_Auxiliar[],4,0)</f>
        <v>Despesas c/ Produto</v>
      </c>
      <c r="F3609" t="str">
        <f>VLOOKUP(B3609,Tabela_Auxiliar[],3,0)</f>
        <v>Saída</v>
      </c>
      <c r="G3609" t="str">
        <f>UPPER(TEXT(Tabela_DB[[#This Row],[DATA]],"mmm"))</f>
        <v>AGO</v>
      </c>
      <c r="H3609" t="str">
        <f>UPPER(TEXT(Tabela_DB[[#This Row],[DATA]],"aaaa"))</f>
        <v>2021</v>
      </c>
    </row>
    <row r="3610" spans="1:8" x14ac:dyDescent="0.25">
      <c r="A3610" s="2">
        <v>44418</v>
      </c>
      <c r="B3610" t="s">
        <v>38</v>
      </c>
      <c r="C3610">
        <v>-1939</v>
      </c>
      <c r="D3610" t="str">
        <f>VLOOKUP(B3610,Tabela_Auxiliar[],2,0)</f>
        <v>2. Deduções da Receita</v>
      </c>
      <c r="E3610" t="str">
        <f>VLOOKUP(B3610,Tabela_Auxiliar[],4,0)</f>
        <v>Deduções</v>
      </c>
      <c r="F3610" t="str">
        <f>VLOOKUP(B3610,Tabela_Auxiliar[],3,0)</f>
        <v>Saída</v>
      </c>
      <c r="G3610" t="str">
        <f>UPPER(TEXT(Tabela_DB[[#This Row],[DATA]],"mmm"))</f>
        <v>AGO</v>
      </c>
      <c r="H3610" t="str">
        <f>UPPER(TEXT(Tabela_DB[[#This Row],[DATA]],"aaaa"))</f>
        <v>2021</v>
      </c>
    </row>
    <row r="3611" spans="1:8" x14ac:dyDescent="0.25">
      <c r="A3611" s="2">
        <v>44418</v>
      </c>
      <c r="B3611" t="s">
        <v>38</v>
      </c>
      <c r="C3611">
        <v>-1087</v>
      </c>
      <c r="D3611" t="str">
        <f>VLOOKUP(B3611,Tabela_Auxiliar[],2,0)</f>
        <v>2. Deduções da Receita</v>
      </c>
      <c r="E3611" t="str">
        <f>VLOOKUP(B3611,Tabela_Auxiliar[],4,0)</f>
        <v>Deduções</v>
      </c>
      <c r="F3611" t="str">
        <f>VLOOKUP(B3611,Tabela_Auxiliar[],3,0)</f>
        <v>Saída</v>
      </c>
      <c r="G3611" t="str">
        <f>UPPER(TEXT(Tabela_DB[[#This Row],[DATA]],"mmm"))</f>
        <v>AGO</v>
      </c>
      <c r="H3611" t="str">
        <f>UPPER(TEXT(Tabela_DB[[#This Row],[DATA]],"aaaa"))</f>
        <v>2021</v>
      </c>
    </row>
    <row r="3612" spans="1:8" x14ac:dyDescent="0.25">
      <c r="A3612" s="2">
        <v>44418</v>
      </c>
      <c r="B3612" t="s">
        <v>35</v>
      </c>
      <c r="C3612">
        <v>-2039</v>
      </c>
      <c r="D3612" t="str">
        <f>VLOOKUP(B3612,Tabela_Auxiliar[],2,0)</f>
        <v>2. Deduções da Receita</v>
      </c>
      <c r="E3612" t="str">
        <f>VLOOKUP(B3612,Tabela_Auxiliar[],4,0)</f>
        <v>Imposto</v>
      </c>
      <c r="F3612" t="str">
        <f>VLOOKUP(B3612,Tabela_Auxiliar[],3,0)</f>
        <v>Saída</v>
      </c>
      <c r="G3612" t="str">
        <f>UPPER(TEXT(Tabela_DB[[#This Row],[DATA]],"mmm"))</f>
        <v>AGO</v>
      </c>
      <c r="H3612" t="str">
        <f>UPPER(TEXT(Tabela_DB[[#This Row],[DATA]],"aaaa"))</f>
        <v>2021</v>
      </c>
    </row>
    <row r="3613" spans="1:8" x14ac:dyDescent="0.25">
      <c r="A3613" s="2">
        <v>44418</v>
      </c>
      <c r="B3613" t="s">
        <v>111</v>
      </c>
      <c r="C3613">
        <v>-2284</v>
      </c>
      <c r="D3613" t="str">
        <f>VLOOKUP(B3613,Tabela_Auxiliar[],2,0)</f>
        <v>2. Deduções da Receita</v>
      </c>
      <c r="E3613" t="str">
        <f>VLOOKUP(B3613,Tabela_Auxiliar[],4,0)</f>
        <v>Imposto</v>
      </c>
      <c r="F3613" t="str">
        <f>VLOOKUP(B3613,Tabela_Auxiliar[],3,0)</f>
        <v>Saída</v>
      </c>
      <c r="G3613" t="str">
        <f>UPPER(TEXT(Tabela_DB[[#This Row],[DATA]],"mmm"))</f>
        <v>AGO</v>
      </c>
      <c r="H3613" t="str">
        <f>UPPER(TEXT(Tabela_DB[[#This Row],[DATA]],"aaaa"))</f>
        <v>2021</v>
      </c>
    </row>
    <row r="3614" spans="1:8" x14ac:dyDescent="0.25">
      <c r="A3614" s="2">
        <v>44418</v>
      </c>
      <c r="B3614" t="s">
        <v>35</v>
      </c>
      <c r="C3614">
        <v>-2448</v>
      </c>
      <c r="D3614" t="str">
        <f>VLOOKUP(B3614,Tabela_Auxiliar[],2,0)</f>
        <v>2. Deduções da Receita</v>
      </c>
      <c r="E3614" t="str">
        <f>VLOOKUP(B3614,Tabela_Auxiliar[],4,0)</f>
        <v>Imposto</v>
      </c>
      <c r="F3614" t="str">
        <f>VLOOKUP(B3614,Tabela_Auxiliar[],3,0)</f>
        <v>Saída</v>
      </c>
      <c r="G3614" t="str">
        <f>UPPER(TEXT(Tabela_DB[[#This Row],[DATA]],"mmm"))</f>
        <v>AGO</v>
      </c>
      <c r="H3614" t="str">
        <f>UPPER(TEXT(Tabela_DB[[#This Row],[DATA]],"aaaa"))</f>
        <v>2021</v>
      </c>
    </row>
    <row r="3615" spans="1:8" x14ac:dyDescent="0.25">
      <c r="A3615" s="2">
        <v>44418</v>
      </c>
      <c r="B3615" t="s">
        <v>4</v>
      </c>
      <c r="C3615">
        <v>10929</v>
      </c>
      <c r="D3615" t="str">
        <f>VLOOKUP(B3615,Tabela_Auxiliar[],2,0)</f>
        <v>1. Receita Operacional Bruta</v>
      </c>
      <c r="E3615" t="str">
        <f>VLOOKUP(B3615,Tabela_Auxiliar[],4,0)</f>
        <v>Receita Bruta</v>
      </c>
      <c r="F3615" t="str">
        <f>VLOOKUP(B3615,Tabela_Auxiliar[],3,0)</f>
        <v>Entrada</v>
      </c>
      <c r="G3615" t="str">
        <f>UPPER(TEXT(Tabela_DB[[#This Row],[DATA]],"mmm"))</f>
        <v>AGO</v>
      </c>
      <c r="H3615" t="str">
        <f>UPPER(TEXT(Tabela_DB[[#This Row],[DATA]],"aaaa"))</f>
        <v>2021</v>
      </c>
    </row>
    <row r="3616" spans="1:8" x14ac:dyDescent="0.25">
      <c r="A3616" s="2">
        <v>44418</v>
      </c>
      <c r="B3616" t="s">
        <v>38</v>
      </c>
      <c r="C3616">
        <v>-2281</v>
      </c>
      <c r="D3616" t="str">
        <f>VLOOKUP(B3616,Tabela_Auxiliar[],2,0)</f>
        <v>2. Deduções da Receita</v>
      </c>
      <c r="E3616" t="str">
        <f>VLOOKUP(B3616,Tabela_Auxiliar[],4,0)</f>
        <v>Deduções</v>
      </c>
      <c r="F3616" t="str">
        <f>VLOOKUP(B3616,Tabela_Auxiliar[],3,0)</f>
        <v>Saída</v>
      </c>
      <c r="G3616" t="str">
        <f>UPPER(TEXT(Tabela_DB[[#This Row],[DATA]],"mmm"))</f>
        <v>AGO</v>
      </c>
      <c r="H3616" t="str">
        <f>UPPER(TEXT(Tabela_DB[[#This Row],[DATA]],"aaaa"))</f>
        <v>2021</v>
      </c>
    </row>
    <row r="3617" spans="1:8" x14ac:dyDescent="0.25">
      <c r="A3617" s="2">
        <v>44418</v>
      </c>
      <c r="B3617" t="s">
        <v>43</v>
      </c>
      <c r="C3617">
        <v>-2000</v>
      </c>
      <c r="D3617" t="str">
        <f>VLOOKUP(B3617,Tabela_Auxiliar[],2,0)</f>
        <v>4. Despesas Operacionais</v>
      </c>
      <c r="E3617" t="str">
        <f>VLOOKUP(B3617,Tabela_Auxiliar[],4,0)</f>
        <v>Despesa com Pessoal</v>
      </c>
      <c r="F3617" t="str">
        <f>VLOOKUP(B3617,Tabela_Auxiliar[],3,0)</f>
        <v>Saída</v>
      </c>
      <c r="G3617" t="str">
        <f>UPPER(TEXT(Tabela_DB[[#This Row],[DATA]],"mmm"))</f>
        <v>AGO</v>
      </c>
      <c r="H3617" t="str">
        <f>UPPER(TEXT(Tabela_DB[[#This Row],[DATA]],"aaaa"))</f>
        <v>2021</v>
      </c>
    </row>
    <row r="3618" spans="1:8" x14ac:dyDescent="0.25">
      <c r="A3618" s="2">
        <v>44418</v>
      </c>
      <c r="B3618" t="s">
        <v>3</v>
      </c>
      <c r="C3618">
        <v>12039</v>
      </c>
      <c r="D3618" t="str">
        <f>VLOOKUP(B3618,Tabela_Auxiliar[],2,0)</f>
        <v>1. Receita Operacional Bruta</v>
      </c>
      <c r="E3618" t="str">
        <f>VLOOKUP(B3618,Tabela_Auxiliar[],4,0)</f>
        <v>Receita Bruta</v>
      </c>
      <c r="F3618" t="str">
        <f>VLOOKUP(B3618,Tabela_Auxiliar[],3,0)</f>
        <v>Entrada</v>
      </c>
      <c r="G3618" t="str">
        <f>UPPER(TEXT(Tabela_DB[[#This Row],[DATA]],"mmm"))</f>
        <v>AGO</v>
      </c>
      <c r="H3618" t="str">
        <f>UPPER(TEXT(Tabela_DB[[#This Row],[DATA]],"aaaa"))</f>
        <v>2021</v>
      </c>
    </row>
    <row r="3619" spans="1:8" x14ac:dyDescent="0.25">
      <c r="A3619" s="2">
        <v>44418</v>
      </c>
      <c r="B3619" t="s">
        <v>52</v>
      </c>
      <c r="C3619">
        <v>-1288</v>
      </c>
      <c r="D3619" t="str">
        <f>VLOOKUP(B3619,Tabela_Auxiliar[],2,0)</f>
        <v>4. Despesas Operacionais</v>
      </c>
      <c r="E3619" t="str">
        <f>VLOOKUP(B3619,Tabela_Auxiliar[],4,0)</f>
        <v>Despesa com Pessoal</v>
      </c>
      <c r="F3619" t="str">
        <f>VLOOKUP(B3619,Tabela_Auxiliar[],3,0)</f>
        <v>Saída</v>
      </c>
      <c r="G3619" t="str">
        <f>UPPER(TEXT(Tabela_DB[[#This Row],[DATA]],"mmm"))</f>
        <v>AGO</v>
      </c>
      <c r="H3619" t="str">
        <f>UPPER(TEXT(Tabela_DB[[#This Row],[DATA]],"aaaa"))</f>
        <v>2021</v>
      </c>
    </row>
    <row r="3620" spans="1:8" x14ac:dyDescent="0.25">
      <c r="A3620" s="2">
        <v>44418</v>
      </c>
      <c r="B3620" t="s">
        <v>37</v>
      </c>
      <c r="C3620">
        <v>-3704</v>
      </c>
      <c r="D3620" t="str">
        <f>VLOOKUP(B3620,Tabela_Auxiliar[],2,0)</f>
        <v>3. Custos do Produto/Mercadoria/Serviço</v>
      </c>
      <c r="E3620" t="str">
        <f>VLOOKUP(B3620,Tabela_Auxiliar[],4,0)</f>
        <v>Despesas c/ Produto</v>
      </c>
      <c r="F3620" t="str">
        <f>VLOOKUP(B3620,Tabela_Auxiliar[],3,0)</f>
        <v>Saída</v>
      </c>
      <c r="G3620" t="str">
        <f>UPPER(TEXT(Tabela_DB[[#This Row],[DATA]],"mmm"))</f>
        <v>AGO</v>
      </c>
      <c r="H3620" t="str">
        <f>UPPER(TEXT(Tabela_DB[[#This Row],[DATA]],"aaaa"))</f>
        <v>2021</v>
      </c>
    </row>
    <row r="3621" spans="1:8" x14ac:dyDescent="0.25">
      <c r="A3621" s="2">
        <v>44418</v>
      </c>
      <c r="B3621" t="s">
        <v>63</v>
      </c>
      <c r="C3621">
        <v>-2067</v>
      </c>
      <c r="D3621" t="str">
        <f>VLOOKUP(B3621,Tabela_Auxiliar[],2,0)</f>
        <v>4. Despesas Operacionais</v>
      </c>
      <c r="E3621" t="str">
        <f>VLOOKUP(B3621,Tabela_Auxiliar[],4,0)</f>
        <v>Despesa Gerais</v>
      </c>
      <c r="F3621" t="str">
        <f>VLOOKUP(B3621,Tabela_Auxiliar[],3,0)</f>
        <v>Saída</v>
      </c>
      <c r="G3621" t="str">
        <f>UPPER(TEXT(Tabela_DB[[#This Row],[DATA]],"mmm"))</f>
        <v>AGO</v>
      </c>
      <c r="H3621" t="str">
        <f>UPPER(TEXT(Tabela_DB[[#This Row],[DATA]],"aaaa"))</f>
        <v>2021</v>
      </c>
    </row>
    <row r="3622" spans="1:8" x14ac:dyDescent="0.25">
      <c r="A3622" s="2">
        <v>44418</v>
      </c>
      <c r="B3622" t="s">
        <v>38</v>
      </c>
      <c r="C3622">
        <v>-1886</v>
      </c>
      <c r="D3622" t="str">
        <f>VLOOKUP(B3622,Tabela_Auxiliar[],2,0)</f>
        <v>2. Deduções da Receita</v>
      </c>
      <c r="E3622" t="str">
        <f>VLOOKUP(B3622,Tabela_Auxiliar[],4,0)</f>
        <v>Deduções</v>
      </c>
      <c r="F3622" t="str">
        <f>VLOOKUP(B3622,Tabela_Auxiliar[],3,0)</f>
        <v>Saída</v>
      </c>
      <c r="G3622" t="str">
        <f>UPPER(TEXT(Tabela_DB[[#This Row],[DATA]],"mmm"))</f>
        <v>AGO</v>
      </c>
      <c r="H3622" t="str">
        <f>UPPER(TEXT(Tabela_DB[[#This Row],[DATA]],"aaaa"))</f>
        <v>2021</v>
      </c>
    </row>
    <row r="3623" spans="1:8" x14ac:dyDescent="0.25">
      <c r="A3623" s="2">
        <v>44418</v>
      </c>
      <c r="B3623" t="s">
        <v>4</v>
      </c>
      <c r="C3623">
        <v>13503</v>
      </c>
      <c r="D3623" t="str">
        <f>VLOOKUP(B3623,Tabela_Auxiliar[],2,0)</f>
        <v>1. Receita Operacional Bruta</v>
      </c>
      <c r="E3623" t="str">
        <f>VLOOKUP(B3623,Tabela_Auxiliar[],4,0)</f>
        <v>Receita Bruta</v>
      </c>
      <c r="F3623" t="str">
        <f>VLOOKUP(B3623,Tabela_Auxiliar[],3,0)</f>
        <v>Entrada</v>
      </c>
      <c r="G3623" t="str">
        <f>UPPER(TEXT(Tabela_DB[[#This Row],[DATA]],"mmm"))</f>
        <v>AGO</v>
      </c>
      <c r="H3623" t="str">
        <f>UPPER(TEXT(Tabela_DB[[#This Row],[DATA]],"aaaa"))</f>
        <v>2021</v>
      </c>
    </row>
    <row r="3624" spans="1:8" x14ac:dyDescent="0.25">
      <c r="A3624" s="2">
        <v>44418</v>
      </c>
      <c r="B3624" t="s">
        <v>3</v>
      </c>
      <c r="C3624">
        <v>12302</v>
      </c>
      <c r="D3624" t="str">
        <f>VLOOKUP(B3624,Tabela_Auxiliar[],2,0)</f>
        <v>1. Receita Operacional Bruta</v>
      </c>
      <c r="E3624" t="str">
        <f>VLOOKUP(B3624,Tabela_Auxiliar[],4,0)</f>
        <v>Receita Bruta</v>
      </c>
      <c r="F3624" t="str">
        <f>VLOOKUP(B3624,Tabela_Auxiliar[],3,0)</f>
        <v>Entrada</v>
      </c>
      <c r="G3624" t="str">
        <f>UPPER(TEXT(Tabela_DB[[#This Row],[DATA]],"mmm"))</f>
        <v>AGO</v>
      </c>
      <c r="H3624" t="str">
        <f>UPPER(TEXT(Tabela_DB[[#This Row],[DATA]],"aaaa"))</f>
        <v>2021</v>
      </c>
    </row>
    <row r="3625" spans="1:8" x14ac:dyDescent="0.25">
      <c r="A3625" s="2">
        <v>44418</v>
      </c>
      <c r="B3625" t="s">
        <v>35</v>
      </c>
      <c r="C3625">
        <v>-1447</v>
      </c>
      <c r="D3625" t="str">
        <f>VLOOKUP(B3625,Tabela_Auxiliar[],2,0)</f>
        <v>2. Deduções da Receita</v>
      </c>
      <c r="E3625" t="str">
        <f>VLOOKUP(B3625,Tabela_Auxiliar[],4,0)</f>
        <v>Imposto</v>
      </c>
      <c r="F3625" t="str">
        <f>VLOOKUP(B3625,Tabela_Auxiliar[],3,0)</f>
        <v>Saída</v>
      </c>
      <c r="G3625" t="str">
        <f>UPPER(TEXT(Tabela_DB[[#This Row],[DATA]],"mmm"))</f>
        <v>AGO</v>
      </c>
      <c r="H3625" t="str">
        <f>UPPER(TEXT(Tabela_DB[[#This Row],[DATA]],"aaaa"))</f>
        <v>2021</v>
      </c>
    </row>
    <row r="3626" spans="1:8" x14ac:dyDescent="0.25">
      <c r="A3626" s="2">
        <v>44418</v>
      </c>
      <c r="B3626" t="s">
        <v>45</v>
      </c>
      <c r="C3626">
        <v>-1588</v>
      </c>
      <c r="D3626" t="str">
        <f>VLOOKUP(B3626,Tabela_Auxiliar[],2,0)</f>
        <v>4. Despesas Operacionais</v>
      </c>
      <c r="E3626" t="str">
        <f>VLOOKUP(B3626,Tabela_Auxiliar[],4,0)</f>
        <v>Despesa com Pessoal</v>
      </c>
      <c r="F3626" t="str">
        <f>VLOOKUP(B3626,Tabela_Auxiliar[],3,0)</f>
        <v>Saída</v>
      </c>
      <c r="G3626" t="str">
        <f>UPPER(TEXT(Tabela_DB[[#This Row],[DATA]],"mmm"))</f>
        <v>AGO</v>
      </c>
      <c r="H3626" t="str">
        <f>UPPER(TEXT(Tabela_DB[[#This Row],[DATA]],"aaaa"))</f>
        <v>2021</v>
      </c>
    </row>
    <row r="3627" spans="1:8" x14ac:dyDescent="0.25">
      <c r="A3627" s="2">
        <v>44418</v>
      </c>
      <c r="B3627" t="s">
        <v>35</v>
      </c>
      <c r="C3627">
        <v>-1264</v>
      </c>
      <c r="D3627" t="str">
        <f>VLOOKUP(B3627,Tabela_Auxiliar[],2,0)</f>
        <v>2. Deduções da Receita</v>
      </c>
      <c r="E3627" t="str">
        <f>VLOOKUP(B3627,Tabela_Auxiliar[],4,0)</f>
        <v>Imposto</v>
      </c>
      <c r="F3627" t="str">
        <f>VLOOKUP(B3627,Tabela_Auxiliar[],3,0)</f>
        <v>Saída</v>
      </c>
      <c r="G3627" t="str">
        <f>UPPER(TEXT(Tabela_DB[[#This Row],[DATA]],"mmm"))</f>
        <v>AGO</v>
      </c>
      <c r="H3627" t="str">
        <f>UPPER(TEXT(Tabela_DB[[#This Row],[DATA]],"aaaa"))</f>
        <v>2021</v>
      </c>
    </row>
    <row r="3628" spans="1:8" x14ac:dyDescent="0.25">
      <c r="A3628" s="2">
        <v>44418</v>
      </c>
      <c r="B3628" t="s">
        <v>51</v>
      </c>
      <c r="C3628">
        <v>-1680</v>
      </c>
      <c r="D3628" t="str">
        <f>VLOOKUP(B3628,Tabela_Auxiliar[],2,0)</f>
        <v>4. Despesas Operacionais</v>
      </c>
      <c r="E3628" t="str">
        <f>VLOOKUP(B3628,Tabela_Auxiliar[],4,0)</f>
        <v>Despesa com Pessoal</v>
      </c>
      <c r="F3628" t="str">
        <f>VLOOKUP(B3628,Tabela_Auxiliar[],3,0)</f>
        <v>Saída</v>
      </c>
      <c r="G3628" t="str">
        <f>UPPER(TEXT(Tabela_DB[[#This Row],[DATA]],"mmm"))</f>
        <v>AGO</v>
      </c>
      <c r="H3628" t="str">
        <f>UPPER(TEXT(Tabela_DB[[#This Row],[DATA]],"aaaa"))</f>
        <v>2021</v>
      </c>
    </row>
    <row r="3629" spans="1:8" x14ac:dyDescent="0.25">
      <c r="A3629" s="2">
        <v>44418</v>
      </c>
      <c r="B3629" t="s">
        <v>35</v>
      </c>
      <c r="C3629">
        <v>-2223</v>
      </c>
      <c r="D3629" t="str">
        <f>VLOOKUP(B3629,Tabela_Auxiliar[],2,0)</f>
        <v>2. Deduções da Receita</v>
      </c>
      <c r="E3629" t="str">
        <f>VLOOKUP(B3629,Tabela_Auxiliar[],4,0)</f>
        <v>Imposto</v>
      </c>
      <c r="F3629" t="str">
        <f>VLOOKUP(B3629,Tabela_Auxiliar[],3,0)</f>
        <v>Saída</v>
      </c>
      <c r="G3629" t="str">
        <f>UPPER(TEXT(Tabela_DB[[#This Row],[DATA]],"mmm"))</f>
        <v>AGO</v>
      </c>
      <c r="H3629" t="str">
        <f>UPPER(TEXT(Tabela_DB[[#This Row],[DATA]],"aaaa"))</f>
        <v>2021</v>
      </c>
    </row>
    <row r="3630" spans="1:8" x14ac:dyDescent="0.25">
      <c r="A3630" s="2">
        <v>44418</v>
      </c>
      <c r="B3630" t="s">
        <v>37</v>
      </c>
      <c r="C3630">
        <v>-2901</v>
      </c>
      <c r="D3630" t="str">
        <f>VLOOKUP(B3630,Tabela_Auxiliar[],2,0)</f>
        <v>3. Custos do Produto/Mercadoria/Serviço</v>
      </c>
      <c r="E3630" t="str">
        <f>VLOOKUP(B3630,Tabela_Auxiliar[],4,0)</f>
        <v>Despesas c/ Produto</v>
      </c>
      <c r="F3630" t="str">
        <f>VLOOKUP(B3630,Tabela_Auxiliar[],3,0)</f>
        <v>Saída</v>
      </c>
      <c r="G3630" t="str">
        <f>UPPER(TEXT(Tabela_DB[[#This Row],[DATA]],"mmm"))</f>
        <v>AGO</v>
      </c>
      <c r="H3630" t="str">
        <f>UPPER(TEXT(Tabela_DB[[#This Row],[DATA]],"aaaa"))</f>
        <v>2021</v>
      </c>
    </row>
    <row r="3631" spans="1:8" x14ac:dyDescent="0.25">
      <c r="A3631" s="2">
        <v>44418</v>
      </c>
      <c r="B3631" t="s">
        <v>3</v>
      </c>
      <c r="C3631">
        <v>10537</v>
      </c>
      <c r="D3631" t="str">
        <f>VLOOKUP(B3631,Tabela_Auxiliar[],2,0)</f>
        <v>1. Receita Operacional Bruta</v>
      </c>
      <c r="E3631" t="str">
        <f>VLOOKUP(B3631,Tabela_Auxiliar[],4,0)</f>
        <v>Receita Bruta</v>
      </c>
      <c r="F3631" t="str">
        <f>VLOOKUP(B3631,Tabela_Auxiliar[],3,0)</f>
        <v>Entrada</v>
      </c>
      <c r="G3631" t="str">
        <f>UPPER(TEXT(Tabela_DB[[#This Row],[DATA]],"mmm"))</f>
        <v>AGO</v>
      </c>
      <c r="H3631" t="str">
        <f>UPPER(TEXT(Tabela_DB[[#This Row],[DATA]],"aaaa"))</f>
        <v>2021</v>
      </c>
    </row>
    <row r="3632" spans="1:8" x14ac:dyDescent="0.25">
      <c r="A3632" s="2">
        <v>44418</v>
      </c>
      <c r="B3632" t="s">
        <v>4</v>
      </c>
      <c r="C3632">
        <v>10532</v>
      </c>
      <c r="D3632" t="str">
        <f>VLOOKUP(B3632,Tabela_Auxiliar[],2,0)</f>
        <v>1. Receita Operacional Bruta</v>
      </c>
      <c r="E3632" t="str">
        <f>VLOOKUP(B3632,Tabela_Auxiliar[],4,0)</f>
        <v>Receita Bruta</v>
      </c>
      <c r="F3632" t="str">
        <f>VLOOKUP(B3632,Tabela_Auxiliar[],3,0)</f>
        <v>Entrada</v>
      </c>
      <c r="G3632" t="str">
        <f>UPPER(TEXT(Tabela_DB[[#This Row],[DATA]],"mmm"))</f>
        <v>AGO</v>
      </c>
      <c r="H3632" t="str">
        <f>UPPER(TEXT(Tabela_DB[[#This Row],[DATA]],"aaaa"))</f>
        <v>2021</v>
      </c>
    </row>
    <row r="3633" spans="1:8" x14ac:dyDescent="0.25">
      <c r="A3633" s="2">
        <v>44418</v>
      </c>
      <c r="B3633" t="s">
        <v>35</v>
      </c>
      <c r="C3633">
        <v>-1262</v>
      </c>
      <c r="D3633" t="str">
        <f>VLOOKUP(B3633,Tabela_Auxiliar[],2,0)</f>
        <v>2. Deduções da Receita</v>
      </c>
      <c r="E3633" t="str">
        <f>VLOOKUP(B3633,Tabela_Auxiliar[],4,0)</f>
        <v>Imposto</v>
      </c>
      <c r="F3633" t="str">
        <f>VLOOKUP(B3633,Tabela_Auxiliar[],3,0)</f>
        <v>Saída</v>
      </c>
      <c r="G3633" t="str">
        <f>UPPER(TEXT(Tabela_DB[[#This Row],[DATA]],"mmm"))</f>
        <v>AGO</v>
      </c>
      <c r="H3633" t="str">
        <f>UPPER(TEXT(Tabela_DB[[#This Row],[DATA]],"aaaa"))</f>
        <v>2021</v>
      </c>
    </row>
    <row r="3634" spans="1:8" x14ac:dyDescent="0.25">
      <c r="A3634" s="2">
        <v>44419</v>
      </c>
      <c r="B3634" t="s">
        <v>35</v>
      </c>
      <c r="C3634">
        <v>-2439</v>
      </c>
      <c r="D3634" t="str">
        <f>VLOOKUP(B3634,Tabela_Auxiliar[],2,0)</f>
        <v>2. Deduções da Receita</v>
      </c>
      <c r="E3634" t="str">
        <f>VLOOKUP(B3634,Tabela_Auxiliar[],4,0)</f>
        <v>Imposto</v>
      </c>
      <c r="F3634" t="str">
        <f>VLOOKUP(B3634,Tabela_Auxiliar[],3,0)</f>
        <v>Saída</v>
      </c>
      <c r="G3634" t="str">
        <f>UPPER(TEXT(Tabela_DB[[#This Row],[DATA]],"mmm"))</f>
        <v>AGO</v>
      </c>
      <c r="H3634" t="str">
        <f>UPPER(TEXT(Tabela_DB[[#This Row],[DATA]],"aaaa"))</f>
        <v>2021</v>
      </c>
    </row>
    <row r="3635" spans="1:8" x14ac:dyDescent="0.25">
      <c r="A3635" s="2">
        <v>44419</v>
      </c>
      <c r="B3635" t="s">
        <v>4</v>
      </c>
      <c r="C3635">
        <v>10907</v>
      </c>
      <c r="D3635" t="str">
        <f>VLOOKUP(B3635,Tabela_Auxiliar[],2,0)</f>
        <v>1. Receita Operacional Bruta</v>
      </c>
      <c r="E3635" t="str">
        <f>VLOOKUP(B3635,Tabela_Auxiliar[],4,0)</f>
        <v>Receita Bruta</v>
      </c>
      <c r="F3635" t="str">
        <f>VLOOKUP(B3635,Tabela_Auxiliar[],3,0)</f>
        <v>Entrada</v>
      </c>
      <c r="G3635" t="str">
        <f>UPPER(TEXT(Tabela_DB[[#This Row],[DATA]],"mmm"))</f>
        <v>AGO</v>
      </c>
      <c r="H3635" t="str">
        <f>UPPER(TEXT(Tabela_DB[[#This Row],[DATA]],"aaaa"))</f>
        <v>2021</v>
      </c>
    </row>
    <row r="3636" spans="1:8" x14ac:dyDescent="0.25">
      <c r="A3636" s="2">
        <v>44419</v>
      </c>
      <c r="B3636" t="s">
        <v>3</v>
      </c>
      <c r="C3636">
        <v>11846</v>
      </c>
      <c r="D3636" t="str">
        <f>VLOOKUP(B3636,Tabela_Auxiliar[],2,0)</f>
        <v>1. Receita Operacional Bruta</v>
      </c>
      <c r="E3636" t="str">
        <f>VLOOKUP(B3636,Tabela_Auxiliar[],4,0)</f>
        <v>Receita Bruta</v>
      </c>
      <c r="F3636" t="str">
        <f>VLOOKUP(B3636,Tabela_Auxiliar[],3,0)</f>
        <v>Entrada</v>
      </c>
      <c r="G3636" t="str">
        <f>UPPER(TEXT(Tabela_DB[[#This Row],[DATA]],"mmm"))</f>
        <v>AGO</v>
      </c>
      <c r="H3636" t="str">
        <f>UPPER(TEXT(Tabela_DB[[#This Row],[DATA]],"aaaa"))</f>
        <v>2021</v>
      </c>
    </row>
    <row r="3637" spans="1:8" x14ac:dyDescent="0.25">
      <c r="A3637" s="2">
        <v>44419</v>
      </c>
      <c r="B3637" t="s">
        <v>82</v>
      </c>
      <c r="C3637">
        <v>-2151</v>
      </c>
      <c r="D3637" t="str">
        <f>VLOOKUP(B3637,Tabela_Auxiliar[],2,0)</f>
        <v>4. Despesas Operacionais</v>
      </c>
      <c r="E3637" t="str">
        <f>VLOOKUP(B3637,Tabela_Auxiliar[],4,0)</f>
        <v>Despesa com Veículos</v>
      </c>
      <c r="F3637" t="str">
        <f>VLOOKUP(B3637,Tabela_Auxiliar[],3,0)</f>
        <v>Saída</v>
      </c>
      <c r="G3637" t="str">
        <f>UPPER(TEXT(Tabela_DB[[#This Row],[DATA]],"mmm"))</f>
        <v>AGO</v>
      </c>
      <c r="H3637" t="str">
        <f>UPPER(TEXT(Tabela_DB[[#This Row],[DATA]],"aaaa"))</f>
        <v>2021</v>
      </c>
    </row>
    <row r="3638" spans="1:8" x14ac:dyDescent="0.25">
      <c r="A3638" s="2">
        <v>44419</v>
      </c>
      <c r="B3638" t="s">
        <v>66</v>
      </c>
      <c r="C3638">
        <v>-1636</v>
      </c>
      <c r="D3638" t="str">
        <f>VLOOKUP(B3638,Tabela_Auxiliar[],2,0)</f>
        <v>4. Despesas Operacionais</v>
      </c>
      <c r="E3638" t="str">
        <f>VLOOKUP(B3638,Tabela_Auxiliar[],4,0)</f>
        <v>Despesa com Vendas</v>
      </c>
      <c r="F3638" t="str">
        <f>VLOOKUP(B3638,Tabela_Auxiliar[],3,0)</f>
        <v>Saída</v>
      </c>
      <c r="G3638" t="str">
        <f>UPPER(TEXT(Tabela_DB[[#This Row],[DATA]],"mmm"))</f>
        <v>AGO</v>
      </c>
      <c r="H3638" t="str">
        <f>UPPER(TEXT(Tabela_DB[[#This Row],[DATA]],"aaaa"))</f>
        <v>2021</v>
      </c>
    </row>
    <row r="3639" spans="1:8" x14ac:dyDescent="0.25">
      <c r="A3639" s="2">
        <v>44419</v>
      </c>
      <c r="B3639" t="s">
        <v>80</v>
      </c>
      <c r="C3639">
        <v>-1781</v>
      </c>
      <c r="D3639" t="str">
        <f>VLOOKUP(B3639,Tabela_Auxiliar[],2,0)</f>
        <v>4. Despesas Operacionais</v>
      </c>
      <c r="E3639" t="str">
        <f>VLOOKUP(B3639,Tabela_Auxiliar[],4,0)</f>
        <v>Serviços Contratados</v>
      </c>
      <c r="F3639" t="str">
        <f>VLOOKUP(B3639,Tabela_Auxiliar[],3,0)</f>
        <v>Saída</v>
      </c>
      <c r="G3639" t="str">
        <f>UPPER(TEXT(Tabela_DB[[#This Row],[DATA]],"mmm"))</f>
        <v>AGO</v>
      </c>
      <c r="H3639" t="str">
        <f>UPPER(TEXT(Tabela_DB[[#This Row],[DATA]],"aaaa"))</f>
        <v>2021</v>
      </c>
    </row>
    <row r="3640" spans="1:8" x14ac:dyDescent="0.25">
      <c r="A3640" s="2">
        <v>44419</v>
      </c>
      <c r="B3640" t="s">
        <v>62</v>
      </c>
      <c r="C3640">
        <v>-2295</v>
      </c>
      <c r="D3640" t="str">
        <f>VLOOKUP(B3640,Tabela_Auxiliar[],2,0)</f>
        <v>4. Despesas Operacionais</v>
      </c>
      <c r="E3640" t="str">
        <f>VLOOKUP(B3640,Tabela_Auxiliar[],4,0)</f>
        <v>Despesa Gerais</v>
      </c>
      <c r="F3640" t="str">
        <f>VLOOKUP(B3640,Tabela_Auxiliar[],3,0)</f>
        <v>Saída</v>
      </c>
      <c r="G3640" t="str">
        <f>UPPER(TEXT(Tabela_DB[[#This Row],[DATA]],"mmm"))</f>
        <v>AGO</v>
      </c>
      <c r="H3640" t="str">
        <f>UPPER(TEXT(Tabela_DB[[#This Row],[DATA]],"aaaa"))</f>
        <v>2021</v>
      </c>
    </row>
    <row r="3641" spans="1:8" x14ac:dyDescent="0.25">
      <c r="A3641" s="2">
        <v>44419</v>
      </c>
      <c r="B3641" t="s">
        <v>4</v>
      </c>
      <c r="C3641">
        <v>11982</v>
      </c>
      <c r="D3641" t="str">
        <f>VLOOKUP(B3641,Tabela_Auxiliar[],2,0)</f>
        <v>1. Receita Operacional Bruta</v>
      </c>
      <c r="E3641" t="str">
        <f>VLOOKUP(B3641,Tabela_Auxiliar[],4,0)</f>
        <v>Receita Bruta</v>
      </c>
      <c r="F3641" t="str">
        <f>VLOOKUP(B3641,Tabela_Auxiliar[],3,0)</f>
        <v>Entrada</v>
      </c>
      <c r="G3641" t="str">
        <f>UPPER(TEXT(Tabela_DB[[#This Row],[DATA]],"mmm"))</f>
        <v>AGO</v>
      </c>
      <c r="H3641" t="str">
        <f>UPPER(TEXT(Tabela_DB[[#This Row],[DATA]],"aaaa"))</f>
        <v>2021</v>
      </c>
    </row>
    <row r="3642" spans="1:8" x14ac:dyDescent="0.25">
      <c r="A3642" s="2">
        <v>44419</v>
      </c>
      <c r="B3642" t="s">
        <v>34</v>
      </c>
      <c r="C3642">
        <v>-1592</v>
      </c>
      <c r="D3642" t="str">
        <f>VLOOKUP(B3642,Tabela_Auxiliar[],2,0)</f>
        <v>2. Deduções da Receita</v>
      </c>
      <c r="E3642" t="str">
        <f>VLOOKUP(B3642,Tabela_Auxiliar[],4,0)</f>
        <v>Imposto</v>
      </c>
      <c r="F3642" t="str">
        <f>VLOOKUP(B3642,Tabela_Auxiliar[],3,0)</f>
        <v>Saída</v>
      </c>
      <c r="G3642" t="str">
        <f>UPPER(TEXT(Tabela_DB[[#This Row],[DATA]],"mmm"))</f>
        <v>AGO</v>
      </c>
      <c r="H3642" t="str">
        <f>UPPER(TEXT(Tabela_DB[[#This Row],[DATA]],"aaaa"))</f>
        <v>2021</v>
      </c>
    </row>
    <row r="3643" spans="1:8" x14ac:dyDescent="0.25">
      <c r="A3643" s="2">
        <v>44419</v>
      </c>
      <c r="B3643" t="s">
        <v>3</v>
      </c>
      <c r="C3643">
        <v>10792</v>
      </c>
      <c r="D3643" t="str">
        <f>VLOOKUP(B3643,Tabela_Auxiliar[],2,0)</f>
        <v>1. Receita Operacional Bruta</v>
      </c>
      <c r="E3643" t="str">
        <f>VLOOKUP(B3643,Tabela_Auxiliar[],4,0)</f>
        <v>Receita Bruta</v>
      </c>
      <c r="F3643" t="str">
        <f>VLOOKUP(B3643,Tabela_Auxiliar[],3,0)</f>
        <v>Entrada</v>
      </c>
      <c r="G3643" t="str">
        <f>UPPER(TEXT(Tabela_DB[[#This Row],[DATA]],"mmm"))</f>
        <v>AGO</v>
      </c>
      <c r="H3643" t="str">
        <f>UPPER(TEXT(Tabela_DB[[#This Row],[DATA]],"aaaa"))</f>
        <v>2021</v>
      </c>
    </row>
    <row r="3644" spans="1:8" x14ac:dyDescent="0.25">
      <c r="A3644" s="2">
        <v>44420</v>
      </c>
      <c r="B3644" t="s">
        <v>3</v>
      </c>
      <c r="C3644">
        <v>10501</v>
      </c>
      <c r="D3644" t="str">
        <f>VLOOKUP(B3644,Tabela_Auxiliar[],2,0)</f>
        <v>1. Receita Operacional Bruta</v>
      </c>
      <c r="E3644" t="str">
        <f>VLOOKUP(B3644,Tabela_Auxiliar[],4,0)</f>
        <v>Receita Bruta</v>
      </c>
      <c r="F3644" t="str">
        <f>VLOOKUP(B3644,Tabela_Auxiliar[],3,0)</f>
        <v>Entrada</v>
      </c>
      <c r="G3644" t="str">
        <f>UPPER(TEXT(Tabela_DB[[#This Row],[DATA]],"mmm"))</f>
        <v>AGO</v>
      </c>
      <c r="H3644" t="str">
        <f>UPPER(TEXT(Tabela_DB[[#This Row],[DATA]],"aaaa"))</f>
        <v>2021</v>
      </c>
    </row>
    <row r="3645" spans="1:8" x14ac:dyDescent="0.25">
      <c r="A3645" s="2">
        <v>44420</v>
      </c>
      <c r="B3645" t="s">
        <v>37</v>
      </c>
      <c r="C3645">
        <v>-2534</v>
      </c>
      <c r="D3645" t="str">
        <f>VLOOKUP(B3645,Tabela_Auxiliar[],2,0)</f>
        <v>3. Custos do Produto/Mercadoria/Serviço</v>
      </c>
      <c r="E3645" t="str">
        <f>VLOOKUP(B3645,Tabela_Auxiliar[],4,0)</f>
        <v>Despesas c/ Produto</v>
      </c>
      <c r="F3645" t="str">
        <f>VLOOKUP(B3645,Tabela_Auxiliar[],3,0)</f>
        <v>Saída</v>
      </c>
      <c r="G3645" t="str">
        <f>UPPER(TEXT(Tabela_DB[[#This Row],[DATA]],"mmm"))</f>
        <v>AGO</v>
      </c>
      <c r="H3645" t="str">
        <f>UPPER(TEXT(Tabela_DB[[#This Row],[DATA]],"aaaa"))</f>
        <v>2021</v>
      </c>
    </row>
    <row r="3646" spans="1:8" x14ac:dyDescent="0.25">
      <c r="A3646" s="2">
        <v>44420</v>
      </c>
      <c r="B3646" t="s">
        <v>38</v>
      </c>
      <c r="C3646">
        <v>-1444</v>
      </c>
      <c r="D3646" t="str">
        <f>VLOOKUP(B3646,Tabela_Auxiliar[],2,0)</f>
        <v>2. Deduções da Receita</v>
      </c>
      <c r="E3646" t="str">
        <f>VLOOKUP(B3646,Tabela_Auxiliar[],4,0)</f>
        <v>Deduções</v>
      </c>
      <c r="F3646" t="str">
        <f>VLOOKUP(B3646,Tabela_Auxiliar[],3,0)</f>
        <v>Saída</v>
      </c>
      <c r="G3646" t="str">
        <f>UPPER(TEXT(Tabela_DB[[#This Row],[DATA]],"mmm"))</f>
        <v>AGO</v>
      </c>
      <c r="H3646" t="str">
        <f>UPPER(TEXT(Tabela_DB[[#This Row],[DATA]],"aaaa"))</f>
        <v>2021</v>
      </c>
    </row>
    <row r="3647" spans="1:8" x14ac:dyDescent="0.25">
      <c r="A3647" s="2">
        <v>44420</v>
      </c>
      <c r="B3647" t="s">
        <v>34</v>
      </c>
      <c r="C3647">
        <v>-1564</v>
      </c>
      <c r="D3647" t="str">
        <f>VLOOKUP(B3647,Tabela_Auxiliar[],2,0)</f>
        <v>2. Deduções da Receita</v>
      </c>
      <c r="E3647" t="str">
        <f>VLOOKUP(B3647,Tabela_Auxiliar[],4,0)</f>
        <v>Imposto</v>
      </c>
      <c r="F3647" t="str">
        <f>VLOOKUP(B3647,Tabela_Auxiliar[],3,0)</f>
        <v>Saída</v>
      </c>
      <c r="G3647" t="str">
        <f>UPPER(TEXT(Tabela_DB[[#This Row],[DATA]],"mmm"))</f>
        <v>AGO</v>
      </c>
      <c r="H3647" t="str">
        <f>UPPER(TEXT(Tabela_DB[[#This Row],[DATA]],"aaaa"))</f>
        <v>2021</v>
      </c>
    </row>
    <row r="3648" spans="1:8" x14ac:dyDescent="0.25">
      <c r="A3648" s="2">
        <v>44420</v>
      </c>
      <c r="B3648" t="s">
        <v>38</v>
      </c>
      <c r="C3648">
        <v>-2149</v>
      </c>
      <c r="D3648" t="str">
        <f>VLOOKUP(B3648,Tabela_Auxiliar[],2,0)</f>
        <v>2. Deduções da Receita</v>
      </c>
      <c r="E3648" t="str">
        <f>VLOOKUP(B3648,Tabela_Auxiliar[],4,0)</f>
        <v>Deduções</v>
      </c>
      <c r="F3648" t="str">
        <f>VLOOKUP(B3648,Tabela_Auxiliar[],3,0)</f>
        <v>Saída</v>
      </c>
      <c r="G3648" t="str">
        <f>UPPER(TEXT(Tabela_DB[[#This Row],[DATA]],"mmm"))</f>
        <v>AGO</v>
      </c>
      <c r="H3648" t="str">
        <f>UPPER(TEXT(Tabela_DB[[#This Row],[DATA]],"aaaa"))</f>
        <v>2021</v>
      </c>
    </row>
    <row r="3649" spans="1:8" x14ac:dyDescent="0.25">
      <c r="A3649" s="2">
        <v>44420</v>
      </c>
      <c r="B3649" t="s">
        <v>4</v>
      </c>
      <c r="C3649">
        <v>12514</v>
      </c>
      <c r="D3649" t="str">
        <f>VLOOKUP(B3649,Tabela_Auxiliar[],2,0)</f>
        <v>1. Receita Operacional Bruta</v>
      </c>
      <c r="E3649" t="str">
        <f>VLOOKUP(B3649,Tabela_Auxiliar[],4,0)</f>
        <v>Receita Bruta</v>
      </c>
      <c r="F3649" t="str">
        <f>VLOOKUP(B3649,Tabela_Auxiliar[],3,0)</f>
        <v>Entrada</v>
      </c>
      <c r="G3649" t="str">
        <f>UPPER(TEXT(Tabela_DB[[#This Row],[DATA]],"mmm"))</f>
        <v>AGO</v>
      </c>
      <c r="H3649" t="str">
        <f>UPPER(TEXT(Tabela_DB[[#This Row],[DATA]],"aaaa"))</f>
        <v>2021</v>
      </c>
    </row>
    <row r="3650" spans="1:8" x14ac:dyDescent="0.25">
      <c r="A3650" s="2">
        <v>44420</v>
      </c>
      <c r="B3650" t="s">
        <v>3</v>
      </c>
      <c r="C3650">
        <v>14755</v>
      </c>
      <c r="D3650" t="str">
        <f>VLOOKUP(B3650,Tabela_Auxiliar[],2,0)</f>
        <v>1. Receita Operacional Bruta</v>
      </c>
      <c r="E3650" t="str">
        <f>VLOOKUP(B3650,Tabela_Auxiliar[],4,0)</f>
        <v>Receita Bruta</v>
      </c>
      <c r="F3650" t="str">
        <f>VLOOKUP(B3650,Tabela_Auxiliar[],3,0)</f>
        <v>Entrada</v>
      </c>
      <c r="G3650" t="str">
        <f>UPPER(TEXT(Tabela_DB[[#This Row],[DATA]],"mmm"))</f>
        <v>AGO</v>
      </c>
      <c r="H3650" t="str">
        <f>UPPER(TEXT(Tabela_DB[[#This Row],[DATA]],"aaaa"))</f>
        <v>2021</v>
      </c>
    </row>
    <row r="3651" spans="1:8" x14ac:dyDescent="0.25">
      <c r="A3651" s="2">
        <v>44420</v>
      </c>
      <c r="B3651" t="s">
        <v>111</v>
      </c>
      <c r="C3651">
        <v>-1768</v>
      </c>
      <c r="D3651" t="str">
        <f>VLOOKUP(B3651,Tabela_Auxiliar[],2,0)</f>
        <v>2. Deduções da Receita</v>
      </c>
      <c r="E3651" t="str">
        <f>VLOOKUP(B3651,Tabela_Auxiliar[],4,0)</f>
        <v>Imposto</v>
      </c>
      <c r="F3651" t="str">
        <f>VLOOKUP(B3651,Tabela_Auxiliar[],3,0)</f>
        <v>Saída</v>
      </c>
      <c r="G3651" t="str">
        <f>UPPER(TEXT(Tabela_DB[[#This Row],[DATA]],"mmm"))</f>
        <v>AGO</v>
      </c>
      <c r="H3651" t="str">
        <f>UPPER(TEXT(Tabela_DB[[#This Row],[DATA]],"aaaa"))</f>
        <v>2021</v>
      </c>
    </row>
    <row r="3652" spans="1:8" x14ac:dyDescent="0.25">
      <c r="A3652" s="2">
        <v>44420</v>
      </c>
      <c r="B3652" t="s">
        <v>4</v>
      </c>
      <c r="C3652">
        <v>10273</v>
      </c>
      <c r="D3652" t="str">
        <f>VLOOKUP(B3652,Tabela_Auxiliar[],2,0)</f>
        <v>1. Receita Operacional Bruta</v>
      </c>
      <c r="E3652" t="str">
        <f>VLOOKUP(B3652,Tabela_Auxiliar[],4,0)</f>
        <v>Receita Bruta</v>
      </c>
      <c r="F3652" t="str">
        <f>VLOOKUP(B3652,Tabela_Auxiliar[],3,0)</f>
        <v>Entrada</v>
      </c>
      <c r="G3652" t="str">
        <f>UPPER(TEXT(Tabela_DB[[#This Row],[DATA]],"mmm"))</f>
        <v>AGO</v>
      </c>
      <c r="H3652" t="str">
        <f>UPPER(TEXT(Tabela_DB[[#This Row],[DATA]],"aaaa"))</f>
        <v>2021</v>
      </c>
    </row>
    <row r="3653" spans="1:8" x14ac:dyDescent="0.25">
      <c r="A3653" s="2">
        <v>44420</v>
      </c>
      <c r="B3653" t="s">
        <v>111</v>
      </c>
      <c r="C3653">
        <v>-1036</v>
      </c>
      <c r="D3653" t="str">
        <f>VLOOKUP(B3653,Tabela_Auxiliar[],2,0)</f>
        <v>2. Deduções da Receita</v>
      </c>
      <c r="E3653" t="str">
        <f>VLOOKUP(B3653,Tabela_Auxiliar[],4,0)</f>
        <v>Imposto</v>
      </c>
      <c r="F3653" t="str">
        <f>VLOOKUP(B3653,Tabela_Auxiliar[],3,0)</f>
        <v>Saída</v>
      </c>
      <c r="G3653" t="str">
        <f>UPPER(TEXT(Tabela_DB[[#This Row],[DATA]],"mmm"))</f>
        <v>AGO</v>
      </c>
      <c r="H3653" t="str">
        <f>UPPER(TEXT(Tabela_DB[[#This Row],[DATA]],"aaaa"))</f>
        <v>2021</v>
      </c>
    </row>
    <row r="3654" spans="1:8" x14ac:dyDescent="0.25">
      <c r="A3654" s="2">
        <v>44420</v>
      </c>
      <c r="B3654" t="s">
        <v>46</v>
      </c>
      <c r="C3654">
        <v>-2488</v>
      </c>
      <c r="D3654" t="str">
        <f>VLOOKUP(B3654,Tabela_Auxiliar[],2,0)</f>
        <v>4. Despesas Operacionais</v>
      </c>
      <c r="E3654" t="str">
        <f>VLOOKUP(B3654,Tabela_Auxiliar[],4,0)</f>
        <v>Despesa com Pessoal</v>
      </c>
      <c r="F3654" t="str">
        <f>VLOOKUP(B3654,Tabela_Auxiliar[],3,0)</f>
        <v>Saída</v>
      </c>
      <c r="G3654" t="str">
        <f>UPPER(TEXT(Tabela_DB[[#This Row],[DATA]],"mmm"))</f>
        <v>AGO</v>
      </c>
      <c r="H3654" t="str">
        <f>UPPER(TEXT(Tabela_DB[[#This Row],[DATA]],"aaaa"))</f>
        <v>2021</v>
      </c>
    </row>
    <row r="3655" spans="1:8" x14ac:dyDescent="0.25">
      <c r="A3655" s="2">
        <v>44420</v>
      </c>
      <c r="B3655" t="s">
        <v>58</v>
      </c>
      <c r="C3655">
        <v>-2148</v>
      </c>
      <c r="D3655" t="str">
        <f>VLOOKUP(B3655,Tabela_Auxiliar[],2,0)</f>
        <v>4. Despesas Operacionais</v>
      </c>
      <c r="E3655" t="str">
        <f>VLOOKUP(B3655,Tabela_Auxiliar[],4,0)</f>
        <v>Despesa de Depreciação</v>
      </c>
      <c r="F3655" t="str">
        <f>VLOOKUP(B3655,Tabela_Auxiliar[],3,0)</f>
        <v>Saída</v>
      </c>
      <c r="G3655" t="str">
        <f>UPPER(TEXT(Tabela_DB[[#This Row],[DATA]],"mmm"))</f>
        <v>AGO</v>
      </c>
      <c r="H3655" t="str">
        <f>UPPER(TEXT(Tabela_DB[[#This Row],[DATA]],"aaaa"))</f>
        <v>2021</v>
      </c>
    </row>
    <row r="3656" spans="1:8" x14ac:dyDescent="0.25">
      <c r="A3656" s="2">
        <v>44420</v>
      </c>
      <c r="B3656" t="s">
        <v>66</v>
      </c>
      <c r="C3656">
        <v>-1355</v>
      </c>
      <c r="D3656" t="str">
        <f>VLOOKUP(B3656,Tabela_Auxiliar[],2,0)</f>
        <v>4. Despesas Operacionais</v>
      </c>
      <c r="E3656" t="str">
        <f>VLOOKUP(B3656,Tabela_Auxiliar[],4,0)</f>
        <v>Despesa com Vendas</v>
      </c>
      <c r="F3656" t="str">
        <f>VLOOKUP(B3656,Tabela_Auxiliar[],3,0)</f>
        <v>Saída</v>
      </c>
      <c r="G3656" t="str">
        <f>UPPER(TEXT(Tabela_DB[[#This Row],[DATA]],"mmm"))</f>
        <v>AGO</v>
      </c>
      <c r="H3656" t="str">
        <f>UPPER(TEXT(Tabela_DB[[#This Row],[DATA]],"aaaa"))</f>
        <v>2021</v>
      </c>
    </row>
    <row r="3657" spans="1:8" x14ac:dyDescent="0.25">
      <c r="A3657" s="2">
        <v>44420</v>
      </c>
      <c r="B3657" t="s">
        <v>66</v>
      </c>
      <c r="C3657">
        <v>-1015</v>
      </c>
      <c r="D3657" t="str">
        <f>VLOOKUP(B3657,Tabela_Auxiliar[],2,0)</f>
        <v>4. Despesas Operacionais</v>
      </c>
      <c r="E3657" t="str">
        <f>VLOOKUP(B3657,Tabela_Auxiliar[],4,0)</f>
        <v>Despesa com Vendas</v>
      </c>
      <c r="F3657" t="str">
        <f>VLOOKUP(B3657,Tabela_Auxiliar[],3,0)</f>
        <v>Saída</v>
      </c>
      <c r="G3657" t="str">
        <f>UPPER(TEXT(Tabela_DB[[#This Row],[DATA]],"mmm"))</f>
        <v>AGO</v>
      </c>
      <c r="H3657" t="str">
        <f>UPPER(TEXT(Tabela_DB[[#This Row],[DATA]],"aaaa"))</f>
        <v>2021</v>
      </c>
    </row>
    <row r="3658" spans="1:8" x14ac:dyDescent="0.25">
      <c r="A3658" s="2">
        <v>44420</v>
      </c>
      <c r="B3658" t="s">
        <v>3</v>
      </c>
      <c r="C3658">
        <v>14724</v>
      </c>
      <c r="D3658" t="str">
        <f>VLOOKUP(B3658,Tabela_Auxiliar[],2,0)</f>
        <v>1. Receita Operacional Bruta</v>
      </c>
      <c r="E3658" t="str">
        <f>VLOOKUP(B3658,Tabela_Auxiliar[],4,0)</f>
        <v>Receita Bruta</v>
      </c>
      <c r="F3658" t="str">
        <f>VLOOKUP(B3658,Tabela_Auxiliar[],3,0)</f>
        <v>Entrada</v>
      </c>
      <c r="G3658" t="str">
        <f>UPPER(TEXT(Tabela_DB[[#This Row],[DATA]],"mmm"))</f>
        <v>AGO</v>
      </c>
      <c r="H3658" t="str">
        <f>UPPER(TEXT(Tabela_DB[[#This Row],[DATA]],"aaaa"))</f>
        <v>2021</v>
      </c>
    </row>
    <row r="3659" spans="1:8" x14ac:dyDescent="0.25">
      <c r="A3659" s="2">
        <v>44420</v>
      </c>
      <c r="B3659" t="s">
        <v>4</v>
      </c>
      <c r="C3659">
        <v>14588</v>
      </c>
      <c r="D3659" t="str">
        <f>VLOOKUP(B3659,Tabela_Auxiliar[],2,0)</f>
        <v>1. Receita Operacional Bruta</v>
      </c>
      <c r="E3659" t="str">
        <f>VLOOKUP(B3659,Tabela_Auxiliar[],4,0)</f>
        <v>Receita Bruta</v>
      </c>
      <c r="F3659" t="str">
        <f>VLOOKUP(B3659,Tabela_Auxiliar[],3,0)</f>
        <v>Entrada</v>
      </c>
      <c r="G3659" t="str">
        <f>UPPER(TEXT(Tabela_DB[[#This Row],[DATA]],"mmm"))</f>
        <v>AGO</v>
      </c>
      <c r="H3659" t="str">
        <f>UPPER(TEXT(Tabela_DB[[#This Row],[DATA]],"aaaa"))</f>
        <v>2021</v>
      </c>
    </row>
    <row r="3660" spans="1:8" x14ac:dyDescent="0.25">
      <c r="A3660" s="2">
        <v>44420</v>
      </c>
      <c r="B3660" t="s">
        <v>35</v>
      </c>
      <c r="C3660">
        <v>-1105</v>
      </c>
      <c r="D3660" t="str">
        <f>VLOOKUP(B3660,Tabela_Auxiliar[],2,0)</f>
        <v>2. Deduções da Receita</v>
      </c>
      <c r="E3660" t="str">
        <f>VLOOKUP(B3660,Tabela_Auxiliar[],4,0)</f>
        <v>Imposto</v>
      </c>
      <c r="F3660" t="str">
        <f>VLOOKUP(B3660,Tabela_Auxiliar[],3,0)</f>
        <v>Saída</v>
      </c>
      <c r="G3660" t="str">
        <f>UPPER(TEXT(Tabela_DB[[#This Row],[DATA]],"mmm"))</f>
        <v>AGO</v>
      </c>
      <c r="H3660" t="str">
        <f>UPPER(TEXT(Tabela_DB[[#This Row],[DATA]],"aaaa"))</f>
        <v>2021</v>
      </c>
    </row>
    <row r="3661" spans="1:8" x14ac:dyDescent="0.25">
      <c r="A3661" s="2">
        <v>44420</v>
      </c>
      <c r="B3661" t="s">
        <v>4</v>
      </c>
      <c r="C3661">
        <v>14739</v>
      </c>
      <c r="D3661" t="str">
        <f>VLOOKUP(B3661,Tabela_Auxiliar[],2,0)</f>
        <v>1. Receita Operacional Bruta</v>
      </c>
      <c r="E3661" t="str">
        <f>VLOOKUP(B3661,Tabela_Auxiliar[],4,0)</f>
        <v>Receita Bruta</v>
      </c>
      <c r="F3661" t="str">
        <f>VLOOKUP(B3661,Tabela_Auxiliar[],3,0)</f>
        <v>Entrada</v>
      </c>
      <c r="G3661" t="str">
        <f>UPPER(TEXT(Tabela_DB[[#This Row],[DATA]],"mmm"))</f>
        <v>AGO</v>
      </c>
      <c r="H3661" t="str">
        <f>UPPER(TEXT(Tabela_DB[[#This Row],[DATA]],"aaaa"))</f>
        <v>2021</v>
      </c>
    </row>
    <row r="3662" spans="1:8" x14ac:dyDescent="0.25">
      <c r="A3662" s="2">
        <v>44421</v>
      </c>
      <c r="B3662" t="s">
        <v>38</v>
      </c>
      <c r="C3662">
        <v>-2285</v>
      </c>
      <c r="D3662" t="str">
        <f>VLOOKUP(B3662,Tabela_Auxiliar[],2,0)</f>
        <v>2. Deduções da Receita</v>
      </c>
      <c r="E3662" t="str">
        <f>VLOOKUP(B3662,Tabela_Auxiliar[],4,0)</f>
        <v>Deduções</v>
      </c>
      <c r="F3662" t="str">
        <f>VLOOKUP(B3662,Tabela_Auxiliar[],3,0)</f>
        <v>Saída</v>
      </c>
      <c r="G3662" t="str">
        <f>UPPER(TEXT(Tabela_DB[[#This Row],[DATA]],"mmm"))</f>
        <v>AGO</v>
      </c>
      <c r="H3662" t="str">
        <f>UPPER(TEXT(Tabela_DB[[#This Row],[DATA]],"aaaa"))</f>
        <v>2021</v>
      </c>
    </row>
    <row r="3663" spans="1:8" x14ac:dyDescent="0.25">
      <c r="A3663" s="2">
        <v>44421</v>
      </c>
      <c r="B3663" t="s">
        <v>46</v>
      </c>
      <c r="C3663">
        <v>-1648</v>
      </c>
      <c r="D3663" t="str">
        <f>VLOOKUP(B3663,Tabela_Auxiliar[],2,0)</f>
        <v>4. Despesas Operacionais</v>
      </c>
      <c r="E3663" t="str">
        <f>VLOOKUP(B3663,Tabela_Auxiliar[],4,0)</f>
        <v>Despesa com Pessoal</v>
      </c>
      <c r="F3663" t="str">
        <f>VLOOKUP(B3663,Tabela_Auxiliar[],3,0)</f>
        <v>Saída</v>
      </c>
      <c r="G3663" t="str">
        <f>UPPER(TEXT(Tabela_DB[[#This Row],[DATA]],"mmm"))</f>
        <v>AGO</v>
      </c>
      <c r="H3663" t="str">
        <f>UPPER(TEXT(Tabela_DB[[#This Row],[DATA]],"aaaa"))</f>
        <v>2021</v>
      </c>
    </row>
    <row r="3664" spans="1:8" x14ac:dyDescent="0.25">
      <c r="A3664" s="2">
        <v>44421</v>
      </c>
      <c r="B3664" t="s">
        <v>3</v>
      </c>
      <c r="C3664">
        <v>13996</v>
      </c>
      <c r="D3664" t="str">
        <f>VLOOKUP(B3664,Tabela_Auxiliar[],2,0)</f>
        <v>1. Receita Operacional Bruta</v>
      </c>
      <c r="E3664" t="str">
        <f>VLOOKUP(B3664,Tabela_Auxiliar[],4,0)</f>
        <v>Receita Bruta</v>
      </c>
      <c r="F3664" t="str">
        <f>VLOOKUP(B3664,Tabela_Auxiliar[],3,0)</f>
        <v>Entrada</v>
      </c>
      <c r="G3664" t="str">
        <f>UPPER(TEXT(Tabela_DB[[#This Row],[DATA]],"mmm"))</f>
        <v>AGO</v>
      </c>
      <c r="H3664" t="str">
        <f>UPPER(TEXT(Tabela_DB[[#This Row],[DATA]],"aaaa"))</f>
        <v>2021</v>
      </c>
    </row>
    <row r="3665" spans="1:8" x14ac:dyDescent="0.25">
      <c r="A3665" s="2">
        <v>44421</v>
      </c>
      <c r="B3665" t="s">
        <v>35</v>
      </c>
      <c r="C3665">
        <v>-1471</v>
      </c>
      <c r="D3665" t="str">
        <f>VLOOKUP(B3665,Tabela_Auxiliar[],2,0)</f>
        <v>2. Deduções da Receita</v>
      </c>
      <c r="E3665" t="str">
        <f>VLOOKUP(B3665,Tabela_Auxiliar[],4,0)</f>
        <v>Imposto</v>
      </c>
      <c r="F3665" t="str">
        <f>VLOOKUP(B3665,Tabela_Auxiliar[],3,0)</f>
        <v>Saída</v>
      </c>
      <c r="G3665" t="str">
        <f>UPPER(TEXT(Tabela_DB[[#This Row],[DATA]],"mmm"))</f>
        <v>AGO</v>
      </c>
      <c r="H3665" t="str">
        <f>UPPER(TEXT(Tabela_DB[[#This Row],[DATA]],"aaaa"))</f>
        <v>2021</v>
      </c>
    </row>
    <row r="3666" spans="1:8" x14ac:dyDescent="0.25">
      <c r="A3666" s="2">
        <v>44421</v>
      </c>
      <c r="B3666" t="s">
        <v>63</v>
      </c>
      <c r="C3666">
        <v>-1220</v>
      </c>
      <c r="D3666" t="str">
        <f>VLOOKUP(B3666,Tabela_Auxiliar[],2,0)</f>
        <v>4. Despesas Operacionais</v>
      </c>
      <c r="E3666" t="str">
        <f>VLOOKUP(B3666,Tabela_Auxiliar[],4,0)</f>
        <v>Despesa Gerais</v>
      </c>
      <c r="F3666" t="str">
        <f>VLOOKUP(B3666,Tabela_Auxiliar[],3,0)</f>
        <v>Saída</v>
      </c>
      <c r="G3666" t="str">
        <f>UPPER(TEXT(Tabela_DB[[#This Row],[DATA]],"mmm"))</f>
        <v>AGO</v>
      </c>
      <c r="H3666" t="str">
        <f>UPPER(TEXT(Tabela_DB[[#This Row],[DATA]],"aaaa"))</f>
        <v>2021</v>
      </c>
    </row>
    <row r="3667" spans="1:8" x14ac:dyDescent="0.25">
      <c r="A3667" s="2">
        <v>44421</v>
      </c>
      <c r="B3667" t="s">
        <v>31</v>
      </c>
      <c r="C3667">
        <v>-1913</v>
      </c>
      <c r="D3667" t="str">
        <f>VLOOKUP(B3667,Tabela_Auxiliar[],2,0)</f>
        <v>5. Resultado Financeiro</v>
      </c>
      <c r="E3667" t="str">
        <f>VLOOKUP(B3667,Tabela_Auxiliar[],4,0)</f>
        <v>Participação nos resultados</v>
      </c>
      <c r="F3667" t="str">
        <f>VLOOKUP(B3667,Tabela_Auxiliar[],3,0)</f>
        <v>Saída</v>
      </c>
      <c r="G3667" t="str">
        <f>UPPER(TEXT(Tabela_DB[[#This Row],[DATA]],"mmm"))</f>
        <v>AGO</v>
      </c>
      <c r="H3667" t="str">
        <f>UPPER(TEXT(Tabela_DB[[#This Row],[DATA]],"aaaa"))</f>
        <v>2021</v>
      </c>
    </row>
    <row r="3668" spans="1:8" x14ac:dyDescent="0.25">
      <c r="A3668" s="2">
        <v>44421</v>
      </c>
      <c r="B3668" t="s">
        <v>81</v>
      </c>
      <c r="C3668">
        <v>-1279</v>
      </c>
      <c r="D3668" t="str">
        <f>VLOOKUP(B3668,Tabela_Auxiliar[],2,0)</f>
        <v>4. Despesas Operacionais</v>
      </c>
      <c r="E3668" t="str">
        <f>VLOOKUP(B3668,Tabela_Auxiliar[],4,0)</f>
        <v>Serviços Contratados</v>
      </c>
      <c r="F3668" t="str">
        <f>VLOOKUP(B3668,Tabela_Auxiliar[],3,0)</f>
        <v>Saída</v>
      </c>
      <c r="G3668" t="str">
        <f>UPPER(TEXT(Tabela_DB[[#This Row],[DATA]],"mmm"))</f>
        <v>AGO</v>
      </c>
      <c r="H3668" t="str">
        <f>UPPER(TEXT(Tabela_DB[[#This Row],[DATA]],"aaaa"))</f>
        <v>2021</v>
      </c>
    </row>
    <row r="3669" spans="1:8" x14ac:dyDescent="0.25">
      <c r="A3669" s="2">
        <v>44421</v>
      </c>
      <c r="B3669" t="s">
        <v>37</v>
      </c>
      <c r="C3669">
        <v>-2799</v>
      </c>
      <c r="D3669" t="str">
        <f>VLOOKUP(B3669,Tabela_Auxiliar[],2,0)</f>
        <v>3. Custos do Produto/Mercadoria/Serviço</v>
      </c>
      <c r="E3669" t="str">
        <f>VLOOKUP(B3669,Tabela_Auxiliar[],4,0)</f>
        <v>Despesas c/ Produto</v>
      </c>
      <c r="F3669" t="str">
        <f>VLOOKUP(B3669,Tabela_Auxiliar[],3,0)</f>
        <v>Saída</v>
      </c>
      <c r="G3669" t="str">
        <f>UPPER(TEXT(Tabela_DB[[#This Row],[DATA]],"mmm"))</f>
        <v>AGO</v>
      </c>
      <c r="H3669" t="str">
        <f>UPPER(TEXT(Tabela_DB[[#This Row],[DATA]],"aaaa"))</f>
        <v>2021</v>
      </c>
    </row>
    <row r="3670" spans="1:8" x14ac:dyDescent="0.25">
      <c r="A3670" s="2">
        <v>44421</v>
      </c>
      <c r="B3670" t="s">
        <v>54</v>
      </c>
      <c r="C3670">
        <v>-1986</v>
      </c>
      <c r="D3670" t="str">
        <f>VLOOKUP(B3670,Tabela_Auxiliar[],2,0)</f>
        <v>4. Despesas Operacionais</v>
      </c>
      <c r="E3670" t="str">
        <f>VLOOKUP(B3670,Tabela_Auxiliar[],4,0)</f>
        <v>Despesa com Pessoal</v>
      </c>
      <c r="F3670" t="str">
        <f>VLOOKUP(B3670,Tabela_Auxiliar[],3,0)</f>
        <v>Saída</v>
      </c>
      <c r="G3670" t="str">
        <f>UPPER(TEXT(Tabela_DB[[#This Row],[DATA]],"mmm"))</f>
        <v>AGO</v>
      </c>
      <c r="H3670" t="str">
        <f>UPPER(TEXT(Tabela_DB[[#This Row],[DATA]],"aaaa"))</f>
        <v>2021</v>
      </c>
    </row>
    <row r="3671" spans="1:8" x14ac:dyDescent="0.25">
      <c r="A3671" s="2">
        <v>44421</v>
      </c>
      <c r="B3671" t="s">
        <v>4</v>
      </c>
      <c r="C3671">
        <v>12667</v>
      </c>
      <c r="D3671" t="str">
        <f>VLOOKUP(B3671,Tabela_Auxiliar[],2,0)</f>
        <v>1. Receita Operacional Bruta</v>
      </c>
      <c r="E3671" t="str">
        <f>VLOOKUP(B3671,Tabela_Auxiliar[],4,0)</f>
        <v>Receita Bruta</v>
      </c>
      <c r="F3671" t="str">
        <f>VLOOKUP(B3671,Tabela_Auxiliar[],3,0)</f>
        <v>Entrada</v>
      </c>
      <c r="G3671" t="str">
        <f>UPPER(TEXT(Tabela_DB[[#This Row],[DATA]],"mmm"))</f>
        <v>AGO</v>
      </c>
      <c r="H3671" t="str">
        <f>UPPER(TEXT(Tabela_DB[[#This Row],[DATA]],"aaaa"))</f>
        <v>2021</v>
      </c>
    </row>
    <row r="3672" spans="1:8" x14ac:dyDescent="0.25">
      <c r="A3672" s="2">
        <v>44421</v>
      </c>
      <c r="B3672" t="s">
        <v>35</v>
      </c>
      <c r="C3672">
        <v>-1285</v>
      </c>
      <c r="D3672" t="str">
        <f>VLOOKUP(B3672,Tabela_Auxiliar[],2,0)</f>
        <v>2. Deduções da Receita</v>
      </c>
      <c r="E3672" t="str">
        <f>VLOOKUP(B3672,Tabela_Auxiliar[],4,0)</f>
        <v>Imposto</v>
      </c>
      <c r="F3672" t="str">
        <f>VLOOKUP(B3672,Tabela_Auxiliar[],3,0)</f>
        <v>Saída</v>
      </c>
      <c r="G3672" t="str">
        <f>UPPER(TEXT(Tabela_DB[[#This Row],[DATA]],"mmm"))</f>
        <v>AGO</v>
      </c>
      <c r="H3672" t="str">
        <f>UPPER(TEXT(Tabela_DB[[#This Row],[DATA]],"aaaa"))</f>
        <v>2021</v>
      </c>
    </row>
    <row r="3673" spans="1:8" x14ac:dyDescent="0.25">
      <c r="A3673" s="2">
        <v>44421</v>
      </c>
      <c r="B3673" t="s">
        <v>42</v>
      </c>
      <c r="C3673">
        <v>-1224</v>
      </c>
      <c r="D3673" t="str">
        <f>VLOOKUP(B3673,Tabela_Auxiliar[],2,0)</f>
        <v>4. Despesas Operacionais</v>
      </c>
      <c r="E3673" t="str">
        <f>VLOOKUP(B3673,Tabela_Auxiliar[],4,0)</f>
        <v>Despesa com Pessoal</v>
      </c>
      <c r="F3673" t="str">
        <f>VLOOKUP(B3673,Tabela_Auxiliar[],3,0)</f>
        <v>Saída</v>
      </c>
      <c r="G3673" t="str">
        <f>UPPER(TEXT(Tabela_DB[[#This Row],[DATA]],"mmm"))</f>
        <v>AGO</v>
      </c>
      <c r="H3673" t="str">
        <f>UPPER(TEXT(Tabela_DB[[#This Row],[DATA]],"aaaa"))</f>
        <v>2021</v>
      </c>
    </row>
    <row r="3674" spans="1:8" x14ac:dyDescent="0.25">
      <c r="A3674" s="2">
        <v>44422</v>
      </c>
      <c r="B3674" t="s">
        <v>35</v>
      </c>
      <c r="C3674">
        <v>-1324</v>
      </c>
      <c r="D3674" t="str">
        <f>VLOOKUP(B3674,Tabela_Auxiliar[],2,0)</f>
        <v>2. Deduções da Receita</v>
      </c>
      <c r="E3674" t="str">
        <f>VLOOKUP(B3674,Tabela_Auxiliar[],4,0)</f>
        <v>Imposto</v>
      </c>
      <c r="F3674" t="str">
        <f>VLOOKUP(B3674,Tabela_Auxiliar[],3,0)</f>
        <v>Saída</v>
      </c>
      <c r="G3674" t="str">
        <f>UPPER(TEXT(Tabela_DB[[#This Row],[DATA]],"mmm"))</f>
        <v>AGO</v>
      </c>
      <c r="H3674" t="str">
        <f>UPPER(TEXT(Tabela_DB[[#This Row],[DATA]],"aaaa"))</f>
        <v>2021</v>
      </c>
    </row>
    <row r="3675" spans="1:8" x14ac:dyDescent="0.25">
      <c r="A3675" s="2">
        <v>44422</v>
      </c>
      <c r="B3675" t="s">
        <v>54</v>
      </c>
      <c r="C3675">
        <v>-1032</v>
      </c>
      <c r="D3675" t="str">
        <f>VLOOKUP(B3675,Tabela_Auxiliar[],2,0)</f>
        <v>4. Despesas Operacionais</v>
      </c>
      <c r="E3675" t="str">
        <f>VLOOKUP(B3675,Tabela_Auxiliar[],4,0)</f>
        <v>Despesa com Pessoal</v>
      </c>
      <c r="F3675" t="str">
        <f>VLOOKUP(B3675,Tabela_Auxiliar[],3,0)</f>
        <v>Saída</v>
      </c>
      <c r="G3675" t="str">
        <f>UPPER(TEXT(Tabela_DB[[#This Row],[DATA]],"mmm"))</f>
        <v>AGO</v>
      </c>
      <c r="H3675" t="str">
        <f>UPPER(TEXT(Tabela_DB[[#This Row],[DATA]],"aaaa"))</f>
        <v>2021</v>
      </c>
    </row>
    <row r="3676" spans="1:8" x14ac:dyDescent="0.25">
      <c r="A3676" s="2">
        <v>44422</v>
      </c>
      <c r="B3676" t="s">
        <v>65</v>
      </c>
      <c r="C3676">
        <v>-1211</v>
      </c>
      <c r="D3676" t="str">
        <f>VLOOKUP(B3676,Tabela_Auxiliar[],2,0)</f>
        <v>4. Despesas Operacionais</v>
      </c>
      <c r="E3676" t="str">
        <f>VLOOKUP(B3676,Tabela_Auxiliar[],4,0)</f>
        <v>Despesa Gerais</v>
      </c>
      <c r="F3676" t="str">
        <f>VLOOKUP(B3676,Tabela_Auxiliar[],3,0)</f>
        <v>Saída</v>
      </c>
      <c r="G3676" t="str">
        <f>UPPER(TEXT(Tabela_DB[[#This Row],[DATA]],"mmm"))</f>
        <v>AGO</v>
      </c>
      <c r="H3676" t="str">
        <f>UPPER(TEXT(Tabela_DB[[#This Row],[DATA]],"aaaa"))</f>
        <v>2021</v>
      </c>
    </row>
    <row r="3677" spans="1:8" x14ac:dyDescent="0.25">
      <c r="A3677" s="2">
        <v>44422</v>
      </c>
      <c r="B3677" t="s">
        <v>3</v>
      </c>
      <c r="C3677">
        <v>11477</v>
      </c>
      <c r="D3677" t="str">
        <f>VLOOKUP(B3677,Tabela_Auxiliar[],2,0)</f>
        <v>1. Receita Operacional Bruta</v>
      </c>
      <c r="E3677" t="str">
        <f>VLOOKUP(B3677,Tabela_Auxiliar[],4,0)</f>
        <v>Receita Bruta</v>
      </c>
      <c r="F3677" t="str">
        <f>VLOOKUP(B3677,Tabela_Auxiliar[],3,0)</f>
        <v>Entrada</v>
      </c>
      <c r="G3677" t="str">
        <f>UPPER(TEXT(Tabela_DB[[#This Row],[DATA]],"mmm"))</f>
        <v>AGO</v>
      </c>
      <c r="H3677" t="str">
        <f>UPPER(TEXT(Tabela_DB[[#This Row],[DATA]],"aaaa"))</f>
        <v>2021</v>
      </c>
    </row>
    <row r="3678" spans="1:8" x14ac:dyDescent="0.25">
      <c r="A3678" s="2">
        <v>44422</v>
      </c>
      <c r="B3678" t="s">
        <v>35</v>
      </c>
      <c r="C3678">
        <v>-2414</v>
      </c>
      <c r="D3678" t="str">
        <f>VLOOKUP(B3678,Tabela_Auxiliar[],2,0)</f>
        <v>2. Deduções da Receita</v>
      </c>
      <c r="E3678" t="str">
        <f>VLOOKUP(B3678,Tabela_Auxiliar[],4,0)</f>
        <v>Imposto</v>
      </c>
      <c r="F3678" t="str">
        <f>VLOOKUP(B3678,Tabela_Auxiliar[],3,0)</f>
        <v>Saída</v>
      </c>
      <c r="G3678" t="str">
        <f>UPPER(TEXT(Tabela_DB[[#This Row],[DATA]],"mmm"))</f>
        <v>AGO</v>
      </c>
      <c r="H3678" t="str">
        <f>UPPER(TEXT(Tabela_DB[[#This Row],[DATA]],"aaaa"))</f>
        <v>2021</v>
      </c>
    </row>
    <row r="3679" spans="1:8" x14ac:dyDescent="0.25">
      <c r="A3679" s="2">
        <v>44422</v>
      </c>
      <c r="B3679" t="s">
        <v>3</v>
      </c>
      <c r="C3679">
        <v>12600</v>
      </c>
      <c r="D3679" t="str">
        <f>VLOOKUP(B3679,Tabela_Auxiliar[],2,0)</f>
        <v>1. Receita Operacional Bruta</v>
      </c>
      <c r="E3679" t="str">
        <f>VLOOKUP(B3679,Tabela_Auxiliar[],4,0)</f>
        <v>Receita Bruta</v>
      </c>
      <c r="F3679" t="str">
        <f>VLOOKUP(B3679,Tabela_Auxiliar[],3,0)</f>
        <v>Entrada</v>
      </c>
      <c r="G3679" t="str">
        <f>UPPER(TEXT(Tabela_DB[[#This Row],[DATA]],"mmm"))</f>
        <v>AGO</v>
      </c>
      <c r="H3679" t="str">
        <f>UPPER(TEXT(Tabela_DB[[#This Row],[DATA]],"aaaa"))</f>
        <v>2021</v>
      </c>
    </row>
    <row r="3680" spans="1:8" x14ac:dyDescent="0.25">
      <c r="A3680" s="2">
        <v>44422</v>
      </c>
      <c r="B3680" t="s">
        <v>34</v>
      </c>
      <c r="C3680">
        <v>-1683</v>
      </c>
      <c r="D3680" t="str">
        <f>VLOOKUP(B3680,Tabela_Auxiliar[],2,0)</f>
        <v>2. Deduções da Receita</v>
      </c>
      <c r="E3680" t="str">
        <f>VLOOKUP(B3680,Tabela_Auxiliar[],4,0)</f>
        <v>Imposto</v>
      </c>
      <c r="F3680" t="str">
        <f>VLOOKUP(B3680,Tabela_Auxiliar[],3,0)</f>
        <v>Saída</v>
      </c>
      <c r="G3680" t="str">
        <f>UPPER(TEXT(Tabela_DB[[#This Row],[DATA]],"mmm"))</f>
        <v>AGO</v>
      </c>
      <c r="H3680" t="str">
        <f>UPPER(TEXT(Tabela_DB[[#This Row],[DATA]],"aaaa"))</f>
        <v>2021</v>
      </c>
    </row>
    <row r="3681" spans="1:8" x14ac:dyDescent="0.25">
      <c r="A3681" s="2">
        <v>44422</v>
      </c>
      <c r="B3681" t="s">
        <v>38</v>
      </c>
      <c r="C3681">
        <v>-1820</v>
      </c>
      <c r="D3681" t="str">
        <f>VLOOKUP(B3681,Tabela_Auxiliar[],2,0)</f>
        <v>2. Deduções da Receita</v>
      </c>
      <c r="E3681" t="str">
        <f>VLOOKUP(B3681,Tabela_Auxiliar[],4,0)</f>
        <v>Deduções</v>
      </c>
      <c r="F3681" t="str">
        <f>VLOOKUP(B3681,Tabela_Auxiliar[],3,0)</f>
        <v>Saída</v>
      </c>
      <c r="G3681" t="str">
        <f>UPPER(TEXT(Tabela_DB[[#This Row],[DATA]],"mmm"))</f>
        <v>AGO</v>
      </c>
      <c r="H3681" t="str">
        <f>UPPER(TEXT(Tabela_DB[[#This Row],[DATA]],"aaaa"))</f>
        <v>2021</v>
      </c>
    </row>
    <row r="3682" spans="1:8" x14ac:dyDescent="0.25">
      <c r="A3682" s="2">
        <v>44422</v>
      </c>
      <c r="B3682" t="s">
        <v>35</v>
      </c>
      <c r="C3682">
        <v>-1617</v>
      </c>
      <c r="D3682" t="str">
        <f>VLOOKUP(B3682,Tabela_Auxiliar[],2,0)</f>
        <v>2. Deduções da Receita</v>
      </c>
      <c r="E3682" t="str">
        <f>VLOOKUP(B3682,Tabela_Auxiliar[],4,0)</f>
        <v>Imposto</v>
      </c>
      <c r="F3682" t="str">
        <f>VLOOKUP(B3682,Tabela_Auxiliar[],3,0)</f>
        <v>Saída</v>
      </c>
      <c r="G3682" t="str">
        <f>UPPER(TEXT(Tabela_DB[[#This Row],[DATA]],"mmm"))</f>
        <v>AGO</v>
      </c>
      <c r="H3682" t="str">
        <f>UPPER(TEXT(Tabela_DB[[#This Row],[DATA]],"aaaa"))</f>
        <v>2021</v>
      </c>
    </row>
    <row r="3683" spans="1:8" x14ac:dyDescent="0.25">
      <c r="A3683" s="2">
        <v>44422</v>
      </c>
      <c r="B3683" t="s">
        <v>35</v>
      </c>
      <c r="C3683">
        <v>-1734</v>
      </c>
      <c r="D3683" t="str">
        <f>VLOOKUP(B3683,Tabela_Auxiliar[],2,0)</f>
        <v>2. Deduções da Receita</v>
      </c>
      <c r="E3683" t="str">
        <f>VLOOKUP(B3683,Tabela_Auxiliar[],4,0)</f>
        <v>Imposto</v>
      </c>
      <c r="F3683" t="str">
        <f>VLOOKUP(B3683,Tabela_Auxiliar[],3,0)</f>
        <v>Saída</v>
      </c>
      <c r="G3683" t="str">
        <f>UPPER(TEXT(Tabela_DB[[#This Row],[DATA]],"mmm"))</f>
        <v>AGO</v>
      </c>
      <c r="H3683" t="str">
        <f>UPPER(TEXT(Tabela_DB[[#This Row],[DATA]],"aaaa"))</f>
        <v>2021</v>
      </c>
    </row>
    <row r="3684" spans="1:8" x14ac:dyDescent="0.25">
      <c r="A3684" s="2">
        <v>44422</v>
      </c>
      <c r="B3684" t="s">
        <v>37</v>
      </c>
      <c r="C3684">
        <v>-3276</v>
      </c>
      <c r="D3684" t="str">
        <f>VLOOKUP(B3684,Tabela_Auxiliar[],2,0)</f>
        <v>3. Custos do Produto/Mercadoria/Serviço</v>
      </c>
      <c r="E3684" t="str">
        <f>VLOOKUP(B3684,Tabela_Auxiliar[],4,0)</f>
        <v>Despesas c/ Produto</v>
      </c>
      <c r="F3684" t="str">
        <f>VLOOKUP(B3684,Tabela_Auxiliar[],3,0)</f>
        <v>Saída</v>
      </c>
      <c r="G3684" t="str">
        <f>UPPER(TEXT(Tabela_DB[[#This Row],[DATA]],"mmm"))</f>
        <v>AGO</v>
      </c>
      <c r="H3684" t="str">
        <f>UPPER(TEXT(Tabela_DB[[#This Row],[DATA]],"aaaa"))</f>
        <v>2021</v>
      </c>
    </row>
    <row r="3685" spans="1:8" x14ac:dyDescent="0.25">
      <c r="A3685" s="2">
        <v>44422</v>
      </c>
      <c r="B3685" t="s">
        <v>67</v>
      </c>
      <c r="C3685">
        <v>-1957</v>
      </c>
      <c r="D3685" t="str">
        <f>VLOOKUP(B3685,Tabela_Auxiliar[],2,0)</f>
        <v>4. Despesas Operacionais</v>
      </c>
      <c r="E3685" t="str">
        <f>VLOOKUP(B3685,Tabela_Auxiliar[],4,0)</f>
        <v>Despesa com Vendas</v>
      </c>
      <c r="F3685" t="str">
        <f>VLOOKUP(B3685,Tabela_Auxiliar[],3,0)</f>
        <v>Saída</v>
      </c>
      <c r="G3685" t="str">
        <f>UPPER(TEXT(Tabela_DB[[#This Row],[DATA]],"mmm"))</f>
        <v>AGO</v>
      </c>
      <c r="H3685" t="str">
        <f>UPPER(TEXT(Tabela_DB[[#This Row],[DATA]],"aaaa"))</f>
        <v>2021</v>
      </c>
    </row>
    <row r="3686" spans="1:8" x14ac:dyDescent="0.25">
      <c r="A3686" s="2">
        <v>44423</v>
      </c>
      <c r="B3686" t="s">
        <v>38</v>
      </c>
      <c r="C3686">
        <v>-1422</v>
      </c>
      <c r="D3686" t="str">
        <f>VLOOKUP(B3686,Tabela_Auxiliar[],2,0)</f>
        <v>2. Deduções da Receita</v>
      </c>
      <c r="E3686" t="str">
        <f>VLOOKUP(B3686,Tabela_Auxiliar[],4,0)</f>
        <v>Deduções</v>
      </c>
      <c r="F3686" t="str">
        <f>VLOOKUP(B3686,Tabela_Auxiliar[],3,0)</f>
        <v>Saída</v>
      </c>
      <c r="G3686" t="str">
        <f>UPPER(TEXT(Tabela_DB[[#This Row],[DATA]],"mmm"))</f>
        <v>AGO</v>
      </c>
      <c r="H3686" t="str">
        <f>UPPER(TEXT(Tabela_DB[[#This Row],[DATA]],"aaaa"))</f>
        <v>2021</v>
      </c>
    </row>
    <row r="3687" spans="1:8" x14ac:dyDescent="0.25">
      <c r="A3687" s="2">
        <v>44423</v>
      </c>
      <c r="B3687" t="s">
        <v>3</v>
      </c>
      <c r="C3687">
        <v>11803</v>
      </c>
      <c r="D3687" t="str">
        <f>VLOOKUP(B3687,Tabela_Auxiliar[],2,0)</f>
        <v>1. Receita Operacional Bruta</v>
      </c>
      <c r="E3687" t="str">
        <f>VLOOKUP(B3687,Tabela_Auxiliar[],4,0)</f>
        <v>Receita Bruta</v>
      </c>
      <c r="F3687" t="str">
        <f>VLOOKUP(B3687,Tabela_Auxiliar[],3,0)</f>
        <v>Entrada</v>
      </c>
      <c r="G3687" t="str">
        <f>UPPER(TEXT(Tabela_DB[[#This Row],[DATA]],"mmm"))</f>
        <v>AGO</v>
      </c>
      <c r="H3687" t="str">
        <f>UPPER(TEXT(Tabela_DB[[#This Row],[DATA]],"aaaa"))</f>
        <v>2021</v>
      </c>
    </row>
    <row r="3688" spans="1:8" x14ac:dyDescent="0.25">
      <c r="A3688" s="2">
        <v>44423</v>
      </c>
      <c r="B3688" t="s">
        <v>3</v>
      </c>
      <c r="C3688">
        <v>12290</v>
      </c>
      <c r="D3688" t="str">
        <f>VLOOKUP(B3688,Tabela_Auxiliar[],2,0)</f>
        <v>1. Receita Operacional Bruta</v>
      </c>
      <c r="E3688" t="str">
        <f>VLOOKUP(B3688,Tabela_Auxiliar[],4,0)</f>
        <v>Receita Bruta</v>
      </c>
      <c r="F3688" t="str">
        <f>VLOOKUP(B3688,Tabela_Auxiliar[],3,0)</f>
        <v>Entrada</v>
      </c>
      <c r="G3688" t="str">
        <f>UPPER(TEXT(Tabela_DB[[#This Row],[DATA]],"mmm"))</f>
        <v>AGO</v>
      </c>
      <c r="H3688" t="str">
        <f>UPPER(TEXT(Tabela_DB[[#This Row],[DATA]],"aaaa"))</f>
        <v>2021</v>
      </c>
    </row>
    <row r="3689" spans="1:8" x14ac:dyDescent="0.25">
      <c r="A3689" s="2">
        <v>44423</v>
      </c>
      <c r="B3689" t="s">
        <v>76</v>
      </c>
      <c r="C3689">
        <v>-1621</v>
      </c>
      <c r="D3689" t="str">
        <f>VLOOKUP(B3689,Tabela_Auxiliar[],2,0)</f>
        <v>4. Despesas Operacionais</v>
      </c>
      <c r="E3689" t="str">
        <f>VLOOKUP(B3689,Tabela_Auxiliar[],4,0)</f>
        <v>Serviços Contratados</v>
      </c>
      <c r="F3689" t="str">
        <f>VLOOKUP(B3689,Tabela_Auxiliar[],3,0)</f>
        <v>Saída</v>
      </c>
      <c r="G3689" t="str">
        <f>UPPER(TEXT(Tabela_DB[[#This Row],[DATA]],"mmm"))</f>
        <v>AGO</v>
      </c>
      <c r="H3689" t="str">
        <f>UPPER(TEXT(Tabela_DB[[#This Row],[DATA]],"aaaa"))</f>
        <v>2021</v>
      </c>
    </row>
    <row r="3690" spans="1:8" x14ac:dyDescent="0.25">
      <c r="A3690" s="2">
        <v>44423</v>
      </c>
      <c r="B3690" t="s">
        <v>44</v>
      </c>
      <c r="C3690">
        <v>-1868</v>
      </c>
      <c r="D3690" t="str">
        <f>VLOOKUP(B3690,Tabela_Auxiliar[],2,0)</f>
        <v>4. Despesas Operacionais</v>
      </c>
      <c r="E3690" t="str">
        <f>VLOOKUP(B3690,Tabela_Auxiliar[],4,0)</f>
        <v>Despesa com Pessoal</v>
      </c>
      <c r="F3690" t="str">
        <f>VLOOKUP(B3690,Tabela_Auxiliar[],3,0)</f>
        <v>Saída</v>
      </c>
      <c r="G3690" t="str">
        <f>UPPER(TEXT(Tabela_DB[[#This Row],[DATA]],"mmm"))</f>
        <v>AGO</v>
      </c>
      <c r="H3690" t="str">
        <f>UPPER(TEXT(Tabela_DB[[#This Row],[DATA]],"aaaa"))</f>
        <v>2021</v>
      </c>
    </row>
    <row r="3691" spans="1:8" x14ac:dyDescent="0.25">
      <c r="A3691" s="2">
        <v>44423</v>
      </c>
      <c r="B3691" t="s">
        <v>66</v>
      </c>
      <c r="C3691">
        <v>-1787</v>
      </c>
      <c r="D3691" t="str">
        <f>VLOOKUP(B3691,Tabela_Auxiliar[],2,0)</f>
        <v>4. Despesas Operacionais</v>
      </c>
      <c r="E3691" t="str">
        <f>VLOOKUP(B3691,Tabela_Auxiliar[],4,0)</f>
        <v>Despesa com Vendas</v>
      </c>
      <c r="F3691" t="str">
        <f>VLOOKUP(B3691,Tabela_Auxiliar[],3,0)</f>
        <v>Saída</v>
      </c>
      <c r="G3691" t="str">
        <f>UPPER(TEXT(Tabela_DB[[#This Row],[DATA]],"mmm"))</f>
        <v>AGO</v>
      </c>
      <c r="H3691" t="str">
        <f>UPPER(TEXT(Tabela_DB[[#This Row],[DATA]],"aaaa"))</f>
        <v>2021</v>
      </c>
    </row>
    <row r="3692" spans="1:8" x14ac:dyDescent="0.25">
      <c r="A3692" s="2">
        <v>44423</v>
      </c>
      <c r="B3692" t="s">
        <v>37</v>
      </c>
      <c r="C3692">
        <v>-3320</v>
      </c>
      <c r="D3692" t="str">
        <f>VLOOKUP(B3692,Tabela_Auxiliar[],2,0)</f>
        <v>3. Custos do Produto/Mercadoria/Serviço</v>
      </c>
      <c r="E3692" t="str">
        <f>VLOOKUP(B3692,Tabela_Auxiliar[],4,0)</f>
        <v>Despesas c/ Produto</v>
      </c>
      <c r="F3692" t="str">
        <f>VLOOKUP(B3692,Tabela_Auxiliar[],3,0)</f>
        <v>Saída</v>
      </c>
      <c r="G3692" t="str">
        <f>UPPER(TEXT(Tabela_DB[[#This Row],[DATA]],"mmm"))</f>
        <v>AGO</v>
      </c>
      <c r="H3692" t="str">
        <f>UPPER(TEXT(Tabela_DB[[#This Row],[DATA]],"aaaa"))</f>
        <v>2021</v>
      </c>
    </row>
    <row r="3693" spans="1:8" x14ac:dyDescent="0.25">
      <c r="A3693" s="2">
        <v>44423</v>
      </c>
      <c r="B3693" t="s">
        <v>89</v>
      </c>
      <c r="C3693">
        <v>-1825</v>
      </c>
      <c r="D3693" t="str">
        <f>VLOOKUP(B3693,Tabela_Auxiliar[],2,0)</f>
        <v>4. Despesas Operacionais</v>
      </c>
      <c r="E3693" t="str">
        <f>VLOOKUP(B3693,Tabela_Auxiliar[],4,0)</f>
        <v>Despesa Tributária</v>
      </c>
      <c r="F3693" t="str">
        <f>VLOOKUP(B3693,Tabela_Auxiliar[],3,0)</f>
        <v>Saída</v>
      </c>
      <c r="G3693" t="str">
        <f>UPPER(TEXT(Tabela_DB[[#This Row],[DATA]],"mmm"))</f>
        <v>AGO</v>
      </c>
      <c r="H3693" t="str">
        <f>UPPER(TEXT(Tabela_DB[[#This Row],[DATA]],"aaaa"))</f>
        <v>2021</v>
      </c>
    </row>
    <row r="3694" spans="1:8" x14ac:dyDescent="0.25">
      <c r="A3694" s="2">
        <v>44423</v>
      </c>
      <c r="B3694" t="s">
        <v>3</v>
      </c>
      <c r="C3694">
        <v>10769</v>
      </c>
      <c r="D3694" t="str">
        <f>VLOOKUP(B3694,Tabela_Auxiliar[],2,0)</f>
        <v>1. Receita Operacional Bruta</v>
      </c>
      <c r="E3694" t="str">
        <f>VLOOKUP(B3694,Tabela_Auxiliar[],4,0)</f>
        <v>Receita Bruta</v>
      </c>
      <c r="F3694" t="str">
        <f>VLOOKUP(B3694,Tabela_Auxiliar[],3,0)</f>
        <v>Entrada</v>
      </c>
      <c r="G3694" t="str">
        <f>UPPER(TEXT(Tabela_DB[[#This Row],[DATA]],"mmm"))</f>
        <v>AGO</v>
      </c>
      <c r="H3694" t="str">
        <f>UPPER(TEXT(Tabela_DB[[#This Row],[DATA]],"aaaa"))</f>
        <v>2021</v>
      </c>
    </row>
    <row r="3695" spans="1:8" x14ac:dyDescent="0.25">
      <c r="A3695" s="2">
        <v>44423</v>
      </c>
      <c r="B3695" t="s">
        <v>62</v>
      </c>
      <c r="C3695">
        <v>-2017</v>
      </c>
      <c r="D3695" t="str">
        <f>VLOOKUP(B3695,Tabela_Auxiliar[],2,0)</f>
        <v>4. Despesas Operacionais</v>
      </c>
      <c r="E3695" t="str">
        <f>VLOOKUP(B3695,Tabela_Auxiliar[],4,0)</f>
        <v>Despesa Gerais</v>
      </c>
      <c r="F3695" t="str">
        <f>VLOOKUP(B3695,Tabela_Auxiliar[],3,0)</f>
        <v>Saída</v>
      </c>
      <c r="G3695" t="str">
        <f>UPPER(TEXT(Tabela_DB[[#This Row],[DATA]],"mmm"))</f>
        <v>AGO</v>
      </c>
      <c r="H3695" t="str">
        <f>UPPER(TEXT(Tabela_DB[[#This Row],[DATA]],"aaaa"))</f>
        <v>2021</v>
      </c>
    </row>
    <row r="3696" spans="1:8" x14ac:dyDescent="0.25">
      <c r="A3696" s="2">
        <v>44423</v>
      </c>
      <c r="B3696" t="s">
        <v>37</v>
      </c>
      <c r="C3696">
        <v>-3173</v>
      </c>
      <c r="D3696" t="str">
        <f>VLOOKUP(B3696,Tabela_Auxiliar[],2,0)</f>
        <v>3. Custos do Produto/Mercadoria/Serviço</v>
      </c>
      <c r="E3696" t="str">
        <f>VLOOKUP(B3696,Tabela_Auxiliar[],4,0)</f>
        <v>Despesas c/ Produto</v>
      </c>
      <c r="F3696" t="str">
        <f>VLOOKUP(B3696,Tabela_Auxiliar[],3,0)</f>
        <v>Saída</v>
      </c>
      <c r="G3696" t="str">
        <f>UPPER(TEXT(Tabela_DB[[#This Row],[DATA]],"mmm"))</f>
        <v>AGO</v>
      </c>
      <c r="H3696" t="str">
        <f>UPPER(TEXT(Tabela_DB[[#This Row],[DATA]],"aaaa"))</f>
        <v>2021</v>
      </c>
    </row>
    <row r="3697" spans="1:8" x14ac:dyDescent="0.25">
      <c r="A3697" s="2">
        <v>44423</v>
      </c>
      <c r="B3697" t="s">
        <v>111</v>
      </c>
      <c r="C3697">
        <v>-2105</v>
      </c>
      <c r="D3697" t="str">
        <f>VLOOKUP(B3697,Tabela_Auxiliar[],2,0)</f>
        <v>2. Deduções da Receita</v>
      </c>
      <c r="E3697" t="str">
        <f>VLOOKUP(B3697,Tabela_Auxiliar[],4,0)</f>
        <v>Imposto</v>
      </c>
      <c r="F3697" t="str">
        <f>VLOOKUP(B3697,Tabela_Auxiliar[],3,0)</f>
        <v>Saída</v>
      </c>
      <c r="G3697" t="str">
        <f>UPPER(TEXT(Tabela_DB[[#This Row],[DATA]],"mmm"))</f>
        <v>AGO</v>
      </c>
      <c r="H3697" t="str">
        <f>UPPER(TEXT(Tabela_DB[[#This Row],[DATA]],"aaaa"))</f>
        <v>2021</v>
      </c>
    </row>
    <row r="3698" spans="1:8" x14ac:dyDescent="0.25">
      <c r="A3698" s="2">
        <v>44423</v>
      </c>
      <c r="B3698" t="s">
        <v>86</v>
      </c>
      <c r="C3698">
        <v>-2407</v>
      </c>
      <c r="D3698" t="str">
        <f>VLOOKUP(B3698,Tabela_Auxiliar[],2,0)</f>
        <v>4. Despesas Operacionais</v>
      </c>
      <c r="E3698" t="str">
        <f>VLOOKUP(B3698,Tabela_Auxiliar[],4,0)</f>
        <v>Despesa com Veículos</v>
      </c>
      <c r="F3698" t="str">
        <f>VLOOKUP(B3698,Tabela_Auxiliar[],3,0)</f>
        <v>Saída</v>
      </c>
      <c r="G3698" t="str">
        <f>UPPER(TEXT(Tabela_DB[[#This Row],[DATA]],"mmm"))</f>
        <v>AGO</v>
      </c>
      <c r="H3698" t="str">
        <f>UPPER(TEXT(Tabela_DB[[#This Row],[DATA]],"aaaa"))</f>
        <v>2021</v>
      </c>
    </row>
    <row r="3699" spans="1:8" x14ac:dyDescent="0.25">
      <c r="A3699" s="2">
        <v>44423</v>
      </c>
      <c r="B3699" t="s">
        <v>74</v>
      </c>
      <c r="C3699">
        <v>-1351</v>
      </c>
      <c r="D3699" t="str">
        <f>VLOOKUP(B3699,Tabela_Auxiliar[],2,0)</f>
        <v>4. Despesas Operacionais</v>
      </c>
      <c r="E3699" t="str">
        <f>VLOOKUP(B3699,Tabela_Auxiliar[],4,0)</f>
        <v>Serviços Contratados</v>
      </c>
      <c r="F3699" t="str">
        <f>VLOOKUP(B3699,Tabela_Auxiliar[],3,0)</f>
        <v>Saída</v>
      </c>
      <c r="G3699" t="str">
        <f>UPPER(TEXT(Tabela_DB[[#This Row],[DATA]],"mmm"))</f>
        <v>AGO</v>
      </c>
      <c r="H3699" t="str">
        <f>UPPER(TEXT(Tabela_DB[[#This Row],[DATA]],"aaaa"))</f>
        <v>2021</v>
      </c>
    </row>
    <row r="3700" spans="1:8" x14ac:dyDescent="0.25">
      <c r="A3700" s="2">
        <v>44423</v>
      </c>
      <c r="B3700" t="s">
        <v>4</v>
      </c>
      <c r="C3700">
        <v>14343</v>
      </c>
      <c r="D3700" t="str">
        <f>VLOOKUP(B3700,Tabela_Auxiliar[],2,0)</f>
        <v>1. Receita Operacional Bruta</v>
      </c>
      <c r="E3700" t="str">
        <f>VLOOKUP(B3700,Tabela_Auxiliar[],4,0)</f>
        <v>Receita Bruta</v>
      </c>
      <c r="F3700" t="str">
        <f>VLOOKUP(B3700,Tabela_Auxiliar[],3,0)</f>
        <v>Entrada</v>
      </c>
      <c r="G3700" t="str">
        <f>UPPER(TEXT(Tabela_DB[[#This Row],[DATA]],"mmm"))</f>
        <v>AGO</v>
      </c>
      <c r="H3700" t="str">
        <f>UPPER(TEXT(Tabela_DB[[#This Row],[DATA]],"aaaa"))</f>
        <v>2021</v>
      </c>
    </row>
    <row r="3701" spans="1:8" x14ac:dyDescent="0.25">
      <c r="A3701" s="2">
        <v>44423</v>
      </c>
      <c r="B3701" t="s">
        <v>4</v>
      </c>
      <c r="C3701">
        <v>10516</v>
      </c>
      <c r="D3701" t="str">
        <f>VLOOKUP(B3701,Tabela_Auxiliar[],2,0)</f>
        <v>1. Receita Operacional Bruta</v>
      </c>
      <c r="E3701" t="str">
        <f>VLOOKUP(B3701,Tabela_Auxiliar[],4,0)</f>
        <v>Receita Bruta</v>
      </c>
      <c r="F3701" t="str">
        <f>VLOOKUP(B3701,Tabela_Auxiliar[],3,0)</f>
        <v>Entrada</v>
      </c>
      <c r="G3701" t="str">
        <f>UPPER(TEXT(Tabela_DB[[#This Row],[DATA]],"mmm"))</f>
        <v>AGO</v>
      </c>
      <c r="H3701" t="str">
        <f>UPPER(TEXT(Tabela_DB[[#This Row],[DATA]],"aaaa"))</f>
        <v>2021</v>
      </c>
    </row>
    <row r="3702" spans="1:8" x14ac:dyDescent="0.25">
      <c r="A3702" s="2">
        <v>44424</v>
      </c>
      <c r="B3702" t="s">
        <v>77</v>
      </c>
      <c r="C3702">
        <v>-2313</v>
      </c>
      <c r="D3702" t="str">
        <f>VLOOKUP(B3702,Tabela_Auxiliar[],2,0)</f>
        <v>4. Despesas Operacionais</v>
      </c>
      <c r="E3702" t="str">
        <f>VLOOKUP(B3702,Tabela_Auxiliar[],4,0)</f>
        <v>Serviços Contratados</v>
      </c>
      <c r="F3702" t="str">
        <f>VLOOKUP(B3702,Tabela_Auxiliar[],3,0)</f>
        <v>Saída</v>
      </c>
      <c r="G3702" t="str">
        <f>UPPER(TEXT(Tabela_DB[[#This Row],[DATA]],"mmm"))</f>
        <v>AGO</v>
      </c>
      <c r="H3702" t="str">
        <f>UPPER(TEXT(Tabela_DB[[#This Row],[DATA]],"aaaa"))</f>
        <v>2021</v>
      </c>
    </row>
    <row r="3703" spans="1:8" x14ac:dyDescent="0.25">
      <c r="A3703" s="2">
        <v>44424</v>
      </c>
      <c r="B3703" t="s">
        <v>4</v>
      </c>
      <c r="C3703">
        <v>10238</v>
      </c>
      <c r="D3703" t="str">
        <f>VLOOKUP(B3703,Tabela_Auxiliar[],2,0)</f>
        <v>1. Receita Operacional Bruta</v>
      </c>
      <c r="E3703" t="str">
        <f>VLOOKUP(B3703,Tabela_Auxiliar[],4,0)</f>
        <v>Receita Bruta</v>
      </c>
      <c r="F3703" t="str">
        <f>VLOOKUP(B3703,Tabela_Auxiliar[],3,0)</f>
        <v>Entrada</v>
      </c>
      <c r="G3703" t="str">
        <f>UPPER(TEXT(Tabela_DB[[#This Row],[DATA]],"mmm"))</f>
        <v>AGO</v>
      </c>
      <c r="H3703" t="str">
        <f>UPPER(TEXT(Tabela_DB[[#This Row],[DATA]],"aaaa"))</f>
        <v>2021</v>
      </c>
    </row>
    <row r="3704" spans="1:8" x14ac:dyDescent="0.25">
      <c r="A3704" s="2">
        <v>44424</v>
      </c>
      <c r="B3704" t="s">
        <v>35</v>
      </c>
      <c r="C3704">
        <v>-2477</v>
      </c>
      <c r="D3704" t="str">
        <f>VLOOKUP(B3704,Tabela_Auxiliar[],2,0)</f>
        <v>2. Deduções da Receita</v>
      </c>
      <c r="E3704" t="str">
        <f>VLOOKUP(B3704,Tabela_Auxiliar[],4,0)</f>
        <v>Imposto</v>
      </c>
      <c r="F3704" t="str">
        <f>VLOOKUP(B3704,Tabela_Auxiliar[],3,0)</f>
        <v>Saída</v>
      </c>
      <c r="G3704" t="str">
        <f>UPPER(TEXT(Tabela_DB[[#This Row],[DATA]],"mmm"))</f>
        <v>AGO</v>
      </c>
      <c r="H3704" t="str">
        <f>UPPER(TEXT(Tabela_DB[[#This Row],[DATA]],"aaaa"))</f>
        <v>2021</v>
      </c>
    </row>
    <row r="3705" spans="1:8" x14ac:dyDescent="0.25">
      <c r="A3705" s="2">
        <v>44424</v>
      </c>
      <c r="B3705" t="s">
        <v>55</v>
      </c>
      <c r="C3705">
        <v>-1205</v>
      </c>
      <c r="D3705" t="str">
        <f>VLOOKUP(B3705,Tabela_Auxiliar[],2,0)</f>
        <v>4. Despesas Operacionais</v>
      </c>
      <c r="E3705" t="str">
        <f>VLOOKUP(B3705,Tabela_Auxiliar[],4,0)</f>
        <v>Despesa com Pessoal</v>
      </c>
      <c r="F3705" t="str">
        <f>VLOOKUP(B3705,Tabela_Auxiliar[],3,0)</f>
        <v>Saída</v>
      </c>
      <c r="G3705" t="str">
        <f>UPPER(TEXT(Tabela_DB[[#This Row],[DATA]],"mmm"))</f>
        <v>AGO</v>
      </c>
      <c r="H3705" t="str">
        <f>UPPER(TEXT(Tabela_DB[[#This Row],[DATA]],"aaaa"))</f>
        <v>2021</v>
      </c>
    </row>
    <row r="3706" spans="1:8" x14ac:dyDescent="0.25">
      <c r="A3706" s="2">
        <v>44424</v>
      </c>
      <c r="B3706" t="s">
        <v>37</v>
      </c>
      <c r="C3706">
        <v>-3447</v>
      </c>
      <c r="D3706" t="str">
        <f>VLOOKUP(B3706,Tabela_Auxiliar[],2,0)</f>
        <v>3. Custos do Produto/Mercadoria/Serviço</v>
      </c>
      <c r="E3706" t="str">
        <f>VLOOKUP(B3706,Tabela_Auxiliar[],4,0)</f>
        <v>Despesas c/ Produto</v>
      </c>
      <c r="F3706" t="str">
        <f>VLOOKUP(B3706,Tabela_Auxiliar[],3,0)</f>
        <v>Saída</v>
      </c>
      <c r="G3706" t="str">
        <f>UPPER(TEXT(Tabela_DB[[#This Row],[DATA]],"mmm"))</f>
        <v>AGO</v>
      </c>
      <c r="H3706" t="str">
        <f>UPPER(TEXT(Tabela_DB[[#This Row],[DATA]],"aaaa"))</f>
        <v>2021</v>
      </c>
    </row>
    <row r="3707" spans="1:8" x14ac:dyDescent="0.25">
      <c r="A3707" s="2">
        <v>44424</v>
      </c>
      <c r="B3707" t="s">
        <v>38</v>
      </c>
      <c r="C3707">
        <v>-2278</v>
      </c>
      <c r="D3707" t="str">
        <f>VLOOKUP(B3707,Tabela_Auxiliar[],2,0)</f>
        <v>2. Deduções da Receita</v>
      </c>
      <c r="E3707" t="str">
        <f>VLOOKUP(B3707,Tabela_Auxiliar[],4,0)</f>
        <v>Deduções</v>
      </c>
      <c r="F3707" t="str">
        <f>VLOOKUP(B3707,Tabela_Auxiliar[],3,0)</f>
        <v>Saída</v>
      </c>
      <c r="G3707" t="str">
        <f>UPPER(TEXT(Tabela_DB[[#This Row],[DATA]],"mmm"))</f>
        <v>AGO</v>
      </c>
      <c r="H3707" t="str">
        <f>UPPER(TEXT(Tabela_DB[[#This Row],[DATA]],"aaaa"))</f>
        <v>2021</v>
      </c>
    </row>
    <row r="3708" spans="1:8" x14ac:dyDescent="0.25">
      <c r="A3708" s="2">
        <v>44424</v>
      </c>
      <c r="B3708" t="s">
        <v>4</v>
      </c>
      <c r="C3708">
        <v>14761</v>
      </c>
      <c r="D3708" t="str">
        <f>VLOOKUP(B3708,Tabela_Auxiliar[],2,0)</f>
        <v>1. Receita Operacional Bruta</v>
      </c>
      <c r="E3708" t="str">
        <f>VLOOKUP(B3708,Tabela_Auxiliar[],4,0)</f>
        <v>Receita Bruta</v>
      </c>
      <c r="F3708" t="str">
        <f>VLOOKUP(B3708,Tabela_Auxiliar[],3,0)</f>
        <v>Entrada</v>
      </c>
      <c r="G3708" t="str">
        <f>UPPER(TEXT(Tabela_DB[[#This Row],[DATA]],"mmm"))</f>
        <v>AGO</v>
      </c>
      <c r="H3708" t="str">
        <f>UPPER(TEXT(Tabela_DB[[#This Row],[DATA]],"aaaa"))</f>
        <v>2021</v>
      </c>
    </row>
    <row r="3709" spans="1:8" x14ac:dyDescent="0.25">
      <c r="A3709" s="2">
        <v>44424</v>
      </c>
      <c r="B3709" t="s">
        <v>35</v>
      </c>
      <c r="C3709">
        <v>-1150</v>
      </c>
      <c r="D3709" t="str">
        <f>VLOOKUP(B3709,Tabela_Auxiliar[],2,0)</f>
        <v>2. Deduções da Receita</v>
      </c>
      <c r="E3709" t="str">
        <f>VLOOKUP(B3709,Tabela_Auxiliar[],4,0)</f>
        <v>Imposto</v>
      </c>
      <c r="F3709" t="str">
        <f>VLOOKUP(B3709,Tabela_Auxiliar[],3,0)</f>
        <v>Saída</v>
      </c>
      <c r="G3709" t="str">
        <f>UPPER(TEXT(Tabela_DB[[#This Row],[DATA]],"mmm"))</f>
        <v>AGO</v>
      </c>
      <c r="H3709" t="str">
        <f>UPPER(TEXT(Tabela_DB[[#This Row],[DATA]],"aaaa"))</f>
        <v>2021</v>
      </c>
    </row>
    <row r="3710" spans="1:8" x14ac:dyDescent="0.25">
      <c r="A3710" s="2">
        <v>44424</v>
      </c>
      <c r="B3710" t="s">
        <v>38</v>
      </c>
      <c r="C3710">
        <v>-2217</v>
      </c>
      <c r="D3710" t="str">
        <f>VLOOKUP(B3710,Tabela_Auxiliar[],2,0)</f>
        <v>2. Deduções da Receita</v>
      </c>
      <c r="E3710" t="str">
        <f>VLOOKUP(B3710,Tabela_Auxiliar[],4,0)</f>
        <v>Deduções</v>
      </c>
      <c r="F3710" t="str">
        <f>VLOOKUP(B3710,Tabela_Auxiliar[],3,0)</f>
        <v>Saída</v>
      </c>
      <c r="G3710" t="str">
        <f>UPPER(TEXT(Tabela_DB[[#This Row],[DATA]],"mmm"))</f>
        <v>AGO</v>
      </c>
      <c r="H3710" t="str">
        <f>UPPER(TEXT(Tabela_DB[[#This Row],[DATA]],"aaaa"))</f>
        <v>2021</v>
      </c>
    </row>
    <row r="3711" spans="1:8" x14ac:dyDescent="0.25">
      <c r="A3711" s="2">
        <v>44424</v>
      </c>
      <c r="B3711" t="s">
        <v>4</v>
      </c>
      <c r="C3711">
        <v>13571</v>
      </c>
      <c r="D3711" t="str">
        <f>VLOOKUP(B3711,Tabela_Auxiliar[],2,0)</f>
        <v>1. Receita Operacional Bruta</v>
      </c>
      <c r="E3711" t="str">
        <f>VLOOKUP(B3711,Tabela_Auxiliar[],4,0)</f>
        <v>Receita Bruta</v>
      </c>
      <c r="F3711" t="str">
        <f>VLOOKUP(B3711,Tabela_Auxiliar[],3,0)</f>
        <v>Entrada</v>
      </c>
      <c r="G3711" t="str">
        <f>UPPER(TEXT(Tabela_DB[[#This Row],[DATA]],"mmm"))</f>
        <v>AGO</v>
      </c>
      <c r="H3711" t="str">
        <f>UPPER(TEXT(Tabela_DB[[#This Row],[DATA]],"aaaa"))</f>
        <v>2021</v>
      </c>
    </row>
    <row r="3712" spans="1:8" x14ac:dyDescent="0.25">
      <c r="A3712" s="2">
        <v>44424</v>
      </c>
      <c r="B3712" t="s">
        <v>55</v>
      </c>
      <c r="C3712">
        <v>-1424</v>
      </c>
      <c r="D3712" t="str">
        <f>VLOOKUP(B3712,Tabela_Auxiliar[],2,0)</f>
        <v>4. Despesas Operacionais</v>
      </c>
      <c r="E3712" t="str">
        <f>VLOOKUP(B3712,Tabela_Auxiliar[],4,0)</f>
        <v>Despesa com Pessoal</v>
      </c>
      <c r="F3712" t="str">
        <f>VLOOKUP(B3712,Tabela_Auxiliar[],3,0)</f>
        <v>Saída</v>
      </c>
      <c r="G3712" t="str">
        <f>UPPER(TEXT(Tabela_DB[[#This Row],[DATA]],"mmm"))</f>
        <v>AGO</v>
      </c>
      <c r="H3712" t="str">
        <f>UPPER(TEXT(Tabela_DB[[#This Row],[DATA]],"aaaa"))</f>
        <v>2021</v>
      </c>
    </row>
    <row r="3713" spans="1:8" x14ac:dyDescent="0.25">
      <c r="A3713" s="2">
        <v>44424</v>
      </c>
      <c r="B3713" t="s">
        <v>72</v>
      </c>
      <c r="C3713">
        <v>-2434</v>
      </c>
      <c r="D3713" t="str">
        <f>VLOOKUP(B3713,Tabela_Auxiliar[],2,0)</f>
        <v>4. Despesas Operacionais</v>
      </c>
      <c r="E3713" t="str">
        <f>VLOOKUP(B3713,Tabela_Auxiliar[],4,0)</f>
        <v>Despesa com Ocupação</v>
      </c>
      <c r="F3713" t="str">
        <f>VLOOKUP(B3713,Tabela_Auxiliar[],3,0)</f>
        <v>Saída</v>
      </c>
      <c r="G3713" t="str">
        <f>UPPER(TEXT(Tabela_DB[[#This Row],[DATA]],"mmm"))</f>
        <v>AGO</v>
      </c>
      <c r="H3713" t="str">
        <f>UPPER(TEXT(Tabela_DB[[#This Row],[DATA]],"aaaa"))</f>
        <v>2021</v>
      </c>
    </row>
    <row r="3714" spans="1:8" x14ac:dyDescent="0.25">
      <c r="A3714" s="2">
        <v>44425</v>
      </c>
      <c r="B3714" t="s">
        <v>51</v>
      </c>
      <c r="C3714">
        <v>-1040</v>
      </c>
      <c r="D3714" t="str">
        <f>VLOOKUP(B3714,Tabela_Auxiliar[],2,0)</f>
        <v>4. Despesas Operacionais</v>
      </c>
      <c r="E3714" t="str">
        <f>VLOOKUP(B3714,Tabela_Auxiliar[],4,0)</f>
        <v>Despesa com Pessoal</v>
      </c>
      <c r="F3714" t="str">
        <f>VLOOKUP(B3714,Tabela_Auxiliar[],3,0)</f>
        <v>Saída</v>
      </c>
      <c r="G3714" t="str">
        <f>UPPER(TEXT(Tabela_DB[[#This Row],[DATA]],"mmm"))</f>
        <v>AGO</v>
      </c>
      <c r="H3714" t="str">
        <f>UPPER(TEXT(Tabela_DB[[#This Row],[DATA]],"aaaa"))</f>
        <v>2021</v>
      </c>
    </row>
    <row r="3715" spans="1:8" x14ac:dyDescent="0.25">
      <c r="A3715" s="2">
        <v>44425</v>
      </c>
      <c r="B3715" t="s">
        <v>38</v>
      </c>
      <c r="C3715">
        <v>-1829</v>
      </c>
      <c r="D3715" t="str">
        <f>VLOOKUP(B3715,Tabela_Auxiliar[],2,0)</f>
        <v>2. Deduções da Receita</v>
      </c>
      <c r="E3715" t="str">
        <f>VLOOKUP(B3715,Tabela_Auxiliar[],4,0)</f>
        <v>Deduções</v>
      </c>
      <c r="F3715" t="str">
        <f>VLOOKUP(B3715,Tabela_Auxiliar[],3,0)</f>
        <v>Saída</v>
      </c>
      <c r="G3715" t="str">
        <f>UPPER(TEXT(Tabela_DB[[#This Row],[DATA]],"mmm"))</f>
        <v>AGO</v>
      </c>
      <c r="H3715" t="str">
        <f>UPPER(TEXT(Tabela_DB[[#This Row],[DATA]],"aaaa"))</f>
        <v>2021</v>
      </c>
    </row>
    <row r="3716" spans="1:8" x14ac:dyDescent="0.25">
      <c r="A3716" s="2">
        <v>44425</v>
      </c>
      <c r="B3716" t="s">
        <v>78</v>
      </c>
      <c r="C3716">
        <v>-1676</v>
      </c>
      <c r="D3716" t="str">
        <f>VLOOKUP(B3716,Tabela_Auxiliar[],2,0)</f>
        <v>4. Despesas Operacionais</v>
      </c>
      <c r="E3716" t="str">
        <f>VLOOKUP(B3716,Tabela_Auxiliar[],4,0)</f>
        <v>Serviços Contratados</v>
      </c>
      <c r="F3716" t="str">
        <f>VLOOKUP(B3716,Tabela_Auxiliar[],3,0)</f>
        <v>Saída</v>
      </c>
      <c r="G3716" t="str">
        <f>UPPER(TEXT(Tabela_DB[[#This Row],[DATA]],"mmm"))</f>
        <v>AGO</v>
      </c>
      <c r="H3716" t="str">
        <f>UPPER(TEXT(Tabela_DB[[#This Row],[DATA]],"aaaa"))</f>
        <v>2021</v>
      </c>
    </row>
    <row r="3717" spans="1:8" x14ac:dyDescent="0.25">
      <c r="A3717" s="2">
        <v>44425</v>
      </c>
      <c r="B3717" t="s">
        <v>66</v>
      </c>
      <c r="C3717">
        <v>-1515</v>
      </c>
      <c r="D3717" t="str">
        <f>VLOOKUP(B3717,Tabela_Auxiliar[],2,0)</f>
        <v>4. Despesas Operacionais</v>
      </c>
      <c r="E3717" t="str">
        <f>VLOOKUP(B3717,Tabela_Auxiliar[],4,0)</f>
        <v>Despesa com Vendas</v>
      </c>
      <c r="F3717" t="str">
        <f>VLOOKUP(B3717,Tabela_Auxiliar[],3,0)</f>
        <v>Saída</v>
      </c>
      <c r="G3717" t="str">
        <f>UPPER(TEXT(Tabela_DB[[#This Row],[DATA]],"mmm"))</f>
        <v>AGO</v>
      </c>
      <c r="H3717" t="str">
        <f>UPPER(TEXT(Tabela_DB[[#This Row],[DATA]],"aaaa"))</f>
        <v>2021</v>
      </c>
    </row>
    <row r="3718" spans="1:8" x14ac:dyDescent="0.25">
      <c r="A3718" s="2">
        <v>44425</v>
      </c>
      <c r="B3718" t="s">
        <v>3</v>
      </c>
      <c r="C3718">
        <v>10865</v>
      </c>
      <c r="D3718" t="str">
        <f>VLOOKUP(B3718,Tabela_Auxiliar[],2,0)</f>
        <v>1. Receita Operacional Bruta</v>
      </c>
      <c r="E3718" t="str">
        <f>VLOOKUP(B3718,Tabela_Auxiliar[],4,0)</f>
        <v>Receita Bruta</v>
      </c>
      <c r="F3718" t="str">
        <f>VLOOKUP(B3718,Tabela_Auxiliar[],3,0)</f>
        <v>Entrada</v>
      </c>
      <c r="G3718" t="str">
        <f>UPPER(TEXT(Tabela_DB[[#This Row],[DATA]],"mmm"))</f>
        <v>AGO</v>
      </c>
      <c r="H3718" t="str">
        <f>UPPER(TEXT(Tabela_DB[[#This Row],[DATA]],"aaaa"))</f>
        <v>2021</v>
      </c>
    </row>
    <row r="3719" spans="1:8" x14ac:dyDescent="0.25">
      <c r="A3719" s="2">
        <v>44425</v>
      </c>
      <c r="B3719" t="s">
        <v>76</v>
      </c>
      <c r="C3719">
        <v>-1201</v>
      </c>
      <c r="D3719" t="str">
        <f>VLOOKUP(B3719,Tabela_Auxiliar[],2,0)</f>
        <v>4. Despesas Operacionais</v>
      </c>
      <c r="E3719" t="str">
        <f>VLOOKUP(B3719,Tabela_Auxiliar[],4,0)</f>
        <v>Serviços Contratados</v>
      </c>
      <c r="F3719" t="str">
        <f>VLOOKUP(B3719,Tabela_Auxiliar[],3,0)</f>
        <v>Saída</v>
      </c>
      <c r="G3719" t="str">
        <f>UPPER(TEXT(Tabela_DB[[#This Row],[DATA]],"mmm"))</f>
        <v>AGO</v>
      </c>
      <c r="H3719" t="str">
        <f>UPPER(TEXT(Tabela_DB[[#This Row],[DATA]],"aaaa"))</f>
        <v>2021</v>
      </c>
    </row>
    <row r="3720" spans="1:8" x14ac:dyDescent="0.25">
      <c r="A3720" s="2">
        <v>44425</v>
      </c>
      <c r="B3720" t="s">
        <v>111</v>
      </c>
      <c r="C3720">
        <v>-1072</v>
      </c>
      <c r="D3720" t="str">
        <f>VLOOKUP(B3720,Tabela_Auxiliar[],2,0)</f>
        <v>2. Deduções da Receita</v>
      </c>
      <c r="E3720" t="str">
        <f>VLOOKUP(B3720,Tabela_Auxiliar[],4,0)</f>
        <v>Imposto</v>
      </c>
      <c r="F3720" t="str">
        <f>VLOOKUP(B3720,Tabela_Auxiliar[],3,0)</f>
        <v>Saída</v>
      </c>
      <c r="G3720" t="str">
        <f>UPPER(TEXT(Tabela_DB[[#This Row],[DATA]],"mmm"))</f>
        <v>AGO</v>
      </c>
      <c r="H3720" t="str">
        <f>UPPER(TEXT(Tabela_DB[[#This Row],[DATA]],"aaaa"))</f>
        <v>2021</v>
      </c>
    </row>
    <row r="3721" spans="1:8" x14ac:dyDescent="0.25">
      <c r="A3721" s="2">
        <v>44425</v>
      </c>
      <c r="B3721" t="s">
        <v>71</v>
      </c>
      <c r="C3721">
        <v>-1175</v>
      </c>
      <c r="D3721" t="str">
        <f>VLOOKUP(B3721,Tabela_Auxiliar[],2,0)</f>
        <v>4. Despesas Operacionais</v>
      </c>
      <c r="E3721" t="str">
        <f>VLOOKUP(B3721,Tabela_Auxiliar[],4,0)</f>
        <v>Despesa com Ocupação</v>
      </c>
      <c r="F3721" t="str">
        <f>VLOOKUP(B3721,Tabela_Auxiliar[],3,0)</f>
        <v>Saída</v>
      </c>
      <c r="G3721" t="str">
        <f>UPPER(TEXT(Tabela_DB[[#This Row],[DATA]],"mmm"))</f>
        <v>AGO</v>
      </c>
      <c r="H3721" t="str">
        <f>UPPER(TEXT(Tabela_DB[[#This Row],[DATA]],"aaaa"))</f>
        <v>2021</v>
      </c>
    </row>
    <row r="3722" spans="1:8" x14ac:dyDescent="0.25">
      <c r="A3722" s="2">
        <v>44426</v>
      </c>
      <c r="B3722" t="s">
        <v>3</v>
      </c>
      <c r="C3722">
        <v>12916</v>
      </c>
      <c r="D3722" t="str">
        <f>VLOOKUP(B3722,Tabela_Auxiliar[],2,0)</f>
        <v>1. Receita Operacional Bruta</v>
      </c>
      <c r="E3722" t="str">
        <f>VLOOKUP(B3722,Tabela_Auxiliar[],4,0)</f>
        <v>Receita Bruta</v>
      </c>
      <c r="F3722" t="str">
        <f>VLOOKUP(B3722,Tabela_Auxiliar[],3,0)</f>
        <v>Entrada</v>
      </c>
      <c r="G3722" t="str">
        <f>UPPER(TEXT(Tabela_DB[[#This Row],[DATA]],"mmm"))</f>
        <v>AGO</v>
      </c>
      <c r="H3722" t="str">
        <f>UPPER(TEXT(Tabela_DB[[#This Row],[DATA]],"aaaa"))</f>
        <v>2021</v>
      </c>
    </row>
    <row r="3723" spans="1:8" x14ac:dyDescent="0.25">
      <c r="A3723" s="2">
        <v>44426</v>
      </c>
      <c r="B3723" t="s">
        <v>34</v>
      </c>
      <c r="C3723">
        <v>-1424</v>
      </c>
      <c r="D3723" t="str">
        <f>VLOOKUP(B3723,Tabela_Auxiliar[],2,0)</f>
        <v>2. Deduções da Receita</v>
      </c>
      <c r="E3723" t="str">
        <f>VLOOKUP(B3723,Tabela_Auxiliar[],4,0)</f>
        <v>Imposto</v>
      </c>
      <c r="F3723" t="str">
        <f>VLOOKUP(B3723,Tabela_Auxiliar[],3,0)</f>
        <v>Saída</v>
      </c>
      <c r="G3723" t="str">
        <f>UPPER(TEXT(Tabela_DB[[#This Row],[DATA]],"mmm"))</f>
        <v>AGO</v>
      </c>
      <c r="H3723" t="str">
        <f>UPPER(TEXT(Tabela_DB[[#This Row],[DATA]],"aaaa"))</f>
        <v>2021</v>
      </c>
    </row>
    <row r="3724" spans="1:8" x14ac:dyDescent="0.25">
      <c r="A3724" s="2">
        <v>44426</v>
      </c>
      <c r="B3724" t="s">
        <v>37</v>
      </c>
      <c r="C3724">
        <v>-3158</v>
      </c>
      <c r="D3724" t="str">
        <f>VLOOKUP(B3724,Tabela_Auxiliar[],2,0)</f>
        <v>3. Custos do Produto/Mercadoria/Serviço</v>
      </c>
      <c r="E3724" t="str">
        <f>VLOOKUP(B3724,Tabela_Auxiliar[],4,0)</f>
        <v>Despesas c/ Produto</v>
      </c>
      <c r="F3724" t="str">
        <f>VLOOKUP(B3724,Tabela_Auxiliar[],3,0)</f>
        <v>Saída</v>
      </c>
      <c r="G3724" t="str">
        <f>UPPER(TEXT(Tabela_DB[[#This Row],[DATA]],"mmm"))</f>
        <v>AGO</v>
      </c>
      <c r="H3724" t="str">
        <f>UPPER(TEXT(Tabela_DB[[#This Row],[DATA]],"aaaa"))</f>
        <v>2021</v>
      </c>
    </row>
    <row r="3725" spans="1:8" x14ac:dyDescent="0.25">
      <c r="A3725" s="2">
        <v>44426</v>
      </c>
      <c r="B3725" t="s">
        <v>37</v>
      </c>
      <c r="C3725">
        <v>-4712</v>
      </c>
      <c r="D3725" t="str">
        <f>VLOOKUP(B3725,Tabela_Auxiliar[],2,0)</f>
        <v>3. Custos do Produto/Mercadoria/Serviço</v>
      </c>
      <c r="E3725" t="str">
        <f>VLOOKUP(B3725,Tabela_Auxiliar[],4,0)</f>
        <v>Despesas c/ Produto</v>
      </c>
      <c r="F3725" t="str">
        <f>VLOOKUP(B3725,Tabela_Auxiliar[],3,0)</f>
        <v>Saída</v>
      </c>
      <c r="G3725" t="str">
        <f>UPPER(TEXT(Tabela_DB[[#This Row],[DATA]],"mmm"))</f>
        <v>AGO</v>
      </c>
      <c r="H3725" t="str">
        <f>UPPER(TEXT(Tabela_DB[[#This Row],[DATA]],"aaaa"))</f>
        <v>2021</v>
      </c>
    </row>
    <row r="3726" spans="1:8" x14ac:dyDescent="0.25">
      <c r="A3726" s="2">
        <v>44426</v>
      </c>
      <c r="B3726" t="s">
        <v>111</v>
      </c>
      <c r="C3726">
        <v>-2276</v>
      </c>
      <c r="D3726" t="str">
        <f>VLOOKUP(B3726,Tabela_Auxiliar[],2,0)</f>
        <v>2. Deduções da Receita</v>
      </c>
      <c r="E3726" t="str">
        <f>VLOOKUP(B3726,Tabela_Auxiliar[],4,0)</f>
        <v>Imposto</v>
      </c>
      <c r="F3726" t="str">
        <f>VLOOKUP(B3726,Tabela_Auxiliar[],3,0)</f>
        <v>Saída</v>
      </c>
      <c r="G3726" t="str">
        <f>UPPER(TEXT(Tabela_DB[[#This Row],[DATA]],"mmm"))</f>
        <v>AGO</v>
      </c>
      <c r="H3726" t="str">
        <f>UPPER(TEXT(Tabela_DB[[#This Row],[DATA]],"aaaa"))</f>
        <v>2021</v>
      </c>
    </row>
    <row r="3727" spans="1:8" x14ac:dyDescent="0.25">
      <c r="A3727" s="2">
        <v>44426</v>
      </c>
      <c r="B3727" t="s">
        <v>79</v>
      </c>
      <c r="C3727">
        <v>-1767</v>
      </c>
      <c r="D3727" t="str">
        <f>VLOOKUP(B3727,Tabela_Auxiliar[],2,0)</f>
        <v>4. Despesas Operacionais</v>
      </c>
      <c r="E3727" t="str">
        <f>VLOOKUP(B3727,Tabela_Auxiliar[],4,0)</f>
        <v>Serviços Contratados</v>
      </c>
      <c r="F3727" t="str">
        <f>VLOOKUP(B3727,Tabela_Auxiliar[],3,0)</f>
        <v>Saída</v>
      </c>
      <c r="G3727" t="str">
        <f>UPPER(TEXT(Tabela_DB[[#This Row],[DATA]],"mmm"))</f>
        <v>AGO</v>
      </c>
      <c r="H3727" t="str">
        <f>UPPER(TEXT(Tabela_DB[[#This Row],[DATA]],"aaaa"))</f>
        <v>2021</v>
      </c>
    </row>
    <row r="3728" spans="1:8" x14ac:dyDescent="0.25">
      <c r="A3728" s="2">
        <v>44426</v>
      </c>
      <c r="B3728" t="s">
        <v>44</v>
      </c>
      <c r="C3728">
        <v>-1040</v>
      </c>
      <c r="D3728" t="str">
        <f>VLOOKUP(B3728,Tabela_Auxiliar[],2,0)</f>
        <v>4. Despesas Operacionais</v>
      </c>
      <c r="E3728" t="str">
        <f>VLOOKUP(B3728,Tabela_Auxiliar[],4,0)</f>
        <v>Despesa com Pessoal</v>
      </c>
      <c r="F3728" t="str">
        <f>VLOOKUP(B3728,Tabela_Auxiliar[],3,0)</f>
        <v>Saída</v>
      </c>
      <c r="G3728" t="str">
        <f>UPPER(TEXT(Tabela_DB[[#This Row],[DATA]],"mmm"))</f>
        <v>AGO</v>
      </c>
      <c r="H3728" t="str">
        <f>UPPER(TEXT(Tabela_DB[[#This Row],[DATA]],"aaaa"))</f>
        <v>2021</v>
      </c>
    </row>
    <row r="3729" spans="1:8" x14ac:dyDescent="0.25">
      <c r="A3729" s="2">
        <v>44426</v>
      </c>
      <c r="B3729" t="s">
        <v>38</v>
      </c>
      <c r="C3729">
        <v>-1196</v>
      </c>
      <c r="D3729" t="str">
        <f>VLOOKUP(B3729,Tabela_Auxiliar[],2,0)</f>
        <v>2. Deduções da Receita</v>
      </c>
      <c r="E3729" t="str">
        <f>VLOOKUP(B3729,Tabela_Auxiliar[],4,0)</f>
        <v>Deduções</v>
      </c>
      <c r="F3729" t="str">
        <f>VLOOKUP(B3729,Tabela_Auxiliar[],3,0)</f>
        <v>Saída</v>
      </c>
      <c r="G3729" t="str">
        <f>UPPER(TEXT(Tabela_DB[[#This Row],[DATA]],"mmm"))</f>
        <v>AGO</v>
      </c>
      <c r="H3729" t="str">
        <f>UPPER(TEXT(Tabela_DB[[#This Row],[DATA]],"aaaa"))</f>
        <v>2021</v>
      </c>
    </row>
    <row r="3730" spans="1:8" x14ac:dyDescent="0.25">
      <c r="A3730" s="2">
        <v>44426</v>
      </c>
      <c r="B3730" t="s">
        <v>38</v>
      </c>
      <c r="C3730">
        <v>-1207</v>
      </c>
      <c r="D3730" t="str">
        <f>VLOOKUP(B3730,Tabela_Auxiliar[],2,0)</f>
        <v>2. Deduções da Receita</v>
      </c>
      <c r="E3730" t="str">
        <f>VLOOKUP(B3730,Tabela_Auxiliar[],4,0)</f>
        <v>Deduções</v>
      </c>
      <c r="F3730" t="str">
        <f>VLOOKUP(B3730,Tabela_Auxiliar[],3,0)</f>
        <v>Saída</v>
      </c>
      <c r="G3730" t="str">
        <f>UPPER(TEXT(Tabela_DB[[#This Row],[DATA]],"mmm"))</f>
        <v>AGO</v>
      </c>
      <c r="H3730" t="str">
        <f>UPPER(TEXT(Tabela_DB[[#This Row],[DATA]],"aaaa"))</f>
        <v>2021</v>
      </c>
    </row>
    <row r="3731" spans="1:8" x14ac:dyDescent="0.25">
      <c r="A3731" s="2">
        <v>44426</v>
      </c>
      <c r="B3731" t="s">
        <v>35</v>
      </c>
      <c r="C3731">
        <v>-1567</v>
      </c>
      <c r="D3731" t="str">
        <f>VLOOKUP(B3731,Tabela_Auxiliar[],2,0)</f>
        <v>2. Deduções da Receita</v>
      </c>
      <c r="E3731" t="str">
        <f>VLOOKUP(B3731,Tabela_Auxiliar[],4,0)</f>
        <v>Imposto</v>
      </c>
      <c r="F3731" t="str">
        <f>VLOOKUP(B3731,Tabela_Auxiliar[],3,0)</f>
        <v>Saída</v>
      </c>
      <c r="G3731" t="str">
        <f>UPPER(TEXT(Tabela_DB[[#This Row],[DATA]],"mmm"))</f>
        <v>AGO</v>
      </c>
      <c r="H3731" t="str">
        <f>UPPER(TEXT(Tabela_DB[[#This Row],[DATA]],"aaaa"))</f>
        <v>2021</v>
      </c>
    </row>
    <row r="3732" spans="1:8" x14ac:dyDescent="0.25">
      <c r="A3732" s="2">
        <v>44427</v>
      </c>
      <c r="B3732" t="s">
        <v>3</v>
      </c>
      <c r="C3732">
        <v>12867</v>
      </c>
      <c r="D3732" t="str">
        <f>VLOOKUP(B3732,Tabela_Auxiliar[],2,0)</f>
        <v>1. Receita Operacional Bruta</v>
      </c>
      <c r="E3732" t="str">
        <f>VLOOKUP(B3732,Tabela_Auxiliar[],4,0)</f>
        <v>Receita Bruta</v>
      </c>
      <c r="F3732" t="str">
        <f>VLOOKUP(B3732,Tabela_Auxiliar[],3,0)</f>
        <v>Entrada</v>
      </c>
      <c r="G3732" t="str">
        <f>UPPER(TEXT(Tabela_DB[[#This Row],[DATA]],"mmm"))</f>
        <v>AGO</v>
      </c>
      <c r="H3732" t="str">
        <f>UPPER(TEXT(Tabela_DB[[#This Row],[DATA]],"aaaa"))</f>
        <v>2021</v>
      </c>
    </row>
    <row r="3733" spans="1:8" x14ac:dyDescent="0.25">
      <c r="A3733" s="2">
        <v>44427</v>
      </c>
      <c r="B3733" t="s">
        <v>44</v>
      </c>
      <c r="C3733">
        <v>-2373</v>
      </c>
      <c r="D3733" t="str">
        <f>VLOOKUP(B3733,Tabela_Auxiliar[],2,0)</f>
        <v>4. Despesas Operacionais</v>
      </c>
      <c r="E3733" t="str">
        <f>VLOOKUP(B3733,Tabela_Auxiliar[],4,0)</f>
        <v>Despesa com Pessoal</v>
      </c>
      <c r="F3733" t="str">
        <f>VLOOKUP(B3733,Tabela_Auxiliar[],3,0)</f>
        <v>Saída</v>
      </c>
      <c r="G3733" t="str">
        <f>UPPER(TEXT(Tabela_DB[[#This Row],[DATA]],"mmm"))</f>
        <v>AGO</v>
      </c>
      <c r="H3733" t="str">
        <f>UPPER(TEXT(Tabela_DB[[#This Row],[DATA]],"aaaa"))</f>
        <v>2021</v>
      </c>
    </row>
    <row r="3734" spans="1:8" x14ac:dyDescent="0.25">
      <c r="A3734" s="2">
        <v>44427</v>
      </c>
      <c r="B3734" t="s">
        <v>63</v>
      </c>
      <c r="C3734">
        <v>-2483</v>
      </c>
      <c r="D3734" t="str">
        <f>VLOOKUP(B3734,Tabela_Auxiliar[],2,0)</f>
        <v>4. Despesas Operacionais</v>
      </c>
      <c r="E3734" t="str">
        <f>VLOOKUP(B3734,Tabela_Auxiliar[],4,0)</f>
        <v>Despesa Gerais</v>
      </c>
      <c r="F3734" t="str">
        <f>VLOOKUP(B3734,Tabela_Auxiliar[],3,0)</f>
        <v>Saída</v>
      </c>
      <c r="G3734" t="str">
        <f>UPPER(TEXT(Tabela_DB[[#This Row],[DATA]],"mmm"))</f>
        <v>AGO</v>
      </c>
      <c r="H3734" t="str">
        <f>UPPER(TEXT(Tabela_DB[[#This Row],[DATA]],"aaaa"))</f>
        <v>2021</v>
      </c>
    </row>
    <row r="3735" spans="1:8" x14ac:dyDescent="0.25">
      <c r="A3735" s="2">
        <v>44427</v>
      </c>
      <c r="B3735" t="s">
        <v>87</v>
      </c>
      <c r="C3735">
        <v>-2059</v>
      </c>
      <c r="D3735" t="str">
        <f>VLOOKUP(B3735,Tabela_Auxiliar[],2,0)</f>
        <v>4. Despesas Operacionais</v>
      </c>
      <c r="E3735" t="str">
        <f>VLOOKUP(B3735,Tabela_Auxiliar[],4,0)</f>
        <v>Despesa Tributária</v>
      </c>
      <c r="F3735" t="str">
        <f>VLOOKUP(B3735,Tabela_Auxiliar[],3,0)</f>
        <v>Saída</v>
      </c>
      <c r="G3735" t="str">
        <f>UPPER(TEXT(Tabela_DB[[#This Row],[DATA]],"mmm"))</f>
        <v>AGO</v>
      </c>
      <c r="H3735" t="str">
        <f>UPPER(TEXT(Tabela_DB[[#This Row],[DATA]],"aaaa"))</f>
        <v>2021</v>
      </c>
    </row>
    <row r="3736" spans="1:8" x14ac:dyDescent="0.25">
      <c r="A3736" s="2">
        <v>44427</v>
      </c>
      <c r="B3736" t="s">
        <v>38</v>
      </c>
      <c r="C3736">
        <v>-1116</v>
      </c>
      <c r="D3736" t="str">
        <f>VLOOKUP(B3736,Tabela_Auxiliar[],2,0)</f>
        <v>2. Deduções da Receita</v>
      </c>
      <c r="E3736" t="str">
        <f>VLOOKUP(B3736,Tabela_Auxiliar[],4,0)</f>
        <v>Deduções</v>
      </c>
      <c r="F3736" t="str">
        <f>VLOOKUP(B3736,Tabela_Auxiliar[],3,0)</f>
        <v>Saída</v>
      </c>
      <c r="G3736" t="str">
        <f>UPPER(TEXT(Tabela_DB[[#This Row],[DATA]],"mmm"))</f>
        <v>AGO</v>
      </c>
      <c r="H3736" t="str">
        <f>UPPER(TEXT(Tabela_DB[[#This Row],[DATA]],"aaaa"))</f>
        <v>2021</v>
      </c>
    </row>
    <row r="3737" spans="1:8" x14ac:dyDescent="0.25">
      <c r="A3737" s="2">
        <v>44427</v>
      </c>
      <c r="B3737" t="s">
        <v>74</v>
      </c>
      <c r="C3737">
        <v>-2302</v>
      </c>
      <c r="D3737" t="str">
        <f>VLOOKUP(B3737,Tabela_Auxiliar[],2,0)</f>
        <v>4. Despesas Operacionais</v>
      </c>
      <c r="E3737" t="str">
        <f>VLOOKUP(B3737,Tabela_Auxiliar[],4,0)</f>
        <v>Serviços Contratados</v>
      </c>
      <c r="F3737" t="str">
        <f>VLOOKUP(B3737,Tabela_Auxiliar[],3,0)</f>
        <v>Saída</v>
      </c>
      <c r="G3737" t="str">
        <f>UPPER(TEXT(Tabela_DB[[#This Row],[DATA]],"mmm"))</f>
        <v>AGO</v>
      </c>
      <c r="H3737" t="str">
        <f>UPPER(TEXT(Tabela_DB[[#This Row],[DATA]],"aaaa"))</f>
        <v>2021</v>
      </c>
    </row>
    <row r="3738" spans="1:8" x14ac:dyDescent="0.25">
      <c r="A3738" s="2">
        <v>44427</v>
      </c>
      <c r="B3738" t="s">
        <v>35</v>
      </c>
      <c r="C3738">
        <v>-2018</v>
      </c>
      <c r="D3738" t="str">
        <f>VLOOKUP(B3738,Tabela_Auxiliar[],2,0)</f>
        <v>2. Deduções da Receita</v>
      </c>
      <c r="E3738" t="str">
        <f>VLOOKUP(B3738,Tabela_Auxiliar[],4,0)</f>
        <v>Imposto</v>
      </c>
      <c r="F3738" t="str">
        <f>VLOOKUP(B3738,Tabela_Auxiliar[],3,0)</f>
        <v>Saída</v>
      </c>
      <c r="G3738" t="str">
        <f>UPPER(TEXT(Tabela_DB[[#This Row],[DATA]],"mmm"))</f>
        <v>AGO</v>
      </c>
      <c r="H3738" t="str">
        <f>UPPER(TEXT(Tabela_DB[[#This Row],[DATA]],"aaaa"))</f>
        <v>2021</v>
      </c>
    </row>
    <row r="3739" spans="1:8" x14ac:dyDescent="0.25">
      <c r="A3739" s="2">
        <v>44427</v>
      </c>
      <c r="B3739" t="s">
        <v>76</v>
      </c>
      <c r="C3739">
        <v>-1260</v>
      </c>
      <c r="D3739" t="str">
        <f>VLOOKUP(B3739,Tabela_Auxiliar[],2,0)</f>
        <v>4. Despesas Operacionais</v>
      </c>
      <c r="E3739" t="str">
        <f>VLOOKUP(B3739,Tabela_Auxiliar[],4,0)</f>
        <v>Serviços Contratados</v>
      </c>
      <c r="F3739" t="str">
        <f>VLOOKUP(B3739,Tabela_Auxiliar[],3,0)</f>
        <v>Saída</v>
      </c>
      <c r="G3739" t="str">
        <f>UPPER(TEXT(Tabela_DB[[#This Row],[DATA]],"mmm"))</f>
        <v>AGO</v>
      </c>
      <c r="H3739" t="str">
        <f>UPPER(TEXT(Tabela_DB[[#This Row],[DATA]],"aaaa"))</f>
        <v>2021</v>
      </c>
    </row>
    <row r="3740" spans="1:8" x14ac:dyDescent="0.25">
      <c r="A3740" s="2">
        <v>44427</v>
      </c>
      <c r="B3740" t="s">
        <v>33</v>
      </c>
      <c r="C3740">
        <v>-2423</v>
      </c>
      <c r="D3740" t="str">
        <f>VLOOKUP(B3740,Tabela_Auxiliar[],2,0)</f>
        <v>4. Despesas Operacionais</v>
      </c>
      <c r="E3740" t="str">
        <f>VLOOKUP(B3740,Tabela_Auxiliar[],4,0)</f>
        <v>Despesa com Vendas</v>
      </c>
      <c r="F3740" t="str">
        <f>VLOOKUP(B3740,Tabela_Auxiliar[],3,0)</f>
        <v>Saída</v>
      </c>
      <c r="G3740" t="str">
        <f>UPPER(TEXT(Tabela_DB[[#This Row],[DATA]],"mmm"))</f>
        <v>AGO</v>
      </c>
      <c r="H3740" t="str">
        <f>UPPER(TEXT(Tabela_DB[[#This Row],[DATA]],"aaaa"))</f>
        <v>2021</v>
      </c>
    </row>
    <row r="3741" spans="1:8" x14ac:dyDescent="0.25">
      <c r="A3741" s="2">
        <v>44427</v>
      </c>
      <c r="B3741" t="s">
        <v>82</v>
      </c>
      <c r="C3741">
        <v>-2124</v>
      </c>
      <c r="D3741" t="str">
        <f>VLOOKUP(B3741,Tabela_Auxiliar[],2,0)</f>
        <v>4. Despesas Operacionais</v>
      </c>
      <c r="E3741" t="str">
        <f>VLOOKUP(B3741,Tabela_Auxiliar[],4,0)</f>
        <v>Despesa com Veículos</v>
      </c>
      <c r="F3741" t="str">
        <f>VLOOKUP(B3741,Tabela_Auxiliar[],3,0)</f>
        <v>Saída</v>
      </c>
      <c r="G3741" t="str">
        <f>UPPER(TEXT(Tabela_DB[[#This Row],[DATA]],"mmm"))</f>
        <v>AGO</v>
      </c>
      <c r="H3741" t="str">
        <f>UPPER(TEXT(Tabela_DB[[#This Row],[DATA]],"aaaa"))</f>
        <v>2021</v>
      </c>
    </row>
    <row r="3742" spans="1:8" x14ac:dyDescent="0.25">
      <c r="A3742" s="2">
        <v>44427</v>
      </c>
      <c r="B3742" t="s">
        <v>35</v>
      </c>
      <c r="C3742">
        <v>-2485</v>
      </c>
      <c r="D3742" t="str">
        <f>VLOOKUP(B3742,Tabela_Auxiliar[],2,0)</f>
        <v>2. Deduções da Receita</v>
      </c>
      <c r="E3742" t="str">
        <f>VLOOKUP(B3742,Tabela_Auxiliar[],4,0)</f>
        <v>Imposto</v>
      </c>
      <c r="F3742" t="str">
        <f>VLOOKUP(B3742,Tabela_Auxiliar[],3,0)</f>
        <v>Saída</v>
      </c>
      <c r="G3742" t="str">
        <f>UPPER(TEXT(Tabela_DB[[#This Row],[DATA]],"mmm"))</f>
        <v>AGO</v>
      </c>
      <c r="H3742" t="str">
        <f>UPPER(TEXT(Tabela_DB[[#This Row],[DATA]],"aaaa"))</f>
        <v>2021</v>
      </c>
    </row>
    <row r="3743" spans="1:8" x14ac:dyDescent="0.25">
      <c r="A3743" s="2">
        <v>44427</v>
      </c>
      <c r="B3743" t="s">
        <v>48</v>
      </c>
      <c r="C3743">
        <v>-1215</v>
      </c>
      <c r="D3743" t="str">
        <f>VLOOKUP(B3743,Tabela_Auxiliar[],2,0)</f>
        <v>4. Despesas Operacionais</v>
      </c>
      <c r="E3743" t="str">
        <f>VLOOKUP(B3743,Tabela_Auxiliar[],4,0)</f>
        <v>Despesa com Pessoal</v>
      </c>
      <c r="F3743" t="str">
        <f>VLOOKUP(B3743,Tabela_Auxiliar[],3,0)</f>
        <v>Saída</v>
      </c>
      <c r="G3743" t="str">
        <f>UPPER(TEXT(Tabela_DB[[#This Row],[DATA]],"mmm"))</f>
        <v>AGO</v>
      </c>
      <c r="H3743" t="str">
        <f>UPPER(TEXT(Tabela_DB[[#This Row],[DATA]],"aaaa"))</f>
        <v>2021</v>
      </c>
    </row>
    <row r="3744" spans="1:8" x14ac:dyDescent="0.25">
      <c r="A3744" s="2">
        <v>44427</v>
      </c>
      <c r="B3744" t="s">
        <v>34</v>
      </c>
      <c r="C3744">
        <v>-2484</v>
      </c>
      <c r="D3744" t="str">
        <f>VLOOKUP(B3744,Tabela_Auxiliar[],2,0)</f>
        <v>2. Deduções da Receita</v>
      </c>
      <c r="E3744" t="str">
        <f>VLOOKUP(B3744,Tabela_Auxiliar[],4,0)</f>
        <v>Imposto</v>
      </c>
      <c r="F3744" t="str">
        <f>VLOOKUP(B3744,Tabela_Auxiliar[],3,0)</f>
        <v>Saída</v>
      </c>
      <c r="G3744" t="str">
        <f>UPPER(TEXT(Tabela_DB[[#This Row],[DATA]],"mmm"))</f>
        <v>AGO</v>
      </c>
      <c r="H3744" t="str">
        <f>UPPER(TEXT(Tabela_DB[[#This Row],[DATA]],"aaaa"))</f>
        <v>2021</v>
      </c>
    </row>
    <row r="3745" spans="1:8" x14ac:dyDescent="0.25">
      <c r="A3745" s="2">
        <v>44427</v>
      </c>
      <c r="B3745" t="s">
        <v>38</v>
      </c>
      <c r="C3745">
        <v>-1699</v>
      </c>
      <c r="D3745" t="str">
        <f>VLOOKUP(B3745,Tabela_Auxiliar[],2,0)</f>
        <v>2. Deduções da Receita</v>
      </c>
      <c r="E3745" t="str">
        <f>VLOOKUP(B3745,Tabela_Auxiliar[],4,0)</f>
        <v>Deduções</v>
      </c>
      <c r="F3745" t="str">
        <f>VLOOKUP(B3745,Tabela_Auxiliar[],3,0)</f>
        <v>Saída</v>
      </c>
      <c r="G3745" t="str">
        <f>UPPER(TEXT(Tabela_DB[[#This Row],[DATA]],"mmm"))</f>
        <v>AGO</v>
      </c>
      <c r="H3745" t="str">
        <f>UPPER(TEXT(Tabela_DB[[#This Row],[DATA]],"aaaa"))</f>
        <v>2021</v>
      </c>
    </row>
    <row r="3746" spans="1:8" x14ac:dyDescent="0.25">
      <c r="A3746" s="2">
        <v>44427</v>
      </c>
      <c r="B3746" t="s">
        <v>3</v>
      </c>
      <c r="C3746">
        <v>10657</v>
      </c>
      <c r="D3746" t="str">
        <f>VLOOKUP(B3746,Tabela_Auxiliar[],2,0)</f>
        <v>1. Receita Operacional Bruta</v>
      </c>
      <c r="E3746" t="str">
        <f>VLOOKUP(B3746,Tabela_Auxiliar[],4,0)</f>
        <v>Receita Bruta</v>
      </c>
      <c r="F3746" t="str">
        <f>VLOOKUP(B3746,Tabela_Auxiliar[],3,0)</f>
        <v>Entrada</v>
      </c>
      <c r="G3746" t="str">
        <f>UPPER(TEXT(Tabela_DB[[#This Row],[DATA]],"mmm"))</f>
        <v>AGO</v>
      </c>
      <c r="H3746" t="str">
        <f>UPPER(TEXT(Tabela_DB[[#This Row],[DATA]],"aaaa"))</f>
        <v>2021</v>
      </c>
    </row>
    <row r="3747" spans="1:8" x14ac:dyDescent="0.25">
      <c r="A3747" s="2">
        <v>44427</v>
      </c>
      <c r="B3747" t="s">
        <v>69</v>
      </c>
      <c r="C3747">
        <v>-1337</v>
      </c>
      <c r="D3747" t="str">
        <f>VLOOKUP(B3747,Tabela_Auxiliar[],2,0)</f>
        <v>4. Despesas Operacionais</v>
      </c>
      <c r="E3747" t="str">
        <f>VLOOKUP(B3747,Tabela_Auxiliar[],4,0)</f>
        <v>Despesa com Ocupação</v>
      </c>
      <c r="F3747" t="str">
        <f>VLOOKUP(B3747,Tabela_Auxiliar[],3,0)</f>
        <v>Saída</v>
      </c>
      <c r="G3747" t="str">
        <f>UPPER(TEXT(Tabela_DB[[#This Row],[DATA]],"mmm"))</f>
        <v>AGO</v>
      </c>
      <c r="H3747" t="str">
        <f>UPPER(TEXT(Tabela_DB[[#This Row],[DATA]],"aaaa"))</f>
        <v>2021</v>
      </c>
    </row>
    <row r="3748" spans="1:8" x14ac:dyDescent="0.25">
      <c r="A3748" s="2">
        <v>44427</v>
      </c>
      <c r="B3748" t="s">
        <v>8</v>
      </c>
      <c r="C3748">
        <v>-1049</v>
      </c>
      <c r="D3748" t="str">
        <f>VLOOKUP(B3748,Tabela_Auxiliar[],2,0)</f>
        <v>4. Despesas Operacionais</v>
      </c>
      <c r="E3748" t="str">
        <f>VLOOKUP(B3748,Tabela_Auxiliar[],4,0)</f>
        <v>Despesa com Pessoal</v>
      </c>
      <c r="F3748" t="str">
        <f>VLOOKUP(B3748,Tabela_Auxiliar[],3,0)</f>
        <v>Saída</v>
      </c>
      <c r="G3748" t="str">
        <f>UPPER(TEXT(Tabela_DB[[#This Row],[DATA]],"mmm"))</f>
        <v>AGO</v>
      </c>
      <c r="H3748" t="str">
        <f>UPPER(TEXT(Tabela_DB[[#This Row],[DATA]],"aaaa"))</f>
        <v>2021</v>
      </c>
    </row>
    <row r="3749" spans="1:8" x14ac:dyDescent="0.25">
      <c r="A3749" s="2">
        <v>44427</v>
      </c>
      <c r="B3749" t="s">
        <v>35</v>
      </c>
      <c r="C3749">
        <v>-2176</v>
      </c>
      <c r="D3749" t="str">
        <f>VLOOKUP(B3749,Tabela_Auxiliar[],2,0)</f>
        <v>2. Deduções da Receita</v>
      </c>
      <c r="E3749" t="str">
        <f>VLOOKUP(B3749,Tabela_Auxiliar[],4,0)</f>
        <v>Imposto</v>
      </c>
      <c r="F3749" t="str">
        <f>VLOOKUP(B3749,Tabela_Auxiliar[],3,0)</f>
        <v>Saída</v>
      </c>
      <c r="G3749" t="str">
        <f>UPPER(TEXT(Tabela_DB[[#This Row],[DATA]],"mmm"))</f>
        <v>AGO</v>
      </c>
      <c r="H3749" t="str">
        <f>UPPER(TEXT(Tabela_DB[[#This Row],[DATA]],"aaaa"))</f>
        <v>2021</v>
      </c>
    </row>
    <row r="3750" spans="1:8" x14ac:dyDescent="0.25">
      <c r="A3750" s="2">
        <v>44427</v>
      </c>
      <c r="B3750" t="s">
        <v>77</v>
      </c>
      <c r="C3750">
        <v>-2004</v>
      </c>
      <c r="D3750" t="str">
        <f>VLOOKUP(B3750,Tabela_Auxiliar[],2,0)</f>
        <v>4. Despesas Operacionais</v>
      </c>
      <c r="E3750" t="str">
        <f>VLOOKUP(B3750,Tabela_Auxiliar[],4,0)</f>
        <v>Serviços Contratados</v>
      </c>
      <c r="F3750" t="str">
        <f>VLOOKUP(B3750,Tabela_Auxiliar[],3,0)</f>
        <v>Saída</v>
      </c>
      <c r="G3750" t="str">
        <f>UPPER(TEXT(Tabela_DB[[#This Row],[DATA]],"mmm"))</f>
        <v>AGO</v>
      </c>
      <c r="H3750" t="str">
        <f>UPPER(TEXT(Tabela_DB[[#This Row],[DATA]],"aaaa"))</f>
        <v>2021</v>
      </c>
    </row>
    <row r="3751" spans="1:8" x14ac:dyDescent="0.25">
      <c r="A3751" s="2">
        <v>44427</v>
      </c>
      <c r="B3751" t="s">
        <v>37</v>
      </c>
      <c r="C3751">
        <v>-3354</v>
      </c>
      <c r="D3751" t="str">
        <f>VLOOKUP(B3751,Tabela_Auxiliar[],2,0)</f>
        <v>3. Custos do Produto/Mercadoria/Serviço</v>
      </c>
      <c r="E3751" t="str">
        <f>VLOOKUP(B3751,Tabela_Auxiliar[],4,0)</f>
        <v>Despesas c/ Produto</v>
      </c>
      <c r="F3751" t="str">
        <f>VLOOKUP(B3751,Tabela_Auxiliar[],3,0)</f>
        <v>Saída</v>
      </c>
      <c r="G3751" t="str">
        <f>UPPER(TEXT(Tabela_DB[[#This Row],[DATA]],"mmm"))</f>
        <v>AGO</v>
      </c>
      <c r="H3751" t="str">
        <f>UPPER(TEXT(Tabela_DB[[#This Row],[DATA]],"aaaa"))</f>
        <v>2021</v>
      </c>
    </row>
    <row r="3752" spans="1:8" x14ac:dyDescent="0.25">
      <c r="A3752" s="2">
        <v>44427</v>
      </c>
      <c r="B3752" t="s">
        <v>52</v>
      </c>
      <c r="C3752">
        <v>-2260</v>
      </c>
      <c r="D3752" t="str">
        <f>VLOOKUP(B3752,Tabela_Auxiliar[],2,0)</f>
        <v>4. Despesas Operacionais</v>
      </c>
      <c r="E3752" t="str">
        <f>VLOOKUP(B3752,Tabela_Auxiliar[],4,0)</f>
        <v>Despesa com Pessoal</v>
      </c>
      <c r="F3752" t="str">
        <f>VLOOKUP(B3752,Tabela_Auxiliar[],3,0)</f>
        <v>Saída</v>
      </c>
      <c r="G3752" t="str">
        <f>UPPER(TEXT(Tabela_DB[[#This Row],[DATA]],"mmm"))</f>
        <v>AGO</v>
      </c>
      <c r="H3752" t="str">
        <f>UPPER(TEXT(Tabela_DB[[#This Row],[DATA]],"aaaa"))</f>
        <v>2021</v>
      </c>
    </row>
    <row r="3753" spans="1:8" x14ac:dyDescent="0.25">
      <c r="A3753" s="2">
        <v>44427</v>
      </c>
      <c r="B3753" t="s">
        <v>31</v>
      </c>
      <c r="C3753">
        <v>-1779</v>
      </c>
      <c r="D3753" t="str">
        <f>VLOOKUP(B3753,Tabela_Auxiliar[],2,0)</f>
        <v>5. Resultado Financeiro</v>
      </c>
      <c r="E3753" t="str">
        <f>VLOOKUP(B3753,Tabela_Auxiliar[],4,0)</f>
        <v>Participação nos resultados</v>
      </c>
      <c r="F3753" t="str">
        <f>VLOOKUP(B3753,Tabela_Auxiliar[],3,0)</f>
        <v>Saída</v>
      </c>
      <c r="G3753" t="str">
        <f>UPPER(TEXT(Tabela_DB[[#This Row],[DATA]],"mmm"))</f>
        <v>AGO</v>
      </c>
      <c r="H3753" t="str">
        <f>UPPER(TEXT(Tabela_DB[[#This Row],[DATA]],"aaaa"))</f>
        <v>2021</v>
      </c>
    </row>
    <row r="3754" spans="1:8" x14ac:dyDescent="0.25">
      <c r="A3754" s="2">
        <v>44428</v>
      </c>
      <c r="B3754" t="s">
        <v>68</v>
      </c>
      <c r="C3754">
        <v>-1212</v>
      </c>
      <c r="D3754" t="str">
        <f>VLOOKUP(B3754,Tabela_Auxiliar[],2,0)</f>
        <v>4. Despesas Operacionais</v>
      </c>
      <c r="E3754" t="str">
        <f>VLOOKUP(B3754,Tabela_Auxiliar[],4,0)</f>
        <v>Despesa com Ocupação</v>
      </c>
      <c r="F3754" t="str">
        <f>VLOOKUP(B3754,Tabela_Auxiliar[],3,0)</f>
        <v>Saída</v>
      </c>
      <c r="G3754" t="str">
        <f>UPPER(TEXT(Tabela_DB[[#This Row],[DATA]],"mmm"))</f>
        <v>AGO</v>
      </c>
      <c r="H3754" t="str">
        <f>UPPER(TEXT(Tabela_DB[[#This Row],[DATA]],"aaaa"))</f>
        <v>2021</v>
      </c>
    </row>
    <row r="3755" spans="1:8" x14ac:dyDescent="0.25">
      <c r="A3755" s="2">
        <v>44428</v>
      </c>
      <c r="B3755" t="s">
        <v>34</v>
      </c>
      <c r="C3755">
        <v>-1056</v>
      </c>
      <c r="D3755" t="str">
        <f>VLOOKUP(B3755,Tabela_Auxiliar[],2,0)</f>
        <v>2. Deduções da Receita</v>
      </c>
      <c r="E3755" t="str">
        <f>VLOOKUP(B3755,Tabela_Auxiliar[],4,0)</f>
        <v>Imposto</v>
      </c>
      <c r="F3755" t="str">
        <f>VLOOKUP(B3755,Tabela_Auxiliar[],3,0)</f>
        <v>Saída</v>
      </c>
      <c r="G3755" t="str">
        <f>UPPER(TEXT(Tabela_DB[[#This Row],[DATA]],"mmm"))</f>
        <v>AGO</v>
      </c>
      <c r="H3755" t="str">
        <f>UPPER(TEXT(Tabela_DB[[#This Row],[DATA]],"aaaa"))</f>
        <v>2021</v>
      </c>
    </row>
    <row r="3756" spans="1:8" x14ac:dyDescent="0.25">
      <c r="A3756" s="2">
        <v>44428</v>
      </c>
      <c r="B3756" t="s">
        <v>35</v>
      </c>
      <c r="C3756">
        <v>-1758</v>
      </c>
      <c r="D3756" t="str">
        <f>VLOOKUP(B3756,Tabela_Auxiliar[],2,0)</f>
        <v>2. Deduções da Receita</v>
      </c>
      <c r="E3756" t="str">
        <f>VLOOKUP(B3756,Tabela_Auxiliar[],4,0)</f>
        <v>Imposto</v>
      </c>
      <c r="F3756" t="str">
        <f>VLOOKUP(B3756,Tabela_Auxiliar[],3,0)</f>
        <v>Saída</v>
      </c>
      <c r="G3756" t="str">
        <f>UPPER(TEXT(Tabela_DB[[#This Row],[DATA]],"mmm"))</f>
        <v>AGO</v>
      </c>
      <c r="H3756" t="str">
        <f>UPPER(TEXT(Tabela_DB[[#This Row],[DATA]],"aaaa"))</f>
        <v>2021</v>
      </c>
    </row>
    <row r="3757" spans="1:8" x14ac:dyDescent="0.25">
      <c r="A3757" s="2">
        <v>44428</v>
      </c>
      <c r="B3757" t="s">
        <v>37</v>
      </c>
      <c r="C3757">
        <v>-4459</v>
      </c>
      <c r="D3757" t="str">
        <f>VLOOKUP(B3757,Tabela_Auxiliar[],2,0)</f>
        <v>3. Custos do Produto/Mercadoria/Serviço</v>
      </c>
      <c r="E3757" t="str">
        <f>VLOOKUP(B3757,Tabela_Auxiliar[],4,0)</f>
        <v>Despesas c/ Produto</v>
      </c>
      <c r="F3757" t="str">
        <f>VLOOKUP(B3757,Tabela_Auxiliar[],3,0)</f>
        <v>Saída</v>
      </c>
      <c r="G3757" t="str">
        <f>UPPER(TEXT(Tabela_DB[[#This Row],[DATA]],"mmm"))</f>
        <v>AGO</v>
      </c>
      <c r="H3757" t="str">
        <f>UPPER(TEXT(Tabela_DB[[#This Row],[DATA]],"aaaa"))</f>
        <v>2021</v>
      </c>
    </row>
    <row r="3758" spans="1:8" x14ac:dyDescent="0.25">
      <c r="A3758" s="2">
        <v>44428</v>
      </c>
      <c r="B3758" t="s">
        <v>38</v>
      </c>
      <c r="C3758">
        <v>-1623</v>
      </c>
      <c r="D3758" t="str">
        <f>VLOOKUP(B3758,Tabela_Auxiliar[],2,0)</f>
        <v>2. Deduções da Receita</v>
      </c>
      <c r="E3758" t="str">
        <f>VLOOKUP(B3758,Tabela_Auxiliar[],4,0)</f>
        <v>Deduções</v>
      </c>
      <c r="F3758" t="str">
        <f>VLOOKUP(B3758,Tabela_Auxiliar[],3,0)</f>
        <v>Saída</v>
      </c>
      <c r="G3758" t="str">
        <f>UPPER(TEXT(Tabela_DB[[#This Row],[DATA]],"mmm"))</f>
        <v>AGO</v>
      </c>
      <c r="H3758" t="str">
        <f>UPPER(TEXT(Tabela_DB[[#This Row],[DATA]],"aaaa"))</f>
        <v>2021</v>
      </c>
    </row>
    <row r="3759" spans="1:8" x14ac:dyDescent="0.25">
      <c r="A3759" s="2">
        <v>44428</v>
      </c>
      <c r="B3759" t="s">
        <v>35</v>
      </c>
      <c r="C3759">
        <v>-1370</v>
      </c>
      <c r="D3759" t="str">
        <f>VLOOKUP(B3759,Tabela_Auxiliar[],2,0)</f>
        <v>2. Deduções da Receita</v>
      </c>
      <c r="E3759" t="str">
        <f>VLOOKUP(B3759,Tabela_Auxiliar[],4,0)</f>
        <v>Imposto</v>
      </c>
      <c r="F3759" t="str">
        <f>VLOOKUP(B3759,Tabela_Auxiliar[],3,0)</f>
        <v>Saída</v>
      </c>
      <c r="G3759" t="str">
        <f>UPPER(TEXT(Tabela_DB[[#This Row],[DATA]],"mmm"))</f>
        <v>AGO</v>
      </c>
      <c r="H3759" t="str">
        <f>UPPER(TEXT(Tabela_DB[[#This Row],[DATA]],"aaaa"))</f>
        <v>2021</v>
      </c>
    </row>
    <row r="3760" spans="1:8" x14ac:dyDescent="0.25">
      <c r="A3760" s="2">
        <v>44428</v>
      </c>
      <c r="B3760" t="s">
        <v>3</v>
      </c>
      <c r="C3760">
        <v>10382</v>
      </c>
      <c r="D3760" t="str">
        <f>VLOOKUP(B3760,Tabela_Auxiliar[],2,0)</f>
        <v>1. Receita Operacional Bruta</v>
      </c>
      <c r="E3760" t="str">
        <f>VLOOKUP(B3760,Tabela_Auxiliar[],4,0)</f>
        <v>Receita Bruta</v>
      </c>
      <c r="F3760" t="str">
        <f>VLOOKUP(B3760,Tabela_Auxiliar[],3,0)</f>
        <v>Entrada</v>
      </c>
      <c r="G3760" t="str">
        <f>UPPER(TEXT(Tabela_DB[[#This Row],[DATA]],"mmm"))</f>
        <v>AGO</v>
      </c>
      <c r="H3760" t="str">
        <f>UPPER(TEXT(Tabela_DB[[#This Row],[DATA]],"aaaa"))</f>
        <v>2021</v>
      </c>
    </row>
    <row r="3761" spans="1:8" x14ac:dyDescent="0.25">
      <c r="A3761" s="2">
        <v>44428</v>
      </c>
      <c r="B3761" t="s">
        <v>8</v>
      </c>
      <c r="C3761">
        <v>-1707</v>
      </c>
      <c r="D3761" t="str">
        <f>VLOOKUP(B3761,Tabela_Auxiliar[],2,0)</f>
        <v>4. Despesas Operacionais</v>
      </c>
      <c r="E3761" t="str">
        <f>VLOOKUP(B3761,Tabela_Auxiliar[],4,0)</f>
        <v>Despesa com Pessoal</v>
      </c>
      <c r="F3761" t="str">
        <f>VLOOKUP(B3761,Tabela_Auxiliar[],3,0)</f>
        <v>Saída</v>
      </c>
      <c r="G3761" t="str">
        <f>UPPER(TEXT(Tabela_DB[[#This Row],[DATA]],"mmm"))</f>
        <v>AGO</v>
      </c>
      <c r="H3761" t="str">
        <f>UPPER(TEXT(Tabela_DB[[#This Row],[DATA]],"aaaa"))</f>
        <v>2021</v>
      </c>
    </row>
    <row r="3762" spans="1:8" x14ac:dyDescent="0.25">
      <c r="A3762" s="2">
        <v>44428</v>
      </c>
      <c r="B3762" t="s">
        <v>70</v>
      </c>
      <c r="C3762">
        <v>-1036</v>
      </c>
      <c r="D3762" t="str">
        <f>VLOOKUP(B3762,Tabela_Auxiliar[],2,0)</f>
        <v>4. Despesas Operacionais</v>
      </c>
      <c r="E3762" t="str">
        <f>VLOOKUP(B3762,Tabela_Auxiliar[],4,0)</f>
        <v>Despesa com Ocupação</v>
      </c>
      <c r="F3762" t="str">
        <f>VLOOKUP(B3762,Tabela_Auxiliar[],3,0)</f>
        <v>Saída</v>
      </c>
      <c r="G3762" t="str">
        <f>UPPER(TEXT(Tabela_DB[[#This Row],[DATA]],"mmm"))</f>
        <v>AGO</v>
      </c>
      <c r="H3762" t="str">
        <f>UPPER(TEXT(Tabela_DB[[#This Row],[DATA]],"aaaa"))</f>
        <v>2021</v>
      </c>
    </row>
    <row r="3763" spans="1:8" x14ac:dyDescent="0.25">
      <c r="A3763" s="2">
        <v>44428</v>
      </c>
      <c r="B3763" t="s">
        <v>37</v>
      </c>
      <c r="C3763">
        <v>-4324</v>
      </c>
      <c r="D3763" t="str">
        <f>VLOOKUP(B3763,Tabela_Auxiliar[],2,0)</f>
        <v>3. Custos do Produto/Mercadoria/Serviço</v>
      </c>
      <c r="E3763" t="str">
        <f>VLOOKUP(B3763,Tabela_Auxiliar[],4,0)</f>
        <v>Despesas c/ Produto</v>
      </c>
      <c r="F3763" t="str">
        <f>VLOOKUP(B3763,Tabela_Auxiliar[],3,0)</f>
        <v>Saída</v>
      </c>
      <c r="G3763" t="str">
        <f>UPPER(TEXT(Tabela_DB[[#This Row],[DATA]],"mmm"))</f>
        <v>AGO</v>
      </c>
      <c r="H3763" t="str">
        <f>UPPER(TEXT(Tabela_DB[[#This Row],[DATA]],"aaaa"))</f>
        <v>2021</v>
      </c>
    </row>
    <row r="3764" spans="1:8" x14ac:dyDescent="0.25">
      <c r="A3764" s="2">
        <v>44428</v>
      </c>
      <c r="B3764" t="s">
        <v>37</v>
      </c>
      <c r="C3764">
        <v>-3962</v>
      </c>
      <c r="D3764" t="str">
        <f>VLOOKUP(B3764,Tabela_Auxiliar[],2,0)</f>
        <v>3. Custos do Produto/Mercadoria/Serviço</v>
      </c>
      <c r="E3764" t="str">
        <f>VLOOKUP(B3764,Tabela_Auxiliar[],4,0)</f>
        <v>Despesas c/ Produto</v>
      </c>
      <c r="F3764" t="str">
        <f>VLOOKUP(B3764,Tabela_Auxiliar[],3,0)</f>
        <v>Saída</v>
      </c>
      <c r="G3764" t="str">
        <f>UPPER(TEXT(Tabela_DB[[#This Row],[DATA]],"mmm"))</f>
        <v>AGO</v>
      </c>
      <c r="H3764" t="str">
        <f>UPPER(TEXT(Tabela_DB[[#This Row],[DATA]],"aaaa"))</f>
        <v>2021</v>
      </c>
    </row>
    <row r="3765" spans="1:8" x14ac:dyDescent="0.25">
      <c r="A3765" s="2">
        <v>44428</v>
      </c>
      <c r="B3765" t="s">
        <v>84</v>
      </c>
      <c r="C3765">
        <v>-1546</v>
      </c>
      <c r="D3765" t="str">
        <f>VLOOKUP(B3765,Tabela_Auxiliar[],2,0)</f>
        <v>4. Despesas Operacionais</v>
      </c>
      <c r="E3765" t="str">
        <f>VLOOKUP(B3765,Tabela_Auxiliar[],4,0)</f>
        <v>Despesa com Veículos</v>
      </c>
      <c r="F3765" t="str">
        <f>VLOOKUP(B3765,Tabela_Auxiliar[],3,0)</f>
        <v>Saída</v>
      </c>
      <c r="G3765" t="str">
        <f>UPPER(TEXT(Tabela_DB[[#This Row],[DATA]],"mmm"))</f>
        <v>AGO</v>
      </c>
      <c r="H3765" t="str">
        <f>UPPER(TEXT(Tabela_DB[[#This Row],[DATA]],"aaaa"))</f>
        <v>2021</v>
      </c>
    </row>
    <row r="3766" spans="1:8" x14ac:dyDescent="0.25">
      <c r="A3766" s="2">
        <v>44428</v>
      </c>
      <c r="B3766" t="s">
        <v>77</v>
      </c>
      <c r="C3766">
        <v>-1336</v>
      </c>
      <c r="D3766" t="str">
        <f>VLOOKUP(B3766,Tabela_Auxiliar[],2,0)</f>
        <v>4. Despesas Operacionais</v>
      </c>
      <c r="E3766" t="str">
        <f>VLOOKUP(B3766,Tabela_Auxiliar[],4,0)</f>
        <v>Serviços Contratados</v>
      </c>
      <c r="F3766" t="str">
        <f>VLOOKUP(B3766,Tabela_Auxiliar[],3,0)</f>
        <v>Saída</v>
      </c>
      <c r="G3766" t="str">
        <f>UPPER(TEXT(Tabela_DB[[#This Row],[DATA]],"mmm"))</f>
        <v>AGO</v>
      </c>
      <c r="H3766" t="str">
        <f>UPPER(TEXT(Tabela_DB[[#This Row],[DATA]],"aaaa"))</f>
        <v>2021</v>
      </c>
    </row>
    <row r="3767" spans="1:8" x14ac:dyDescent="0.25">
      <c r="A3767" s="2">
        <v>44428</v>
      </c>
      <c r="B3767" t="s">
        <v>4</v>
      </c>
      <c r="C3767">
        <v>10726</v>
      </c>
      <c r="D3767" t="str">
        <f>VLOOKUP(B3767,Tabela_Auxiliar[],2,0)</f>
        <v>1. Receita Operacional Bruta</v>
      </c>
      <c r="E3767" t="str">
        <f>VLOOKUP(B3767,Tabela_Auxiliar[],4,0)</f>
        <v>Receita Bruta</v>
      </c>
      <c r="F3767" t="str">
        <f>VLOOKUP(B3767,Tabela_Auxiliar[],3,0)</f>
        <v>Entrada</v>
      </c>
      <c r="G3767" t="str">
        <f>UPPER(TEXT(Tabela_DB[[#This Row],[DATA]],"mmm"))</f>
        <v>AGO</v>
      </c>
      <c r="H3767" t="str">
        <f>UPPER(TEXT(Tabela_DB[[#This Row],[DATA]],"aaaa"))</f>
        <v>2021</v>
      </c>
    </row>
    <row r="3768" spans="1:8" x14ac:dyDescent="0.25">
      <c r="A3768" s="2">
        <v>44428</v>
      </c>
      <c r="B3768" t="s">
        <v>90</v>
      </c>
      <c r="C3768">
        <v>-2187</v>
      </c>
      <c r="D3768" t="str">
        <f>VLOOKUP(B3768,Tabela_Auxiliar[],2,0)</f>
        <v>4. Despesas Operacionais</v>
      </c>
      <c r="E3768" t="str">
        <f>VLOOKUP(B3768,Tabela_Auxiliar[],4,0)</f>
        <v>Despesa Tributária</v>
      </c>
      <c r="F3768" t="str">
        <f>VLOOKUP(B3768,Tabela_Auxiliar[],3,0)</f>
        <v>Saída</v>
      </c>
      <c r="G3768" t="str">
        <f>UPPER(TEXT(Tabela_DB[[#This Row],[DATA]],"mmm"))</f>
        <v>AGO</v>
      </c>
      <c r="H3768" t="str">
        <f>UPPER(TEXT(Tabela_DB[[#This Row],[DATA]],"aaaa"))</f>
        <v>2021</v>
      </c>
    </row>
    <row r="3769" spans="1:8" x14ac:dyDescent="0.25">
      <c r="A3769" s="2">
        <v>44428</v>
      </c>
      <c r="B3769" t="s">
        <v>4</v>
      </c>
      <c r="C3769">
        <v>13101</v>
      </c>
      <c r="D3769" t="str">
        <f>VLOOKUP(B3769,Tabela_Auxiliar[],2,0)</f>
        <v>1. Receita Operacional Bruta</v>
      </c>
      <c r="E3769" t="str">
        <f>VLOOKUP(B3769,Tabela_Auxiliar[],4,0)</f>
        <v>Receita Bruta</v>
      </c>
      <c r="F3769" t="str">
        <f>VLOOKUP(B3769,Tabela_Auxiliar[],3,0)</f>
        <v>Entrada</v>
      </c>
      <c r="G3769" t="str">
        <f>UPPER(TEXT(Tabela_DB[[#This Row],[DATA]],"mmm"))</f>
        <v>AGO</v>
      </c>
      <c r="H3769" t="str">
        <f>UPPER(TEXT(Tabela_DB[[#This Row],[DATA]],"aaaa"))</f>
        <v>2021</v>
      </c>
    </row>
    <row r="3770" spans="1:8" x14ac:dyDescent="0.25">
      <c r="A3770" s="2">
        <v>44428</v>
      </c>
      <c r="B3770" t="s">
        <v>4</v>
      </c>
      <c r="C3770">
        <v>10515</v>
      </c>
      <c r="D3770" t="str">
        <f>VLOOKUP(B3770,Tabela_Auxiliar[],2,0)</f>
        <v>1. Receita Operacional Bruta</v>
      </c>
      <c r="E3770" t="str">
        <f>VLOOKUP(B3770,Tabela_Auxiliar[],4,0)</f>
        <v>Receita Bruta</v>
      </c>
      <c r="F3770" t="str">
        <f>VLOOKUP(B3770,Tabela_Auxiliar[],3,0)</f>
        <v>Entrada</v>
      </c>
      <c r="G3770" t="str">
        <f>UPPER(TEXT(Tabela_DB[[#This Row],[DATA]],"mmm"))</f>
        <v>AGO</v>
      </c>
      <c r="H3770" t="str">
        <f>UPPER(TEXT(Tabela_DB[[#This Row],[DATA]],"aaaa"))</f>
        <v>2021</v>
      </c>
    </row>
    <row r="3771" spans="1:8" x14ac:dyDescent="0.25">
      <c r="A3771" s="2">
        <v>44428</v>
      </c>
      <c r="B3771" t="s">
        <v>4</v>
      </c>
      <c r="C3771">
        <v>14614</v>
      </c>
      <c r="D3771" t="str">
        <f>VLOOKUP(B3771,Tabela_Auxiliar[],2,0)</f>
        <v>1. Receita Operacional Bruta</v>
      </c>
      <c r="E3771" t="str">
        <f>VLOOKUP(B3771,Tabela_Auxiliar[],4,0)</f>
        <v>Receita Bruta</v>
      </c>
      <c r="F3771" t="str">
        <f>VLOOKUP(B3771,Tabela_Auxiliar[],3,0)</f>
        <v>Entrada</v>
      </c>
      <c r="G3771" t="str">
        <f>UPPER(TEXT(Tabela_DB[[#This Row],[DATA]],"mmm"))</f>
        <v>AGO</v>
      </c>
      <c r="H3771" t="str">
        <f>UPPER(TEXT(Tabela_DB[[#This Row],[DATA]],"aaaa"))</f>
        <v>2021</v>
      </c>
    </row>
    <row r="3772" spans="1:8" x14ac:dyDescent="0.25">
      <c r="A3772" s="2">
        <v>44428</v>
      </c>
      <c r="B3772" t="s">
        <v>38</v>
      </c>
      <c r="C3772">
        <v>-2500</v>
      </c>
      <c r="D3772" t="str">
        <f>VLOOKUP(B3772,Tabela_Auxiliar[],2,0)</f>
        <v>2. Deduções da Receita</v>
      </c>
      <c r="E3772" t="str">
        <f>VLOOKUP(B3772,Tabela_Auxiliar[],4,0)</f>
        <v>Deduções</v>
      </c>
      <c r="F3772" t="str">
        <f>VLOOKUP(B3772,Tabela_Auxiliar[],3,0)</f>
        <v>Saída</v>
      </c>
      <c r="G3772" t="str">
        <f>UPPER(TEXT(Tabela_DB[[#This Row],[DATA]],"mmm"))</f>
        <v>AGO</v>
      </c>
      <c r="H3772" t="str">
        <f>UPPER(TEXT(Tabela_DB[[#This Row],[DATA]],"aaaa"))</f>
        <v>2021</v>
      </c>
    </row>
    <row r="3773" spans="1:8" x14ac:dyDescent="0.25">
      <c r="A3773" s="2">
        <v>44428</v>
      </c>
      <c r="B3773" t="s">
        <v>37</v>
      </c>
      <c r="C3773">
        <v>-3352</v>
      </c>
      <c r="D3773" t="str">
        <f>VLOOKUP(B3773,Tabela_Auxiliar[],2,0)</f>
        <v>3. Custos do Produto/Mercadoria/Serviço</v>
      </c>
      <c r="E3773" t="str">
        <f>VLOOKUP(B3773,Tabela_Auxiliar[],4,0)</f>
        <v>Despesas c/ Produto</v>
      </c>
      <c r="F3773" t="str">
        <f>VLOOKUP(B3773,Tabela_Auxiliar[],3,0)</f>
        <v>Saída</v>
      </c>
      <c r="G3773" t="str">
        <f>UPPER(TEXT(Tabela_DB[[#This Row],[DATA]],"mmm"))</f>
        <v>AGO</v>
      </c>
      <c r="H3773" t="str">
        <f>UPPER(TEXT(Tabela_DB[[#This Row],[DATA]],"aaaa"))</f>
        <v>2021</v>
      </c>
    </row>
    <row r="3774" spans="1:8" x14ac:dyDescent="0.25">
      <c r="A3774" s="2">
        <v>44428</v>
      </c>
      <c r="B3774" t="s">
        <v>4</v>
      </c>
      <c r="C3774">
        <v>14569</v>
      </c>
      <c r="D3774" t="str">
        <f>VLOOKUP(B3774,Tabela_Auxiliar[],2,0)</f>
        <v>1. Receita Operacional Bruta</v>
      </c>
      <c r="E3774" t="str">
        <f>VLOOKUP(B3774,Tabela_Auxiliar[],4,0)</f>
        <v>Receita Bruta</v>
      </c>
      <c r="F3774" t="str">
        <f>VLOOKUP(B3774,Tabela_Auxiliar[],3,0)</f>
        <v>Entrada</v>
      </c>
      <c r="G3774" t="str">
        <f>UPPER(TEXT(Tabela_DB[[#This Row],[DATA]],"mmm"))</f>
        <v>AGO</v>
      </c>
      <c r="H3774" t="str">
        <f>UPPER(TEXT(Tabela_DB[[#This Row],[DATA]],"aaaa"))</f>
        <v>2021</v>
      </c>
    </row>
    <row r="3775" spans="1:8" x14ac:dyDescent="0.25">
      <c r="A3775" s="2">
        <v>44428</v>
      </c>
      <c r="B3775" t="s">
        <v>37</v>
      </c>
      <c r="C3775">
        <v>-2875</v>
      </c>
      <c r="D3775" t="str">
        <f>VLOOKUP(B3775,Tabela_Auxiliar[],2,0)</f>
        <v>3. Custos do Produto/Mercadoria/Serviço</v>
      </c>
      <c r="E3775" t="str">
        <f>VLOOKUP(B3775,Tabela_Auxiliar[],4,0)</f>
        <v>Despesas c/ Produto</v>
      </c>
      <c r="F3775" t="str">
        <f>VLOOKUP(B3775,Tabela_Auxiliar[],3,0)</f>
        <v>Saída</v>
      </c>
      <c r="G3775" t="str">
        <f>UPPER(TEXT(Tabela_DB[[#This Row],[DATA]],"mmm"))</f>
        <v>AGO</v>
      </c>
      <c r="H3775" t="str">
        <f>UPPER(TEXT(Tabela_DB[[#This Row],[DATA]],"aaaa"))</f>
        <v>2021</v>
      </c>
    </row>
    <row r="3776" spans="1:8" x14ac:dyDescent="0.25">
      <c r="A3776" s="2">
        <v>44428</v>
      </c>
      <c r="B3776" t="s">
        <v>37</v>
      </c>
      <c r="C3776">
        <v>-2872</v>
      </c>
      <c r="D3776" t="str">
        <f>VLOOKUP(B3776,Tabela_Auxiliar[],2,0)</f>
        <v>3. Custos do Produto/Mercadoria/Serviço</v>
      </c>
      <c r="E3776" t="str">
        <f>VLOOKUP(B3776,Tabela_Auxiliar[],4,0)</f>
        <v>Despesas c/ Produto</v>
      </c>
      <c r="F3776" t="str">
        <f>VLOOKUP(B3776,Tabela_Auxiliar[],3,0)</f>
        <v>Saída</v>
      </c>
      <c r="G3776" t="str">
        <f>UPPER(TEXT(Tabela_DB[[#This Row],[DATA]],"mmm"))</f>
        <v>AGO</v>
      </c>
      <c r="H3776" t="str">
        <f>UPPER(TEXT(Tabela_DB[[#This Row],[DATA]],"aaaa"))</f>
        <v>2021</v>
      </c>
    </row>
    <row r="3777" spans="1:8" x14ac:dyDescent="0.25">
      <c r="A3777" s="2">
        <v>44428</v>
      </c>
      <c r="B3777" t="s">
        <v>8</v>
      </c>
      <c r="C3777">
        <v>-1394</v>
      </c>
      <c r="D3777" t="str">
        <f>VLOOKUP(B3777,Tabela_Auxiliar[],2,0)</f>
        <v>4. Despesas Operacionais</v>
      </c>
      <c r="E3777" t="str">
        <f>VLOOKUP(B3777,Tabela_Auxiliar[],4,0)</f>
        <v>Despesa com Pessoal</v>
      </c>
      <c r="F3777" t="str">
        <f>VLOOKUP(B3777,Tabela_Auxiliar[],3,0)</f>
        <v>Saída</v>
      </c>
      <c r="G3777" t="str">
        <f>UPPER(TEXT(Tabela_DB[[#This Row],[DATA]],"mmm"))</f>
        <v>AGO</v>
      </c>
      <c r="H3777" t="str">
        <f>UPPER(TEXT(Tabela_DB[[#This Row],[DATA]],"aaaa"))</f>
        <v>2021</v>
      </c>
    </row>
    <row r="3778" spans="1:8" x14ac:dyDescent="0.25">
      <c r="A3778" s="2">
        <v>44428</v>
      </c>
      <c r="B3778" t="s">
        <v>4</v>
      </c>
      <c r="C3778">
        <v>13911</v>
      </c>
      <c r="D3778" t="str">
        <f>VLOOKUP(B3778,Tabela_Auxiliar[],2,0)</f>
        <v>1. Receita Operacional Bruta</v>
      </c>
      <c r="E3778" t="str">
        <f>VLOOKUP(B3778,Tabela_Auxiliar[],4,0)</f>
        <v>Receita Bruta</v>
      </c>
      <c r="F3778" t="str">
        <f>VLOOKUP(B3778,Tabela_Auxiliar[],3,0)</f>
        <v>Entrada</v>
      </c>
      <c r="G3778" t="str">
        <f>UPPER(TEXT(Tabela_DB[[#This Row],[DATA]],"mmm"))</f>
        <v>AGO</v>
      </c>
      <c r="H3778" t="str">
        <f>UPPER(TEXT(Tabela_DB[[#This Row],[DATA]],"aaaa"))</f>
        <v>2021</v>
      </c>
    </row>
    <row r="3779" spans="1:8" x14ac:dyDescent="0.25">
      <c r="A3779" s="2">
        <v>44428</v>
      </c>
      <c r="B3779" t="s">
        <v>86</v>
      </c>
      <c r="C3779">
        <v>-1753</v>
      </c>
      <c r="D3779" t="str">
        <f>VLOOKUP(B3779,Tabela_Auxiliar[],2,0)</f>
        <v>4. Despesas Operacionais</v>
      </c>
      <c r="E3779" t="str">
        <f>VLOOKUP(B3779,Tabela_Auxiliar[],4,0)</f>
        <v>Despesa com Veículos</v>
      </c>
      <c r="F3779" t="str">
        <f>VLOOKUP(B3779,Tabela_Auxiliar[],3,0)</f>
        <v>Saída</v>
      </c>
      <c r="G3779" t="str">
        <f>UPPER(TEXT(Tabela_DB[[#This Row],[DATA]],"mmm"))</f>
        <v>AGO</v>
      </c>
      <c r="H3779" t="str">
        <f>UPPER(TEXT(Tabela_DB[[#This Row],[DATA]],"aaaa"))</f>
        <v>2021</v>
      </c>
    </row>
    <row r="3780" spans="1:8" x14ac:dyDescent="0.25">
      <c r="A3780" s="2">
        <v>44429</v>
      </c>
      <c r="B3780" t="s">
        <v>4</v>
      </c>
      <c r="C3780">
        <v>11785</v>
      </c>
      <c r="D3780" t="str">
        <f>VLOOKUP(B3780,Tabela_Auxiliar[],2,0)</f>
        <v>1. Receita Operacional Bruta</v>
      </c>
      <c r="E3780" t="str">
        <f>VLOOKUP(B3780,Tabela_Auxiliar[],4,0)</f>
        <v>Receita Bruta</v>
      </c>
      <c r="F3780" t="str">
        <f>VLOOKUP(B3780,Tabela_Auxiliar[],3,0)</f>
        <v>Entrada</v>
      </c>
      <c r="G3780" t="str">
        <f>UPPER(TEXT(Tabela_DB[[#This Row],[DATA]],"mmm"))</f>
        <v>AGO</v>
      </c>
      <c r="H3780" t="str">
        <f>UPPER(TEXT(Tabela_DB[[#This Row],[DATA]],"aaaa"))</f>
        <v>2021</v>
      </c>
    </row>
    <row r="3781" spans="1:8" x14ac:dyDescent="0.25">
      <c r="A3781" s="2">
        <v>44429</v>
      </c>
      <c r="B3781" t="s">
        <v>35</v>
      </c>
      <c r="C3781">
        <v>-2183</v>
      </c>
      <c r="D3781" t="str">
        <f>VLOOKUP(B3781,Tabela_Auxiliar[],2,0)</f>
        <v>2. Deduções da Receita</v>
      </c>
      <c r="E3781" t="str">
        <f>VLOOKUP(B3781,Tabela_Auxiliar[],4,0)</f>
        <v>Imposto</v>
      </c>
      <c r="F3781" t="str">
        <f>VLOOKUP(B3781,Tabela_Auxiliar[],3,0)</f>
        <v>Saída</v>
      </c>
      <c r="G3781" t="str">
        <f>UPPER(TEXT(Tabela_DB[[#This Row],[DATA]],"mmm"))</f>
        <v>AGO</v>
      </c>
      <c r="H3781" t="str">
        <f>UPPER(TEXT(Tabela_DB[[#This Row],[DATA]],"aaaa"))</f>
        <v>2021</v>
      </c>
    </row>
    <row r="3782" spans="1:8" x14ac:dyDescent="0.25">
      <c r="A3782" s="2">
        <v>44429</v>
      </c>
      <c r="B3782" t="s">
        <v>4</v>
      </c>
      <c r="C3782">
        <v>14590</v>
      </c>
      <c r="D3782" t="str">
        <f>VLOOKUP(B3782,Tabela_Auxiliar[],2,0)</f>
        <v>1. Receita Operacional Bruta</v>
      </c>
      <c r="E3782" t="str">
        <f>VLOOKUP(B3782,Tabela_Auxiliar[],4,0)</f>
        <v>Receita Bruta</v>
      </c>
      <c r="F3782" t="str">
        <f>VLOOKUP(B3782,Tabela_Auxiliar[],3,0)</f>
        <v>Entrada</v>
      </c>
      <c r="G3782" t="str">
        <f>UPPER(TEXT(Tabela_DB[[#This Row],[DATA]],"mmm"))</f>
        <v>AGO</v>
      </c>
      <c r="H3782" t="str">
        <f>UPPER(TEXT(Tabela_DB[[#This Row],[DATA]],"aaaa"))</f>
        <v>2021</v>
      </c>
    </row>
    <row r="3783" spans="1:8" x14ac:dyDescent="0.25">
      <c r="A3783" s="2">
        <v>44429</v>
      </c>
      <c r="B3783" t="s">
        <v>111</v>
      </c>
      <c r="C3783">
        <v>-1417</v>
      </c>
      <c r="D3783" t="str">
        <f>VLOOKUP(B3783,Tabela_Auxiliar[],2,0)</f>
        <v>2. Deduções da Receita</v>
      </c>
      <c r="E3783" t="str">
        <f>VLOOKUP(B3783,Tabela_Auxiliar[],4,0)</f>
        <v>Imposto</v>
      </c>
      <c r="F3783" t="str">
        <f>VLOOKUP(B3783,Tabela_Auxiliar[],3,0)</f>
        <v>Saída</v>
      </c>
      <c r="G3783" t="str">
        <f>UPPER(TEXT(Tabela_DB[[#This Row],[DATA]],"mmm"))</f>
        <v>AGO</v>
      </c>
      <c r="H3783" t="str">
        <f>UPPER(TEXT(Tabela_DB[[#This Row],[DATA]],"aaaa"))</f>
        <v>2021</v>
      </c>
    </row>
    <row r="3784" spans="1:8" x14ac:dyDescent="0.25">
      <c r="A3784" s="2">
        <v>44429</v>
      </c>
      <c r="B3784" t="s">
        <v>38</v>
      </c>
      <c r="C3784">
        <v>-2429</v>
      </c>
      <c r="D3784" t="str">
        <f>VLOOKUP(B3784,Tabela_Auxiliar[],2,0)</f>
        <v>2. Deduções da Receita</v>
      </c>
      <c r="E3784" t="str">
        <f>VLOOKUP(B3784,Tabela_Auxiliar[],4,0)</f>
        <v>Deduções</v>
      </c>
      <c r="F3784" t="str">
        <f>VLOOKUP(B3784,Tabela_Auxiliar[],3,0)</f>
        <v>Saída</v>
      </c>
      <c r="G3784" t="str">
        <f>UPPER(TEXT(Tabela_DB[[#This Row],[DATA]],"mmm"))</f>
        <v>AGO</v>
      </c>
      <c r="H3784" t="str">
        <f>UPPER(TEXT(Tabela_DB[[#This Row],[DATA]],"aaaa"))</f>
        <v>2021</v>
      </c>
    </row>
    <row r="3785" spans="1:8" x14ac:dyDescent="0.25">
      <c r="A3785" s="2">
        <v>44429</v>
      </c>
      <c r="B3785" t="s">
        <v>82</v>
      </c>
      <c r="C3785">
        <v>-1810</v>
      </c>
      <c r="D3785" t="str">
        <f>VLOOKUP(B3785,Tabela_Auxiliar[],2,0)</f>
        <v>4. Despesas Operacionais</v>
      </c>
      <c r="E3785" t="str">
        <f>VLOOKUP(B3785,Tabela_Auxiliar[],4,0)</f>
        <v>Despesa com Veículos</v>
      </c>
      <c r="F3785" t="str">
        <f>VLOOKUP(B3785,Tabela_Auxiliar[],3,0)</f>
        <v>Saída</v>
      </c>
      <c r="G3785" t="str">
        <f>UPPER(TEXT(Tabela_DB[[#This Row],[DATA]],"mmm"))</f>
        <v>AGO</v>
      </c>
      <c r="H3785" t="str">
        <f>UPPER(TEXT(Tabela_DB[[#This Row],[DATA]],"aaaa"))</f>
        <v>2021</v>
      </c>
    </row>
    <row r="3786" spans="1:8" x14ac:dyDescent="0.25">
      <c r="A3786" s="2">
        <v>44429</v>
      </c>
      <c r="B3786" t="s">
        <v>71</v>
      </c>
      <c r="C3786">
        <v>-1582</v>
      </c>
      <c r="D3786" t="str">
        <f>VLOOKUP(B3786,Tabela_Auxiliar[],2,0)</f>
        <v>4. Despesas Operacionais</v>
      </c>
      <c r="E3786" t="str">
        <f>VLOOKUP(B3786,Tabela_Auxiliar[],4,0)</f>
        <v>Despesa com Ocupação</v>
      </c>
      <c r="F3786" t="str">
        <f>VLOOKUP(B3786,Tabela_Auxiliar[],3,0)</f>
        <v>Saída</v>
      </c>
      <c r="G3786" t="str">
        <f>UPPER(TEXT(Tabela_DB[[#This Row],[DATA]],"mmm"))</f>
        <v>AGO</v>
      </c>
      <c r="H3786" t="str">
        <f>UPPER(TEXT(Tabela_DB[[#This Row],[DATA]],"aaaa"))</f>
        <v>2021</v>
      </c>
    </row>
    <row r="3787" spans="1:8" x14ac:dyDescent="0.25">
      <c r="A3787" s="2">
        <v>44429</v>
      </c>
      <c r="B3787" t="s">
        <v>34</v>
      </c>
      <c r="C3787">
        <v>-1962</v>
      </c>
      <c r="D3787" t="str">
        <f>VLOOKUP(B3787,Tabela_Auxiliar[],2,0)</f>
        <v>2. Deduções da Receita</v>
      </c>
      <c r="E3787" t="str">
        <f>VLOOKUP(B3787,Tabela_Auxiliar[],4,0)</f>
        <v>Imposto</v>
      </c>
      <c r="F3787" t="str">
        <f>VLOOKUP(B3787,Tabela_Auxiliar[],3,0)</f>
        <v>Saída</v>
      </c>
      <c r="G3787" t="str">
        <f>UPPER(TEXT(Tabela_DB[[#This Row],[DATA]],"mmm"))</f>
        <v>AGO</v>
      </c>
      <c r="H3787" t="str">
        <f>UPPER(TEXT(Tabela_DB[[#This Row],[DATA]],"aaaa"))</f>
        <v>2021</v>
      </c>
    </row>
    <row r="3788" spans="1:8" x14ac:dyDescent="0.25">
      <c r="A3788" s="2">
        <v>44429</v>
      </c>
      <c r="B3788" t="s">
        <v>111</v>
      </c>
      <c r="C3788">
        <v>-1486</v>
      </c>
      <c r="D3788" t="str">
        <f>VLOOKUP(B3788,Tabela_Auxiliar[],2,0)</f>
        <v>2. Deduções da Receita</v>
      </c>
      <c r="E3788" t="str">
        <f>VLOOKUP(B3788,Tabela_Auxiliar[],4,0)</f>
        <v>Imposto</v>
      </c>
      <c r="F3788" t="str">
        <f>VLOOKUP(B3788,Tabela_Auxiliar[],3,0)</f>
        <v>Saída</v>
      </c>
      <c r="G3788" t="str">
        <f>UPPER(TEXT(Tabela_DB[[#This Row],[DATA]],"mmm"))</f>
        <v>AGO</v>
      </c>
      <c r="H3788" t="str">
        <f>UPPER(TEXT(Tabela_DB[[#This Row],[DATA]],"aaaa"))</f>
        <v>2021</v>
      </c>
    </row>
    <row r="3789" spans="1:8" x14ac:dyDescent="0.25">
      <c r="A3789" s="2">
        <v>44429</v>
      </c>
      <c r="B3789" t="s">
        <v>75</v>
      </c>
      <c r="C3789">
        <v>-1727</v>
      </c>
      <c r="D3789" t="str">
        <f>VLOOKUP(B3789,Tabela_Auxiliar[],2,0)</f>
        <v>4. Despesas Operacionais</v>
      </c>
      <c r="E3789" t="str">
        <f>VLOOKUP(B3789,Tabela_Auxiliar[],4,0)</f>
        <v>Serviços Contratados</v>
      </c>
      <c r="F3789" t="str">
        <f>VLOOKUP(B3789,Tabela_Auxiliar[],3,0)</f>
        <v>Saída</v>
      </c>
      <c r="G3789" t="str">
        <f>UPPER(TEXT(Tabela_DB[[#This Row],[DATA]],"mmm"))</f>
        <v>AGO</v>
      </c>
      <c r="H3789" t="str">
        <f>UPPER(TEXT(Tabela_DB[[#This Row],[DATA]],"aaaa"))</f>
        <v>2021</v>
      </c>
    </row>
    <row r="3790" spans="1:8" x14ac:dyDescent="0.25">
      <c r="A3790" s="2">
        <v>44429</v>
      </c>
      <c r="B3790" t="s">
        <v>37</v>
      </c>
      <c r="C3790">
        <v>-2613</v>
      </c>
      <c r="D3790" t="str">
        <f>VLOOKUP(B3790,Tabela_Auxiliar[],2,0)</f>
        <v>3. Custos do Produto/Mercadoria/Serviço</v>
      </c>
      <c r="E3790" t="str">
        <f>VLOOKUP(B3790,Tabela_Auxiliar[],4,0)</f>
        <v>Despesas c/ Produto</v>
      </c>
      <c r="F3790" t="str">
        <f>VLOOKUP(B3790,Tabela_Auxiliar[],3,0)</f>
        <v>Saída</v>
      </c>
      <c r="G3790" t="str">
        <f>UPPER(TEXT(Tabela_DB[[#This Row],[DATA]],"mmm"))</f>
        <v>AGO</v>
      </c>
      <c r="H3790" t="str">
        <f>UPPER(TEXT(Tabela_DB[[#This Row],[DATA]],"aaaa"))</f>
        <v>2021</v>
      </c>
    </row>
    <row r="3791" spans="1:8" x14ac:dyDescent="0.25">
      <c r="A3791" s="2">
        <v>44429</v>
      </c>
      <c r="B3791" t="s">
        <v>3</v>
      </c>
      <c r="C3791">
        <v>12323</v>
      </c>
      <c r="D3791" t="str">
        <f>VLOOKUP(B3791,Tabela_Auxiliar[],2,0)</f>
        <v>1. Receita Operacional Bruta</v>
      </c>
      <c r="E3791" t="str">
        <f>VLOOKUP(B3791,Tabela_Auxiliar[],4,0)</f>
        <v>Receita Bruta</v>
      </c>
      <c r="F3791" t="str">
        <f>VLOOKUP(B3791,Tabela_Auxiliar[],3,0)</f>
        <v>Entrada</v>
      </c>
      <c r="G3791" t="str">
        <f>UPPER(TEXT(Tabela_DB[[#This Row],[DATA]],"mmm"))</f>
        <v>AGO</v>
      </c>
      <c r="H3791" t="str">
        <f>UPPER(TEXT(Tabela_DB[[#This Row],[DATA]],"aaaa"))</f>
        <v>2021</v>
      </c>
    </row>
    <row r="3792" spans="1:8" x14ac:dyDescent="0.25">
      <c r="A3792" s="2">
        <v>44429</v>
      </c>
      <c r="B3792" t="s">
        <v>44</v>
      </c>
      <c r="C3792">
        <v>-1784</v>
      </c>
      <c r="D3792" t="str">
        <f>VLOOKUP(B3792,Tabela_Auxiliar[],2,0)</f>
        <v>4. Despesas Operacionais</v>
      </c>
      <c r="E3792" t="str">
        <f>VLOOKUP(B3792,Tabela_Auxiliar[],4,0)</f>
        <v>Despesa com Pessoal</v>
      </c>
      <c r="F3792" t="str">
        <f>VLOOKUP(B3792,Tabela_Auxiliar[],3,0)</f>
        <v>Saída</v>
      </c>
      <c r="G3792" t="str">
        <f>UPPER(TEXT(Tabela_DB[[#This Row],[DATA]],"mmm"))</f>
        <v>AGO</v>
      </c>
      <c r="H3792" t="str">
        <f>UPPER(TEXT(Tabela_DB[[#This Row],[DATA]],"aaaa"))</f>
        <v>2021</v>
      </c>
    </row>
    <row r="3793" spans="1:8" x14ac:dyDescent="0.25">
      <c r="A3793" s="2">
        <v>44429</v>
      </c>
      <c r="B3793" t="s">
        <v>3</v>
      </c>
      <c r="C3793">
        <v>13118</v>
      </c>
      <c r="D3793" t="str">
        <f>VLOOKUP(B3793,Tabela_Auxiliar[],2,0)</f>
        <v>1. Receita Operacional Bruta</v>
      </c>
      <c r="E3793" t="str">
        <f>VLOOKUP(B3793,Tabela_Auxiliar[],4,0)</f>
        <v>Receita Bruta</v>
      </c>
      <c r="F3793" t="str">
        <f>VLOOKUP(B3793,Tabela_Auxiliar[],3,0)</f>
        <v>Entrada</v>
      </c>
      <c r="G3793" t="str">
        <f>UPPER(TEXT(Tabela_DB[[#This Row],[DATA]],"mmm"))</f>
        <v>AGO</v>
      </c>
      <c r="H3793" t="str">
        <f>UPPER(TEXT(Tabela_DB[[#This Row],[DATA]],"aaaa"))</f>
        <v>2021</v>
      </c>
    </row>
    <row r="3794" spans="1:8" x14ac:dyDescent="0.25">
      <c r="A3794" s="2">
        <v>44429</v>
      </c>
      <c r="B3794" t="s">
        <v>34</v>
      </c>
      <c r="C3794">
        <v>-1272</v>
      </c>
      <c r="D3794" t="str">
        <f>VLOOKUP(B3794,Tabela_Auxiliar[],2,0)</f>
        <v>2. Deduções da Receita</v>
      </c>
      <c r="E3794" t="str">
        <f>VLOOKUP(B3794,Tabela_Auxiliar[],4,0)</f>
        <v>Imposto</v>
      </c>
      <c r="F3794" t="str">
        <f>VLOOKUP(B3794,Tabela_Auxiliar[],3,0)</f>
        <v>Saída</v>
      </c>
      <c r="G3794" t="str">
        <f>UPPER(TEXT(Tabela_DB[[#This Row],[DATA]],"mmm"))</f>
        <v>AGO</v>
      </c>
      <c r="H3794" t="str">
        <f>UPPER(TEXT(Tabela_DB[[#This Row],[DATA]],"aaaa"))</f>
        <v>2021</v>
      </c>
    </row>
    <row r="3795" spans="1:8" x14ac:dyDescent="0.25">
      <c r="A3795" s="2">
        <v>44429</v>
      </c>
      <c r="B3795" t="s">
        <v>4</v>
      </c>
      <c r="C3795">
        <v>13512</v>
      </c>
      <c r="D3795" t="str">
        <f>VLOOKUP(B3795,Tabela_Auxiliar[],2,0)</f>
        <v>1. Receita Operacional Bruta</v>
      </c>
      <c r="E3795" t="str">
        <f>VLOOKUP(B3795,Tabela_Auxiliar[],4,0)</f>
        <v>Receita Bruta</v>
      </c>
      <c r="F3795" t="str">
        <f>VLOOKUP(B3795,Tabela_Auxiliar[],3,0)</f>
        <v>Entrada</v>
      </c>
      <c r="G3795" t="str">
        <f>UPPER(TEXT(Tabela_DB[[#This Row],[DATA]],"mmm"))</f>
        <v>AGO</v>
      </c>
      <c r="H3795" t="str">
        <f>UPPER(TEXT(Tabela_DB[[#This Row],[DATA]],"aaaa"))</f>
        <v>2021</v>
      </c>
    </row>
    <row r="3796" spans="1:8" x14ac:dyDescent="0.25">
      <c r="A3796" s="2">
        <v>44429</v>
      </c>
      <c r="B3796" t="s">
        <v>49</v>
      </c>
      <c r="C3796">
        <v>-2393</v>
      </c>
      <c r="D3796" t="str">
        <f>VLOOKUP(B3796,Tabela_Auxiliar[],2,0)</f>
        <v>4. Despesas Operacionais</v>
      </c>
      <c r="E3796" t="str">
        <f>VLOOKUP(B3796,Tabela_Auxiliar[],4,0)</f>
        <v>Despesa com Pessoal</v>
      </c>
      <c r="F3796" t="str">
        <f>VLOOKUP(B3796,Tabela_Auxiliar[],3,0)</f>
        <v>Saída</v>
      </c>
      <c r="G3796" t="str">
        <f>UPPER(TEXT(Tabela_DB[[#This Row],[DATA]],"mmm"))</f>
        <v>AGO</v>
      </c>
      <c r="H3796" t="str">
        <f>UPPER(TEXT(Tabela_DB[[#This Row],[DATA]],"aaaa"))</f>
        <v>2021</v>
      </c>
    </row>
    <row r="3797" spans="1:8" x14ac:dyDescent="0.25">
      <c r="A3797" s="2">
        <v>44429</v>
      </c>
      <c r="B3797" t="s">
        <v>83</v>
      </c>
      <c r="C3797">
        <v>-2055</v>
      </c>
      <c r="D3797" t="str">
        <f>VLOOKUP(B3797,Tabela_Auxiliar[],2,0)</f>
        <v>4. Despesas Operacionais</v>
      </c>
      <c r="E3797" t="str">
        <f>VLOOKUP(B3797,Tabela_Auxiliar[],4,0)</f>
        <v>Despesa com Veículos</v>
      </c>
      <c r="F3797" t="str">
        <f>VLOOKUP(B3797,Tabela_Auxiliar[],3,0)</f>
        <v>Saída</v>
      </c>
      <c r="G3797" t="str">
        <f>UPPER(TEXT(Tabela_DB[[#This Row],[DATA]],"mmm"))</f>
        <v>AGO</v>
      </c>
      <c r="H3797" t="str">
        <f>UPPER(TEXT(Tabela_DB[[#This Row],[DATA]],"aaaa"))</f>
        <v>2021</v>
      </c>
    </row>
    <row r="3798" spans="1:8" x14ac:dyDescent="0.25">
      <c r="A3798" s="2">
        <v>44429</v>
      </c>
      <c r="B3798" t="s">
        <v>61</v>
      </c>
      <c r="C3798">
        <v>-2425</v>
      </c>
      <c r="D3798" t="str">
        <f>VLOOKUP(B3798,Tabela_Auxiliar[],2,0)</f>
        <v>4. Despesas Operacionais</v>
      </c>
      <c r="E3798" t="str">
        <f>VLOOKUP(B3798,Tabela_Auxiliar[],4,0)</f>
        <v>Despesa de Depreciação</v>
      </c>
      <c r="F3798" t="str">
        <f>VLOOKUP(B3798,Tabela_Auxiliar[],3,0)</f>
        <v>Saída</v>
      </c>
      <c r="G3798" t="str">
        <f>UPPER(TEXT(Tabela_DB[[#This Row],[DATA]],"mmm"))</f>
        <v>AGO</v>
      </c>
      <c r="H3798" t="str">
        <f>UPPER(TEXT(Tabela_DB[[#This Row],[DATA]],"aaaa"))</f>
        <v>2021</v>
      </c>
    </row>
    <row r="3799" spans="1:8" x14ac:dyDescent="0.25">
      <c r="A3799" s="2">
        <v>44429</v>
      </c>
      <c r="B3799" t="s">
        <v>38</v>
      </c>
      <c r="C3799">
        <v>-1066</v>
      </c>
      <c r="D3799" t="str">
        <f>VLOOKUP(B3799,Tabela_Auxiliar[],2,0)</f>
        <v>2. Deduções da Receita</v>
      </c>
      <c r="E3799" t="str">
        <f>VLOOKUP(B3799,Tabela_Auxiliar[],4,0)</f>
        <v>Deduções</v>
      </c>
      <c r="F3799" t="str">
        <f>VLOOKUP(B3799,Tabela_Auxiliar[],3,0)</f>
        <v>Saída</v>
      </c>
      <c r="G3799" t="str">
        <f>UPPER(TEXT(Tabela_DB[[#This Row],[DATA]],"mmm"))</f>
        <v>AGO</v>
      </c>
      <c r="H3799" t="str">
        <f>UPPER(TEXT(Tabela_DB[[#This Row],[DATA]],"aaaa"))</f>
        <v>2021</v>
      </c>
    </row>
    <row r="3800" spans="1:8" x14ac:dyDescent="0.25">
      <c r="A3800" s="2">
        <v>44430</v>
      </c>
      <c r="B3800" t="s">
        <v>111</v>
      </c>
      <c r="C3800">
        <v>-1875</v>
      </c>
      <c r="D3800" t="str">
        <f>VLOOKUP(B3800,Tabela_Auxiliar[],2,0)</f>
        <v>2. Deduções da Receita</v>
      </c>
      <c r="E3800" t="str">
        <f>VLOOKUP(B3800,Tabela_Auxiliar[],4,0)</f>
        <v>Imposto</v>
      </c>
      <c r="F3800" t="str">
        <f>VLOOKUP(B3800,Tabela_Auxiliar[],3,0)</f>
        <v>Saída</v>
      </c>
      <c r="G3800" t="str">
        <f>UPPER(TEXT(Tabela_DB[[#This Row],[DATA]],"mmm"))</f>
        <v>AGO</v>
      </c>
      <c r="H3800" t="str">
        <f>UPPER(TEXT(Tabela_DB[[#This Row],[DATA]],"aaaa"))</f>
        <v>2021</v>
      </c>
    </row>
    <row r="3801" spans="1:8" x14ac:dyDescent="0.25">
      <c r="A3801" s="2">
        <v>44430</v>
      </c>
      <c r="B3801" t="s">
        <v>37</v>
      </c>
      <c r="C3801">
        <v>-3631</v>
      </c>
      <c r="D3801" t="str">
        <f>VLOOKUP(B3801,Tabela_Auxiliar[],2,0)</f>
        <v>3. Custos do Produto/Mercadoria/Serviço</v>
      </c>
      <c r="E3801" t="str">
        <f>VLOOKUP(B3801,Tabela_Auxiliar[],4,0)</f>
        <v>Despesas c/ Produto</v>
      </c>
      <c r="F3801" t="str">
        <f>VLOOKUP(B3801,Tabela_Auxiliar[],3,0)</f>
        <v>Saída</v>
      </c>
      <c r="G3801" t="str">
        <f>UPPER(TEXT(Tabela_DB[[#This Row],[DATA]],"mmm"))</f>
        <v>AGO</v>
      </c>
      <c r="H3801" t="str">
        <f>UPPER(TEXT(Tabela_DB[[#This Row],[DATA]],"aaaa"))</f>
        <v>2021</v>
      </c>
    </row>
    <row r="3802" spans="1:8" x14ac:dyDescent="0.25">
      <c r="A3802" s="2">
        <v>44430</v>
      </c>
      <c r="B3802" t="s">
        <v>86</v>
      </c>
      <c r="C3802">
        <v>-1352</v>
      </c>
      <c r="D3802" t="str">
        <f>VLOOKUP(B3802,Tabela_Auxiliar[],2,0)</f>
        <v>4. Despesas Operacionais</v>
      </c>
      <c r="E3802" t="str">
        <f>VLOOKUP(B3802,Tabela_Auxiliar[],4,0)</f>
        <v>Despesa com Veículos</v>
      </c>
      <c r="F3802" t="str">
        <f>VLOOKUP(B3802,Tabela_Auxiliar[],3,0)</f>
        <v>Saída</v>
      </c>
      <c r="G3802" t="str">
        <f>UPPER(TEXT(Tabela_DB[[#This Row],[DATA]],"mmm"))</f>
        <v>AGO</v>
      </c>
      <c r="H3802" t="str">
        <f>UPPER(TEXT(Tabela_DB[[#This Row],[DATA]],"aaaa"))</f>
        <v>2021</v>
      </c>
    </row>
    <row r="3803" spans="1:8" x14ac:dyDescent="0.25">
      <c r="A3803" s="2">
        <v>44430</v>
      </c>
      <c r="B3803" t="s">
        <v>35</v>
      </c>
      <c r="C3803">
        <v>-2205</v>
      </c>
      <c r="D3803" t="str">
        <f>VLOOKUP(B3803,Tabela_Auxiliar[],2,0)</f>
        <v>2. Deduções da Receita</v>
      </c>
      <c r="E3803" t="str">
        <f>VLOOKUP(B3803,Tabela_Auxiliar[],4,0)</f>
        <v>Imposto</v>
      </c>
      <c r="F3803" t="str">
        <f>VLOOKUP(B3803,Tabela_Auxiliar[],3,0)</f>
        <v>Saída</v>
      </c>
      <c r="G3803" t="str">
        <f>UPPER(TEXT(Tabela_DB[[#This Row],[DATA]],"mmm"))</f>
        <v>AGO</v>
      </c>
      <c r="H3803" t="str">
        <f>UPPER(TEXT(Tabela_DB[[#This Row],[DATA]],"aaaa"))</f>
        <v>2021</v>
      </c>
    </row>
    <row r="3804" spans="1:8" x14ac:dyDescent="0.25">
      <c r="A3804" s="2">
        <v>44430</v>
      </c>
      <c r="B3804" t="s">
        <v>37</v>
      </c>
      <c r="C3804">
        <v>-2685</v>
      </c>
      <c r="D3804" t="str">
        <f>VLOOKUP(B3804,Tabela_Auxiliar[],2,0)</f>
        <v>3. Custos do Produto/Mercadoria/Serviço</v>
      </c>
      <c r="E3804" t="str">
        <f>VLOOKUP(B3804,Tabela_Auxiliar[],4,0)</f>
        <v>Despesas c/ Produto</v>
      </c>
      <c r="F3804" t="str">
        <f>VLOOKUP(B3804,Tabela_Auxiliar[],3,0)</f>
        <v>Saída</v>
      </c>
      <c r="G3804" t="str">
        <f>UPPER(TEXT(Tabela_DB[[#This Row],[DATA]],"mmm"))</f>
        <v>AGO</v>
      </c>
      <c r="H3804" t="str">
        <f>UPPER(TEXT(Tabela_DB[[#This Row],[DATA]],"aaaa"))</f>
        <v>2021</v>
      </c>
    </row>
    <row r="3805" spans="1:8" x14ac:dyDescent="0.25">
      <c r="A3805" s="2">
        <v>44430</v>
      </c>
      <c r="B3805" t="s">
        <v>4</v>
      </c>
      <c r="C3805">
        <v>13787</v>
      </c>
      <c r="D3805" t="str">
        <f>VLOOKUP(B3805,Tabela_Auxiliar[],2,0)</f>
        <v>1. Receita Operacional Bruta</v>
      </c>
      <c r="E3805" t="str">
        <f>VLOOKUP(B3805,Tabela_Auxiliar[],4,0)</f>
        <v>Receita Bruta</v>
      </c>
      <c r="F3805" t="str">
        <f>VLOOKUP(B3805,Tabela_Auxiliar[],3,0)</f>
        <v>Entrada</v>
      </c>
      <c r="G3805" t="str">
        <f>UPPER(TEXT(Tabela_DB[[#This Row],[DATA]],"mmm"))</f>
        <v>AGO</v>
      </c>
      <c r="H3805" t="str">
        <f>UPPER(TEXT(Tabela_DB[[#This Row],[DATA]],"aaaa"))</f>
        <v>2021</v>
      </c>
    </row>
    <row r="3806" spans="1:8" x14ac:dyDescent="0.25">
      <c r="A3806" s="2">
        <v>44430</v>
      </c>
      <c r="B3806" t="s">
        <v>111</v>
      </c>
      <c r="C3806">
        <v>-1403</v>
      </c>
      <c r="D3806" t="str">
        <f>VLOOKUP(B3806,Tabela_Auxiliar[],2,0)</f>
        <v>2. Deduções da Receita</v>
      </c>
      <c r="E3806" t="str">
        <f>VLOOKUP(B3806,Tabela_Auxiliar[],4,0)</f>
        <v>Imposto</v>
      </c>
      <c r="F3806" t="str">
        <f>VLOOKUP(B3806,Tabela_Auxiliar[],3,0)</f>
        <v>Saída</v>
      </c>
      <c r="G3806" t="str">
        <f>UPPER(TEXT(Tabela_DB[[#This Row],[DATA]],"mmm"))</f>
        <v>AGO</v>
      </c>
      <c r="H3806" t="str">
        <f>UPPER(TEXT(Tabela_DB[[#This Row],[DATA]],"aaaa"))</f>
        <v>2021</v>
      </c>
    </row>
    <row r="3807" spans="1:8" x14ac:dyDescent="0.25">
      <c r="A3807" s="2">
        <v>44430</v>
      </c>
      <c r="B3807" t="s">
        <v>35</v>
      </c>
      <c r="C3807">
        <v>-1157</v>
      </c>
      <c r="D3807" t="str">
        <f>VLOOKUP(B3807,Tabela_Auxiliar[],2,0)</f>
        <v>2. Deduções da Receita</v>
      </c>
      <c r="E3807" t="str">
        <f>VLOOKUP(B3807,Tabela_Auxiliar[],4,0)</f>
        <v>Imposto</v>
      </c>
      <c r="F3807" t="str">
        <f>VLOOKUP(B3807,Tabela_Auxiliar[],3,0)</f>
        <v>Saída</v>
      </c>
      <c r="G3807" t="str">
        <f>UPPER(TEXT(Tabela_DB[[#This Row],[DATA]],"mmm"))</f>
        <v>AGO</v>
      </c>
      <c r="H3807" t="str">
        <f>UPPER(TEXT(Tabela_DB[[#This Row],[DATA]],"aaaa"))</f>
        <v>2021</v>
      </c>
    </row>
    <row r="3808" spans="1:8" x14ac:dyDescent="0.25">
      <c r="A3808" s="2">
        <v>44430</v>
      </c>
      <c r="B3808" t="s">
        <v>4</v>
      </c>
      <c r="C3808">
        <v>10136</v>
      </c>
      <c r="D3808" t="str">
        <f>VLOOKUP(B3808,Tabela_Auxiliar[],2,0)</f>
        <v>1. Receita Operacional Bruta</v>
      </c>
      <c r="E3808" t="str">
        <f>VLOOKUP(B3808,Tabela_Auxiliar[],4,0)</f>
        <v>Receita Bruta</v>
      </c>
      <c r="F3808" t="str">
        <f>VLOOKUP(B3808,Tabela_Auxiliar[],3,0)</f>
        <v>Entrada</v>
      </c>
      <c r="G3808" t="str">
        <f>UPPER(TEXT(Tabela_DB[[#This Row],[DATA]],"mmm"))</f>
        <v>AGO</v>
      </c>
      <c r="H3808" t="str">
        <f>UPPER(TEXT(Tabela_DB[[#This Row],[DATA]],"aaaa"))</f>
        <v>2021</v>
      </c>
    </row>
    <row r="3809" spans="1:8" x14ac:dyDescent="0.25">
      <c r="A3809" s="2">
        <v>44430</v>
      </c>
      <c r="B3809" t="s">
        <v>38</v>
      </c>
      <c r="C3809">
        <v>-2287</v>
      </c>
      <c r="D3809" t="str">
        <f>VLOOKUP(B3809,Tabela_Auxiliar[],2,0)</f>
        <v>2. Deduções da Receita</v>
      </c>
      <c r="E3809" t="str">
        <f>VLOOKUP(B3809,Tabela_Auxiliar[],4,0)</f>
        <v>Deduções</v>
      </c>
      <c r="F3809" t="str">
        <f>VLOOKUP(B3809,Tabela_Auxiliar[],3,0)</f>
        <v>Saída</v>
      </c>
      <c r="G3809" t="str">
        <f>UPPER(TEXT(Tabela_DB[[#This Row],[DATA]],"mmm"))</f>
        <v>AGO</v>
      </c>
      <c r="H3809" t="str">
        <f>UPPER(TEXT(Tabela_DB[[#This Row],[DATA]],"aaaa"))</f>
        <v>2021</v>
      </c>
    </row>
    <row r="3810" spans="1:8" x14ac:dyDescent="0.25">
      <c r="A3810" s="2">
        <v>44430</v>
      </c>
      <c r="B3810" t="s">
        <v>4</v>
      </c>
      <c r="C3810">
        <v>13740</v>
      </c>
      <c r="D3810" t="str">
        <f>VLOOKUP(B3810,Tabela_Auxiliar[],2,0)</f>
        <v>1. Receita Operacional Bruta</v>
      </c>
      <c r="E3810" t="str">
        <f>VLOOKUP(B3810,Tabela_Auxiliar[],4,0)</f>
        <v>Receita Bruta</v>
      </c>
      <c r="F3810" t="str">
        <f>VLOOKUP(B3810,Tabela_Auxiliar[],3,0)</f>
        <v>Entrada</v>
      </c>
      <c r="G3810" t="str">
        <f>UPPER(TEXT(Tabela_DB[[#This Row],[DATA]],"mmm"))</f>
        <v>AGO</v>
      </c>
      <c r="H3810" t="str">
        <f>UPPER(TEXT(Tabela_DB[[#This Row],[DATA]],"aaaa"))</f>
        <v>2021</v>
      </c>
    </row>
    <row r="3811" spans="1:8" x14ac:dyDescent="0.25">
      <c r="A3811" s="2">
        <v>44430</v>
      </c>
      <c r="B3811" t="s">
        <v>37</v>
      </c>
      <c r="C3811">
        <v>-2885</v>
      </c>
      <c r="D3811" t="str">
        <f>VLOOKUP(B3811,Tabela_Auxiliar[],2,0)</f>
        <v>3. Custos do Produto/Mercadoria/Serviço</v>
      </c>
      <c r="E3811" t="str">
        <f>VLOOKUP(B3811,Tabela_Auxiliar[],4,0)</f>
        <v>Despesas c/ Produto</v>
      </c>
      <c r="F3811" t="str">
        <f>VLOOKUP(B3811,Tabela_Auxiliar[],3,0)</f>
        <v>Saída</v>
      </c>
      <c r="G3811" t="str">
        <f>UPPER(TEXT(Tabela_DB[[#This Row],[DATA]],"mmm"))</f>
        <v>AGO</v>
      </c>
      <c r="H3811" t="str">
        <f>UPPER(TEXT(Tabela_DB[[#This Row],[DATA]],"aaaa"))</f>
        <v>2021</v>
      </c>
    </row>
    <row r="3812" spans="1:8" x14ac:dyDescent="0.25">
      <c r="A3812" s="2">
        <v>44430</v>
      </c>
      <c r="B3812" t="s">
        <v>4</v>
      </c>
      <c r="C3812">
        <v>13320</v>
      </c>
      <c r="D3812" t="str">
        <f>VLOOKUP(B3812,Tabela_Auxiliar[],2,0)</f>
        <v>1. Receita Operacional Bruta</v>
      </c>
      <c r="E3812" t="str">
        <f>VLOOKUP(B3812,Tabela_Auxiliar[],4,0)</f>
        <v>Receita Bruta</v>
      </c>
      <c r="F3812" t="str">
        <f>VLOOKUP(B3812,Tabela_Auxiliar[],3,0)</f>
        <v>Entrada</v>
      </c>
      <c r="G3812" t="str">
        <f>UPPER(TEXT(Tabela_DB[[#This Row],[DATA]],"mmm"))</f>
        <v>AGO</v>
      </c>
      <c r="H3812" t="str">
        <f>UPPER(TEXT(Tabela_DB[[#This Row],[DATA]],"aaaa"))</f>
        <v>2021</v>
      </c>
    </row>
    <row r="3813" spans="1:8" x14ac:dyDescent="0.25">
      <c r="A3813" s="2">
        <v>44430</v>
      </c>
      <c r="B3813" t="s">
        <v>79</v>
      </c>
      <c r="C3813">
        <v>-1252</v>
      </c>
      <c r="D3813" t="str">
        <f>VLOOKUP(B3813,Tabela_Auxiliar[],2,0)</f>
        <v>4. Despesas Operacionais</v>
      </c>
      <c r="E3813" t="str">
        <f>VLOOKUP(B3813,Tabela_Auxiliar[],4,0)</f>
        <v>Serviços Contratados</v>
      </c>
      <c r="F3813" t="str">
        <f>VLOOKUP(B3813,Tabela_Auxiliar[],3,0)</f>
        <v>Saída</v>
      </c>
      <c r="G3813" t="str">
        <f>UPPER(TEXT(Tabela_DB[[#This Row],[DATA]],"mmm"))</f>
        <v>AGO</v>
      </c>
      <c r="H3813" t="str">
        <f>UPPER(TEXT(Tabela_DB[[#This Row],[DATA]],"aaaa"))</f>
        <v>2021</v>
      </c>
    </row>
    <row r="3814" spans="1:8" x14ac:dyDescent="0.25">
      <c r="A3814" s="2">
        <v>44430</v>
      </c>
      <c r="B3814" t="s">
        <v>3</v>
      </c>
      <c r="C3814">
        <v>11334</v>
      </c>
      <c r="D3814" t="str">
        <f>VLOOKUP(B3814,Tabela_Auxiliar[],2,0)</f>
        <v>1. Receita Operacional Bruta</v>
      </c>
      <c r="E3814" t="str">
        <f>VLOOKUP(B3814,Tabela_Auxiliar[],4,0)</f>
        <v>Receita Bruta</v>
      </c>
      <c r="F3814" t="str">
        <f>VLOOKUP(B3814,Tabela_Auxiliar[],3,0)</f>
        <v>Entrada</v>
      </c>
      <c r="G3814" t="str">
        <f>UPPER(TEXT(Tabela_DB[[#This Row],[DATA]],"mmm"))</f>
        <v>AGO</v>
      </c>
      <c r="H3814" t="str">
        <f>UPPER(TEXT(Tabela_DB[[#This Row],[DATA]],"aaaa"))</f>
        <v>2021</v>
      </c>
    </row>
    <row r="3815" spans="1:8" x14ac:dyDescent="0.25">
      <c r="A3815" s="2">
        <v>44430</v>
      </c>
      <c r="B3815" t="s">
        <v>4</v>
      </c>
      <c r="C3815">
        <v>14052</v>
      </c>
      <c r="D3815" t="str">
        <f>VLOOKUP(B3815,Tabela_Auxiliar[],2,0)</f>
        <v>1. Receita Operacional Bruta</v>
      </c>
      <c r="E3815" t="str">
        <f>VLOOKUP(B3815,Tabela_Auxiliar[],4,0)</f>
        <v>Receita Bruta</v>
      </c>
      <c r="F3815" t="str">
        <f>VLOOKUP(B3815,Tabela_Auxiliar[],3,0)</f>
        <v>Entrada</v>
      </c>
      <c r="G3815" t="str">
        <f>UPPER(TEXT(Tabela_DB[[#This Row],[DATA]],"mmm"))</f>
        <v>AGO</v>
      </c>
      <c r="H3815" t="str">
        <f>UPPER(TEXT(Tabela_DB[[#This Row],[DATA]],"aaaa"))</f>
        <v>2021</v>
      </c>
    </row>
    <row r="3816" spans="1:8" x14ac:dyDescent="0.25">
      <c r="A3816" s="2">
        <v>44430</v>
      </c>
      <c r="B3816" t="s">
        <v>88</v>
      </c>
      <c r="C3816">
        <v>-1889</v>
      </c>
      <c r="D3816" t="str">
        <f>VLOOKUP(B3816,Tabela_Auxiliar[],2,0)</f>
        <v>4. Despesas Operacionais</v>
      </c>
      <c r="E3816" t="str">
        <f>VLOOKUP(B3816,Tabela_Auxiliar[],4,0)</f>
        <v>Despesa Tributária</v>
      </c>
      <c r="F3816" t="str">
        <f>VLOOKUP(B3816,Tabela_Auxiliar[],3,0)</f>
        <v>Saída</v>
      </c>
      <c r="G3816" t="str">
        <f>UPPER(TEXT(Tabela_DB[[#This Row],[DATA]],"mmm"))</f>
        <v>AGO</v>
      </c>
      <c r="H3816" t="str">
        <f>UPPER(TEXT(Tabela_DB[[#This Row],[DATA]],"aaaa"))</f>
        <v>2021</v>
      </c>
    </row>
    <row r="3817" spans="1:8" x14ac:dyDescent="0.25">
      <c r="A3817" s="2">
        <v>44430</v>
      </c>
      <c r="B3817" t="s">
        <v>49</v>
      </c>
      <c r="C3817">
        <v>-2449</v>
      </c>
      <c r="D3817" t="str">
        <f>VLOOKUP(B3817,Tabela_Auxiliar[],2,0)</f>
        <v>4. Despesas Operacionais</v>
      </c>
      <c r="E3817" t="str">
        <f>VLOOKUP(B3817,Tabela_Auxiliar[],4,0)</f>
        <v>Despesa com Pessoal</v>
      </c>
      <c r="F3817" t="str">
        <f>VLOOKUP(B3817,Tabela_Auxiliar[],3,0)</f>
        <v>Saída</v>
      </c>
      <c r="G3817" t="str">
        <f>UPPER(TEXT(Tabela_DB[[#This Row],[DATA]],"mmm"))</f>
        <v>AGO</v>
      </c>
      <c r="H3817" t="str">
        <f>UPPER(TEXT(Tabela_DB[[#This Row],[DATA]],"aaaa"))</f>
        <v>2021</v>
      </c>
    </row>
    <row r="3818" spans="1:8" x14ac:dyDescent="0.25">
      <c r="A3818" s="2">
        <v>44430</v>
      </c>
      <c r="B3818" t="s">
        <v>34</v>
      </c>
      <c r="C3818">
        <v>-1784</v>
      </c>
      <c r="D3818" t="str">
        <f>VLOOKUP(B3818,Tabela_Auxiliar[],2,0)</f>
        <v>2. Deduções da Receita</v>
      </c>
      <c r="E3818" t="str">
        <f>VLOOKUP(B3818,Tabela_Auxiliar[],4,0)</f>
        <v>Imposto</v>
      </c>
      <c r="F3818" t="str">
        <f>VLOOKUP(B3818,Tabela_Auxiliar[],3,0)</f>
        <v>Saída</v>
      </c>
      <c r="G3818" t="str">
        <f>UPPER(TEXT(Tabela_DB[[#This Row],[DATA]],"mmm"))</f>
        <v>AGO</v>
      </c>
      <c r="H3818" t="str">
        <f>UPPER(TEXT(Tabela_DB[[#This Row],[DATA]],"aaaa"))</f>
        <v>2021</v>
      </c>
    </row>
    <row r="3819" spans="1:8" x14ac:dyDescent="0.25">
      <c r="A3819" s="2">
        <v>44430</v>
      </c>
      <c r="B3819" t="s">
        <v>4</v>
      </c>
      <c r="C3819">
        <v>12396</v>
      </c>
      <c r="D3819" t="str">
        <f>VLOOKUP(B3819,Tabela_Auxiliar[],2,0)</f>
        <v>1. Receita Operacional Bruta</v>
      </c>
      <c r="E3819" t="str">
        <f>VLOOKUP(B3819,Tabela_Auxiliar[],4,0)</f>
        <v>Receita Bruta</v>
      </c>
      <c r="F3819" t="str">
        <f>VLOOKUP(B3819,Tabela_Auxiliar[],3,0)</f>
        <v>Entrada</v>
      </c>
      <c r="G3819" t="str">
        <f>UPPER(TEXT(Tabela_DB[[#This Row],[DATA]],"mmm"))</f>
        <v>AGO</v>
      </c>
      <c r="H3819" t="str">
        <f>UPPER(TEXT(Tabela_DB[[#This Row],[DATA]],"aaaa"))</f>
        <v>2021</v>
      </c>
    </row>
    <row r="3820" spans="1:8" x14ac:dyDescent="0.25">
      <c r="A3820" s="2">
        <v>44430</v>
      </c>
      <c r="B3820" t="s">
        <v>90</v>
      </c>
      <c r="C3820">
        <v>-1909</v>
      </c>
      <c r="D3820" t="str">
        <f>VLOOKUP(B3820,Tabela_Auxiliar[],2,0)</f>
        <v>4. Despesas Operacionais</v>
      </c>
      <c r="E3820" t="str">
        <f>VLOOKUP(B3820,Tabela_Auxiliar[],4,0)</f>
        <v>Despesa Tributária</v>
      </c>
      <c r="F3820" t="str">
        <f>VLOOKUP(B3820,Tabela_Auxiliar[],3,0)</f>
        <v>Saída</v>
      </c>
      <c r="G3820" t="str">
        <f>UPPER(TEXT(Tabela_DB[[#This Row],[DATA]],"mmm"))</f>
        <v>AGO</v>
      </c>
      <c r="H3820" t="str">
        <f>UPPER(TEXT(Tabela_DB[[#This Row],[DATA]],"aaaa"))</f>
        <v>2021</v>
      </c>
    </row>
    <row r="3821" spans="1:8" x14ac:dyDescent="0.25">
      <c r="A3821" s="2">
        <v>44430</v>
      </c>
      <c r="B3821" t="s">
        <v>4</v>
      </c>
      <c r="C3821">
        <v>12703</v>
      </c>
      <c r="D3821" t="str">
        <f>VLOOKUP(B3821,Tabela_Auxiliar[],2,0)</f>
        <v>1. Receita Operacional Bruta</v>
      </c>
      <c r="E3821" t="str">
        <f>VLOOKUP(B3821,Tabela_Auxiliar[],4,0)</f>
        <v>Receita Bruta</v>
      </c>
      <c r="F3821" t="str">
        <f>VLOOKUP(B3821,Tabela_Auxiliar[],3,0)</f>
        <v>Entrada</v>
      </c>
      <c r="G3821" t="str">
        <f>UPPER(TEXT(Tabela_DB[[#This Row],[DATA]],"mmm"))</f>
        <v>AGO</v>
      </c>
      <c r="H3821" t="str">
        <f>UPPER(TEXT(Tabela_DB[[#This Row],[DATA]],"aaaa"))</f>
        <v>2021</v>
      </c>
    </row>
    <row r="3822" spans="1:8" x14ac:dyDescent="0.25">
      <c r="A3822" s="2">
        <v>44430</v>
      </c>
      <c r="B3822" t="s">
        <v>34</v>
      </c>
      <c r="C3822">
        <v>-1313</v>
      </c>
      <c r="D3822" t="str">
        <f>VLOOKUP(B3822,Tabela_Auxiliar[],2,0)</f>
        <v>2. Deduções da Receita</v>
      </c>
      <c r="E3822" t="str">
        <f>VLOOKUP(B3822,Tabela_Auxiliar[],4,0)</f>
        <v>Imposto</v>
      </c>
      <c r="F3822" t="str">
        <f>VLOOKUP(B3822,Tabela_Auxiliar[],3,0)</f>
        <v>Saída</v>
      </c>
      <c r="G3822" t="str">
        <f>UPPER(TEXT(Tabela_DB[[#This Row],[DATA]],"mmm"))</f>
        <v>AGO</v>
      </c>
      <c r="H3822" t="str">
        <f>UPPER(TEXT(Tabela_DB[[#This Row],[DATA]],"aaaa"))</f>
        <v>2021</v>
      </c>
    </row>
    <row r="3823" spans="1:8" x14ac:dyDescent="0.25">
      <c r="A3823" s="2">
        <v>44430</v>
      </c>
      <c r="B3823" t="s">
        <v>89</v>
      </c>
      <c r="C3823">
        <v>-1038</v>
      </c>
      <c r="D3823" t="str">
        <f>VLOOKUP(B3823,Tabela_Auxiliar[],2,0)</f>
        <v>4. Despesas Operacionais</v>
      </c>
      <c r="E3823" t="str">
        <f>VLOOKUP(B3823,Tabela_Auxiliar[],4,0)</f>
        <v>Despesa Tributária</v>
      </c>
      <c r="F3823" t="str">
        <f>VLOOKUP(B3823,Tabela_Auxiliar[],3,0)</f>
        <v>Saída</v>
      </c>
      <c r="G3823" t="str">
        <f>UPPER(TEXT(Tabela_DB[[#This Row],[DATA]],"mmm"))</f>
        <v>AGO</v>
      </c>
      <c r="H3823" t="str">
        <f>UPPER(TEXT(Tabela_DB[[#This Row],[DATA]],"aaaa"))</f>
        <v>2021</v>
      </c>
    </row>
    <row r="3824" spans="1:8" x14ac:dyDescent="0.25">
      <c r="A3824" s="2">
        <v>44431</v>
      </c>
      <c r="B3824" t="s">
        <v>34</v>
      </c>
      <c r="C3824">
        <v>-1435</v>
      </c>
      <c r="D3824" t="str">
        <f>VLOOKUP(B3824,Tabela_Auxiliar[],2,0)</f>
        <v>2. Deduções da Receita</v>
      </c>
      <c r="E3824" t="str">
        <f>VLOOKUP(B3824,Tabela_Auxiliar[],4,0)</f>
        <v>Imposto</v>
      </c>
      <c r="F3824" t="str">
        <f>VLOOKUP(B3824,Tabela_Auxiliar[],3,0)</f>
        <v>Saída</v>
      </c>
      <c r="G3824" t="str">
        <f>UPPER(TEXT(Tabela_DB[[#This Row],[DATA]],"mmm"))</f>
        <v>AGO</v>
      </c>
      <c r="H3824" t="str">
        <f>UPPER(TEXT(Tabela_DB[[#This Row],[DATA]],"aaaa"))</f>
        <v>2021</v>
      </c>
    </row>
    <row r="3825" spans="1:8" x14ac:dyDescent="0.25">
      <c r="A3825" s="2">
        <v>44431</v>
      </c>
      <c r="B3825" t="s">
        <v>87</v>
      </c>
      <c r="C3825">
        <v>-1618</v>
      </c>
      <c r="D3825" t="str">
        <f>VLOOKUP(B3825,Tabela_Auxiliar[],2,0)</f>
        <v>4. Despesas Operacionais</v>
      </c>
      <c r="E3825" t="str">
        <f>VLOOKUP(B3825,Tabela_Auxiliar[],4,0)</f>
        <v>Despesa Tributária</v>
      </c>
      <c r="F3825" t="str">
        <f>VLOOKUP(B3825,Tabela_Auxiliar[],3,0)</f>
        <v>Saída</v>
      </c>
      <c r="G3825" t="str">
        <f>UPPER(TEXT(Tabela_DB[[#This Row],[DATA]],"mmm"))</f>
        <v>AGO</v>
      </c>
      <c r="H3825" t="str">
        <f>UPPER(TEXT(Tabela_DB[[#This Row],[DATA]],"aaaa"))</f>
        <v>2021</v>
      </c>
    </row>
    <row r="3826" spans="1:8" x14ac:dyDescent="0.25">
      <c r="A3826" s="2">
        <v>44431</v>
      </c>
      <c r="B3826" t="s">
        <v>88</v>
      </c>
      <c r="C3826">
        <v>-1128</v>
      </c>
      <c r="D3826" t="str">
        <f>VLOOKUP(B3826,Tabela_Auxiliar[],2,0)</f>
        <v>4. Despesas Operacionais</v>
      </c>
      <c r="E3826" t="str">
        <f>VLOOKUP(B3826,Tabela_Auxiliar[],4,0)</f>
        <v>Despesa Tributária</v>
      </c>
      <c r="F3826" t="str">
        <f>VLOOKUP(B3826,Tabela_Auxiliar[],3,0)</f>
        <v>Saída</v>
      </c>
      <c r="G3826" t="str">
        <f>UPPER(TEXT(Tabela_DB[[#This Row],[DATA]],"mmm"))</f>
        <v>AGO</v>
      </c>
      <c r="H3826" t="str">
        <f>UPPER(TEXT(Tabela_DB[[#This Row],[DATA]],"aaaa"))</f>
        <v>2021</v>
      </c>
    </row>
    <row r="3827" spans="1:8" x14ac:dyDescent="0.25">
      <c r="A3827" s="2">
        <v>44431</v>
      </c>
      <c r="B3827" t="s">
        <v>89</v>
      </c>
      <c r="C3827">
        <v>-1241</v>
      </c>
      <c r="D3827" t="str">
        <f>VLOOKUP(B3827,Tabela_Auxiliar[],2,0)</f>
        <v>4. Despesas Operacionais</v>
      </c>
      <c r="E3827" t="str">
        <f>VLOOKUP(B3827,Tabela_Auxiliar[],4,0)</f>
        <v>Despesa Tributária</v>
      </c>
      <c r="F3827" t="str">
        <f>VLOOKUP(B3827,Tabela_Auxiliar[],3,0)</f>
        <v>Saída</v>
      </c>
      <c r="G3827" t="str">
        <f>UPPER(TEXT(Tabela_DB[[#This Row],[DATA]],"mmm"))</f>
        <v>AGO</v>
      </c>
      <c r="H3827" t="str">
        <f>UPPER(TEXT(Tabela_DB[[#This Row],[DATA]],"aaaa"))</f>
        <v>2021</v>
      </c>
    </row>
    <row r="3828" spans="1:8" x14ac:dyDescent="0.25">
      <c r="A3828" s="2">
        <v>44431</v>
      </c>
      <c r="B3828" t="s">
        <v>54</v>
      </c>
      <c r="C3828">
        <v>-1674</v>
      </c>
      <c r="D3828" t="str">
        <f>VLOOKUP(B3828,Tabela_Auxiliar[],2,0)</f>
        <v>4. Despesas Operacionais</v>
      </c>
      <c r="E3828" t="str">
        <f>VLOOKUP(B3828,Tabela_Auxiliar[],4,0)</f>
        <v>Despesa com Pessoal</v>
      </c>
      <c r="F3828" t="str">
        <f>VLOOKUP(B3828,Tabela_Auxiliar[],3,0)</f>
        <v>Saída</v>
      </c>
      <c r="G3828" t="str">
        <f>UPPER(TEXT(Tabela_DB[[#This Row],[DATA]],"mmm"))</f>
        <v>AGO</v>
      </c>
      <c r="H3828" t="str">
        <f>UPPER(TEXT(Tabela_DB[[#This Row],[DATA]],"aaaa"))</f>
        <v>2021</v>
      </c>
    </row>
    <row r="3829" spans="1:8" x14ac:dyDescent="0.25">
      <c r="A3829" s="2">
        <v>44431</v>
      </c>
      <c r="B3829" t="s">
        <v>3</v>
      </c>
      <c r="C3829">
        <v>14288</v>
      </c>
      <c r="D3829" t="str">
        <f>VLOOKUP(B3829,Tabela_Auxiliar[],2,0)</f>
        <v>1. Receita Operacional Bruta</v>
      </c>
      <c r="E3829" t="str">
        <f>VLOOKUP(B3829,Tabela_Auxiliar[],4,0)</f>
        <v>Receita Bruta</v>
      </c>
      <c r="F3829" t="str">
        <f>VLOOKUP(B3829,Tabela_Auxiliar[],3,0)</f>
        <v>Entrada</v>
      </c>
      <c r="G3829" t="str">
        <f>UPPER(TEXT(Tabela_DB[[#This Row],[DATA]],"mmm"))</f>
        <v>AGO</v>
      </c>
      <c r="H3829" t="str">
        <f>UPPER(TEXT(Tabela_DB[[#This Row],[DATA]],"aaaa"))</f>
        <v>2021</v>
      </c>
    </row>
    <row r="3830" spans="1:8" x14ac:dyDescent="0.25">
      <c r="A3830" s="2">
        <v>44431</v>
      </c>
      <c r="B3830" t="s">
        <v>37</v>
      </c>
      <c r="C3830">
        <v>-3254</v>
      </c>
      <c r="D3830" t="str">
        <f>VLOOKUP(B3830,Tabela_Auxiliar[],2,0)</f>
        <v>3. Custos do Produto/Mercadoria/Serviço</v>
      </c>
      <c r="E3830" t="str">
        <f>VLOOKUP(B3830,Tabela_Auxiliar[],4,0)</f>
        <v>Despesas c/ Produto</v>
      </c>
      <c r="F3830" t="str">
        <f>VLOOKUP(B3830,Tabela_Auxiliar[],3,0)</f>
        <v>Saída</v>
      </c>
      <c r="G3830" t="str">
        <f>UPPER(TEXT(Tabela_DB[[#This Row],[DATA]],"mmm"))</f>
        <v>AGO</v>
      </c>
      <c r="H3830" t="str">
        <f>UPPER(TEXT(Tabela_DB[[#This Row],[DATA]],"aaaa"))</f>
        <v>2021</v>
      </c>
    </row>
    <row r="3831" spans="1:8" x14ac:dyDescent="0.25">
      <c r="A3831" s="2">
        <v>44431</v>
      </c>
      <c r="B3831" t="s">
        <v>3</v>
      </c>
      <c r="C3831">
        <v>14033</v>
      </c>
      <c r="D3831" t="str">
        <f>VLOOKUP(B3831,Tabela_Auxiliar[],2,0)</f>
        <v>1. Receita Operacional Bruta</v>
      </c>
      <c r="E3831" t="str">
        <f>VLOOKUP(B3831,Tabela_Auxiliar[],4,0)</f>
        <v>Receita Bruta</v>
      </c>
      <c r="F3831" t="str">
        <f>VLOOKUP(B3831,Tabela_Auxiliar[],3,0)</f>
        <v>Entrada</v>
      </c>
      <c r="G3831" t="str">
        <f>UPPER(TEXT(Tabela_DB[[#This Row],[DATA]],"mmm"))</f>
        <v>AGO</v>
      </c>
      <c r="H3831" t="str">
        <f>UPPER(TEXT(Tabela_DB[[#This Row],[DATA]],"aaaa"))</f>
        <v>2021</v>
      </c>
    </row>
    <row r="3832" spans="1:8" x14ac:dyDescent="0.25">
      <c r="A3832" s="2">
        <v>44431</v>
      </c>
      <c r="B3832" t="s">
        <v>3</v>
      </c>
      <c r="C3832">
        <v>10103</v>
      </c>
      <c r="D3832" t="str">
        <f>VLOOKUP(B3832,Tabela_Auxiliar[],2,0)</f>
        <v>1. Receita Operacional Bruta</v>
      </c>
      <c r="E3832" t="str">
        <f>VLOOKUP(B3832,Tabela_Auxiliar[],4,0)</f>
        <v>Receita Bruta</v>
      </c>
      <c r="F3832" t="str">
        <f>VLOOKUP(B3832,Tabela_Auxiliar[],3,0)</f>
        <v>Entrada</v>
      </c>
      <c r="G3832" t="str">
        <f>UPPER(TEXT(Tabela_DB[[#This Row],[DATA]],"mmm"))</f>
        <v>AGO</v>
      </c>
      <c r="H3832" t="str">
        <f>UPPER(TEXT(Tabela_DB[[#This Row],[DATA]],"aaaa"))</f>
        <v>2021</v>
      </c>
    </row>
    <row r="3833" spans="1:8" x14ac:dyDescent="0.25">
      <c r="A3833" s="2">
        <v>44431</v>
      </c>
      <c r="B3833" t="s">
        <v>5</v>
      </c>
      <c r="C3833">
        <v>-1138</v>
      </c>
      <c r="D3833" t="str">
        <f>VLOOKUP(B3833,Tabela_Auxiliar[],2,0)</f>
        <v>4. Despesas Operacionais</v>
      </c>
      <c r="E3833" t="str">
        <f>VLOOKUP(B3833,Tabela_Auxiliar[],4,0)</f>
        <v>Despesa com Pessoal</v>
      </c>
      <c r="F3833" t="str">
        <f>VLOOKUP(B3833,Tabela_Auxiliar[],3,0)</f>
        <v>Saída</v>
      </c>
      <c r="G3833" t="str">
        <f>UPPER(TEXT(Tabela_DB[[#This Row],[DATA]],"mmm"))</f>
        <v>AGO</v>
      </c>
      <c r="H3833" t="str">
        <f>UPPER(TEXT(Tabela_DB[[#This Row],[DATA]],"aaaa"))</f>
        <v>2021</v>
      </c>
    </row>
    <row r="3834" spans="1:8" x14ac:dyDescent="0.25">
      <c r="A3834" s="2">
        <v>44431</v>
      </c>
      <c r="B3834" t="s">
        <v>3</v>
      </c>
      <c r="C3834">
        <v>14244</v>
      </c>
      <c r="D3834" t="str">
        <f>VLOOKUP(B3834,Tabela_Auxiliar[],2,0)</f>
        <v>1. Receita Operacional Bruta</v>
      </c>
      <c r="E3834" t="str">
        <f>VLOOKUP(B3834,Tabela_Auxiliar[],4,0)</f>
        <v>Receita Bruta</v>
      </c>
      <c r="F3834" t="str">
        <f>VLOOKUP(B3834,Tabela_Auxiliar[],3,0)</f>
        <v>Entrada</v>
      </c>
      <c r="G3834" t="str">
        <f>UPPER(TEXT(Tabela_DB[[#This Row],[DATA]],"mmm"))</f>
        <v>AGO</v>
      </c>
      <c r="H3834" t="str">
        <f>UPPER(TEXT(Tabela_DB[[#This Row],[DATA]],"aaaa"))</f>
        <v>2021</v>
      </c>
    </row>
    <row r="3835" spans="1:8" x14ac:dyDescent="0.25">
      <c r="A3835" s="2">
        <v>44431</v>
      </c>
      <c r="B3835" t="s">
        <v>3</v>
      </c>
      <c r="C3835">
        <v>14444</v>
      </c>
      <c r="D3835" t="str">
        <f>VLOOKUP(B3835,Tabela_Auxiliar[],2,0)</f>
        <v>1. Receita Operacional Bruta</v>
      </c>
      <c r="E3835" t="str">
        <f>VLOOKUP(B3835,Tabela_Auxiliar[],4,0)</f>
        <v>Receita Bruta</v>
      </c>
      <c r="F3835" t="str">
        <f>VLOOKUP(B3835,Tabela_Auxiliar[],3,0)</f>
        <v>Entrada</v>
      </c>
      <c r="G3835" t="str">
        <f>UPPER(TEXT(Tabela_DB[[#This Row],[DATA]],"mmm"))</f>
        <v>AGO</v>
      </c>
      <c r="H3835" t="str">
        <f>UPPER(TEXT(Tabela_DB[[#This Row],[DATA]],"aaaa"))</f>
        <v>2021</v>
      </c>
    </row>
    <row r="3836" spans="1:8" x14ac:dyDescent="0.25">
      <c r="A3836" s="2">
        <v>44431</v>
      </c>
      <c r="B3836" t="s">
        <v>4</v>
      </c>
      <c r="C3836">
        <v>12461</v>
      </c>
      <c r="D3836" t="str">
        <f>VLOOKUP(B3836,Tabela_Auxiliar[],2,0)</f>
        <v>1. Receita Operacional Bruta</v>
      </c>
      <c r="E3836" t="str">
        <f>VLOOKUP(B3836,Tabela_Auxiliar[],4,0)</f>
        <v>Receita Bruta</v>
      </c>
      <c r="F3836" t="str">
        <f>VLOOKUP(B3836,Tabela_Auxiliar[],3,0)</f>
        <v>Entrada</v>
      </c>
      <c r="G3836" t="str">
        <f>UPPER(TEXT(Tabela_DB[[#This Row],[DATA]],"mmm"))</f>
        <v>AGO</v>
      </c>
      <c r="H3836" t="str">
        <f>UPPER(TEXT(Tabela_DB[[#This Row],[DATA]],"aaaa"))</f>
        <v>2021</v>
      </c>
    </row>
    <row r="3837" spans="1:8" x14ac:dyDescent="0.25">
      <c r="A3837" s="2">
        <v>44431</v>
      </c>
      <c r="B3837" t="s">
        <v>35</v>
      </c>
      <c r="C3837">
        <v>-2067</v>
      </c>
      <c r="D3837" t="str">
        <f>VLOOKUP(B3837,Tabela_Auxiliar[],2,0)</f>
        <v>2. Deduções da Receita</v>
      </c>
      <c r="E3837" t="str">
        <f>VLOOKUP(B3837,Tabela_Auxiliar[],4,0)</f>
        <v>Imposto</v>
      </c>
      <c r="F3837" t="str">
        <f>VLOOKUP(B3837,Tabela_Auxiliar[],3,0)</f>
        <v>Saída</v>
      </c>
      <c r="G3837" t="str">
        <f>UPPER(TEXT(Tabela_DB[[#This Row],[DATA]],"mmm"))</f>
        <v>AGO</v>
      </c>
      <c r="H3837" t="str">
        <f>UPPER(TEXT(Tabela_DB[[#This Row],[DATA]],"aaaa"))</f>
        <v>2021</v>
      </c>
    </row>
    <row r="3838" spans="1:8" x14ac:dyDescent="0.25">
      <c r="A3838" s="2">
        <v>44432</v>
      </c>
      <c r="B3838" t="s">
        <v>38</v>
      </c>
      <c r="C3838">
        <v>-1228</v>
      </c>
      <c r="D3838" t="str">
        <f>VLOOKUP(B3838,Tabela_Auxiliar[],2,0)</f>
        <v>2. Deduções da Receita</v>
      </c>
      <c r="E3838" t="str">
        <f>VLOOKUP(B3838,Tabela_Auxiliar[],4,0)</f>
        <v>Deduções</v>
      </c>
      <c r="F3838" t="str">
        <f>VLOOKUP(B3838,Tabela_Auxiliar[],3,0)</f>
        <v>Saída</v>
      </c>
      <c r="G3838" t="str">
        <f>UPPER(TEXT(Tabela_DB[[#This Row],[DATA]],"mmm"))</f>
        <v>AGO</v>
      </c>
      <c r="H3838" t="str">
        <f>UPPER(TEXT(Tabela_DB[[#This Row],[DATA]],"aaaa"))</f>
        <v>2021</v>
      </c>
    </row>
    <row r="3839" spans="1:8" x14ac:dyDescent="0.25">
      <c r="A3839" s="2">
        <v>44432</v>
      </c>
      <c r="B3839" t="s">
        <v>34</v>
      </c>
      <c r="C3839">
        <v>-1817</v>
      </c>
      <c r="D3839" t="str">
        <f>VLOOKUP(B3839,Tabela_Auxiliar[],2,0)</f>
        <v>2. Deduções da Receita</v>
      </c>
      <c r="E3839" t="str">
        <f>VLOOKUP(B3839,Tabela_Auxiliar[],4,0)</f>
        <v>Imposto</v>
      </c>
      <c r="F3839" t="str">
        <f>VLOOKUP(B3839,Tabela_Auxiliar[],3,0)</f>
        <v>Saída</v>
      </c>
      <c r="G3839" t="str">
        <f>UPPER(TEXT(Tabela_DB[[#This Row],[DATA]],"mmm"))</f>
        <v>AGO</v>
      </c>
      <c r="H3839" t="str">
        <f>UPPER(TEXT(Tabela_DB[[#This Row],[DATA]],"aaaa"))</f>
        <v>2021</v>
      </c>
    </row>
    <row r="3840" spans="1:8" x14ac:dyDescent="0.25">
      <c r="A3840" s="2">
        <v>44432</v>
      </c>
      <c r="B3840" t="s">
        <v>38</v>
      </c>
      <c r="C3840">
        <v>-1034</v>
      </c>
      <c r="D3840" t="str">
        <f>VLOOKUP(B3840,Tabela_Auxiliar[],2,0)</f>
        <v>2. Deduções da Receita</v>
      </c>
      <c r="E3840" t="str">
        <f>VLOOKUP(B3840,Tabela_Auxiliar[],4,0)</f>
        <v>Deduções</v>
      </c>
      <c r="F3840" t="str">
        <f>VLOOKUP(B3840,Tabela_Auxiliar[],3,0)</f>
        <v>Saída</v>
      </c>
      <c r="G3840" t="str">
        <f>UPPER(TEXT(Tabela_DB[[#This Row],[DATA]],"mmm"))</f>
        <v>AGO</v>
      </c>
      <c r="H3840" t="str">
        <f>UPPER(TEXT(Tabela_DB[[#This Row],[DATA]],"aaaa"))</f>
        <v>2021</v>
      </c>
    </row>
    <row r="3841" spans="1:8" x14ac:dyDescent="0.25">
      <c r="A3841" s="2">
        <v>44432</v>
      </c>
      <c r="B3841" t="s">
        <v>42</v>
      </c>
      <c r="C3841">
        <v>-1058</v>
      </c>
      <c r="D3841" t="str">
        <f>VLOOKUP(B3841,Tabela_Auxiliar[],2,0)</f>
        <v>4. Despesas Operacionais</v>
      </c>
      <c r="E3841" t="str">
        <f>VLOOKUP(B3841,Tabela_Auxiliar[],4,0)</f>
        <v>Despesa com Pessoal</v>
      </c>
      <c r="F3841" t="str">
        <f>VLOOKUP(B3841,Tabela_Auxiliar[],3,0)</f>
        <v>Saída</v>
      </c>
      <c r="G3841" t="str">
        <f>UPPER(TEXT(Tabela_DB[[#This Row],[DATA]],"mmm"))</f>
        <v>AGO</v>
      </c>
      <c r="H3841" t="str">
        <f>UPPER(TEXT(Tabela_DB[[#This Row],[DATA]],"aaaa"))</f>
        <v>2021</v>
      </c>
    </row>
    <row r="3842" spans="1:8" x14ac:dyDescent="0.25">
      <c r="A3842" s="2">
        <v>44432</v>
      </c>
      <c r="B3842" t="s">
        <v>66</v>
      </c>
      <c r="C3842">
        <v>-2069</v>
      </c>
      <c r="D3842" t="str">
        <f>VLOOKUP(B3842,Tabela_Auxiliar[],2,0)</f>
        <v>4. Despesas Operacionais</v>
      </c>
      <c r="E3842" t="str">
        <f>VLOOKUP(B3842,Tabela_Auxiliar[],4,0)</f>
        <v>Despesa com Vendas</v>
      </c>
      <c r="F3842" t="str">
        <f>VLOOKUP(B3842,Tabela_Auxiliar[],3,0)</f>
        <v>Saída</v>
      </c>
      <c r="G3842" t="str">
        <f>UPPER(TEXT(Tabela_DB[[#This Row],[DATA]],"mmm"))</f>
        <v>AGO</v>
      </c>
      <c r="H3842" t="str">
        <f>UPPER(TEXT(Tabela_DB[[#This Row],[DATA]],"aaaa"))</f>
        <v>2021</v>
      </c>
    </row>
    <row r="3843" spans="1:8" x14ac:dyDescent="0.25">
      <c r="A3843" s="2">
        <v>44432</v>
      </c>
      <c r="B3843" t="s">
        <v>3</v>
      </c>
      <c r="C3843">
        <v>11100</v>
      </c>
      <c r="D3843" t="str">
        <f>VLOOKUP(B3843,Tabela_Auxiliar[],2,0)</f>
        <v>1. Receita Operacional Bruta</v>
      </c>
      <c r="E3843" t="str">
        <f>VLOOKUP(B3843,Tabela_Auxiliar[],4,0)</f>
        <v>Receita Bruta</v>
      </c>
      <c r="F3843" t="str">
        <f>VLOOKUP(B3843,Tabela_Auxiliar[],3,0)</f>
        <v>Entrada</v>
      </c>
      <c r="G3843" t="str">
        <f>UPPER(TEXT(Tabela_DB[[#This Row],[DATA]],"mmm"))</f>
        <v>AGO</v>
      </c>
      <c r="H3843" t="str">
        <f>UPPER(TEXT(Tabela_DB[[#This Row],[DATA]],"aaaa"))</f>
        <v>2021</v>
      </c>
    </row>
    <row r="3844" spans="1:8" x14ac:dyDescent="0.25">
      <c r="A3844" s="2">
        <v>44432</v>
      </c>
      <c r="B3844" t="s">
        <v>38</v>
      </c>
      <c r="C3844">
        <v>-1086</v>
      </c>
      <c r="D3844" t="str">
        <f>VLOOKUP(B3844,Tabela_Auxiliar[],2,0)</f>
        <v>2. Deduções da Receita</v>
      </c>
      <c r="E3844" t="str">
        <f>VLOOKUP(B3844,Tabela_Auxiliar[],4,0)</f>
        <v>Deduções</v>
      </c>
      <c r="F3844" t="str">
        <f>VLOOKUP(B3844,Tabela_Auxiliar[],3,0)</f>
        <v>Saída</v>
      </c>
      <c r="G3844" t="str">
        <f>UPPER(TEXT(Tabela_DB[[#This Row],[DATA]],"mmm"))</f>
        <v>AGO</v>
      </c>
      <c r="H3844" t="str">
        <f>UPPER(TEXT(Tabela_DB[[#This Row],[DATA]],"aaaa"))</f>
        <v>2021</v>
      </c>
    </row>
    <row r="3845" spans="1:8" x14ac:dyDescent="0.25">
      <c r="A3845" s="2">
        <v>44432</v>
      </c>
      <c r="B3845" t="s">
        <v>35</v>
      </c>
      <c r="C3845">
        <v>-2491</v>
      </c>
      <c r="D3845" t="str">
        <f>VLOOKUP(B3845,Tabela_Auxiliar[],2,0)</f>
        <v>2. Deduções da Receita</v>
      </c>
      <c r="E3845" t="str">
        <f>VLOOKUP(B3845,Tabela_Auxiliar[],4,0)</f>
        <v>Imposto</v>
      </c>
      <c r="F3845" t="str">
        <f>VLOOKUP(B3845,Tabela_Auxiliar[],3,0)</f>
        <v>Saída</v>
      </c>
      <c r="G3845" t="str">
        <f>UPPER(TEXT(Tabela_DB[[#This Row],[DATA]],"mmm"))</f>
        <v>AGO</v>
      </c>
      <c r="H3845" t="str">
        <f>UPPER(TEXT(Tabela_DB[[#This Row],[DATA]],"aaaa"))</f>
        <v>2021</v>
      </c>
    </row>
    <row r="3846" spans="1:8" x14ac:dyDescent="0.25">
      <c r="A3846" s="2">
        <v>44432</v>
      </c>
      <c r="B3846" t="s">
        <v>42</v>
      </c>
      <c r="C3846">
        <v>-1158</v>
      </c>
      <c r="D3846" t="str">
        <f>VLOOKUP(B3846,Tabela_Auxiliar[],2,0)</f>
        <v>4. Despesas Operacionais</v>
      </c>
      <c r="E3846" t="str">
        <f>VLOOKUP(B3846,Tabela_Auxiliar[],4,0)</f>
        <v>Despesa com Pessoal</v>
      </c>
      <c r="F3846" t="str">
        <f>VLOOKUP(B3846,Tabela_Auxiliar[],3,0)</f>
        <v>Saída</v>
      </c>
      <c r="G3846" t="str">
        <f>UPPER(TEXT(Tabela_DB[[#This Row],[DATA]],"mmm"))</f>
        <v>AGO</v>
      </c>
      <c r="H3846" t="str">
        <f>UPPER(TEXT(Tabela_DB[[#This Row],[DATA]],"aaaa"))</f>
        <v>2021</v>
      </c>
    </row>
    <row r="3847" spans="1:8" x14ac:dyDescent="0.25">
      <c r="A3847" s="2">
        <v>44432</v>
      </c>
      <c r="B3847" t="s">
        <v>38</v>
      </c>
      <c r="C3847">
        <v>-1370</v>
      </c>
      <c r="D3847" t="str">
        <f>VLOOKUP(B3847,Tabela_Auxiliar[],2,0)</f>
        <v>2. Deduções da Receita</v>
      </c>
      <c r="E3847" t="str">
        <f>VLOOKUP(B3847,Tabela_Auxiliar[],4,0)</f>
        <v>Deduções</v>
      </c>
      <c r="F3847" t="str">
        <f>VLOOKUP(B3847,Tabela_Auxiliar[],3,0)</f>
        <v>Saída</v>
      </c>
      <c r="G3847" t="str">
        <f>UPPER(TEXT(Tabela_DB[[#This Row],[DATA]],"mmm"))</f>
        <v>AGO</v>
      </c>
      <c r="H3847" t="str">
        <f>UPPER(TEXT(Tabela_DB[[#This Row],[DATA]],"aaaa"))</f>
        <v>2021</v>
      </c>
    </row>
    <row r="3848" spans="1:8" x14ac:dyDescent="0.25">
      <c r="A3848" s="2">
        <v>44432</v>
      </c>
      <c r="B3848" t="s">
        <v>4</v>
      </c>
      <c r="C3848">
        <v>10194</v>
      </c>
      <c r="D3848" t="str">
        <f>VLOOKUP(B3848,Tabela_Auxiliar[],2,0)</f>
        <v>1. Receita Operacional Bruta</v>
      </c>
      <c r="E3848" t="str">
        <f>VLOOKUP(B3848,Tabela_Auxiliar[],4,0)</f>
        <v>Receita Bruta</v>
      </c>
      <c r="F3848" t="str">
        <f>VLOOKUP(B3848,Tabela_Auxiliar[],3,0)</f>
        <v>Entrada</v>
      </c>
      <c r="G3848" t="str">
        <f>UPPER(TEXT(Tabela_DB[[#This Row],[DATA]],"mmm"))</f>
        <v>AGO</v>
      </c>
      <c r="H3848" t="str">
        <f>UPPER(TEXT(Tabela_DB[[#This Row],[DATA]],"aaaa"))</f>
        <v>2021</v>
      </c>
    </row>
    <row r="3849" spans="1:8" x14ac:dyDescent="0.25">
      <c r="A3849" s="2">
        <v>44432</v>
      </c>
      <c r="B3849" t="s">
        <v>62</v>
      </c>
      <c r="C3849">
        <v>-1950</v>
      </c>
      <c r="D3849" t="str">
        <f>VLOOKUP(B3849,Tabela_Auxiliar[],2,0)</f>
        <v>4. Despesas Operacionais</v>
      </c>
      <c r="E3849" t="str">
        <f>VLOOKUP(B3849,Tabela_Auxiliar[],4,0)</f>
        <v>Despesa Gerais</v>
      </c>
      <c r="F3849" t="str">
        <f>VLOOKUP(B3849,Tabela_Auxiliar[],3,0)</f>
        <v>Saída</v>
      </c>
      <c r="G3849" t="str">
        <f>UPPER(TEXT(Tabela_DB[[#This Row],[DATA]],"mmm"))</f>
        <v>AGO</v>
      </c>
      <c r="H3849" t="str">
        <f>UPPER(TEXT(Tabela_DB[[#This Row],[DATA]],"aaaa"))</f>
        <v>2021</v>
      </c>
    </row>
    <row r="3850" spans="1:8" x14ac:dyDescent="0.25">
      <c r="A3850" s="2">
        <v>44432</v>
      </c>
      <c r="B3850" t="s">
        <v>72</v>
      </c>
      <c r="C3850">
        <v>-1528</v>
      </c>
      <c r="D3850" t="str">
        <f>VLOOKUP(B3850,Tabela_Auxiliar[],2,0)</f>
        <v>4. Despesas Operacionais</v>
      </c>
      <c r="E3850" t="str">
        <f>VLOOKUP(B3850,Tabela_Auxiliar[],4,0)</f>
        <v>Despesa com Ocupação</v>
      </c>
      <c r="F3850" t="str">
        <f>VLOOKUP(B3850,Tabela_Auxiliar[],3,0)</f>
        <v>Saída</v>
      </c>
      <c r="G3850" t="str">
        <f>UPPER(TEXT(Tabela_DB[[#This Row],[DATA]],"mmm"))</f>
        <v>AGO</v>
      </c>
      <c r="H3850" t="str">
        <f>UPPER(TEXT(Tabela_DB[[#This Row],[DATA]],"aaaa"))</f>
        <v>2021</v>
      </c>
    </row>
    <row r="3851" spans="1:8" x14ac:dyDescent="0.25">
      <c r="A3851" s="2">
        <v>44432</v>
      </c>
      <c r="B3851" t="s">
        <v>35</v>
      </c>
      <c r="C3851">
        <v>-2110</v>
      </c>
      <c r="D3851" t="str">
        <f>VLOOKUP(B3851,Tabela_Auxiliar[],2,0)</f>
        <v>2. Deduções da Receita</v>
      </c>
      <c r="E3851" t="str">
        <f>VLOOKUP(B3851,Tabela_Auxiliar[],4,0)</f>
        <v>Imposto</v>
      </c>
      <c r="F3851" t="str">
        <f>VLOOKUP(B3851,Tabela_Auxiliar[],3,0)</f>
        <v>Saída</v>
      </c>
      <c r="G3851" t="str">
        <f>UPPER(TEXT(Tabela_DB[[#This Row],[DATA]],"mmm"))</f>
        <v>AGO</v>
      </c>
      <c r="H3851" t="str">
        <f>UPPER(TEXT(Tabela_DB[[#This Row],[DATA]],"aaaa"))</f>
        <v>2021</v>
      </c>
    </row>
    <row r="3852" spans="1:8" x14ac:dyDescent="0.25">
      <c r="A3852" s="2">
        <v>44432</v>
      </c>
      <c r="B3852" t="s">
        <v>72</v>
      </c>
      <c r="C3852">
        <v>-1113</v>
      </c>
      <c r="D3852" t="str">
        <f>VLOOKUP(B3852,Tabela_Auxiliar[],2,0)</f>
        <v>4. Despesas Operacionais</v>
      </c>
      <c r="E3852" t="str">
        <f>VLOOKUP(B3852,Tabela_Auxiliar[],4,0)</f>
        <v>Despesa com Ocupação</v>
      </c>
      <c r="F3852" t="str">
        <f>VLOOKUP(B3852,Tabela_Auxiliar[],3,0)</f>
        <v>Saída</v>
      </c>
      <c r="G3852" t="str">
        <f>UPPER(TEXT(Tabela_DB[[#This Row],[DATA]],"mmm"))</f>
        <v>AGO</v>
      </c>
      <c r="H3852" t="str">
        <f>UPPER(TEXT(Tabela_DB[[#This Row],[DATA]],"aaaa"))</f>
        <v>2021</v>
      </c>
    </row>
    <row r="3853" spans="1:8" x14ac:dyDescent="0.25">
      <c r="A3853" s="2">
        <v>44432</v>
      </c>
      <c r="B3853" t="s">
        <v>34</v>
      </c>
      <c r="C3853">
        <v>-1939</v>
      </c>
      <c r="D3853" t="str">
        <f>VLOOKUP(B3853,Tabela_Auxiliar[],2,0)</f>
        <v>2. Deduções da Receita</v>
      </c>
      <c r="E3853" t="str">
        <f>VLOOKUP(B3853,Tabela_Auxiliar[],4,0)</f>
        <v>Imposto</v>
      </c>
      <c r="F3853" t="str">
        <f>VLOOKUP(B3853,Tabela_Auxiliar[],3,0)</f>
        <v>Saída</v>
      </c>
      <c r="G3853" t="str">
        <f>UPPER(TEXT(Tabela_DB[[#This Row],[DATA]],"mmm"))</f>
        <v>AGO</v>
      </c>
      <c r="H3853" t="str">
        <f>UPPER(TEXT(Tabela_DB[[#This Row],[DATA]],"aaaa"))</f>
        <v>2021</v>
      </c>
    </row>
    <row r="3854" spans="1:8" x14ac:dyDescent="0.25">
      <c r="A3854" s="2">
        <v>44433</v>
      </c>
      <c r="B3854" t="s">
        <v>56</v>
      </c>
      <c r="C3854">
        <v>-1847</v>
      </c>
      <c r="D3854" t="str">
        <f>VLOOKUP(B3854,Tabela_Auxiliar[],2,0)</f>
        <v>4. Despesas Operacionais</v>
      </c>
      <c r="E3854" t="str">
        <f>VLOOKUP(B3854,Tabela_Auxiliar[],4,0)</f>
        <v>Despesa com Pessoal</v>
      </c>
      <c r="F3854" t="str">
        <f>VLOOKUP(B3854,Tabela_Auxiliar[],3,0)</f>
        <v>Saída</v>
      </c>
      <c r="G3854" t="str">
        <f>UPPER(TEXT(Tabela_DB[[#This Row],[DATA]],"mmm"))</f>
        <v>AGO</v>
      </c>
      <c r="H3854" t="str">
        <f>UPPER(TEXT(Tabela_DB[[#This Row],[DATA]],"aaaa"))</f>
        <v>2021</v>
      </c>
    </row>
    <row r="3855" spans="1:8" x14ac:dyDescent="0.25">
      <c r="A3855" s="2">
        <v>44433</v>
      </c>
      <c r="B3855" t="s">
        <v>37</v>
      </c>
      <c r="C3855">
        <v>-2618</v>
      </c>
      <c r="D3855" t="str">
        <f>VLOOKUP(B3855,Tabela_Auxiliar[],2,0)</f>
        <v>3. Custos do Produto/Mercadoria/Serviço</v>
      </c>
      <c r="E3855" t="str">
        <f>VLOOKUP(B3855,Tabela_Auxiliar[],4,0)</f>
        <v>Despesas c/ Produto</v>
      </c>
      <c r="F3855" t="str">
        <f>VLOOKUP(B3855,Tabela_Auxiliar[],3,0)</f>
        <v>Saída</v>
      </c>
      <c r="G3855" t="str">
        <f>UPPER(TEXT(Tabela_DB[[#This Row],[DATA]],"mmm"))</f>
        <v>AGO</v>
      </c>
      <c r="H3855" t="str">
        <f>UPPER(TEXT(Tabela_DB[[#This Row],[DATA]],"aaaa"))</f>
        <v>2021</v>
      </c>
    </row>
    <row r="3856" spans="1:8" x14ac:dyDescent="0.25">
      <c r="A3856" s="2">
        <v>44433</v>
      </c>
      <c r="B3856" t="s">
        <v>37</v>
      </c>
      <c r="C3856">
        <v>-3221</v>
      </c>
      <c r="D3856" t="str">
        <f>VLOOKUP(B3856,Tabela_Auxiliar[],2,0)</f>
        <v>3. Custos do Produto/Mercadoria/Serviço</v>
      </c>
      <c r="E3856" t="str">
        <f>VLOOKUP(B3856,Tabela_Auxiliar[],4,0)</f>
        <v>Despesas c/ Produto</v>
      </c>
      <c r="F3856" t="str">
        <f>VLOOKUP(B3856,Tabela_Auxiliar[],3,0)</f>
        <v>Saída</v>
      </c>
      <c r="G3856" t="str">
        <f>UPPER(TEXT(Tabela_DB[[#This Row],[DATA]],"mmm"))</f>
        <v>AGO</v>
      </c>
      <c r="H3856" t="str">
        <f>UPPER(TEXT(Tabela_DB[[#This Row],[DATA]],"aaaa"))</f>
        <v>2021</v>
      </c>
    </row>
    <row r="3857" spans="1:8" x14ac:dyDescent="0.25">
      <c r="A3857" s="2">
        <v>44433</v>
      </c>
      <c r="B3857" t="s">
        <v>4</v>
      </c>
      <c r="C3857">
        <v>10406</v>
      </c>
      <c r="D3857" t="str">
        <f>VLOOKUP(B3857,Tabela_Auxiliar[],2,0)</f>
        <v>1. Receita Operacional Bruta</v>
      </c>
      <c r="E3857" t="str">
        <f>VLOOKUP(B3857,Tabela_Auxiliar[],4,0)</f>
        <v>Receita Bruta</v>
      </c>
      <c r="F3857" t="str">
        <f>VLOOKUP(B3857,Tabela_Auxiliar[],3,0)</f>
        <v>Entrada</v>
      </c>
      <c r="G3857" t="str">
        <f>UPPER(TEXT(Tabela_DB[[#This Row],[DATA]],"mmm"))</f>
        <v>AGO</v>
      </c>
      <c r="H3857" t="str">
        <f>UPPER(TEXT(Tabela_DB[[#This Row],[DATA]],"aaaa"))</f>
        <v>2021</v>
      </c>
    </row>
    <row r="3858" spans="1:8" x14ac:dyDescent="0.25">
      <c r="A3858" s="2">
        <v>44433</v>
      </c>
      <c r="B3858" t="s">
        <v>4</v>
      </c>
      <c r="C3858">
        <v>14726</v>
      </c>
      <c r="D3858" t="str">
        <f>VLOOKUP(B3858,Tabela_Auxiliar[],2,0)</f>
        <v>1. Receita Operacional Bruta</v>
      </c>
      <c r="E3858" t="str">
        <f>VLOOKUP(B3858,Tabela_Auxiliar[],4,0)</f>
        <v>Receita Bruta</v>
      </c>
      <c r="F3858" t="str">
        <f>VLOOKUP(B3858,Tabela_Auxiliar[],3,0)</f>
        <v>Entrada</v>
      </c>
      <c r="G3858" t="str">
        <f>UPPER(TEXT(Tabela_DB[[#This Row],[DATA]],"mmm"))</f>
        <v>AGO</v>
      </c>
      <c r="H3858" t="str">
        <f>UPPER(TEXT(Tabela_DB[[#This Row],[DATA]],"aaaa"))</f>
        <v>2021</v>
      </c>
    </row>
    <row r="3859" spans="1:8" x14ac:dyDescent="0.25">
      <c r="A3859" s="2">
        <v>44433</v>
      </c>
      <c r="B3859" t="s">
        <v>38</v>
      </c>
      <c r="C3859">
        <v>-2311</v>
      </c>
      <c r="D3859" t="str">
        <f>VLOOKUP(B3859,Tabela_Auxiliar[],2,0)</f>
        <v>2. Deduções da Receita</v>
      </c>
      <c r="E3859" t="str">
        <f>VLOOKUP(B3859,Tabela_Auxiliar[],4,0)</f>
        <v>Deduções</v>
      </c>
      <c r="F3859" t="str">
        <f>VLOOKUP(B3859,Tabela_Auxiliar[],3,0)</f>
        <v>Saída</v>
      </c>
      <c r="G3859" t="str">
        <f>UPPER(TEXT(Tabela_DB[[#This Row],[DATA]],"mmm"))</f>
        <v>AGO</v>
      </c>
      <c r="H3859" t="str">
        <f>UPPER(TEXT(Tabela_DB[[#This Row],[DATA]],"aaaa"))</f>
        <v>2021</v>
      </c>
    </row>
    <row r="3860" spans="1:8" x14ac:dyDescent="0.25">
      <c r="A3860" s="2">
        <v>44433</v>
      </c>
      <c r="B3860" t="s">
        <v>111</v>
      </c>
      <c r="C3860">
        <v>-2156</v>
      </c>
      <c r="D3860" t="str">
        <f>VLOOKUP(B3860,Tabela_Auxiliar[],2,0)</f>
        <v>2. Deduções da Receita</v>
      </c>
      <c r="E3860" t="str">
        <f>VLOOKUP(B3860,Tabela_Auxiliar[],4,0)</f>
        <v>Imposto</v>
      </c>
      <c r="F3860" t="str">
        <f>VLOOKUP(B3860,Tabela_Auxiliar[],3,0)</f>
        <v>Saída</v>
      </c>
      <c r="G3860" t="str">
        <f>UPPER(TEXT(Tabela_DB[[#This Row],[DATA]],"mmm"))</f>
        <v>AGO</v>
      </c>
      <c r="H3860" t="str">
        <f>UPPER(TEXT(Tabela_DB[[#This Row],[DATA]],"aaaa"))</f>
        <v>2021</v>
      </c>
    </row>
    <row r="3861" spans="1:8" x14ac:dyDescent="0.25">
      <c r="A3861" s="2">
        <v>44433</v>
      </c>
      <c r="B3861" t="s">
        <v>4</v>
      </c>
      <c r="C3861">
        <v>13806</v>
      </c>
      <c r="D3861" t="str">
        <f>VLOOKUP(B3861,Tabela_Auxiliar[],2,0)</f>
        <v>1. Receita Operacional Bruta</v>
      </c>
      <c r="E3861" t="str">
        <f>VLOOKUP(B3861,Tabela_Auxiliar[],4,0)</f>
        <v>Receita Bruta</v>
      </c>
      <c r="F3861" t="str">
        <f>VLOOKUP(B3861,Tabela_Auxiliar[],3,0)</f>
        <v>Entrada</v>
      </c>
      <c r="G3861" t="str">
        <f>UPPER(TEXT(Tabela_DB[[#This Row],[DATA]],"mmm"))</f>
        <v>AGO</v>
      </c>
      <c r="H3861" t="str">
        <f>UPPER(TEXT(Tabela_DB[[#This Row],[DATA]],"aaaa"))</f>
        <v>2021</v>
      </c>
    </row>
    <row r="3862" spans="1:8" x14ac:dyDescent="0.25">
      <c r="A3862" s="2">
        <v>44433</v>
      </c>
      <c r="B3862" t="s">
        <v>111</v>
      </c>
      <c r="C3862">
        <v>-1606</v>
      </c>
      <c r="D3862" t="str">
        <f>VLOOKUP(B3862,Tabela_Auxiliar[],2,0)</f>
        <v>2. Deduções da Receita</v>
      </c>
      <c r="E3862" t="str">
        <f>VLOOKUP(B3862,Tabela_Auxiliar[],4,0)</f>
        <v>Imposto</v>
      </c>
      <c r="F3862" t="str">
        <f>VLOOKUP(B3862,Tabela_Auxiliar[],3,0)</f>
        <v>Saída</v>
      </c>
      <c r="G3862" t="str">
        <f>UPPER(TEXT(Tabela_DB[[#This Row],[DATA]],"mmm"))</f>
        <v>AGO</v>
      </c>
      <c r="H3862" t="str">
        <f>UPPER(TEXT(Tabela_DB[[#This Row],[DATA]],"aaaa"))</f>
        <v>2021</v>
      </c>
    </row>
    <row r="3863" spans="1:8" x14ac:dyDescent="0.25">
      <c r="A3863" s="2">
        <v>44433</v>
      </c>
      <c r="B3863" t="s">
        <v>3</v>
      </c>
      <c r="C3863">
        <v>13861</v>
      </c>
      <c r="D3863" t="str">
        <f>VLOOKUP(B3863,Tabela_Auxiliar[],2,0)</f>
        <v>1. Receita Operacional Bruta</v>
      </c>
      <c r="E3863" t="str">
        <f>VLOOKUP(B3863,Tabela_Auxiliar[],4,0)</f>
        <v>Receita Bruta</v>
      </c>
      <c r="F3863" t="str">
        <f>VLOOKUP(B3863,Tabela_Auxiliar[],3,0)</f>
        <v>Entrada</v>
      </c>
      <c r="G3863" t="str">
        <f>UPPER(TEXT(Tabela_DB[[#This Row],[DATA]],"mmm"))</f>
        <v>AGO</v>
      </c>
      <c r="H3863" t="str">
        <f>UPPER(TEXT(Tabela_DB[[#This Row],[DATA]],"aaaa"))</f>
        <v>2021</v>
      </c>
    </row>
    <row r="3864" spans="1:8" x14ac:dyDescent="0.25">
      <c r="A3864" s="2">
        <v>44434</v>
      </c>
      <c r="B3864" t="s">
        <v>38</v>
      </c>
      <c r="C3864">
        <v>-2426</v>
      </c>
      <c r="D3864" t="str">
        <f>VLOOKUP(B3864,Tabela_Auxiliar[],2,0)</f>
        <v>2. Deduções da Receita</v>
      </c>
      <c r="E3864" t="str">
        <f>VLOOKUP(B3864,Tabela_Auxiliar[],4,0)</f>
        <v>Deduções</v>
      </c>
      <c r="F3864" t="str">
        <f>VLOOKUP(B3864,Tabela_Auxiliar[],3,0)</f>
        <v>Saída</v>
      </c>
      <c r="G3864" t="str">
        <f>UPPER(TEXT(Tabela_DB[[#This Row],[DATA]],"mmm"))</f>
        <v>AGO</v>
      </c>
      <c r="H3864" t="str">
        <f>UPPER(TEXT(Tabela_DB[[#This Row],[DATA]],"aaaa"))</f>
        <v>2021</v>
      </c>
    </row>
    <row r="3865" spans="1:8" x14ac:dyDescent="0.25">
      <c r="A3865" s="2">
        <v>44434</v>
      </c>
      <c r="B3865" t="s">
        <v>3</v>
      </c>
      <c r="C3865">
        <v>13796</v>
      </c>
      <c r="D3865" t="str">
        <f>VLOOKUP(B3865,Tabela_Auxiliar[],2,0)</f>
        <v>1. Receita Operacional Bruta</v>
      </c>
      <c r="E3865" t="str">
        <f>VLOOKUP(B3865,Tabela_Auxiliar[],4,0)</f>
        <v>Receita Bruta</v>
      </c>
      <c r="F3865" t="str">
        <f>VLOOKUP(B3865,Tabela_Auxiliar[],3,0)</f>
        <v>Entrada</v>
      </c>
      <c r="G3865" t="str">
        <f>UPPER(TEXT(Tabela_DB[[#This Row],[DATA]],"mmm"))</f>
        <v>AGO</v>
      </c>
      <c r="H3865" t="str">
        <f>UPPER(TEXT(Tabela_DB[[#This Row],[DATA]],"aaaa"))</f>
        <v>2021</v>
      </c>
    </row>
    <row r="3866" spans="1:8" x14ac:dyDescent="0.25">
      <c r="A3866" s="2">
        <v>44434</v>
      </c>
      <c r="B3866" t="s">
        <v>71</v>
      </c>
      <c r="C3866">
        <v>-1957</v>
      </c>
      <c r="D3866" t="str">
        <f>VLOOKUP(B3866,Tabela_Auxiliar[],2,0)</f>
        <v>4. Despesas Operacionais</v>
      </c>
      <c r="E3866" t="str">
        <f>VLOOKUP(B3866,Tabela_Auxiliar[],4,0)</f>
        <v>Despesa com Ocupação</v>
      </c>
      <c r="F3866" t="str">
        <f>VLOOKUP(B3866,Tabela_Auxiliar[],3,0)</f>
        <v>Saída</v>
      </c>
      <c r="G3866" t="str">
        <f>UPPER(TEXT(Tabela_DB[[#This Row],[DATA]],"mmm"))</f>
        <v>AGO</v>
      </c>
      <c r="H3866" t="str">
        <f>UPPER(TEXT(Tabela_DB[[#This Row],[DATA]],"aaaa"))</f>
        <v>2021</v>
      </c>
    </row>
    <row r="3867" spans="1:8" x14ac:dyDescent="0.25">
      <c r="A3867" s="2">
        <v>44434</v>
      </c>
      <c r="B3867" t="s">
        <v>37</v>
      </c>
      <c r="C3867">
        <v>-3502</v>
      </c>
      <c r="D3867" t="str">
        <f>VLOOKUP(B3867,Tabela_Auxiliar[],2,0)</f>
        <v>3. Custos do Produto/Mercadoria/Serviço</v>
      </c>
      <c r="E3867" t="str">
        <f>VLOOKUP(B3867,Tabela_Auxiliar[],4,0)</f>
        <v>Despesas c/ Produto</v>
      </c>
      <c r="F3867" t="str">
        <f>VLOOKUP(B3867,Tabela_Auxiliar[],3,0)</f>
        <v>Saída</v>
      </c>
      <c r="G3867" t="str">
        <f>UPPER(TEXT(Tabela_DB[[#This Row],[DATA]],"mmm"))</f>
        <v>AGO</v>
      </c>
      <c r="H3867" t="str">
        <f>UPPER(TEXT(Tabela_DB[[#This Row],[DATA]],"aaaa"))</f>
        <v>2021</v>
      </c>
    </row>
    <row r="3868" spans="1:8" x14ac:dyDescent="0.25">
      <c r="A3868" s="2">
        <v>44434</v>
      </c>
      <c r="B3868" t="s">
        <v>35</v>
      </c>
      <c r="C3868">
        <v>-1593</v>
      </c>
      <c r="D3868" t="str">
        <f>VLOOKUP(B3868,Tabela_Auxiliar[],2,0)</f>
        <v>2. Deduções da Receita</v>
      </c>
      <c r="E3868" t="str">
        <f>VLOOKUP(B3868,Tabela_Auxiliar[],4,0)</f>
        <v>Imposto</v>
      </c>
      <c r="F3868" t="str">
        <f>VLOOKUP(B3868,Tabela_Auxiliar[],3,0)</f>
        <v>Saída</v>
      </c>
      <c r="G3868" t="str">
        <f>UPPER(TEXT(Tabela_DB[[#This Row],[DATA]],"mmm"))</f>
        <v>AGO</v>
      </c>
      <c r="H3868" t="str">
        <f>UPPER(TEXT(Tabela_DB[[#This Row],[DATA]],"aaaa"))</f>
        <v>2021</v>
      </c>
    </row>
    <row r="3869" spans="1:8" x14ac:dyDescent="0.25">
      <c r="A3869" s="2">
        <v>44434</v>
      </c>
      <c r="B3869" t="s">
        <v>3</v>
      </c>
      <c r="C3869">
        <v>14501</v>
      </c>
      <c r="D3869" t="str">
        <f>VLOOKUP(B3869,Tabela_Auxiliar[],2,0)</f>
        <v>1. Receita Operacional Bruta</v>
      </c>
      <c r="E3869" t="str">
        <f>VLOOKUP(B3869,Tabela_Auxiliar[],4,0)</f>
        <v>Receita Bruta</v>
      </c>
      <c r="F3869" t="str">
        <f>VLOOKUP(B3869,Tabela_Auxiliar[],3,0)</f>
        <v>Entrada</v>
      </c>
      <c r="G3869" t="str">
        <f>UPPER(TEXT(Tabela_DB[[#This Row],[DATA]],"mmm"))</f>
        <v>AGO</v>
      </c>
      <c r="H3869" t="str">
        <f>UPPER(TEXT(Tabela_DB[[#This Row],[DATA]],"aaaa"))</f>
        <v>2021</v>
      </c>
    </row>
    <row r="3870" spans="1:8" x14ac:dyDescent="0.25">
      <c r="A3870" s="2">
        <v>44434</v>
      </c>
      <c r="B3870" t="s">
        <v>4</v>
      </c>
      <c r="C3870">
        <v>11780</v>
      </c>
      <c r="D3870" t="str">
        <f>VLOOKUP(B3870,Tabela_Auxiliar[],2,0)</f>
        <v>1. Receita Operacional Bruta</v>
      </c>
      <c r="E3870" t="str">
        <f>VLOOKUP(B3870,Tabela_Auxiliar[],4,0)</f>
        <v>Receita Bruta</v>
      </c>
      <c r="F3870" t="str">
        <f>VLOOKUP(B3870,Tabela_Auxiliar[],3,0)</f>
        <v>Entrada</v>
      </c>
      <c r="G3870" t="str">
        <f>UPPER(TEXT(Tabela_DB[[#This Row],[DATA]],"mmm"))</f>
        <v>AGO</v>
      </c>
      <c r="H3870" t="str">
        <f>UPPER(TEXT(Tabela_DB[[#This Row],[DATA]],"aaaa"))</f>
        <v>2021</v>
      </c>
    </row>
    <row r="3871" spans="1:8" x14ac:dyDescent="0.25">
      <c r="A3871" s="2">
        <v>44434</v>
      </c>
      <c r="B3871" t="s">
        <v>85</v>
      </c>
      <c r="C3871">
        <v>-1275</v>
      </c>
      <c r="D3871" t="str">
        <f>VLOOKUP(B3871,Tabela_Auxiliar[],2,0)</f>
        <v>4. Despesas Operacionais</v>
      </c>
      <c r="E3871" t="str">
        <f>VLOOKUP(B3871,Tabela_Auxiliar[],4,0)</f>
        <v>Despesa com Veículos</v>
      </c>
      <c r="F3871" t="str">
        <f>VLOOKUP(B3871,Tabela_Auxiliar[],3,0)</f>
        <v>Saída</v>
      </c>
      <c r="G3871" t="str">
        <f>UPPER(TEXT(Tabela_DB[[#This Row],[DATA]],"mmm"))</f>
        <v>AGO</v>
      </c>
      <c r="H3871" t="str">
        <f>UPPER(TEXT(Tabela_DB[[#This Row],[DATA]],"aaaa"))</f>
        <v>2021</v>
      </c>
    </row>
    <row r="3872" spans="1:8" x14ac:dyDescent="0.25">
      <c r="A3872" s="2">
        <v>44434</v>
      </c>
      <c r="B3872" t="s">
        <v>3</v>
      </c>
      <c r="C3872">
        <v>11272</v>
      </c>
      <c r="D3872" t="str">
        <f>VLOOKUP(B3872,Tabela_Auxiliar[],2,0)</f>
        <v>1. Receita Operacional Bruta</v>
      </c>
      <c r="E3872" t="str">
        <f>VLOOKUP(B3872,Tabela_Auxiliar[],4,0)</f>
        <v>Receita Bruta</v>
      </c>
      <c r="F3872" t="str">
        <f>VLOOKUP(B3872,Tabela_Auxiliar[],3,0)</f>
        <v>Entrada</v>
      </c>
      <c r="G3872" t="str">
        <f>UPPER(TEXT(Tabela_DB[[#This Row],[DATA]],"mmm"))</f>
        <v>AGO</v>
      </c>
      <c r="H3872" t="str">
        <f>UPPER(TEXT(Tabela_DB[[#This Row],[DATA]],"aaaa"))</f>
        <v>2021</v>
      </c>
    </row>
    <row r="3873" spans="1:8" x14ac:dyDescent="0.25">
      <c r="A3873" s="2">
        <v>44434</v>
      </c>
      <c r="B3873" t="s">
        <v>88</v>
      </c>
      <c r="C3873">
        <v>-1954</v>
      </c>
      <c r="D3873" t="str">
        <f>VLOOKUP(B3873,Tabela_Auxiliar[],2,0)</f>
        <v>4. Despesas Operacionais</v>
      </c>
      <c r="E3873" t="str">
        <f>VLOOKUP(B3873,Tabela_Auxiliar[],4,0)</f>
        <v>Despesa Tributária</v>
      </c>
      <c r="F3873" t="str">
        <f>VLOOKUP(B3873,Tabela_Auxiliar[],3,0)</f>
        <v>Saída</v>
      </c>
      <c r="G3873" t="str">
        <f>UPPER(TEXT(Tabela_DB[[#This Row],[DATA]],"mmm"))</f>
        <v>AGO</v>
      </c>
      <c r="H3873" t="str">
        <f>UPPER(TEXT(Tabela_DB[[#This Row],[DATA]],"aaaa"))</f>
        <v>2021</v>
      </c>
    </row>
    <row r="3874" spans="1:8" x14ac:dyDescent="0.25">
      <c r="A3874" s="2">
        <v>44434</v>
      </c>
      <c r="B3874" t="s">
        <v>8</v>
      </c>
      <c r="C3874">
        <v>-2437</v>
      </c>
      <c r="D3874" t="str">
        <f>VLOOKUP(B3874,Tabela_Auxiliar[],2,0)</f>
        <v>4. Despesas Operacionais</v>
      </c>
      <c r="E3874" t="str">
        <f>VLOOKUP(B3874,Tabela_Auxiliar[],4,0)</f>
        <v>Despesa com Pessoal</v>
      </c>
      <c r="F3874" t="str">
        <f>VLOOKUP(B3874,Tabela_Auxiliar[],3,0)</f>
        <v>Saída</v>
      </c>
      <c r="G3874" t="str">
        <f>UPPER(TEXT(Tabela_DB[[#This Row],[DATA]],"mmm"))</f>
        <v>AGO</v>
      </c>
      <c r="H3874" t="str">
        <f>UPPER(TEXT(Tabela_DB[[#This Row],[DATA]],"aaaa"))</f>
        <v>2021</v>
      </c>
    </row>
    <row r="3875" spans="1:8" x14ac:dyDescent="0.25">
      <c r="A3875" s="2">
        <v>44434</v>
      </c>
      <c r="B3875" t="s">
        <v>3</v>
      </c>
      <c r="C3875">
        <v>11648</v>
      </c>
      <c r="D3875" t="str">
        <f>VLOOKUP(B3875,Tabela_Auxiliar[],2,0)</f>
        <v>1. Receita Operacional Bruta</v>
      </c>
      <c r="E3875" t="str">
        <f>VLOOKUP(B3875,Tabela_Auxiliar[],4,0)</f>
        <v>Receita Bruta</v>
      </c>
      <c r="F3875" t="str">
        <f>VLOOKUP(B3875,Tabela_Auxiliar[],3,0)</f>
        <v>Entrada</v>
      </c>
      <c r="G3875" t="str">
        <f>UPPER(TEXT(Tabela_DB[[#This Row],[DATA]],"mmm"))</f>
        <v>AGO</v>
      </c>
      <c r="H3875" t="str">
        <f>UPPER(TEXT(Tabela_DB[[#This Row],[DATA]],"aaaa"))</f>
        <v>2021</v>
      </c>
    </row>
    <row r="3876" spans="1:8" x14ac:dyDescent="0.25">
      <c r="A3876" s="2">
        <v>44434</v>
      </c>
      <c r="B3876" t="s">
        <v>55</v>
      </c>
      <c r="C3876">
        <v>-1549</v>
      </c>
      <c r="D3876" t="str">
        <f>VLOOKUP(B3876,Tabela_Auxiliar[],2,0)</f>
        <v>4. Despesas Operacionais</v>
      </c>
      <c r="E3876" t="str">
        <f>VLOOKUP(B3876,Tabela_Auxiliar[],4,0)</f>
        <v>Despesa com Pessoal</v>
      </c>
      <c r="F3876" t="str">
        <f>VLOOKUP(B3876,Tabela_Auxiliar[],3,0)</f>
        <v>Saída</v>
      </c>
      <c r="G3876" t="str">
        <f>UPPER(TEXT(Tabela_DB[[#This Row],[DATA]],"mmm"))</f>
        <v>AGO</v>
      </c>
      <c r="H3876" t="str">
        <f>UPPER(TEXT(Tabela_DB[[#This Row],[DATA]],"aaaa"))</f>
        <v>2021</v>
      </c>
    </row>
    <row r="3877" spans="1:8" x14ac:dyDescent="0.25">
      <c r="A3877" s="2">
        <v>44434</v>
      </c>
      <c r="B3877" t="s">
        <v>111</v>
      </c>
      <c r="C3877">
        <v>-1242</v>
      </c>
      <c r="D3877" t="str">
        <f>VLOOKUP(B3877,Tabela_Auxiliar[],2,0)</f>
        <v>2. Deduções da Receita</v>
      </c>
      <c r="E3877" t="str">
        <f>VLOOKUP(B3877,Tabela_Auxiliar[],4,0)</f>
        <v>Imposto</v>
      </c>
      <c r="F3877" t="str">
        <f>VLOOKUP(B3877,Tabela_Auxiliar[],3,0)</f>
        <v>Saída</v>
      </c>
      <c r="G3877" t="str">
        <f>UPPER(TEXT(Tabela_DB[[#This Row],[DATA]],"mmm"))</f>
        <v>AGO</v>
      </c>
      <c r="H3877" t="str">
        <f>UPPER(TEXT(Tabela_DB[[#This Row],[DATA]],"aaaa"))</f>
        <v>2021</v>
      </c>
    </row>
    <row r="3878" spans="1:8" x14ac:dyDescent="0.25">
      <c r="A3878" s="2">
        <v>44434</v>
      </c>
      <c r="B3878" t="s">
        <v>4</v>
      </c>
      <c r="C3878">
        <v>13970</v>
      </c>
      <c r="D3878" t="str">
        <f>VLOOKUP(B3878,Tabela_Auxiliar[],2,0)</f>
        <v>1. Receita Operacional Bruta</v>
      </c>
      <c r="E3878" t="str">
        <f>VLOOKUP(B3878,Tabela_Auxiliar[],4,0)</f>
        <v>Receita Bruta</v>
      </c>
      <c r="F3878" t="str">
        <f>VLOOKUP(B3878,Tabela_Auxiliar[],3,0)</f>
        <v>Entrada</v>
      </c>
      <c r="G3878" t="str">
        <f>UPPER(TEXT(Tabela_DB[[#This Row],[DATA]],"mmm"))</f>
        <v>AGO</v>
      </c>
      <c r="H3878" t="str">
        <f>UPPER(TEXT(Tabela_DB[[#This Row],[DATA]],"aaaa"))</f>
        <v>2021</v>
      </c>
    </row>
    <row r="3879" spans="1:8" x14ac:dyDescent="0.25">
      <c r="A3879" s="2">
        <v>44434</v>
      </c>
      <c r="B3879" t="s">
        <v>3</v>
      </c>
      <c r="C3879">
        <v>10324</v>
      </c>
      <c r="D3879" t="str">
        <f>VLOOKUP(B3879,Tabela_Auxiliar[],2,0)</f>
        <v>1. Receita Operacional Bruta</v>
      </c>
      <c r="E3879" t="str">
        <f>VLOOKUP(B3879,Tabela_Auxiliar[],4,0)</f>
        <v>Receita Bruta</v>
      </c>
      <c r="F3879" t="str">
        <f>VLOOKUP(B3879,Tabela_Auxiliar[],3,0)</f>
        <v>Entrada</v>
      </c>
      <c r="G3879" t="str">
        <f>UPPER(TEXT(Tabela_DB[[#This Row],[DATA]],"mmm"))</f>
        <v>AGO</v>
      </c>
      <c r="H3879" t="str">
        <f>UPPER(TEXT(Tabela_DB[[#This Row],[DATA]],"aaaa"))</f>
        <v>2021</v>
      </c>
    </row>
    <row r="3880" spans="1:8" x14ac:dyDescent="0.25">
      <c r="A3880" s="2">
        <v>44434</v>
      </c>
      <c r="B3880" t="s">
        <v>45</v>
      </c>
      <c r="C3880">
        <v>-2453</v>
      </c>
      <c r="D3880" t="str">
        <f>VLOOKUP(B3880,Tabela_Auxiliar[],2,0)</f>
        <v>4. Despesas Operacionais</v>
      </c>
      <c r="E3880" t="str">
        <f>VLOOKUP(B3880,Tabela_Auxiliar[],4,0)</f>
        <v>Despesa com Pessoal</v>
      </c>
      <c r="F3880" t="str">
        <f>VLOOKUP(B3880,Tabela_Auxiliar[],3,0)</f>
        <v>Saída</v>
      </c>
      <c r="G3880" t="str">
        <f>UPPER(TEXT(Tabela_DB[[#This Row],[DATA]],"mmm"))</f>
        <v>AGO</v>
      </c>
      <c r="H3880" t="str">
        <f>UPPER(TEXT(Tabela_DB[[#This Row],[DATA]],"aaaa"))</f>
        <v>2021</v>
      </c>
    </row>
    <row r="3881" spans="1:8" x14ac:dyDescent="0.25">
      <c r="A3881" s="2">
        <v>44434</v>
      </c>
      <c r="B3881" t="s">
        <v>111</v>
      </c>
      <c r="C3881">
        <v>-1282</v>
      </c>
      <c r="D3881" t="str">
        <f>VLOOKUP(B3881,Tabela_Auxiliar[],2,0)</f>
        <v>2. Deduções da Receita</v>
      </c>
      <c r="E3881" t="str">
        <f>VLOOKUP(B3881,Tabela_Auxiliar[],4,0)</f>
        <v>Imposto</v>
      </c>
      <c r="F3881" t="str">
        <f>VLOOKUP(B3881,Tabela_Auxiliar[],3,0)</f>
        <v>Saída</v>
      </c>
      <c r="G3881" t="str">
        <f>UPPER(TEXT(Tabela_DB[[#This Row],[DATA]],"mmm"))</f>
        <v>AGO</v>
      </c>
      <c r="H3881" t="str">
        <f>UPPER(TEXT(Tabela_DB[[#This Row],[DATA]],"aaaa"))</f>
        <v>2021</v>
      </c>
    </row>
    <row r="3882" spans="1:8" x14ac:dyDescent="0.25">
      <c r="A3882" s="2">
        <v>44434</v>
      </c>
      <c r="B3882" t="s">
        <v>111</v>
      </c>
      <c r="C3882">
        <v>-1225</v>
      </c>
      <c r="D3882" t="str">
        <f>VLOOKUP(B3882,Tabela_Auxiliar[],2,0)</f>
        <v>2. Deduções da Receita</v>
      </c>
      <c r="E3882" t="str">
        <f>VLOOKUP(B3882,Tabela_Auxiliar[],4,0)</f>
        <v>Imposto</v>
      </c>
      <c r="F3882" t="str">
        <f>VLOOKUP(B3882,Tabela_Auxiliar[],3,0)</f>
        <v>Saída</v>
      </c>
      <c r="G3882" t="str">
        <f>UPPER(TEXT(Tabela_DB[[#This Row],[DATA]],"mmm"))</f>
        <v>AGO</v>
      </c>
      <c r="H3882" t="str">
        <f>UPPER(TEXT(Tabela_DB[[#This Row],[DATA]],"aaaa"))</f>
        <v>2021</v>
      </c>
    </row>
    <row r="3883" spans="1:8" x14ac:dyDescent="0.25">
      <c r="A3883" s="2">
        <v>44434</v>
      </c>
      <c r="B3883" t="s">
        <v>38</v>
      </c>
      <c r="C3883">
        <v>-1531</v>
      </c>
      <c r="D3883" t="str">
        <f>VLOOKUP(B3883,Tabela_Auxiliar[],2,0)</f>
        <v>2. Deduções da Receita</v>
      </c>
      <c r="E3883" t="str">
        <f>VLOOKUP(B3883,Tabela_Auxiliar[],4,0)</f>
        <v>Deduções</v>
      </c>
      <c r="F3883" t="str">
        <f>VLOOKUP(B3883,Tabela_Auxiliar[],3,0)</f>
        <v>Saída</v>
      </c>
      <c r="G3883" t="str">
        <f>UPPER(TEXT(Tabela_DB[[#This Row],[DATA]],"mmm"))</f>
        <v>AGO</v>
      </c>
      <c r="H3883" t="str">
        <f>UPPER(TEXT(Tabela_DB[[#This Row],[DATA]],"aaaa"))</f>
        <v>2021</v>
      </c>
    </row>
    <row r="3884" spans="1:8" x14ac:dyDescent="0.25">
      <c r="A3884" s="2">
        <v>44434</v>
      </c>
      <c r="B3884" t="s">
        <v>111</v>
      </c>
      <c r="C3884">
        <v>-1042</v>
      </c>
      <c r="D3884" t="str">
        <f>VLOOKUP(B3884,Tabela_Auxiliar[],2,0)</f>
        <v>2. Deduções da Receita</v>
      </c>
      <c r="E3884" t="str">
        <f>VLOOKUP(B3884,Tabela_Auxiliar[],4,0)</f>
        <v>Imposto</v>
      </c>
      <c r="F3884" t="str">
        <f>VLOOKUP(B3884,Tabela_Auxiliar[],3,0)</f>
        <v>Saída</v>
      </c>
      <c r="G3884" t="str">
        <f>UPPER(TEXT(Tabela_DB[[#This Row],[DATA]],"mmm"))</f>
        <v>AGO</v>
      </c>
      <c r="H3884" t="str">
        <f>UPPER(TEXT(Tabela_DB[[#This Row],[DATA]],"aaaa"))</f>
        <v>2021</v>
      </c>
    </row>
    <row r="3885" spans="1:8" x14ac:dyDescent="0.25">
      <c r="A3885" s="2">
        <v>44434</v>
      </c>
      <c r="B3885" t="s">
        <v>34</v>
      </c>
      <c r="C3885">
        <v>-1523</v>
      </c>
      <c r="D3885" t="str">
        <f>VLOOKUP(B3885,Tabela_Auxiliar[],2,0)</f>
        <v>2. Deduções da Receita</v>
      </c>
      <c r="E3885" t="str">
        <f>VLOOKUP(B3885,Tabela_Auxiliar[],4,0)</f>
        <v>Imposto</v>
      </c>
      <c r="F3885" t="str">
        <f>VLOOKUP(B3885,Tabela_Auxiliar[],3,0)</f>
        <v>Saída</v>
      </c>
      <c r="G3885" t="str">
        <f>UPPER(TEXT(Tabela_DB[[#This Row],[DATA]],"mmm"))</f>
        <v>AGO</v>
      </c>
      <c r="H3885" t="str">
        <f>UPPER(TEXT(Tabela_DB[[#This Row],[DATA]],"aaaa"))</f>
        <v>2021</v>
      </c>
    </row>
    <row r="3886" spans="1:8" x14ac:dyDescent="0.25">
      <c r="A3886" s="2">
        <v>44434</v>
      </c>
      <c r="B3886" t="s">
        <v>111</v>
      </c>
      <c r="C3886">
        <v>-1750</v>
      </c>
      <c r="D3886" t="str">
        <f>VLOOKUP(B3886,Tabela_Auxiliar[],2,0)</f>
        <v>2. Deduções da Receita</v>
      </c>
      <c r="E3886" t="str">
        <f>VLOOKUP(B3886,Tabela_Auxiliar[],4,0)</f>
        <v>Imposto</v>
      </c>
      <c r="F3886" t="str">
        <f>VLOOKUP(B3886,Tabela_Auxiliar[],3,0)</f>
        <v>Saída</v>
      </c>
      <c r="G3886" t="str">
        <f>UPPER(TEXT(Tabela_DB[[#This Row],[DATA]],"mmm"))</f>
        <v>AGO</v>
      </c>
      <c r="H3886" t="str">
        <f>UPPER(TEXT(Tabela_DB[[#This Row],[DATA]],"aaaa"))</f>
        <v>2021</v>
      </c>
    </row>
    <row r="3887" spans="1:8" x14ac:dyDescent="0.25">
      <c r="A3887" s="2">
        <v>44434</v>
      </c>
      <c r="B3887" t="s">
        <v>111</v>
      </c>
      <c r="C3887">
        <v>-1357</v>
      </c>
      <c r="D3887" t="str">
        <f>VLOOKUP(B3887,Tabela_Auxiliar[],2,0)</f>
        <v>2. Deduções da Receita</v>
      </c>
      <c r="E3887" t="str">
        <f>VLOOKUP(B3887,Tabela_Auxiliar[],4,0)</f>
        <v>Imposto</v>
      </c>
      <c r="F3887" t="str">
        <f>VLOOKUP(B3887,Tabela_Auxiliar[],3,0)</f>
        <v>Saída</v>
      </c>
      <c r="G3887" t="str">
        <f>UPPER(TEXT(Tabela_DB[[#This Row],[DATA]],"mmm"))</f>
        <v>AGO</v>
      </c>
      <c r="H3887" t="str">
        <f>UPPER(TEXT(Tabela_DB[[#This Row],[DATA]],"aaaa"))</f>
        <v>2021</v>
      </c>
    </row>
    <row r="3888" spans="1:8" x14ac:dyDescent="0.25">
      <c r="A3888" s="2">
        <v>44435</v>
      </c>
      <c r="B3888" t="s">
        <v>81</v>
      </c>
      <c r="C3888">
        <v>-1108</v>
      </c>
      <c r="D3888" t="str">
        <f>VLOOKUP(B3888,Tabela_Auxiliar[],2,0)</f>
        <v>4. Despesas Operacionais</v>
      </c>
      <c r="E3888" t="str">
        <f>VLOOKUP(B3888,Tabela_Auxiliar[],4,0)</f>
        <v>Serviços Contratados</v>
      </c>
      <c r="F3888" t="str">
        <f>VLOOKUP(B3888,Tabela_Auxiliar[],3,0)</f>
        <v>Saída</v>
      </c>
      <c r="G3888" t="str">
        <f>UPPER(TEXT(Tabela_DB[[#This Row],[DATA]],"mmm"))</f>
        <v>AGO</v>
      </c>
      <c r="H3888" t="str">
        <f>UPPER(TEXT(Tabela_DB[[#This Row],[DATA]],"aaaa"))</f>
        <v>2021</v>
      </c>
    </row>
    <row r="3889" spans="1:8" x14ac:dyDescent="0.25">
      <c r="A3889" s="2">
        <v>44435</v>
      </c>
      <c r="B3889" t="s">
        <v>3</v>
      </c>
      <c r="C3889">
        <v>10299</v>
      </c>
      <c r="D3889" t="str">
        <f>VLOOKUP(B3889,Tabela_Auxiliar[],2,0)</f>
        <v>1. Receita Operacional Bruta</v>
      </c>
      <c r="E3889" t="str">
        <f>VLOOKUP(B3889,Tabela_Auxiliar[],4,0)</f>
        <v>Receita Bruta</v>
      </c>
      <c r="F3889" t="str">
        <f>VLOOKUP(B3889,Tabela_Auxiliar[],3,0)</f>
        <v>Entrada</v>
      </c>
      <c r="G3889" t="str">
        <f>UPPER(TEXT(Tabela_DB[[#This Row],[DATA]],"mmm"))</f>
        <v>AGO</v>
      </c>
      <c r="H3889" t="str">
        <f>UPPER(TEXT(Tabela_DB[[#This Row],[DATA]],"aaaa"))</f>
        <v>2021</v>
      </c>
    </row>
    <row r="3890" spans="1:8" x14ac:dyDescent="0.25">
      <c r="A3890" s="2">
        <v>44435</v>
      </c>
      <c r="B3890" t="s">
        <v>3</v>
      </c>
      <c r="C3890">
        <v>13060</v>
      </c>
      <c r="D3890" t="str">
        <f>VLOOKUP(B3890,Tabela_Auxiliar[],2,0)</f>
        <v>1. Receita Operacional Bruta</v>
      </c>
      <c r="E3890" t="str">
        <f>VLOOKUP(B3890,Tabela_Auxiliar[],4,0)</f>
        <v>Receita Bruta</v>
      </c>
      <c r="F3890" t="str">
        <f>VLOOKUP(B3890,Tabela_Auxiliar[],3,0)</f>
        <v>Entrada</v>
      </c>
      <c r="G3890" t="str">
        <f>UPPER(TEXT(Tabela_DB[[#This Row],[DATA]],"mmm"))</f>
        <v>AGO</v>
      </c>
      <c r="H3890" t="str">
        <f>UPPER(TEXT(Tabela_DB[[#This Row],[DATA]],"aaaa"))</f>
        <v>2021</v>
      </c>
    </row>
    <row r="3891" spans="1:8" x14ac:dyDescent="0.25">
      <c r="A3891" s="2">
        <v>44435</v>
      </c>
      <c r="B3891" t="s">
        <v>4</v>
      </c>
      <c r="C3891">
        <v>13298</v>
      </c>
      <c r="D3891" t="str">
        <f>VLOOKUP(B3891,Tabela_Auxiliar[],2,0)</f>
        <v>1. Receita Operacional Bruta</v>
      </c>
      <c r="E3891" t="str">
        <f>VLOOKUP(B3891,Tabela_Auxiliar[],4,0)</f>
        <v>Receita Bruta</v>
      </c>
      <c r="F3891" t="str">
        <f>VLOOKUP(B3891,Tabela_Auxiliar[],3,0)</f>
        <v>Entrada</v>
      </c>
      <c r="G3891" t="str">
        <f>UPPER(TEXT(Tabela_DB[[#This Row],[DATA]],"mmm"))</f>
        <v>AGO</v>
      </c>
      <c r="H3891" t="str">
        <f>UPPER(TEXT(Tabela_DB[[#This Row],[DATA]],"aaaa"))</f>
        <v>2021</v>
      </c>
    </row>
    <row r="3892" spans="1:8" x14ac:dyDescent="0.25">
      <c r="A3892" s="2">
        <v>44435</v>
      </c>
      <c r="B3892" t="s">
        <v>111</v>
      </c>
      <c r="C3892">
        <v>-1658</v>
      </c>
      <c r="D3892" t="str">
        <f>VLOOKUP(B3892,Tabela_Auxiliar[],2,0)</f>
        <v>2. Deduções da Receita</v>
      </c>
      <c r="E3892" t="str">
        <f>VLOOKUP(B3892,Tabela_Auxiliar[],4,0)</f>
        <v>Imposto</v>
      </c>
      <c r="F3892" t="str">
        <f>VLOOKUP(B3892,Tabela_Auxiliar[],3,0)</f>
        <v>Saída</v>
      </c>
      <c r="G3892" t="str">
        <f>UPPER(TEXT(Tabela_DB[[#This Row],[DATA]],"mmm"))</f>
        <v>AGO</v>
      </c>
      <c r="H3892" t="str">
        <f>UPPER(TEXT(Tabela_DB[[#This Row],[DATA]],"aaaa"))</f>
        <v>2021</v>
      </c>
    </row>
    <row r="3893" spans="1:8" x14ac:dyDescent="0.25">
      <c r="A3893" s="2">
        <v>44435</v>
      </c>
      <c r="B3893" t="s">
        <v>102</v>
      </c>
      <c r="C3893">
        <v>-1200</v>
      </c>
      <c r="D3893" t="str">
        <f>VLOOKUP(B3893,Tabela_Auxiliar[],2,0)</f>
        <v>6. Resultado após o Resultado Financeiro</v>
      </c>
      <c r="E3893" t="str">
        <f>VLOOKUP(B3893,Tabela_Auxiliar[],4,0)</f>
        <v>EBTIDA</v>
      </c>
      <c r="F3893" t="str">
        <f>VLOOKUP(B3893,Tabela_Auxiliar[],3,0)</f>
        <v>Saída</v>
      </c>
      <c r="G3893" t="str">
        <f>UPPER(TEXT(Tabela_DB[[#This Row],[DATA]],"mmm"))</f>
        <v>AGO</v>
      </c>
      <c r="H3893" t="str">
        <f>UPPER(TEXT(Tabela_DB[[#This Row],[DATA]],"aaaa"))</f>
        <v>2021</v>
      </c>
    </row>
    <row r="3894" spans="1:8" x14ac:dyDescent="0.25">
      <c r="A3894" s="2">
        <v>44435</v>
      </c>
      <c r="B3894" t="s">
        <v>48</v>
      </c>
      <c r="C3894">
        <v>-2178</v>
      </c>
      <c r="D3894" t="str">
        <f>VLOOKUP(B3894,Tabela_Auxiliar[],2,0)</f>
        <v>4. Despesas Operacionais</v>
      </c>
      <c r="E3894" t="str">
        <f>VLOOKUP(B3894,Tabela_Auxiliar[],4,0)</f>
        <v>Despesa com Pessoal</v>
      </c>
      <c r="F3894" t="str">
        <f>VLOOKUP(B3894,Tabela_Auxiliar[],3,0)</f>
        <v>Saída</v>
      </c>
      <c r="G3894" t="str">
        <f>UPPER(TEXT(Tabela_DB[[#This Row],[DATA]],"mmm"))</f>
        <v>AGO</v>
      </c>
      <c r="H3894" t="str">
        <f>UPPER(TEXT(Tabela_DB[[#This Row],[DATA]],"aaaa"))</f>
        <v>2021</v>
      </c>
    </row>
    <row r="3895" spans="1:8" x14ac:dyDescent="0.25">
      <c r="A3895" s="2">
        <v>44435</v>
      </c>
      <c r="B3895" t="s">
        <v>3</v>
      </c>
      <c r="C3895">
        <v>12047</v>
      </c>
      <c r="D3895" t="str">
        <f>VLOOKUP(B3895,Tabela_Auxiliar[],2,0)</f>
        <v>1. Receita Operacional Bruta</v>
      </c>
      <c r="E3895" t="str">
        <f>VLOOKUP(B3895,Tabela_Auxiliar[],4,0)</f>
        <v>Receita Bruta</v>
      </c>
      <c r="F3895" t="str">
        <f>VLOOKUP(B3895,Tabela_Auxiliar[],3,0)</f>
        <v>Entrada</v>
      </c>
      <c r="G3895" t="str">
        <f>UPPER(TEXT(Tabela_DB[[#This Row],[DATA]],"mmm"))</f>
        <v>AGO</v>
      </c>
      <c r="H3895" t="str">
        <f>UPPER(TEXT(Tabela_DB[[#This Row],[DATA]],"aaaa"))</f>
        <v>2021</v>
      </c>
    </row>
    <row r="3896" spans="1:8" x14ac:dyDescent="0.25">
      <c r="A3896" s="2">
        <v>44435</v>
      </c>
      <c r="B3896" t="s">
        <v>37</v>
      </c>
      <c r="C3896">
        <v>-2816</v>
      </c>
      <c r="D3896" t="str">
        <f>VLOOKUP(B3896,Tabela_Auxiliar[],2,0)</f>
        <v>3. Custos do Produto/Mercadoria/Serviço</v>
      </c>
      <c r="E3896" t="str">
        <f>VLOOKUP(B3896,Tabela_Auxiliar[],4,0)</f>
        <v>Despesas c/ Produto</v>
      </c>
      <c r="F3896" t="str">
        <f>VLOOKUP(B3896,Tabela_Auxiliar[],3,0)</f>
        <v>Saída</v>
      </c>
      <c r="G3896" t="str">
        <f>UPPER(TEXT(Tabela_DB[[#This Row],[DATA]],"mmm"))</f>
        <v>AGO</v>
      </c>
      <c r="H3896" t="str">
        <f>UPPER(TEXT(Tabela_DB[[#This Row],[DATA]],"aaaa"))</f>
        <v>2021</v>
      </c>
    </row>
    <row r="3897" spans="1:8" x14ac:dyDescent="0.25">
      <c r="A3897" s="2">
        <v>44435</v>
      </c>
      <c r="B3897" t="s">
        <v>4</v>
      </c>
      <c r="C3897">
        <v>12001</v>
      </c>
      <c r="D3897" t="str">
        <f>VLOOKUP(B3897,Tabela_Auxiliar[],2,0)</f>
        <v>1. Receita Operacional Bruta</v>
      </c>
      <c r="E3897" t="str">
        <f>VLOOKUP(B3897,Tabela_Auxiliar[],4,0)</f>
        <v>Receita Bruta</v>
      </c>
      <c r="F3897" t="str">
        <f>VLOOKUP(B3897,Tabela_Auxiliar[],3,0)</f>
        <v>Entrada</v>
      </c>
      <c r="G3897" t="str">
        <f>UPPER(TEXT(Tabela_DB[[#This Row],[DATA]],"mmm"))</f>
        <v>AGO</v>
      </c>
      <c r="H3897" t="str">
        <f>UPPER(TEXT(Tabela_DB[[#This Row],[DATA]],"aaaa"))</f>
        <v>2021</v>
      </c>
    </row>
    <row r="3898" spans="1:8" x14ac:dyDescent="0.25">
      <c r="A3898" s="2">
        <v>44435</v>
      </c>
      <c r="B3898" t="s">
        <v>38</v>
      </c>
      <c r="C3898">
        <v>-1269</v>
      </c>
      <c r="D3898" t="str">
        <f>VLOOKUP(B3898,Tabela_Auxiliar[],2,0)</f>
        <v>2. Deduções da Receita</v>
      </c>
      <c r="E3898" t="str">
        <f>VLOOKUP(B3898,Tabela_Auxiliar[],4,0)</f>
        <v>Deduções</v>
      </c>
      <c r="F3898" t="str">
        <f>VLOOKUP(B3898,Tabela_Auxiliar[],3,0)</f>
        <v>Saída</v>
      </c>
      <c r="G3898" t="str">
        <f>UPPER(TEXT(Tabela_DB[[#This Row],[DATA]],"mmm"))</f>
        <v>AGO</v>
      </c>
      <c r="H3898" t="str">
        <f>UPPER(TEXT(Tabela_DB[[#This Row],[DATA]],"aaaa"))</f>
        <v>2021</v>
      </c>
    </row>
    <row r="3899" spans="1:8" x14ac:dyDescent="0.25">
      <c r="A3899" s="2">
        <v>44435</v>
      </c>
      <c r="B3899" t="s">
        <v>88</v>
      </c>
      <c r="C3899">
        <v>-2226</v>
      </c>
      <c r="D3899" t="str">
        <f>VLOOKUP(B3899,Tabela_Auxiliar[],2,0)</f>
        <v>4. Despesas Operacionais</v>
      </c>
      <c r="E3899" t="str">
        <f>VLOOKUP(B3899,Tabela_Auxiliar[],4,0)</f>
        <v>Despesa Tributária</v>
      </c>
      <c r="F3899" t="str">
        <f>VLOOKUP(B3899,Tabela_Auxiliar[],3,0)</f>
        <v>Saída</v>
      </c>
      <c r="G3899" t="str">
        <f>UPPER(TEXT(Tabela_DB[[#This Row],[DATA]],"mmm"))</f>
        <v>AGO</v>
      </c>
      <c r="H3899" t="str">
        <f>UPPER(TEXT(Tabela_DB[[#This Row],[DATA]],"aaaa"))</f>
        <v>2021</v>
      </c>
    </row>
    <row r="3900" spans="1:8" x14ac:dyDescent="0.25">
      <c r="A3900" s="2">
        <v>44435</v>
      </c>
      <c r="B3900" t="s">
        <v>34</v>
      </c>
      <c r="C3900">
        <v>-2286</v>
      </c>
      <c r="D3900" t="str">
        <f>VLOOKUP(B3900,Tabela_Auxiliar[],2,0)</f>
        <v>2. Deduções da Receita</v>
      </c>
      <c r="E3900" t="str">
        <f>VLOOKUP(B3900,Tabela_Auxiliar[],4,0)</f>
        <v>Imposto</v>
      </c>
      <c r="F3900" t="str">
        <f>VLOOKUP(B3900,Tabela_Auxiliar[],3,0)</f>
        <v>Saída</v>
      </c>
      <c r="G3900" t="str">
        <f>UPPER(TEXT(Tabela_DB[[#This Row],[DATA]],"mmm"))</f>
        <v>AGO</v>
      </c>
      <c r="H3900" t="str">
        <f>UPPER(TEXT(Tabela_DB[[#This Row],[DATA]],"aaaa"))</f>
        <v>2021</v>
      </c>
    </row>
    <row r="3901" spans="1:8" x14ac:dyDescent="0.25">
      <c r="A3901" s="2">
        <v>44435</v>
      </c>
      <c r="B3901" t="s">
        <v>4</v>
      </c>
      <c r="C3901">
        <v>12073</v>
      </c>
      <c r="D3901" t="str">
        <f>VLOOKUP(B3901,Tabela_Auxiliar[],2,0)</f>
        <v>1. Receita Operacional Bruta</v>
      </c>
      <c r="E3901" t="str">
        <f>VLOOKUP(B3901,Tabela_Auxiliar[],4,0)</f>
        <v>Receita Bruta</v>
      </c>
      <c r="F3901" t="str">
        <f>VLOOKUP(B3901,Tabela_Auxiliar[],3,0)</f>
        <v>Entrada</v>
      </c>
      <c r="G3901" t="str">
        <f>UPPER(TEXT(Tabela_DB[[#This Row],[DATA]],"mmm"))</f>
        <v>AGO</v>
      </c>
      <c r="H3901" t="str">
        <f>UPPER(TEXT(Tabela_DB[[#This Row],[DATA]],"aaaa"))</f>
        <v>2021</v>
      </c>
    </row>
    <row r="3902" spans="1:8" x14ac:dyDescent="0.25">
      <c r="A3902" s="2">
        <v>44436</v>
      </c>
      <c r="B3902" t="s">
        <v>35</v>
      </c>
      <c r="C3902">
        <v>-2362</v>
      </c>
      <c r="D3902" t="str">
        <f>VLOOKUP(B3902,Tabela_Auxiliar[],2,0)</f>
        <v>2. Deduções da Receita</v>
      </c>
      <c r="E3902" t="str">
        <f>VLOOKUP(B3902,Tabela_Auxiliar[],4,0)</f>
        <v>Imposto</v>
      </c>
      <c r="F3902" t="str">
        <f>VLOOKUP(B3902,Tabela_Auxiliar[],3,0)</f>
        <v>Saída</v>
      </c>
      <c r="G3902" t="str">
        <f>UPPER(TEXT(Tabela_DB[[#This Row],[DATA]],"mmm"))</f>
        <v>AGO</v>
      </c>
      <c r="H3902" t="str">
        <f>UPPER(TEXT(Tabela_DB[[#This Row],[DATA]],"aaaa"))</f>
        <v>2021</v>
      </c>
    </row>
    <row r="3903" spans="1:8" x14ac:dyDescent="0.25">
      <c r="A3903" s="2">
        <v>44436</v>
      </c>
      <c r="B3903" t="s">
        <v>34</v>
      </c>
      <c r="C3903">
        <v>-1152</v>
      </c>
      <c r="D3903" t="str">
        <f>VLOOKUP(B3903,Tabela_Auxiliar[],2,0)</f>
        <v>2. Deduções da Receita</v>
      </c>
      <c r="E3903" t="str">
        <f>VLOOKUP(B3903,Tabela_Auxiliar[],4,0)</f>
        <v>Imposto</v>
      </c>
      <c r="F3903" t="str">
        <f>VLOOKUP(B3903,Tabela_Auxiliar[],3,0)</f>
        <v>Saída</v>
      </c>
      <c r="G3903" t="str">
        <f>UPPER(TEXT(Tabela_DB[[#This Row],[DATA]],"mmm"))</f>
        <v>AGO</v>
      </c>
      <c r="H3903" t="str">
        <f>UPPER(TEXT(Tabela_DB[[#This Row],[DATA]],"aaaa"))</f>
        <v>2021</v>
      </c>
    </row>
    <row r="3904" spans="1:8" x14ac:dyDescent="0.25">
      <c r="A3904" s="2">
        <v>44436</v>
      </c>
      <c r="B3904" t="s">
        <v>4</v>
      </c>
      <c r="C3904">
        <v>10981</v>
      </c>
      <c r="D3904" t="str">
        <f>VLOOKUP(B3904,Tabela_Auxiliar[],2,0)</f>
        <v>1. Receita Operacional Bruta</v>
      </c>
      <c r="E3904" t="str">
        <f>VLOOKUP(B3904,Tabela_Auxiliar[],4,0)</f>
        <v>Receita Bruta</v>
      </c>
      <c r="F3904" t="str">
        <f>VLOOKUP(B3904,Tabela_Auxiliar[],3,0)</f>
        <v>Entrada</v>
      </c>
      <c r="G3904" t="str">
        <f>UPPER(TEXT(Tabela_DB[[#This Row],[DATA]],"mmm"))</f>
        <v>AGO</v>
      </c>
      <c r="H3904" t="str">
        <f>UPPER(TEXT(Tabela_DB[[#This Row],[DATA]],"aaaa"))</f>
        <v>2021</v>
      </c>
    </row>
    <row r="3905" spans="1:8" x14ac:dyDescent="0.25">
      <c r="A3905" s="2">
        <v>44436</v>
      </c>
      <c r="B3905" t="s">
        <v>51</v>
      </c>
      <c r="C3905">
        <v>-1444</v>
      </c>
      <c r="D3905" t="str">
        <f>VLOOKUP(B3905,Tabela_Auxiliar[],2,0)</f>
        <v>4. Despesas Operacionais</v>
      </c>
      <c r="E3905" t="str">
        <f>VLOOKUP(B3905,Tabela_Auxiliar[],4,0)</f>
        <v>Despesa com Pessoal</v>
      </c>
      <c r="F3905" t="str">
        <f>VLOOKUP(B3905,Tabela_Auxiliar[],3,0)</f>
        <v>Saída</v>
      </c>
      <c r="G3905" t="str">
        <f>UPPER(TEXT(Tabela_DB[[#This Row],[DATA]],"mmm"))</f>
        <v>AGO</v>
      </c>
      <c r="H3905" t="str">
        <f>UPPER(TEXT(Tabela_DB[[#This Row],[DATA]],"aaaa"))</f>
        <v>2021</v>
      </c>
    </row>
    <row r="3906" spans="1:8" x14ac:dyDescent="0.25">
      <c r="A3906" s="2">
        <v>44436</v>
      </c>
      <c r="B3906" t="s">
        <v>3</v>
      </c>
      <c r="C3906">
        <v>10931</v>
      </c>
      <c r="D3906" t="str">
        <f>VLOOKUP(B3906,Tabela_Auxiliar[],2,0)</f>
        <v>1. Receita Operacional Bruta</v>
      </c>
      <c r="E3906" t="str">
        <f>VLOOKUP(B3906,Tabela_Auxiliar[],4,0)</f>
        <v>Receita Bruta</v>
      </c>
      <c r="F3906" t="str">
        <f>VLOOKUP(B3906,Tabela_Auxiliar[],3,0)</f>
        <v>Entrada</v>
      </c>
      <c r="G3906" t="str">
        <f>UPPER(TEXT(Tabela_DB[[#This Row],[DATA]],"mmm"))</f>
        <v>AGO</v>
      </c>
      <c r="H3906" t="str">
        <f>UPPER(TEXT(Tabela_DB[[#This Row],[DATA]],"aaaa"))</f>
        <v>2021</v>
      </c>
    </row>
    <row r="3907" spans="1:8" x14ac:dyDescent="0.25">
      <c r="A3907" s="2">
        <v>44436</v>
      </c>
      <c r="B3907" t="s">
        <v>67</v>
      </c>
      <c r="C3907">
        <v>-1523</v>
      </c>
      <c r="D3907" t="str">
        <f>VLOOKUP(B3907,Tabela_Auxiliar[],2,0)</f>
        <v>4. Despesas Operacionais</v>
      </c>
      <c r="E3907" t="str">
        <f>VLOOKUP(B3907,Tabela_Auxiliar[],4,0)</f>
        <v>Despesa com Vendas</v>
      </c>
      <c r="F3907" t="str">
        <f>VLOOKUP(B3907,Tabela_Auxiliar[],3,0)</f>
        <v>Saída</v>
      </c>
      <c r="G3907" t="str">
        <f>UPPER(TEXT(Tabela_DB[[#This Row],[DATA]],"mmm"))</f>
        <v>AGO</v>
      </c>
      <c r="H3907" t="str">
        <f>UPPER(TEXT(Tabela_DB[[#This Row],[DATA]],"aaaa"))</f>
        <v>2021</v>
      </c>
    </row>
    <row r="3908" spans="1:8" x14ac:dyDescent="0.25">
      <c r="A3908" s="2">
        <v>44436</v>
      </c>
      <c r="B3908" t="s">
        <v>37</v>
      </c>
      <c r="C3908">
        <v>-4650</v>
      </c>
      <c r="D3908" t="str">
        <f>VLOOKUP(B3908,Tabela_Auxiliar[],2,0)</f>
        <v>3. Custos do Produto/Mercadoria/Serviço</v>
      </c>
      <c r="E3908" t="str">
        <f>VLOOKUP(B3908,Tabela_Auxiliar[],4,0)</f>
        <v>Despesas c/ Produto</v>
      </c>
      <c r="F3908" t="str">
        <f>VLOOKUP(B3908,Tabela_Auxiliar[],3,0)</f>
        <v>Saída</v>
      </c>
      <c r="G3908" t="str">
        <f>UPPER(TEXT(Tabela_DB[[#This Row],[DATA]],"mmm"))</f>
        <v>AGO</v>
      </c>
      <c r="H3908" t="str">
        <f>UPPER(TEXT(Tabela_DB[[#This Row],[DATA]],"aaaa"))</f>
        <v>2021</v>
      </c>
    </row>
    <row r="3909" spans="1:8" x14ac:dyDescent="0.25">
      <c r="A3909" s="2">
        <v>44436</v>
      </c>
      <c r="B3909" t="s">
        <v>49</v>
      </c>
      <c r="C3909">
        <v>-2132</v>
      </c>
      <c r="D3909" t="str">
        <f>VLOOKUP(B3909,Tabela_Auxiliar[],2,0)</f>
        <v>4. Despesas Operacionais</v>
      </c>
      <c r="E3909" t="str">
        <f>VLOOKUP(B3909,Tabela_Auxiliar[],4,0)</f>
        <v>Despesa com Pessoal</v>
      </c>
      <c r="F3909" t="str">
        <f>VLOOKUP(B3909,Tabela_Auxiliar[],3,0)</f>
        <v>Saída</v>
      </c>
      <c r="G3909" t="str">
        <f>UPPER(TEXT(Tabela_DB[[#This Row],[DATA]],"mmm"))</f>
        <v>AGO</v>
      </c>
      <c r="H3909" t="str">
        <f>UPPER(TEXT(Tabela_DB[[#This Row],[DATA]],"aaaa"))</f>
        <v>2021</v>
      </c>
    </row>
    <row r="3910" spans="1:8" x14ac:dyDescent="0.25">
      <c r="A3910" s="2">
        <v>44436</v>
      </c>
      <c r="B3910" t="s">
        <v>34</v>
      </c>
      <c r="C3910">
        <v>-2038</v>
      </c>
      <c r="D3910" t="str">
        <f>VLOOKUP(B3910,Tabela_Auxiliar[],2,0)</f>
        <v>2. Deduções da Receita</v>
      </c>
      <c r="E3910" t="str">
        <f>VLOOKUP(B3910,Tabela_Auxiliar[],4,0)</f>
        <v>Imposto</v>
      </c>
      <c r="F3910" t="str">
        <f>VLOOKUP(B3910,Tabela_Auxiliar[],3,0)</f>
        <v>Saída</v>
      </c>
      <c r="G3910" t="str">
        <f>UPPER(TEXT(Tabela_DB[[#This Row],[DATA]],"mmm"))</f>
        <v>AGO</v>
      </c>
      <c r="H3910" t="str">
        <f>UPPER(TEXT(Tabela_DB[[#This Row],[DATA]],"aaaa"))</f>
        <v>2021</v>
      </c>
    </row>
    <row r="3911" spans="1:8" x14ac:dyDescent="0.25">
      <c r="A3911" s="2">
        <v>44436</v>
      </c>
      <c r="B3911" t="s">
        <v>102</v>
      </c>
      <c r="C3911">
        <v>-1513</v>
      </c>
      <c r="D3911" t="str">
        <f>VLOOKUP(B3911,Tabela_Auxiliar[],2,0)</f>
        <v>6. Resultado após o Resultado Financeiro</v>
      </c>
      <c r="E3911" t="str">
        <f>VLOOKUP(B3911,Tabela_Auxiliar[],4,0)</f>
        <v>EBTIDA</v>
      </c>
      <c r="F3911" t="str">
        <f>VLOOKUP(B3911,Tabela_Auxiliar[],3,0)</f>
        <v>Saída</v>
      </c>
      <c r="G3911" t="str">
        <f>UPPER(TEXT(Tabela_DB[[#This Row],[DATA]],"mmm"))</f>
        <v>AGO</v>
      </c>
      <c r="H3911" t="str">
        <f>UPPER(TEXT(Tabela_DB[[#This Row],[DATA]],"aaaa"))</f>
        <v>2021</v>
      </c>
    </row>
    <row r="3912" spans="1:8" x14ac:dyDescent="0.25">
      <c r="A3912" s="2">
        <v>44436</v>
      </c>
      <c r="B3912" t="s">
        <v>65</v>
      </c>
      <c r="C3912">
        <v>-2297</v>
      </c>
      <c r="D3912" t="str">
        <f>VLOOKUP(B3912,Tabela_Auxiliar[],2,0)</f>
        <v>4. Despesas Operacionais</v>
      </c>
      <c r="E3912" t="str">
        <f>VLOOKUP(B3912,Tabela_Auxiliar[],4,0)</f>
        <v>Despesa Gerais</v>
      </c>
      <c r="F3912" t="str">
        <f>VLOOKUP(B3912,Tabela_Auxiliar[],3,0)</f>
        <v>Saída</v>
      </c>
      <c r="G3912" t="str">
        <f>UPPER(TEXT(Tabela_DB[[#This Row],[DATA]],"mmm"))</f>
        <v>AGO</v>
      </c>
      <c r="H3912" t="str">
        <f>UPPER(TEXT(Tabela_DB[[#This Row],[DATA]],"aaaa"))</f>
        <v>2021</v>
      </c>
    </row>
    <row r="3913" spans="1:8" x14ac:dyDescent="0.25">
      <c r="A3913" s="2">
        <v>44436</v>
      </c>
      <c r="B3913" t="s">
        <v>54</v>
      </c>
      <c r="C3913">
        <v>-2418</v>
      </c>
      <c r="D3913" t="str">
        <f>VLOOKUP(B3913,Tabela_Auxiliar[],2,0)</f>
        <v>4. Despesas Operacionais</v>
      </c>
      <c r="E3913" t="str">
        <f>VLOOKUP(B3913,Tabela_Auxiliar[],4,0)</f>
        <v>Despesa com Pessoal</v>
      </c>
      <c r="F3913" t="str">
        <f>VLOOKUP(B3913,Tabela_Auxiliar[],3,0)</f>
        <v>Saída</v>
      </c>
      <c r="G3913" t="str">
        <f>UPPER(TEXT(Tabela_DB[[#This Row],[DATA]],"mmm"))</f>
        <v>AGO</v>
      </c>
      <c r="H3913" t="str">
        <f>UPPER(TEXT(Tabela_DB[[#This Row],[DATA]],"aaaa"))</f>
        <v>2021</v>
      </c>
    </row>
    <row r="3914" spans="1:8" x14ac:dyDescent="0.25">
      <c r="A3914" s="2">
        <v>44436</v>
      </c>
      <c r="B3914" t="s">
        <v>38</v>
      </c>
      <c r="C3914">
        <v>-1599</v>
      </c>
      <c r="D3914" t="str">
        <f>VLOOKUP(B3914,Tabela_Auxiliar[],2,0)</f>
        <v>2. Deduções da Receita</v>
      </c>
      <c r="E3914" t="str">
        <f>VLOOKUP(B3914,Tabela_Auxiliar[],4,0)</f>
        <v>Deduções</v>
      </c>
      <c r="F3914" t="str">
        <f>VLOOKUP(B3914,Tabela_Auxiliar[],3,0)</f>
        <v>Saída</v>
      </c>
      <c r="G3914" t="str">
        <f>UPPER(TEXT(Tabela_DB[[#This Row],[DATA]],"mmm"))</f>
        <v>AGO</v>
      </c>
      <c r="H3914" t="str">
        <f>UPPER(TEXT(Tabela_DB[[#This Row],[DATA]],"aaaa"))</f>
        <v>2021</v>
      </c>
    </row>
    <row r="3915" spans="1:8" x14ac:dyDescent="0.25">
      <c r="A3915" s="2">
        <v>44436</v>
      </c>
      <c r="B3915" t="s">
        <v>58</v>
      </c>
      <c r="C3915">
        <v>-2243</v>
      </c>
      <c r="D3915" t="str">
        <f>VLOOKUP(B3915,Tabela_Auxiliar[],2,0)</f>
        <v>4. Despesas Operacionais</v>
      </c>
      <c r="E3915" t="str">
        <f>VLOOKUP(B3915,Tabela_Auxiliar[],4,0)</f>
        <v>Despesa de Depreciação</v>
      </c>
      <c r="F3915" t="str">
        <f>VLOOKUP(B3915,Tabela_Auxiliar[],3,0)</f>
        <v>Saída</v>
      </c>
      <c r="G3915" t="str">
        <f>UPPER(TEXT(Tabela_DB[[#This Row],[DATA]],"mmm"))</f>
        <v>AGO</v>
      </c>
      <c r="H3915" t="str">
        <f>UPPER(TEXT(Tabela_DB[[#This Row],[DATA]],"aaaa"))</f>
        <v>2021</v>
      </c>
    </row>
    <row r="3916" spans="1:8" x14ac:dyDescent="0.25">
      <c r="A3916" s="2">
        <v>44436</v>
      </c>
      <c r="B3916" t="s">
        <v>86</v>
      </c>
      <c r="C3916">
        <v>-1251</v>
      </c>
      <c r="D3916" t="str">
        <f>VLOOKUP(B3916,Tabela_Auxiliar[],2,0)</f>
        <v>4. Despesas Operacionais</v>
      </c>
      <c r="E3916" t="str">
        <f>VLOOKUP(B3916,Tabela_Auxiliar[],4,0)</f>
        <v>Despesa com Veículos</v>
      </c>
      <c r="F3916" t="str">
        <f>VLOOKUP(B3916,Tabela_Auxiliar[],3,0)</f>
        <v>Saída</v>
      </c>
      <c r="G3916" t="str">
        <f>UPPER(TEXT(Tabela_DB[[#This Row],[DATA]],"mmm"))</f>
        <v>AGO</v>
      </c>
      <c r="H3916" t="str">
        <f>UPPER(TEXT(Tabela_DB[[#This Row],[DATA]],"aaaa"))</f>
        <v>2021</v>
      </c>
    </row>
    <row r="3917" spans="1:8" x14ac:dyDescent="0.25">
      <c r="A3917" s="2">
        <v>44436</v>
      </c>
      <c r="B3917" t="s">
        <v>38</v>
      </c>
      <c r="C3917">
        <v>-1920</v>
      </c>
      <c r="D3917" t="str">
        <f>VLOOKUP(B3917,Tabela_Auxiliar[],2,0)</f>
        <v>2. Deduções da Receita</v>
      </c>
      <c r="E3917" t="str">
        <f>VLOOKUP(B3917,Tabela_Auxiliar[],4,0)</f>
        <v>Deduções</v>
      </c>
      <c r="F3917" t="str">
        <f>VLOOKUP(B3917,Tabela_Auxiliar[],3,0)</f>
        <v>Saída</v>
      </c>
      <c r="G3917" t="str">
        <f>UPPER(TEXT(Tabela_DB[[#This Row],[DATA]],"mmm"))</f>
        <v>AGO</v>
      </c>
      <c r="H3917" t="str">
        <f>UPPER(TEXT(Tabela_DB[[#This Row],[DATA]],"aaaa"))</f>
        <v>2021</v>
      </c>
    </row>
    <row r="3918" spans="1:8" x14ac:dyDescent="0.25">
      <c r="A3918" s="2">
        <v>44437</v>
      </c>
      <c r="B3918" t="s">
        <v>37</v>
      </c>
      <c r="C3918">
        <v>-4105</v>
      </c>
      <c r="D3918" t="str">
        <f>VLOOKUP(B3918,Tabela_Auxiliar[],2,0)</f>
        <v>3. Custos do Produto/Mercadoria/Serviço</v>
      </c>
      <c r="E3918" t="str">
        <f>VLOOKUP(B3918,Tabela_Auxiliar[],4,0)</f>
        <v>Despesas c/ Produto</v>
      </c>
      <c r="F3918" t="str">
        <f>VLOOKUP(B3918,Tabela_Auxiliar[],3,0)</f>
        <v>Saída</v>
      </c>
      <c r="G3918" t="str">
        <f>UPPER(TEXT(Tabela_DB[[#This Row],[DATA]],"mmm"))</f>
        <v>AGO</v>
      </c>
      <c r="H3918" t="str">
        <f>UPPER(TEXT(Tabela_DB[[#This Row],[DATA]],"aaaa"))</f>
        <v>2021</v>
      </c>
    </row>
    <row r="3919" spans="1:8" x14ac:dyDescent="0.25">
      <c r="A3919" s="2">
        <v>44437</v>
      </c>
      <c r="B3919" t="s">
        <v>43</v>
      </c>
      <c r="C3919">
        <v>-1284</v>
      </c>
      <c r="D3919" t="str">
        <f>VLOOKUP(B3919,Tabela_Auxiliar[],2,0)</f>
        <v>4. Despesas Operacionais</v>
      </c>
      <c r="E3919" t="str">
        <f>VLOOKUP(B3919,Tabela_Auxiliar[],4,0)</f>
        <v>Despesa com Pessoal</v>
      </c>
      <c r="F3919" t="str">
        <f>VLOOKUP(B3919,Tabela_Auxiliar[],3,0)</f>
        <v>Saída</v>
      </c>
      <c r="G3919" t="str">
        <f>UPPER(TEXT(Tabela_DB[[#This Row],[DATA]],"mmm"))</f>
        <v>AGO</v>
      </c>
      <c r="H3919" t="str">
        <f>UPPER(TEXT(Tabela_DB[[#This Row],[DATA]],"aaaa"))</f>
        <v>2021</v>
      </c>
    </row>
    <row r="3920" spans="1:8" x14ac:dyDescent="0.25">
      <c r="A3920" s="2">
        <v>44437</v>
      </c>
      <c r="B3920" t="s">
        <v>4</v>
      </c>
      <c r="C3920">
        <v>11103</v>
      </c>
      <c r="D3920" t="str">
        <f>VLOOKUP(B3920,Tabela_Auxiliar[],2,0)</f>
        <v>1. Receita Operacional Bruta</v>
      </c>
      <c r="E3920" t="str">
        <f>VLOOKUP(B3920,Tabela_Auxiliar[],4,0)</f>
        <v>Receita Bruta</v>
      </c>
      <c r="F3920" t="str">
        <f>VLOOKUP(B3920,Tabela_Auxiliar[],3,0)</f>
        <v>Entrada</v>
      </c>
      <c r="G3920" t="str">
        <f>UPPER(TEXT(Tabela_DB[[#This Row],[DATA]],"mmm"))</f>
        <v>AGO</v>
      </c>
      <c r="H3920" t="str">
        <f>UPPER(TEXT(Tabela_DB[[#This Row],[DATA]],"aaaa"))</f>
        <v>2021</v>
      </c>
    </row>
    <row r="3921" spans="1:8" x14ac:dyDescent="0.25">
      <c r="A3921" s="2">
        <v>44437</v>
      </c>
      <c r="B3921" t="s">
        <v>4</v>
      </c>
      <c r="C3921">
        <v>14762</v>
      </c>
      <c r="D3921" t="str">
        <f>VLOOKUP(B3921,Tabela_Auxiliar[],2,0)</f>
        <v>1. Receita Operacional Bruta</v>
      </c>
      <c r="E3921" t="str">
        <f>VLOOKUP(B3921,Tabela_Auxiliar[],4,0)</f>
        <v>Receita Bruta</v>
      </c>
      <c r="F3921" t="str">
        <f>VLOOKUP(B3921,Tabela_Auxiliar[],3,0)</f>
        <v>Entrada</v>
      </c>
      <c r="G3921" t="str">
        <f>UPPER(TEXT(Tabela_DB[[#This Row],[DATA]],"mmm"))</f>
        <v>AGO</v>
      </c>
      <c r="H3921" t="str">
        <f>UPPER(TEXT(Tabela_DB[[#This Row],[DATA]],"aaaa"))</f>
        <v>2021</v>
      </c>
    </row>
    <row r="3922" spans="1:8" x14ac:dyDescent="0.25">
      <c r="A3922" s="2">
        <v>44437</v>
      </c>
      <c r="B3922" t="s">
        <v>111</v>
      </c>
      <c r="C3922">
        <v>-1514</v>
      </c>
      <c r="D3922" t="str">
        <f>VLOOKUP(B3922,Tabela_Auxiliar[],2,0)</f>
        <v>2. Deduções da Receita</v>
      </c>
      <c r="E3922" t="str">
        <f>VLOOKUP(B3922,Tabela_Auxiliar[],4,0)</f>
        <v>Imposto</v>
      </c>
      <c r="F3922" t="str">
        <f>VLOOKUP(B3922,Tabela_Auxiliar[],3,0)</f>
        <v>Saída</v>
      </c>
      <c r="G3922" t="str">
        <f>UPPER(TEXT(Tabela_DB[[#This Row],[DATA]],"mmm"))</f>
        <v>AGO</v>
      </c>
      <c r="H3922" t="str">
        <f>UPPER(TEXT(Tabela_DB[[#This Row],[DATA]],"aaaa"))</f>
        <v>2021</v>
      </c>
    </row>
    <row r="3923" spans="1:8" x14ac:dyDescent="0.25">
      <c r="A3923" s="2">
        <v>44437</v>
      </c>
      <c r="B3923" t="s">
        <v>38</v>
      </c>
      <c r="C3923">
        <v>-1716</v>
      </c>
      <c r="D3923" t="str">
        <f>VLOOKUP(B3923,Tabela_Auxiliar[],2,0)</f>
        <v>2. Deduções da Receita</v>
      </c>
      <c r="E3923" t="str">
        <f>VLOOKUP(B3923,Tabela_Auxiliar[],4,0)</f>
        <v>Deduções</v>
      </c>
      <c r="F3923" t="str">
        <f>VLOOKUP(B3923,Tabela_Auxiliar[],3,0)</f>
        <v>Saída</v>
      </c>
      <c r="G3923" t="str">
        <f>UPPER(TEXT(Tabela_DB[[#This Row],[DATA]],"mmm"))</f>
        <v>AGO</v>
      </c>
      <c r="H3923" t="str">
        <f>UPPER(TEXT(Tabela_DB[[#This Row],[DATA]],"aaaa"))</f>
        <v>2021</v>
      </c>
    </row>
    <row r="3924" spans="1:8" x14ac:dyDescent="0.25">
      <c r="A3924" s="2">
        <v>44437</v>
      </c>
      <c r="B3924" t="s">
        <v>37</v>
      </c>
      <c r="C3924">
        <v>-2525</v>
      </c>
      <c r="D3924" t="str">
        <f>VLOOKUP(B3924,Tabela_Auxiliar[],2,0)</f>
        <v>3. Custos do Produto/Mercadoria/Serviço</v>
      </c>
      <c r="E3924" t="str">
        <f>VLOOKUP(B3924,Tabela_Auxiliar[],4,0)</f>
        <v>Despesas c/ Produto</v>
      </c>
      <c r="F3924" t="str">
        <f>VLOOKUP(B3924,Tabela_Auxiliar[],3,0)</f>
        <v>Saída</v>
      </c>
      <c r="G3924" t="str">
        <f>UPPER(TEXT(Tabela_DB[[#This Row],[DATA]],"mmm"))</f>
        <v>AGO</v>
      </c>
      <c r="H3924" t="str">
        <f>UPPER(TEXT(Tabela_DB[[#This Row],[DATA]],"aaaa"))</f>
        <v>2021</v>
      </c>
    </row>
    <row r="3925" spans="1:8" x14ac:dyDescent="0.25">
      <c r="A3925" s="2">
        <v>44437</v>
      </c>
      <c r="B3925" t="s">
        <v>46</v>
      </c>
      <c r="C3925">
        <v>-2112</v>
      </c>
      <c r="D3925" t="str">
        <f>VLOOKUP(B3925,Tabela_Auxiliar[],2,0)</f>
        <v>4. Despesas Operacionais</v>
      </c>
      <c r="E3925" t="str">
        <f>VLOOKUP(B3925,Tabela_Auxiliar[],4,0)</f>
        <v>Despesa com Pessoal</v>
      </c>
      <c r="F3925" t="str">
        <f>VLOOKUP(B3925,Tabela_Auxiliar[],3,0)</f>
        <v>Saída</v>
      </c>
      <c r="G3925" t="str">
        <f>UPPER(TEXT(Tabela_DB[[#This Row],[DATA]],"mmm"))</f>
        <v>AGO</v>
      </c>
      <c r="H3925" t="str">
        <f>UPPER(TEXT(Tabela_DB[[#This Row],[DATA]],"aaaa"))</f>
        <v>2021</v>
      </c>
    </row>
    <row r="3926" spans="1:8" x14ac:dyDescent="0.25">
      <c r="A3926" s="2">
        <v>44437</v>
      </c>
      <c r="B3926" t="s">
        <v>4</v>
      </c>
      <c r="C3926">
        <v>11480</v>
      </c>
      <c r="D3926" t="str">
        <f>VLOOKUP(B3926,Tabela_Auxiliar[],2,0)</f>
        <v>1. Receita Operacional Bruta</v>
      </c>
      <c r="E3926" t="str">
        <f>VLOOKUP(B3926,Tabela_Auxiliar[],4,0)</f>
        <v>Receita Bruta</v>
      </c>
      <c r="F3926" t="str">
        <f>VLOOKUP(B3926,Tabela_Auxiliar[],3,0)</f>
        <v>Entrada</v>
      </c>
      <c r="G3926" t="str">
        <f>UPPER(TEXT(Tabela_DB[[#This Row],[DATA]],"mmm"))</f>
        <v>AGO</v>
      </c>
      <c r="H3926" t="str">
        <f>UPPER(TEXT(Tabela_DB[[#This Row],[DATA]],"aaaa"))</f>
        <v>2021</v>
      </c>
    </row>
    <row r="3927" spans="1:8" x14ac:dyDescent="0.25">
      <c r="A3927" s="2">
        <v>44437</v>
      </c>
      <c r="B3927" t="s">
        <v>38</v>
      </c>
      <c r="C3927">
        <v>-1155</v>
      </c>
      <c r="D3927" t="str">
        <f>VLOOKUP(B3927,Tabela_Auxiliar[],2,0)</f>
        <v>2. Deduções da Receita</v>
      </c>
      <c r="E3927" t="str">
        <f>VLOOKUP(B3927,Tabela_Auxiliar[],4,0)</f>
        <v>Deduções</v>
      </c>
      <c r="F3927" t="str">
        <f>VLOOKUP(B3927,Tabela_Auxiliar[],3,0)</f>
        <v>Saída</v>
      </c>
      <c r="G3927" t="str">
        <f>UPPER(TEXT(Tabela_DB[[#This Row],[DATA]],"mmm"))</f>
        <v>AGO</v>
      </c>
      <c r="H3927" t="str">
        <f>UPPER(TEXT(Tabela_DB[[#This Row],[DATA]],"aaaa"))</f>
        <v>2021</v>
      </c>
    </row>
    <row r="3928" spans="1:8" x14ac:dyDescent="0.25">
      <c r="A3928" s="2">
        <v>44437</v>
      </c>
      <c r="B3928" t="s">
        <v>38</v>
      </c>
      <c r="C3928">
        <v>-1684</v>
      </c>
      <c r="D3928" t="str">
        <f>VLOOKUP(B3928,Tabela_Auxiliar[],2,0)</f>
        <v>2. Deduções da Receita</v>
      </c>
      <c r="E3928" t="str">
        <f>VLOOKUP(B3928,Tabela_Auxiliar[],4,0)</f>
        <v>Deduções</v>
      </c>
      <c r="F3928" t="str">
        <f>VLOOKUP(B3928,Tabela_Auxiliar[],3,0)</f>
        <v>Saída</v>
      </c>
      <c r="G3928" t="str">
        <f>UPPER(TEXT(Tabela_DB[[#This Row],[DATA]],"mmm"))</f>
        <v>AGO</v>
      </c>
      <c r="H3928" t="str">
        <f>UPPER(TEXT(Tabela_DB[[#This Row],[DATA]],"aaaa"))</f>
        <v>2021</v>
      </c>
    </row>
    <row r="3929" spans="1:8" x14ac:dyDescent="0.25">
      <c r="A3929" s="2">
        <v>44437</v>
      </c>
      <c r="B3929" t="s">
        <v>34</v>
      </c>
      <c r="C3929">
        <v>-1959</v>
      </c>
      <c r="D3929" t="str">
        <f>VLOOKUP(B3929,Tabela_Auxiliar[],2,0)</f>
        <v>2. Deduções da Receita</v>
      </c>
      <c r="E3929" t="str">
        <f>VLOOKUP(B3929,Tabela_Auxiliar[],4,0)</f>
        <v>Imposto</v>
      </c>
      <c r="F3929" t="str">
        <f>VLOOKUP(B3929,Tabela_Auxiliar[],3,0)</f>
        <v>Saída</v>
      </c>
      <c r="G3929" t="str">
        <f>UPPER(TEXT(Tabela_DB[[#This Row],[DATA]],"mmm"))</f>
        <v>AGO</v>
      </c>
      <c r="H3929" t="str">
        <f>UPPER(TEXT(Tabela_DB[[#This Row],[DATA]],"aaaa"))</f>
        <v>2021</v>
      </c>
    </row>
    <row r="3930" spans="1:8" x14ac:dyDescent="0.25">
      <c r="A3930" s="2">
        <v>44437</v>
      </c>
      <c r="B3930" t="s">
        <v>72</v>
      </c>
      <c r="C3930">
        <v>-1267</v>
      </c>
      <c r="D3930" t="str">
        <f>VLOOKUP(B3930,Tabela_Auxiliar[],2,0)</f>
        <v>4. Despesas Operacionais</v>
      </c>
      <c r="E3930" t="str">
        <f>VLOOKUP(B3930,Tabela_Auxiliar[],4,0)</f>
        <v>Despesa com Ocupação</v>
      </c>
      <c r="F3930" t="str">
        <f>VLOOKUP(B3930,Tabela_Auxiliar[],3,0)</f>
        <v>Saída</v>
      </c>
      <c r="G3930" t="str">
        <f>UPPER(TEXT(Tabela_DB[[#This Row],[DATA]],"mmm"))</f>
        <v>AGO</v>
      </c>
      <c r="H3930" t="str">
        <f>UPPER(TEXT(Tabela_DB[[#This Row],[DATA]],"aaaa"))</f>
        <v>2021</v>
      </c>
    </row>
    <row r="3931" spans="1:8" x14ac:dyDescent="0.25">
      <c r="A3931" s="2">
        <v>44437</v>
      </c>
      <c r="B3931" t="s">
        <v>35</v>
      </c>
      <c r="C3931">
        <v>-1258</v>
      </c>
      <c r="D3931" t="str">
        <f>VLOOKUP(B3931,Tabela_Auxiliar[],2,0)</f>
        <v>2. Deduções da Receita</v>
      </c>
      <c r="E3931" t="str">
        <f>VLOOKUP(B3931,Tabela_Auxiliar[],4,0)</f>
        <v>Imposto</v>
      </c>
      <c r="F3931" t="str">
        <f>VLOOKUP(B3931,Tabela_Auxiliar[],3,0)</f>
        <v>Saída</v>
      </c>
      <c r="G3931" t="str">
        <f>UPPER(TEXT(Tabela_DB[[#This Row],[DATA]],"mmm"))</f>
        <v>AGO</v>
      </c>
      <c r="H3931" t="str">
        <f>UPPER(TEXT(Tabela_DB[[#This Row],[DATA]],"aaaa"))</f>
        <v>2021</v>
      </c>
    </row>
    <row r="3932" spans="1:8" x14ac:dyDescent="0.25">
      <c r="A3932" s="2">
        <v>44437</v>
      </c>
      <c r="B3932" t="s">
        <v>71</v>
      </c>
      <c r="C3932">
        <v>-2480</v>
      </c>
      <c r="D3932" t="str">
        <f>VLOOKUP(B3932,Tabela_Auxiliar[],2,0)</f>
        <v>4. Despesas Operacionais</v>
      </c>
      <c r="E3932" t="str">
        <f>VLOOKUP(B3932,Tabela_Auxiliar[],4,0)</f>
        <v>Despesa com Ocupação</v>
      </c>
      <c r="F3932" t="str">
        <f>VLOOKUP(B3932,Tabela_Auxiliar[],3,0)</f>
        <v>Saída</v>
      </c>
      <c r="G3932" t="str">
        <f>UPPER(TEXT(Tabela_DB[[#This Row],[DATA]],"mmm"))</f>
        <v>AGO</v>
      </c>
      <c r="H3932" t="str">
        <f>UPPER(TEXT(Tabela_DB[[#This Row],[DATA]],"aaaa"))</f>
        <v>2021</v>
      </c>
    </row>
    <row r="3933" spans="1:8" x14ac:dyDescent="0.25">
      <c r="A3933" s="2">
        <v>44437</v>
      </c>
      <c r="B3933" t="s">
        <v>111</v>
      </c>
      <c r="C3933">
        <v>-1557</v>
      </c>
      <c r="D3933" t="str">
        <f>VLOOKUP(B3933,Tabela_Auxiliar[],2,0)</f>
        <v>2. Deduções da Receita</v>
      </c>
      <c r="E3933" t="str">
        <f>VLOOKUP(B3933,Tabela_Auxiliar[],4,0)</f>
        <v>Imposto</v>
      </c>
      <c r="F3933" t="str">
        <f>VLOOKUP(B3933,Tabela_Auxiliar[],3,0)</f>
        <v>Saída</v>
      </c>
      <c r="G3933" t="str">
        <f>UPPER(TEXT(Tabela_DB[[#This Row],[DATA]],"mmm"))</f>
        <v>AGO</v>
      </c>
      <c r="H3933" t="str">
        <f>UPPER(TEXT(Tabela_DB[[#This Row],[DATA]],"aaaa"))</f>
        <v>2021</v>
      </c>
    </row>
    <row r="3934" spans="1:8" x14ac:dyDescent="0.25">
      <c r="A3934" s="2">
        <v>44437</v>
      </c>
      <c r="B3934" t="s">
        <v>35</v>
      </c>
      <c r="C3934">
        <v>-2436</v>
      </c>
      <c r="D3934" t="str">
        <f>VLOOKUP(B3934,Tabela_Auxiliar[],2,0)</f>
        <v>2. Deduções da Receita</v>
      </c>
      <c r="E3934" t="str">
        <f>VLOOKUP(B3934,Tabela_Auxiliar[],4,0)</f>
        <v>Imposto</v>
      </c>
      <c r="F3934" t="str">
        <f>VLOOKUP(B3934,Tabela_Auxiliar[],3,0)</f>
        <v>Saída</v>
      </c>
      <c r="G3934" t="str">
        <f>UPPER(TEXT(Tabela_DB[[#This Row],[DATA]],"mmm"))</f>
        <v>AGO</v>
      </c>
      <c r="H3934" t="str">
        <f>UPPER(TEXT(Tabela_DB[[#This Row],[DATA]],"aaaa"))</f>
        <v>2021</v>
      </c>
    </row>
    <row r="3935" spans="1:8" x14ac:dyDescent="0.25">
      <c r="A3935" s="2">
        <v>44437</v>
      </c>
      <c r="B3935" t="s">
        <v>38</v>
      </c>
      <c r="C3935">
        <v>-1863</v>
      </c>
      <c r="D3935" t="str">
        <f>VLOOKUP(B3935,Tabela_Auxiliar[],2,0)</f>
        <v>2. Deduções da Receita</v>
      </c>
      <c r="E3935" t="str">
        <f>VLOOKUP(B3935,Tabela_Auxiliar[],4,0)</f>
        <v>Deduções</v>
      </c>
      <c r="F3935" t="str">
        <f>VLOOKUP(B3935,Tabela_Auxiliar[],3,0)</f>
        <v>Saída</v>
      </c>
      <c r="G3935" t="str">
        <f>UPPER(TEXT(Tabela_DB[[#This Row],[DATA]],"mmm"))</f>
        <v>AGO</v>
      </c>
      <c r="H3935" t="str">
        <f>UPPER(TEXT(Tabela_DB[[#This Row],[DATA]],"aaaa"))</f>
        <v>2021</v>
      </c>
    </row>
    <row r="3936" spans="1:8" x14ac:dyDescent="0.25">
      <c r="A3936" s="2">
        <v>44437</v>
      </c>
      <c r="B3936" t="s">
        <v>34</v>
      </c>
      <c r="C3936">
        <v>-1853</v>
      </c>
      <c r="D3936" t="str">
        <f>VLOOKUP(B3936,Tabela_Auxiliar[],2,0)</f>
        <v>2. Deduções da Receita</v>
      </c>
      <c r="E3936" t="str">
        <f>VLOOKUP(B3936,Tabela_Auxiliar[],4,0)</f>
        <v>Imposto</v>
      </c>
      <c r="F3936" t="str">
        <f>VLOOKUP(B3936,Tabela_Auxiliar[],3,0)</f>
        <v>Saída</v>
      </c>
      <c r="G3936" t="str">
        <f>UPPER(TEXT(Tabela_DB[[#This Row],[DATA]],"mmm"))</f>
        <v>AGO</v>
      </c>
      <c r="H3936" t="str">
        <f>UPPER(TEXT(Tabela_DB[[#This Row],[DATA]],"aaaa"))</f>
        <v>2021</v>
      </c>
    </row>
    <row r="3937" spans="1:8" x14ac:dyDescent="0.25">
      <c r="A3937" s="2">
        <v>44437</v>
      </c>
      <c r="B3937" t="s">
        <v>67</v>
      </c>
      <c r="C3937">
        <v>-1437</v>
      </c>
      <c r="D3937" t="str">
        <f>VLOOKUP(B3937,Tabela_Auxiliar[],2,0)</f>
        <v>4. Despesas Operacionais</v>
      </c>
      <c r="E3937" t="str">
        <f>VLOOKUP(B3937,Tabela_Auxiliar[],4,0)</f>
        <v>Despesa com Vendas</v>
      </c>
      <c r="F3937" t="str">
        <f>VLOOKUP(B3937,Tabela_Auxiliar[],3,0)</f>
        <v>Saída</v>
      </c>
      <c r="G3937" t="str">
        <f>UPPER(TEXT(Tabela_DB[[#This Row],[DATA]],"mmm"))</f>
        <v>AGO</v>
      </c>
      <c r="H3937" t="str">
        <f>UPPER(TEXT(Tabela_DB[[#This Row],[DATA]],"aaaa"))</f>
        <v>2021</v>
      </c>
    </row>
    <row r="3938" spans="1:8" x14ac:dyDescent="0.25">
      <c r="A3938" s="2">
        <v>44437</v>
      </c>
      <c r="B3938" t="s">
        <v>62</v>
      </c>
      <c r="C3938">
        <v>-2408</v>
      </c>
      <c r="D3938" t="str">
        <f>VLOOKUP(B3938,Tabela_Auxiliar[],2,0)</f>
        <v>4. Despesas Operacionais</v>
      </c>
      <c r="E3938" t="str">
        <f>VLOOKUP(B3938,Tabela_Auxiliar[],4,0)</f>
        <v>Despesa Gerais</v>
      </c>
      <c r="F3938" t="str">
        <f>VLOOKUP(B3938,Tabela_Auxiliar[],3,0)</f>
        <v>Saída</v>
      </c>
      <c r="G3938" t="str">
        <f>UPPER(TEXT(Tabela_DB[[#This Row],[DATA]],"mmm"))</f>
        <v>AGO</v>
      </c>
      <c r="H3938" t="str">
        <f>UPPER(TEXT(Tabela_DB[[#This Row],[DATA]],"aaaa"))</f>
        <v>2021</v>
      </c>
    </row>
    <row r="3939" spans="1:8" x14ac:dyDescent="0.25">
      <c r="A3939" s="2">
        <v>44437</v>
      </c>
      <c r="B3939" t="s">
        <v>38</v>
      </c>
      <c r="C3939">
        <v>-1109</v>
      </c>
      <c r="D3939" t="str">
        <f>VLOOKUP(B3939,Tabela_Auxiliar[],2,0)</f>
        <v>2. Deduções da Receita</v>
      </c>
      <c r="E3939" t="str">
        <f>VLOOKUP(B3939,Tabela_Auxiliar[],4,0)</f>
        <v>Deduções</v>
      </c>
      <c r="F3939" t="str">
        <f>VLOOKUP(B3939,Tabela_Auxiliar[],3,0)</f>
        <v>Saída</v>
      </c>
      <c r="G3939" t="str">
        <f>UPPER(TEXT(Tabela_DB[[#This Row],[DATA]],"mmm"))</f>
        <v>AGO</v>
      </c>
      <c r="H3939" t="str">
        <f>UPPER(TEXT(Tabela_DB[[#This Row],[DATA]],"aaaa"))</f>
        <v>2021</v>
      </c>
    </row>
    <row r="3940" spans="1:8" x14ac:dyDescent="0.25">
      <c r="A3940" s="2">
        <v>44437</v>
      </c>
      <c r="B3940" t="s">
        <v>46</v>
      </c>
      <c r="C3940">
        <v>-1924</v>
      </c>
      <c r="D3940" t="str">
        <f>VLOOKUP(B3940,Tabela_Auxiliar[],2,0)</f>
        <v>4. Despesas Operacionais</v>
      </c>
      <c r="E3940" t="str">
        <f>VLOOKUP(B3940,Tabela_Auxiliar[],4,0)</f>
        <v>Despesa com Pessoal</v>
      </c>
      <c r="F3940" t="str">
        <f>VLOOKUP(B3940,Tabela_Auxiliar[],3,0)</f>
        <v>Saída</v>
      </c>
      <c r="G3940" t="str">
        <f>UPPER(TEXT(Tabela_DB[[#This Row],[DATA]],"mmm"))</f>
        <v>AGO</v>
      </c>
      <c r="H3940" t="str">
        <f>UPPER(TEXT(Tabela_DB[[#This Row],[DATA]],"aaaa"))</f>
        <v>2021</v>
      </c>
    </row>
    <row r="3941" spans="1:8" x14ac:dyDescent="0.25">
      <c r="A3941" s="2">
        <v>44437</v>
      </c>
      <c r="B3941" t="s">
        <v>35</v>
      </c>
      <c r="C3941">
        <v>-1773</v>
      </c>
      <c r="D3941" t="str">
        <f>VLOOKUP(B3941,Tabela_Auxiliar[],2,0)</f>
        <v>2. Deduções da Receita</v>
      </c>
      <c r="E3941" t="str">
        <f>VLOOKUP(B3941,Tabela_Auxiliar[],4,0)</f>
        <v>Imposto</v>
      </c>
      <c r="F3941" t="str">
        <f>VLOOKUP(B3941,Tabela_Auxiliar[],3,0)</f>
        <v>Saída</v>
      </c>
      <c r="G3941" t="str">
        <f>UPPER(TEXT(Tabela_DB[[#This Row],[DATA]],"mmm"))</f>
        <v>AGO</v>
      </c>
      <c r="H3941" t="str">
        <f>UPPER(TEXT(Tabela_DB[[#This Row],[DATA]],"aaaa"))</f>
        <v>2021</v>
      </c>
    </row>
    <row r="3942" spans="1:8" x14ac:dyDescent="0.25">
      <c r="A3942" s="2">
        <v>44438</v>
      </c>
      <c r="B3942" t="s">
        <v>35</v>
      </c>
      <c r="C3942">
        <v>-1205</v>
      </c>
      <c r="D3942" t="str">
        <f>VLOOKUP(B3942,Tabela_Auxiliar[],2,0)</f>
        <v>2. Deduções da Receita</v>
      </c>
      <c r="E3942" t="str">
        <f>VLOOKUP(B3942,Tabela_Auxiliar[],4,0)</f>
        <v>Imposto</v>
      </c>
      <c r="F3942" t="str">
        <f>VLOOKUP(B3942,Tabela_Auxiliar[],3,0)</f>
        <v>Saída</v>
      </c>
      <c r="G3942" t="str">
        <f>UPPER(TEXT(Tabela_DB[[#This Row],[DATA]],"mmm"))</f>
        <v>AGO</v>
      </c>
      <c r="H3942" t="str">
        <f>UPPER(TEXT(Tabela_DB[[#This Row],[DATA]],"aaaa"))</f>
        <v>2021</v>
      </c>
    </row>
    <row r="3943" spans="1:8" x14ac:dyDescent="0.25">
      <c r="A3943" s="2">
        <v>44438</v>
      </c>
      <c r="B3943" t="s">
        <v>37</v>
      </c>
      <c r="C3943">
        <v>-3061</v>
      </c>
      <c r="D3943" t="str">
        <f>VLOOKUP(B3943,Tabela_Auxiliar[],2,0)</f>
        <v>3. Custos do Produto/Mercadoria/Serviço</v>
      </c>
      <c r="E3943" t="str">
        <f>VLOOKUP(B3943,Tabela_Auxiliar[],4,0)</f>
        <v>Despesas c/ Produto</v>
      </c>
      <c r="F3943" t="str">
        <f>VLOOKUP(B3943,Tabela_Auxiliar[],3,0)</f>
        <v>Saída</v>
      </c>
      <c r="G3943" t="str">
        <f>UPPER(TEXT(Tabela_DB[[#This Row],[DATA]],"mmm"))</f>
        <v>AGO</v>
      </c>
      <c r="H3943" t="str">
        <f>UPPER(TEXT(Tabela_DB[[#This Row],[DATA]],"aaaa"))</f>
        <v>2021</v>
      </c>
    </row>
    <row r="3944" spans="1:8" x14ac:dyDescent="0.25">
      <c r="A3944" s="2">
        <v>44438</v>
      </c>
      <c r="B3944" t="s">
        <v>3</v>
      </c>
      <c r="C3944">
        <v>11564</v>
      </c>
      <c r="D3944" t="str">
        <f>VLOOKUP(B3944,Tabela_Auxiliar[],2,0)</f>
        <v>1. Receita Operacional Bruta</v>
      </c>
      <c r="E3944" t="str">
        <f>VLOOKUP(B3944,Tabela_Auxiliar[],4,0)</f>
        <v>Receita Bruta</v>
      </c>
      <c r="F3944" t="str">
        <f>VLOOKUP(B3944,Tabela_Auxiliar[],3,0)</f>
        <v>Entrada</v>
      </c>
      <c r="G3944" t="str">
        <f>UPPER(TEXT(Tabela_DB[[#This Row],[DATA]],"mmm"))</f>
        <v>AGO</v>
      </c>
      <c r="H3944" t="str">
        <f>UPPER(TEXT(Tabela_DB[[#This Row],[DATA]],"aaaa"))</f>
        <v>2021</v>
      </c>
    </row>
    <row r="3945" spans="1:8" x14ac:dyDescent="0.25">
      <c r="A3945" s="2">
        <v>44438</v>
      </c>
      <c r="B3945" t="s">
        <v>111</v>
      </c>
      <c r="C3945">
        <v>-1835</v>
      </c>
      <c r="D3945" t="str">
        <f>VLOOKUP(B3945,Tabela_Auxiliar[],2,0)</f>
        <v>2. Deduções da Receita</v>
      </c>
      <c r="E3945" t="str">
        <f>VLOOKUP(B3945,Tabela_Auxiliar[],4,0)</f>
        <v>Imposto</v>
      </c>
      <c r="F3945" t="str">
        <f>VLOOKUP(B3945,Tabela_Auxiliar[],3,0)</f>
        <v>Saída</v>
      </c>
      <c r="G3945" t="str">
        <f>UPPER(TEXT(Tabela_DB[[#This Row],[DATA]],"mmm"))</f>
        <v>AGO</v>
      </c>
      <c r="H3945" t="str">
        <f>UPPER(TEXT(Tabela_DB[[#This Row],[DATA]],"aaaa"))</f>
        <v>2021</v>
      </c>
    </row>
    <row r="3946" spans="1:8" x14ac:dyDescent="0.25">
      <c r="A3946" s="2">
        <v>44439</v>
      </c>
      <c r="B3946" t="s">
        <v>35</v>
      </c>
      <c r="C3946">
        <v>-2322</v>
      </c>
      <c r="D3946" t="str">
        <f>VLOOKUP(B3946,Tabela_Auxiliar[],2,0)</f>
        <v>2. Deduções da Receita</v>
      </c>
      <c r="E3946" t="str">
        <f>VLOOKUP(B3946,Tabela_Auxiliar[],4,0)</f>
        <v>Imposto</v>
      </c>
      <c r="F3946" t="str">
        <f>VLOOKUP(B3946,Tabela_Auxiliar[],3,0)</f>
        <v>Saída</v>
      </c>
      <c r="G3946" t="str">
        <f>UPPER(TEXT(Tabela_DB[[#This Row],[DATA]],"mmm"))</f>
        <v>AGO</v>
      </c>
      <c r="H3946" t="str">
        <f>UPPER(TEXT(Tabela_DB[[#This Row],[DATA]],"aaaa"))</f>
        <v>2021</v>
      </c>
    </row>
    <row r="3947" spans="1:8" x14ac:dyDescent="0.25">
      <c r="A3947" s="2">
        <v>44439</v>
      </c>
      <c r="B3947" t="s">
        <v>37</v>
      </c>
      <c r="C3947">
        <v>-2645</v>
      </c>
      <c r="D3947" t="str">
        <f>VLOOKUP(B3947,Tabela_Auxiliar[],2,0)</f>
        <v>3. Custos do Produto/Mercadoria/Serviço</v>
      </c>
      <c r="E3947" t="str">
        <f>VLOOKUP(B3947,Tabela_Auxiliar[],4,0)</f>
        <v>Despesas c/ Produto</v>
      </c>
      <c r="F3947" t="str">
        <f>VLOOKUP(B3947,Tabela_Auxiliar[],3,0)</f>
        <v>Saída</v>
      </c>
      <c r="G3947" t="str">
        <f>UPPER(TEXT(Tabela_DB[[#This Row],[DATA]],"mmm"))</f>
        <v>AGO</v>
      </c>
      <c r="H3947" t="str">
        <f>UPPER(TEXT(Tabela_DB[[#This Row],[DATA]],"aaaa"))</f>
        <v>2021</v>
      </c>
    </row>
    <row r="3948" spans="1:8" x14ac:dyDescent="0.25">
      <c r="A3948" s="2">
        <v>44439</v>
      </c>
      <c r="B3948" t="s">
        <v>76</v>
      </c>
      <c r="C3948">
        <v>-2143</v>
      </c>
      <c r="D3948" t="str">
        <f>VLOOKUP(B3948,Tabela_Auxiliar[],2,0)</f>
        <v>4. Despesas Operacionais</v>
      </c>
      <c r="E3948" t="str">
        <f>VLOOKUP(B3948,Tabela_Auxiliar[],4,0)</f>
        <v>Serviços Contratados</v>
      </c>
      <c r="F3948" t="str">
        <f>VLOOKUP(B3948,Tabela_Auxiliar[],3,0)</f>
        <v>Saída</v>
      </c>
      <c r="G3948" t="str">
        <f>UPPER(TEXT(Tabela_DB[[#This Row],[DATA]],"mmm"))</f>
        <v>AGO</v>
      </c>
      <c r="H3948" t="str">
        <f>UPPER(TEXT(Tabela_DB[[#This Row],[DATA]],"aaaa"))</f>
        <v>2021</v>
      </c>
    </row>
    <row r="3949" spans="1:8" x14ac:dyDescent="0.25">
      <c r="A3949" s="2">
        <v>44439</v>
      </c>
      <c r="B3949" t="s">
        <v>75</v>
      </c>
      <c r="C3949">
        <v>-1107</v>
      </c>
      <c r="D3949" t="str">
        <f>VLOOKUP(B3949,Tabela_Auxiliar[],2,0)</f>
        <v>4. Despesas Operacionais</v>
      </c>
      <c r="E3949" t="str">
        <f>VLOOKUP(B3949,Tabela_Auxiliar[],4,0)</f>
        <v>Serviços Contratados</v>
      </c>
      <c r="F3949" t="str">
        <f>VLOOKUP(B3949,Tabela_Auxiliar[],3,0)</f>
        <v>Saída</v>
      </c>
      <c r="G3949" t="str">
        <f>UPPER(TEXT(Tabela_DB[[#This Row],[DATA]],"mmm"))</f>
        <v>AGO</v>
      </c>
      <c r="H3949" t="str">
        <f>UPPER(TEXT(Tabela_DB[[#This Row],[DATA]],"aaaa"))</f>
        <v>2021</v>
      </c>
    </row>
    <row r="3950" spans="1:8" x14ac:dyDescent="0.25">
      <c r="A3950" s="2">
        <v>44439</v>
      </c>
      <c r="B3950" t="s">
        <v>34</v>
      </c>
      <c r="C3950">
        <v>-1028</v>
      </c>
      <c r="D3950" t="str">
        <f>VLOOKUP(B3950,Tabela_Auxiliar[],2,0)</f>
        <v>2. Deduções da Receita</v>
      </c>
      <c r="E3950" t="str">
        <f>VLOOKUP(B3950,Tabela_Auxiliar[],4,0)</f>
        <v>Imposto</v>
      </c>
      <c r="F3950" t="str">
        <f>VLOOKUP(B3950,Tabela_Auxiliar[],3,0)</f>
        <v>Saída</v>
      </c>
      <c r="G3950" t="str">
        <f>UPPER(TEXT(Tabela_DB[[#This Row],[DATA]],"mmm"))</f>
        <v>AGO</v>
      </c>
      <c r="H3950" t="str">
        <f>UPPER(TEXT(Tabela_DB[[#This Row],[DATA]],"aaaa"))</f>
        <v>2021</v>
      </c>
    </row>
    <row r="3951" spans="1:8" x14ac:dyDescent="0.25">
      <c r="A3951" s="2">
        <v>44439</v>
      </c>
      <c r="B3951" t="s">
        <v>34</v>
      </c>
      <c r="C3951">
        <v>-1493</v>
      </c>
      <c r="D3951" t="str">
        <f>VLOOKUP(B3951,Tabela_Auxiliar[],2,0)</f>
        <v>2. Deduções da Receita</v>
      </c>
      <c r="E3951" t="str">
        <f>VLOOKUP(B3951,Tabela_Auxiliar[],4,0)</f>
        <v>Imposto</v>
      </c>
      <c r="F3951" t="str">
        <f>VLOOKUP(B3951,Tabela_Auxiliar[],3,0)</f>
        <v>Saída</v>
      </c>
      <c r="G3951" t="str">
        <f>UPPER(TEXT(Tabela_DB[[#This Row],[DATA]],"mmm"))</f>
        <v>AGO</v>
      </c>
      <c r="H3951" t="str">
        <f>UPPER(TEXT(Tabela_DB[[#This Row],[DATA]],"aaaa"))</f>
        <v>2021</v>
      </c>
    </row>
    <row r="3952" spans="1:8" x14ac:dyDescent="0.25">
      <c r="A3952" s="2">
        <v>44439</v>
      </c>
      <c r="B3952" t="s">
        <v>38</v>
      </c>
      <c r="C3952">
        <v>-2225</v>
      </c>
      <c r="D3952" t="str">
        <f>VLOOKUP(B3952,Tabela_Auxiliar[],2,0)</f>
        <v>2. Deduções da Receita</v>
      </c>
      <c r="E3952" t="str">
        <f>VLOOKUP(B3952,Tabela_Auxiliar[],4,0)</f>
        <v>Deduções</v>
      </c>
      <c r="F3952" t="str">
        <f>VLOOKUP(B3952,Tabela_Auxiliar[],3,0)</f>
        <v>Saída</v>
      </c>
      <c r="G3952" t="str">
        <f>UPPER(TEXT(Tabela_DB[[#This Row],[DATA]],"mmm"))</f>
        <v>AGO</v>
      </c>
      <c r="H3952" t="str">
        <f>UPPER(TEXT(Tabela_DB[[#This Row],[DATA]],"aaaa"))</f>
        <v>2021</v>
      </c>
    </row>
    <row r="3953" spans="1:8" x14ac:dyDescent="0.25">
      <c r="A3953" s="2">
        <v>44439</v>
      </c>
      <c r="B3953" t="s">
        <v>35</v>
      </c>
      <c r="C3953">
        <v>-1131</v>
      </c>
      <c r="D3953" t="str">
        <f>VLOOKUP(B3953,Tabela_Auxiliar[],2,0)</f>
        <v>2. Deduções da Receita</v>
      </c>
      <c r="E3953" t="str">
        <f>VLOOKUP(B3953,Tabela_Auxiliar[],4,0)</f>
        <v>Imposto</v>
      </c>
      <c r="F3953" t="str">
        <f>VLOOKUP(B3953,Tabela_Auxiliar[],3,0)</f>
        <v>Saída</v>
      </c>
      <c r="G3953" t="str">
        <f>UPPER(TEXT(Tabela_DB[[#This Row],[DATA]],"mmm"))</f>
        <v>AGO</v>
      </c>
      <c r="H3953" t="str">
        <f>UPPER(TEXT(Tabela_DB[[#This Row],[DATA]],"aaaa"))</f>
        <v>2021</v>
      </c>
    </row>
    <row r="3954" spans="1:8" x14ac:dyDescent="0.25">
      <c r="A3954" s="2">
        <v>44439</v>
      </c>
      <c r="B3954" t="s">
        <v>38</v>
      </c>
      <c r="C3954">
        <v>-1775</v>
      </c>
      <c r="D3954" t="str">
        <f>VLOOKUP(B3954,Tabela_Auxiliar[],2,0)</f>
        <v>2. Deduções da Receita</v>
      </c>
      <c r="E3954" t="str">
        <f>VLOOKUP(B3954,Tabela_Auxiliar[],4,0)</f>
        <v>Deduções</v>
      </c>
      <c r="F3954" t="str">
        <f>VLOOKUP(B3954,Tabela_Auxiliar[],3,0)</f>
        <v>Saída</v>
      </c>
      <c r="G3954" t="str">
        <f>UPPER(TEXT(Tabela_DB[[#This Row],[DATA]],"mmm"))</f>
        <v>AGO</v>
      </c>
      <c r="H3954" t="str">
        <f>UPPER(TEXT(Tabela_DB[[#This Row],[DATA]],"aaaa"))</f>
        <v>2021</v>
      </c>
    </row>
    <row r="3955" spans="1:8" x14ac:dyDescent="0.25">
      <c r="A3955" s="2">
        <v>44439</v>
      </c>
      <c r="B3955" t="s">
        <v>4</v>
      </c>
      <c r="C3955">
        <v>14358</v>
      </c>
      <c r="D3955" t="str">
        <f>VLOOKUP(B3955,Tabela_Auxiliar[],2,0)</f>
        <v>1. Receita Operacional Bruta</v>
      </c>
      <c r="E3955" t="str">
        <f>VLOOKUP(B3955,Tabela_Auxiliar[],4,0)</f>
        <v>Receita Bruta</v>
      </c>
      <c r="F3955" t="str">
        <f>VLOOKUP(B3955,Tabela_Auxiliar[],3,0)</f>
        <v>Entrada</v>
      </c>
      <c r="G3955" t="str">
        <f>UPPER(TEXT(Tabela_DB[[#This Row],[DATA]],"mmm"))</f>
        <v>AGO</v>
      </c>
      <c r="H3955" t="str">
        <f>UPPER(TEXT(Tabela_DB[[#This Row],[DATA]],"aaaa"))</f>
        <v>2021</v>
      </c>
    </row>
    <row r="3956" spans="1:8" x14ac:dyDescent="0.25">
      <c r="A3956" s="2">
        <v>44439</v>
      </c>
      <c r="B3956" t="s">
        <v>4</v>
      </c>
      <c r="C3956">
        <v>12359</v>
      </c>
      <c r="D3956" t="str">
        <f>VLOOKUP(B3956,Tabela_Auxiliar[],2,0)</f>
        <v>1. Receita Operacional Bruta</v>
      </c>
      <c r="E3956" t="str">
        <f>VLOOKUP(B3956,Tabela_Auxiliar[],4,0)</f>
        <v>Receita Bruta</v>
      </c>
      <c r="F3956" t="str">
        <f>VLOOKUP(B3956,Tabela_Auxiliar[],3,0)</f>
        <v>Entrada</v>
      </c>
      <c r="G3956" t="str">
        <f>UPPER(TEXT(Tabela_DB[[#This Row],[DATA]],"mmm"))</f>
        <v>AGO</v>
      </c>
      <c r="H3956" t="str">
        <f>UPPER(TEXT(Tabela_DB[[#This Row],[DATA]],"aaaa"))</f>
        <v>2021</v>
      </c>
    </row>
    <row r="3957" spans="1:8" x14ac:dyDescent="0.25">
      <c r="A3957" s="2">
        <v>44439</v>
      </c>
      <c r="B3957" t="s">
        <v>37</v>
      </c>
      <c r="C3957">
        <v>-4838</v>
      </c>
      <c r="D3957" t="str">
        <f>VLOOKUP(B3957,Tabela_Auxiliar[],2,0)</f>
        <v>3. Custos do Produto/Mercadoria/Serviço</v>
      </c>
      <c r="E3957" t="str">
        <f>VLOOKUP(B3957,Tabela_Auxiliar[],4,0)</f>
        <v>Despesas c/ Produto</v>
      </c>
      <c r="F3957" t="str">
        <f>VLOOKUP(B3957,Tabela_Auxiliar[],3,0)</f>
        <v>Saída</v>
      </c>
      <c r="G3957" t="str">
        <f>UPPER(TEXT(Tabela_DB[[#This Row],[DATA]],"mmm"))</f>
        <v>AGO</v>
      </c>
      <c r="H3957" t="str">
        <f>UPPER(TEXT(Tabela_DB[[#This Row],[DATA]],"aaaa"))</f>
        <v>2021</v>
      </c>
    </row>
    <row r="3958" spans="1:8" x14ac:dyDescent="0.25">
      <c r="A3958" s="2">
        <v>44440</v>
      </c>
      <c r="B3958" t="s">
        <v>66</v>
      </c>
      <c r="C3958">
        <v>-2489</v>
      </c>
      <c r="D3958" t="str">
        <f>VLOOKUP(B3958,Tabela_Auxiliar[],2,0)</f>
        <v>4. Despesas Operacionais</v>
      </c>
      <c r="E3958" t="str">
        <f>VLOOKUP(B3958,Tabela_Auxiliar[],4,0)</f>
        <v>Despesa com Vendas</v>
      </c>
      <c r="F3958" t="str">
        <f>VLOOKUP(B3958,Tabela_Auxiliar[],3,0)</f>
        <v>Saída</v>
      </c>
      <c r="G3958" t="str">
        <f>UPPER(TEXT(Tabela_DB[[#This Row],[DATA]],"mmm"))</f>
        <v>SET</v>
      </c>
      <c r="H3958" t="str">
        <f>UPPER(TEXT(Tabela_DB[[#This Row],[DATA]],"aaaa"))</f>
        <v>2021</v>
      </c>
    </row>
    <row r="3959" spans="1:8" x14ac:dyDescent="0.25">
      <c r="A3959" s="2">
        <v>44440</v>
      </c>
      <c r="B3959" t="s">
        <v>48</v>
      </c>
      <c r="C3959">
        <v>-2322</v>
      </c>
      <c r="D3959" t="str">
        <f>VLOOKUP(B3959,Tabela_Auxiliar[],2,0)</f>
        <v>4. Despesas Operacionais</v>
      </c>
      <c r="E3959" t="str">
        <f>VLOOKUP(B3959,Tabela_Auxiliar[],4,0)</f>
        <v>Despesa com Pessoal</v>
      </c>
      <c r="F3959" t="str">
        <f>VLOOKUP(B3959,Tabela_Auxiliar[],3,0)</f>
        <v>Saída</v>
      </c>
      <c r="G3959" t="str">
        <f>UPPER(TEXT(Tabela_DB[[#This Row],[DATA]],"mmm"))</f>
        <v>SET</v>
      </c>
      <c r="H3959" t="str">
        <f>UPPER(TEXT(Tabela_DB[[#This Row],[DATA]],"aaaa"))</f>
        <v>2021</v>
      </c>
    </row>
    <row r="3960" spans="1:8" x14ac:dyDescent="0.25">
      <c r="A3960" s="2">
        <v>44440</v>
      </c>
      <c r="B3960" t="s">
        <v>4</v>
      </c>
      <c r="C3960">
        <v>13794</v>
      </c>
      <c r="D3960" t="str">
        <f>VLOOKUP(B3960,Tabela_Auxiliar[],2,0)</f>
        <v>1. Receita Operacional Bruta</v>
      </c>
      <c r="E3960" t="str">
        <f>VLOOKUP(B3960,Tabela_Auxiliar[],4,0)</f>
        <v>Receita Bruta</v>
      </c>
      <c r="F3960" t="str">
        <f>VLOOKUP(B3960,Tabela_Auxiliar[],3,0)</f>
        <v>Entrada</v>
      </c>
      <c r="G3960" t="str">
        <f>UPPER(TEXT(Tabela_DB[[#This Row],[DATA]],"mmm"))</f>
        <v>SET</v>
      </c>
      <c r="H3960" t="str">
        <f>UPPER(TEXT(Tabela_DB[[#This Row],[DATA]],"aaaa"))</f>
        <v>2021</v>
      </c>
    </row>
    <row r="3961" spans="1:8" x14ac:dyDescent="0.25">
      <c r="A3961" s="2">
        <v>44440</v>
      </c>
      <c r="B3961" t="s">
        <v>61</v>
      </c>
      <c r="C3961">
        <v>-1424</v>
      </c>
      <c r="D3961" t="str">
        <f>VLOOKUP(B3961,Tabela_Auxiliar[],2,0)</f>
        <v>4. Despesas Operacionais</v>
      </c>
      <c r="E3961" t="str">
        <f>VLOOKUP(B3961,Tabela_Auxiliar[],4,0)</f>
        <v>Despesa de Depreciação</v>
      </c>
      <c r="F3961" t="str">
        <f>VLOOKUP(B3961,Tabela_Auxiliar[],3,0)</f>
        <v>Saída</v>
      </c>
      <c r="G3961" t="str">
        <f>UPPER(TEXT(Tabela_DB[[#This Row],[DATA]],"mmm"))</f>
        <v>SET</v>
      </c>
      <c r="H3961" t="str">
        <f>UPPER(TEXT(Tabela_DB[[#This Row],[DATA]],"aaaa"))</f>
        <v>2021</v>
      </c>
    </row>
    <row r="3962" spans="1:8" x14ac:dyDescent="0.25">
      <c r="A3962" s="2">
        <v>44440</v>
      </c>
      <c r="B3962" t="s">
        <v>3</v>
      </c>
      <c r="C3962">
        <v>13276</v>
      </c>
      <c r="D3962" t="str">
        <f>VLOOKUP(B3962,Tabela_Auxiliar[],2,0)</f>
        <v>1. Receita Operacional Bruta</v>
      </c>
      <c r="E3962" t="str">
        <f>VLOOKUP(B3962,Tabela_Auxiliar[],4,0)</f>
        <v>Receita Bruta</v>
      </c>
      <c r="F3962" t="str">
        <f>VLOOKUP(B3962,Tabela_Auxiliar[],3,0)</f>
        <v>Entrada</v>
      </c>
      <c r="G3962" t="str">
        <f>UPPER(TEXT(Tabela_DB[[#This Row],[DATA]],"mmm"))</f>
        <v>SET</v>
      </c>
      <c r="H3962" t="str">
        <f>UPPER(TEXT(Tabela_DB[[#This Row],[DATA]],"aaaa"))</f>
        <v>2021</v>
      </c>
    </row>
    <row r="3963" spans="1:8" x14ac:dyDescent="0.25">
      <c r="A3963" s="2">
        <v>44440</v>
      </c>
      <c r="B3963" t="s">
        <v>37</v>
      </c>
      <c r="C3963">
        <v>-2618</v>
      </c>
      <c r="D3963" t="str">
        <f>VLOOKUP(B3963,Tabela_Auxiliar[],2,0)</f>
        <v>3. Custos do Produto/Mercadoria/Serviço</v>
      </c>
      <c r="E3963" t="str">
        <f>VLOOKUP(B3963,Tabela_Auxiliar[],4,0)</f>
        <v>Despesas c/ Produto</v>
      </c>
      <c r="F3963" t="str">
        <f>VLOOKUP(B3963,Tabela_Auxiliar[],3,0)</f>
        <v>Saída</v>
      </c>
      <c r="G3963" t="str">
        <f>UPPER(TEXT(Tabela_DB[[#This Row],[DATA]],"mmm"))</f>
        <v>SET</v>
      </c>
      <c r="H3963" t="str">
        <f>UPPER(TEXT(Tabela_DB[[#This Row],[DATA]],"aaaa"))</f>
        <v>2021</v>
      </c>
    </row>
    <row r="3964" spans="1:8" x14ac:dyDescent="0.25">
      <c r="A3964" s="2">
        <v>44440</v>
      </c>
      <c r="B3964" t="s">
        <v>4</v>
      </c>
      <c r="C3964">
        <v>12463</v>
      </c>
      <c r="D3964" t="str">
        <f>VLOOKUP(B3964,Tabela_Auxiliar[],2,0)</f>
        <v>1. Receita Operacional Bruta</v>
      </c>
      <c r="E3964" t="str">
        <f>VLOOKUP(B3964,Tabela_Auxiliar[],4,0)</f>
        <v>Receita Bruta</v>
      </c>
      <c r="F3964" t="str">
        <f>VLOOKUP(B3964,Tabela_Auxiliar[],3,0)</f>
        <v>Entrada</v>
      </c>
      <c r="G3964" t="str">
        <f>UPPER(TEXT(Tabela_DB[[#This Row],[DATA]],"mmm"))</f>
        <v>SET</v>
      </c>
      <c r="H3964" t="str">
        <f>UPPER(TEXT(Tabela_DB[[#This Row],[DATA]],"aaaa"))</f>
        <v>2021</v>
      </c>
    </row>
    <row r="3965" spans="1:8" x14ac:dyDescent="0.25">
      <c r="A3965" s="2">
        <v>44440</v>
      </c>
      <c r="B3965" t="s">
        <v>37</v>
      </c>
      <c r="C3965">
        <v>-2622</v>
      </c>
      <c r="D3965" t="str">
        <f>VLOOKUP(B3965,Tabela_Auxiliar[],2,0)</f>
        <v>3. Custos do Produto/Mercadoria/Serviço</v>
      </c>
      <c r="E3965" t="str">
        <f>VLOOKUP(B3965,Tabela_Auxiliar[],4,0)</f>
        <v>Despesas c/ Produto</v>
      </c>
      <c r="F3965" t="str">
        <f>VLOOKUP(B3965,Tabela_Auxiliar[],3,0)</f>
        <v>Saída</v>
      </c>
      <c r="G3965" t="str">
        <f>UPPER(TEXT(Tabela_DB[[#This Row],[DATA]],"mmm"))</f>
        <v>SET</v>
      </c>
      <c r="H3965" t="str">
        <f>UPPER(TEXT(Tabela_DB[[#This Row],[DATA]],"aaaa"))</f>
        <v>2021</v>
      </c>
    </row>
    <row r="3966" spans="1:8" x14ac:dyDescent="0.25">
      <c r="A3966" s="2">
        <v>44440</v>
      </c>
      <c r="B3966" t="s">
        <v>86</v>
      </c>
      <c r="C3966">
        <v>-2478</v>
      </c>
      <c r="D3966" t="str">
        <f>VLOOKUP(B3966,Tabela_Auxiliar[],2,0)</f>
        <v>4. Despesas Operacionais</v>
      </c>
      <c r="E3966" t="str">
        <f>VLOOKUP(B3966,Tabela_Auxiliar[],4,0)</f>
        <v>Despesa com Veículos</v>
      </c>
      <c r="F3966" t="str">
        <f>VLOOKUP(B3966,Tabela_Auxiliar[],3,0)</f>
        <v>Saída</v>
      </c>
      <c r="G3966" t="str">
        <f>UPPER(TEXT(Tabela_DB[[#This Row],[DATA]],"mmm"))</f>
        <v>SET</v>
      </c>
      <c r="H3966" t="str">
        <f>UPPER(TEXT(Tabela_DB[[#This Row],[DATA]],"aaaa"))</f>
        <v>2021</v>
      </c>
    </row>
    <row r="3967" spans="1:8" x14ac:dyDescent="0.25">
      <c r="A3967" s="2">
        <v>44440</v>
      </c>
      <c r="B3967" t="s">
        <v>111</v>
      </c>
      <c r="C3967">
        <v>-1979</v>
      </c>
      <c r="D3967" t="str">
        <f>VLOOKUP(B3967,Tabela_Auxiliar[],2,0)</f>
        <v>2. Deduções da Receita</v>
      </c>
      <c r="E3967" t="str">
        <f>VLOOKUP(B3967,Tabela_Auxiliar[],4,0)</f>
        <v>Imposto</v>
      </c>
      <c r="F3967" t="str">
        <f>VLOOKUP(B3967,Tabela_Auxiliar[],3,0)</f>
        <v>Saída</v>
      </c>
      <c r="G3967" t="str">
        <f>UPPER(TEXT(Tabela_DB[[#This Row],[DATA]],"mmm"))</f>
        <v>SET</v>
      </c>
      <c r="H3967" t="str">
        <f>UPPER(TEXT(Tabela_DB[[#This Row],[DATA]],"aaaa"))</f>
        <v>2021</v>
      </c>
    </row>
    <row r="3968" spans="1:8" x14ac:dyDescent="0.25">
      <c r="A3968" s="2">
        <v>44440</v>
      </c>
      <c r="B3968" t="s">
        <v>50</v>
      </c>
      <c r="C3968">
        <v>-1469</v>
      </c>
      <c r="D3968" t="str">
        <f>VLOOKUP(B3968,Tabela_Auxiliar[],2,0)</f>
        <v>4. Despesas Operacionais</v>
      </c>
      <c r="E3968" t="str">
        <f>VLOOKUP(B3968,Tabela_Auxiliar[],4,0)</f>
        <v>Despesa com Pessoal</v>
      </c>
      <c r="F3968" t="str">
        <f>VLOOKUP(B3968,Tabela_Auxiliar[],3,0)</f>
        <v>Saída</v>
      </c>
      <c r="G3968" t="str">
        <f>UPPER(TEXT(Tabela_DB[[#This Row],[DATA]],"mmm"))</f>
        <v>SET</v>
      </c>
      <c r="H3968" t="str">
        <f>UPPER(TEXT(Tabela_DB[[#This Row],[DATA]],"aaaa"))</f>
        <v>2021</v>
      </c>
    </row>
    <row r="3969" spans="1:8" x14ac:dyDescent="0.25">
      <c r="A3969" s="2">
        <v>44440</v>
      </c>
      <c r="B3969" t="s">
        <v>38</v>
      </c>
      <c r="C3969">
        <v>-2204</v>
      </c>
      <c r="D3969" t="str">
        <f>VLOOKUP(B3969,Tabela_Auxiliar[],2,0)</f>
        <v>2. Deduções da Receita</v>
      </c>
      <c r="E3969" t="str">
        <f>VLOOKUP(B3969,Tabela_Auxiliar[],4,0)</f>
        <v>Deduções</v>
      </c>
      <c r="F3969" t="str">
        <f>VLOOKUP(B3969,Tabela_Auxiliar[],3,0)</f>
        <v>Saída</v>
      </c>
      <c r="G3969" t="str">
        <f>UPPER(TEXT(Tabela_DB[[#This Row],[DATA]],"mmm"))</f>
        <v>SET</v>
      </c>
      <c r="H3969" t="str">
        <f>UPPER(TEXT(Tabela_DB[[#This Row],[DATA]],"aaaa"))</f>
        <v>2021</v>
      </c>
    </row>
    <row r="3970" spans="1:8" x14ac:dyDescent="0.25">
      <c r="A3970" s="2">
        <v>44440</v>
      </c>
      <c r="B3970" t="s">
        <v>4</v>
      </c>
      <c r="C3970">
        <v>14168</v>
      </c>
      <c r="D3970" t="str">
        <f>VLOOKUP(B3970,Tabela_Auxiliar[],2,0)</f>
        <v>1. Receita Operacional Bruta</v>
      </c>
      <c r="E3970" t="str">
        <f>VLOOKUP(B3970,Tabela_Auxiliar[],4,0)</f>
        <v>Receita Bruta</v>
      </c>
      <c r="F3970" t="str">
        <f>VLOOKUP(B3970,Tabela_Auxiliar[],3,0)</f>
        <v>Entrada</v>
      </c>
      <c r="G3970" t="str">
        <f>UPPER(TEXT(Tabela_DB[[#This Row],[DATA]],"mmm"))</f>
        <v>SET</v>
      </c>
      <c r="H3970" t="str">
        <f>UPPER(TEXT(Tabela_DB[[#This Row],[DATA]],"aaaa"))</f>
        <v>2021</v>
      </c>
    </row>
    <row r="3971" spans="1:8" x14ac:dyDescent="0.25">
      <c r="A3971" s="2">
        <v>44440</v>
      </c>
      <c r="B3971" t="s">
        <v>68</v>
      </c>
      <c r="C3971">
        <v>-2405</v>
      </c>
      <c r="D3971" t="str">
        <f>VLOOKUP(B3971,Tabela_Auxiliar[],2,0)</f>
        <v>4. Despesas Operacionais</v>
      </c>
      <c r="E3971" t="str">
        <f>VLOOKUP(B3971,Tabela_Auxiliar[],4,0)</f>
        <v>Despesa com Ocupação</v>
      </c>
      <c r="F3971" t="str">
        <f>VLOOKUP(B3971,Tabela_Auxiliar[],3,0)</f>
        <v>Saída</v>
      </c>
      <c r="G3971" t="str">
        <f>UPPER(TEXT(Tabela_DB[[#This Row],[DATA]],"mmm"))</f>
        <v>SET</v>
      </c>
      <c r="H3971" t="str">
        <f>UPPER(TEXT(Tabela_DB[[#This Row],[DATA]],"aaaa"))</f>
        <v>2021</v>
      </c>
    </row>
    <row r="3972" spans="1:8" x14ac:dyDescent="0.25">
      <c r="A3972" s="2">
        <v>44440</v>
      </c>
      <c r="B3972" t="s">
        <v>3</v>
      </c>
      <c r="C3972">
        <v>12599</v>
      </c>
      <c r="D3972" t="str">
        <f>VLOOKUP(B3972,Tabela_Auxiliar[],2,0)</f>
        <v>1. Receita Operacional Bruta</v>
      </c>
      <c r="E3972" t="str">
        <f>VLOOKUP(B3972,Tabela_Auxiliar[],4,0)</f>
        <v>Receita Bruta</v>
      </c>
      <c r="F3972" t="str">
        <f>VLOOKUP(B3972,Tabela_Auxiliar[],3,0)</f>
        <v>Entrada</v>
      </c>
      <c r="G3972" t="str">
        <f>UPPER(TEXT(Tabela_DB[[#This Row],[DATA]],"mmm"))</f>
        <v>SET</v>
      </c>
      <c r="H3972" t="str">
        <f>UPPER(TEXT(Tabela_DB[[#This Row],[DATA]],"aaaa"))</f>
        <v>2021</v>
      </c>
    </row>
    <row r="3973" spans="1:8" x14ac:dyDescent="0.25">
      <c r="A3973" s="2">
        <v>44440</v>
      </c>
      <c r="B3973" t="s">
        <v>78</v>
      </c>
      <c r="C3973">
        <v>-2184</v>
      </c>
      <c r="D3973" t="str">
        <f>VLOOKUP(B3973,Tabela_Auxiliar[],2,0)</f>
        <v>4. Despesas Operacionais</v>
      </c>
      <c r="E3973" t="str">
        <f>VLOOKUP(B3973,Tabela_Auxiliar[],4,0)</f>
        <v>Serviços Contratados</v>
      </c>
      <c r="F3973" t="str">
        <f>VLOOKUP(B3973,Tabela_Auxiliar[],3,0)</f>
        <v>Saída</v>
      </c>
      <c r="G3973" t="str">
        <f>UPPER(TEXT(Tabela_DB[[#This Row],[DATA]],"mmm"))</f>
        <v>SET</v>
      </c>
      <c r="H3973" t="str">
        <f>UPPER(TEXT(Tabela_DB[[#This Row],[DATA]],"aaaa"))</f>
        <v>2021</v>
      </c>
    </row>
    <row r="3974" spans="1:8" x14ac:dyDescent="0.25">
      <c r="A3974" s="2">
        <v>44440</v>
      </c>
      <c r="B3974" t="s">
        <v>37</v>
      </c>
      <c r="C3974">
        <v>-3864</v>
      </c>
      <c r="D3974" t="str">
        <f>VLOOKUP(B3974,Tabela_Auxiliar[],2,0)</f>
        <v>3. Custos do Produto/Mercadoria/Serviço</v>
      </c>
      <c r="E3974" t="str">
        <f>VLOOKUP(B3974,Tabela_Auxiliar[],4,0)</f>
        <v>Despesas c/ Produto</v>
      </c>
      <c r="F3974" t="str">
        <f>VLOOKUP(B3974,Tabela_Auxiliar[],3,0)</f>
        <v>Saída</v>
      </c>
      <c r="G3974" t="str">
        <f>UPPER(TEXT(Tabela_DB[[#This Row],[DATA]],"mmm"))</f>
        <v>SET</v>
      </c>
      <c r="H3974" t="str">
        <f>UPPER(TEXT(Tabela_DB[[#This Row],[DATA]],"aaaa"))</f>
        <v>2021</v>
      </c>
    </row>
    <row r="3975" spans="1:8" x14ac:dyDescent="0.25">
      <c r="A3975" s="2">
        <v>44440</v>
      </c>
      <c r="B3975" t="s">
        <v>4</v>
      </c>
      <c r="C3975">
        <v>10127</v>
      </c>
      <c r="D3975" t="str">
        <f>VLOOKUP(B3975,Tabela_Auxiliar[],2,0)</f>
        <v>1. Receita Operacional Bruta</v>
      </c>
      <c r="E3975" t="str">
        <f>VLOOKUP(B3975,Tabela_Auxiliar[],4,0)</f>
        <v>Receita Bruta</v>
      </c>
      <c r="F3975" t="str">
        <f>VLOOKUP(B3975,Tabela_Auxiliar[],3,0)</f>
        <v>Entrada</v>
      </c>
      <c r="G3975" t="str">
        <f>UPPER(TEXT(Tabela_DB[[#This Row],[DATA]],"mmm"))</f>
        <v>SET</v>
      </c>
      <c r="H3975" t="str">
        <f>UPPER(TEXT(Tabela_DB[[#This Row],[DATA]],"aaaa"))</f>
        <v>2021</v>
      </c>
    </row>
    <row r="3976" spans="1:8" x14ac:dyDescent="0.25">
      <c r="A3976" s="2">
        <v>44440</v>
      </c>
      <c r="B3976" t="s">
        <v>65</v>
      </c>
      <c r="C3976">
        <v>-1639</v>
      </c>
      <c r="D3976" t="str">
        <f>VLOOKUP(B3976,Tabela_Auxiliar[],2,0)</f>
        <v>4. Despesas Operacionais</v>
      </c>
      <c r="E3976" t="str">
        <f>VLOOKUP(B3976,Tabela_Auxiliar[],4,0)</f>
        <v>Despesa Gerais</v>
      </c>
      <c r="F3976" t="str">
        <f>VLOOKUP(B3976,Tabela_Auxiliar[],3,0)</f>
        <v>Saída</v>
      </c>
      <c r="G3976" t="str">
        <f>UPPER(TEXT(Tabela_DB[[#This Row],[DATA]],"mmm"))</f>
        <v>SET</v>
      </c>
      <c r="H3976" t="str">
        <f>UPPER(TEXT(Tabela_DB[[#This Row],[DATA]],"aaaa"))</f>
        <v>2021</v>
      </c>
    </row>
    <row r="3977" spans="1:8" x14ac:dyDescent="0.25">
      <c r="A3977" s="2">
        <v>44440</v>
      </c>
      <c r="B3977" t="s">
        <v>4</v>
      </c>
      <c r="C3977">
        <v>12559</v>
      </c>
      <c r="D3977" t="str">
        <f>VLOOKUP(B3977,Tabela_Auxiliar[],2,0)</f>
        <v>1. Receita Operacional Bruta</v>
      </c>
      <c r="E3977" t="str">
        <f>VLOOKUP(B3977,Tabela_Auxiliar[],4,0)</f>
        <v>Receita Bruta</v>
      </c>
      <c r="F3977" t="str">
        <f>VLOOKUP(B3977,Tabela_Auxiliar[],3,0)</f>
        <v>Entrada</v>
      </c>
      <c r="G3977" t="str">
        <f>UPPER(TEXT(Tabela_DB[[#This Row],[DATA]],"mmm"))</f>
        <v>SET</v>
      </c>
      <c r="H3977" t="str">
        <f>UPPER(TEXT(Tabela_DB[[#This Row],[DATA]],"aaaa"))</f>
        <v>2021</v>
      </c>
    </row>
    <row r="3978" spans="1:8" x14ac:dyDescent="0.25">
      <c r="A3978" s="2">
        <v>44440</v>
      </c>
      <c r="B3978" t="s">
        <v>35</v>
      </c>
      <c r="C3978">
        <v>-1819</v>
      </c>
      <c r="D3978" t="str">
        <f>VLOOKUP(B3978,Tabela_Auxiliar[],2,0)</f>
        <v>2. Deduções da Receita</v>
      </c>
      <c r="E3978" t="str">
        <f>VLOOKUP(B3978,Tabela_Auxiliar[],4,0)</f>
        <v>Imposto</v>
      </c>
      <c r="F3978" t="str">
        <f>VLOOKUP(B3978,Tabela_Auxiliar[],3,0)</f>
        <v>Saída</v>
      </c>
      <c r="G3978" t="str">
        <f>UPPER(TEXT(Tabela_DB[[#This Row],[DATA]],"mmm"))</f>
        <v>SET</v>
      </c>
      <c r="H3978" t="str">
        <f>UPPER(TEXT(Tabela_DB[[#This Row],[DATA]],"aaaa"))</f>
        <v>2021</v>
      </c>
    </row>
    <row r="3979" spans="1:8" x14ac:dyDescent="0.25">
      <c r="A3979" s="2">
        <v>44440</v>
      </c>
      <c r="B3979" t="s">
        <v>35</v>
      </c>
      <c r="C3979">
        <v>-2422</v>
      </c>
      <c r="D3979" t="str">
        <f>VLOOKUP(B3979,Tabela_Auxiliar[],2,0)</f>
        <v>2. Deduções da Receita</v>
      </c>
      <c r="E3979" t="str">
        <f>VLOOKUP(B3979,Tabela_Auxiliar[],4,0)</f>
        <v>Imposto</v>
      </c>
      <c r="F3979" t="str">
        <f>VLOOKUP(B3979,Tabela_Auxiliar[],3,0)</f>
        <v>Saída</v>
      </c>
      <c r="G3979" t="str">
        <f>UPPER(TEXT(Tabela_DB[[#This Row],[DATA]],"mmm"))</f>
        <v>SET</v>
      </c>
      <c r="H3979" t="str">
        <f>UPPER(TEXT(Tabela_DB[[#This Row],[DATA]],"aaaa"))</f>
        <v>2021</v>
      </c>
    </row>
    <row r="3980" spans="1:8" x14ac:dyDescent="0.25">
      <c r="A3980" s="2">
        <v>44440</v>
      </c>
      <c r="B3980" t="s">
        <v>3</v>
      </c>
      <c r="C3980">
        <v>14939</v>
      </c>
      <c r="D3980" t="str">
        <f>VLOOKUP(B3980,Tabela_Auxiliar[],2,0)</f>
        <v>1. Receita Operacional Bruta</v>
      </c>
      <c r="E3980" t="str">
        <f>VLOOKUP(B3980,Tabela_Auxiliar[],4,0)</f>
        <v>Receita Bruta</v>
      </c>
      <c r="F3980" t="str">
        <f>VLOOKUP(B3980,Tabela_Auxiliar[],3,0)</f>
        <v>Entrada</v>
      </c>
      <c r="G3980" t="str">
        <f>UPPER(TEXT(Tabela_DB[[#This Row],[DATA]],"mmm"))</f>
        <v>SET</v>
      </c>
      <c r="H3980" t="str">
        <f>UPPER(TEXT(Tabela_DB[[#This Row],[DATA]],"aaaa"))</f>
        <v>2021</v>
      </c>
    </row>
    <row r="3981" spans="1:8" x14ac:dyDescent="0.25">
      <c r="A3981" s="2">
        <v>44440</v>
      </c>
      <c r="B3981" t="s">
        <v>4</v>
      </c>
      <c r="C3981">
        <v>12686</v>
      </c>
      <c r="D3981" t="str">
        <f>VLOOKUP(B3981,Tabela_Auxiliar[],2,0)</f>
        <v>1. Receita Operacional Bruta</v>
      </c>
      <c r="E3981" t="str">
        <f>VLOOKUP(B3981,Tabela_Auxiliar[],4,0)</f>
        <v>Receita Bruta</v>
      </c>
      <c r="F3981" t="str">
        <f>VLOOKUP(B3981,Tabela_Auxiliar[],3,0)</f>
        <v>Entrada</v>
      </c>
      <c r="G3981" t="str">
        <f>UPPER(TEXT(Tabela_DB[[#This Row],[DATA]],"mmm"))</f>
        <v>SET</v>
      </c>
      <c r="H3981" t="str">
        <f>UPPER(TEXT(Tabela_DB[[#This Row],[DATA]],"aaaa"))</f>
        <v>2021</v>
      </c>
    </row>
    <row r="3982" spans="1:8" x14ac:dyDescent="0.25">
      <c r="A3982" s="2">
        <v>44440</v>
      </c>
      <c r="B3982" t="s">
        <v>37</v>
      </c>
      <c r="C3982">
        <v>-3366</v>
      </c>
      <c r="D3982" t="str">
        <f>VLOOKUP(B3982,Tabela_Auxiliar[],2,0)</f>
        <v>3. Custos do Produto/Mercadoria/Serviço</v>
      </c>
      <c r="E3982" t="str">
        <f>VLOOKUP(B3982,Tabela_Auxiliar[],4,0)</f>
        <v>Despesas c/ Produto</v>
      </c>
      <c r="F3982" t="str">
        <f>VLOOKUP(B3982,Tabela_Auxiliar[],3,0)</f>
        <v>Saída</v>
      </c>
      <c r="G3982" t="str">
        <f>UPPER(TEXT(Tabela_DB[[#This Row],[DATA]],"mmm"))</f>
        <v>SET</v>
      </c>
      <c r="H3982" t="str">
        <f>UPPER(TEXT(Tabela_DB[[#This Row],[DATA]],"aaaa"))</f>
        <v>2021</v>
      </c>
    </row>
    <row r="3983" spans="1:8" x14ac:dyDescent="0.25">
      <c r="A3983" s="2">
        <v>44440</v>
      </c>
      <c r="B3983" t="s">
        <v>37</v>
      </c>
      <c r="C3983">
        <v>-3511</v>
      </c>
      <c r="D3983" t="str">
        <f>VLOOKUP(B3983,Tabela_Auxiliar[],2,0)</f>
        <v>3. Custos do Produto/Mercadoria/Serviço</v>
      </c>
      <c r="E3983" t="str">
        <f>VLOOKUP(B3983,Tabela_Auxiliar[],4,0)</f>
        <v>Despesas c/ Produto</v>
      </c>
      <c r="F3983" t="str">
        <f>VLOOKUP(B3983,Tabela_Auxiliar[],3,0)</f>
        <v>Saída</v>
      </c>
      <c r="G3983" t="str">
        <f>UPPER(TEXT(Tabela_DB[[#This Row],[DATA]],"mmm"))</f>
        <v>SET</v>
      </c>
      <c r="H3983" t="str">
        <f>UPPER(TEXT(Tabela_DB[[#This Row],[DATA]],"aaaa"))</f>
        <v>2021</v>
      </c>
    </row>
    <row r="3984" spans="1:8" x14ac:dyDescent="0.25">
      <c r="A3984" s="2">
        <v>44441</v>
      </c>
      <c r="B3984" t="s">
        <v>102</v>
      </c>
      <c r="C3984">
        <v>-2007</v>
      </c>
      <c r="D3984" t="str">
        <f>VLOOKUP(B3984,Tabela_Auxiliar[],2,0)</f>
        <v>6. Resultado após o Resultado Financeiro</v>
      </c>
      <c r="E3984" t="str">
        <f>VLOOKUP(B3984,Tabela_Auxiliar[],4,0)</f>
        <v>EBTIDA</v>
      </c>
      <c r="F3984" t="str">
        <f>VLOOKUP(B3984,Tabela_Auxiliar[],3,0)</f>
        <v>Saída</v>
      </c>
      <c r="G3984" t="str">
        <f>UPPER(TEXT(Tabela_DB[[#This Row],[DATA]],"mmm"))</f>
        <v>SET</v>
      </c>
      <c r="H3984" t="str">
        <f>UPPER(TEXT(Tabela_DB[[#This Row],[DATA]],"aaaa"))</f>
        <v>2021</v>
      </c>
    </row>
    <row r="3985" spans="1:8" x14ac:dyDescent="0.25">
      <c r="A3985" s="2">
        <v>44441</v>
      </c>
      <c r="B3985" t="s">
        <v>3</v>
      </c>
      <c r="C3985">
        <v>13683</v>
      </c>
      <c r="D3985" t="str">
        <f>VLOOKUP(B3985,Tabela_Auxiliar[],2,0)</f>
        <v>1. Receita Operacional Bruta</v>
      </c>
      <c r="E3985" t="str">
        <f>VLOOKUP(B3985,Tabela_Auxiliar[],4,0)</f>
        <v>Receita Bruta</v>
      </c>
      <c r="F3985" t="str">
        <f>VLOOKUP(B3985,Tabela_Auxiliar[],3,0)</f>
        <v>Entrada</v>
      </c>
      <c r="G3985" t="str">
        <f>UPPER(TEXT(Tabela_DB[[#This Row],[DATA]],"mmm"))</f>
        <v>SET</v>
      </c>
      <c r="H3985" t="str">
        <f>UPPER(TEXT(Tabela_DB[[#This Row],[DATA]],"aaaa"))</f>
        <v>2021</v>
      </c>
    </row>
    <row r="3986" spans="1:8" x14ac:dyDescent="0.25">
      <c r="A3986" s="2">
        <v>44441</v>
      </c>
      <c r="B3986" t="s">
        <v>66</v>
      </c>
      <c r="C3986">
        <v>-1850</v>
      </c>
      <c r="D3986" t="str">
        <f>VLOOKUP(B3986,Tabela_Auxiliar[],2,0)</f>
        <v>4. Despesas Operacionais</v>
      </c>
      <c r="E3986" t="str">
        <f>VLOOKUP(B3986,Tabela_Auxiliar[],4,0)</f>
        <v>Despesa com Vendas</v>
      </c>
      <c r="F3986" t="str">
        <f>VLOOKUP(B3986,Tabela_Auxiliar[],3,0)</f>
        <v>Saída</v>
      </c>
      <c r="G3986" t="str">
        <f>UPPER(TEXT(Tabela_DB[[#This Row],[DATA]],"mmm"))</f>
        <v>SET</v>
      </c>
      <c r="H3986" t="str">
        <f>UPPER(TEXT(Tabela_DB[[#This Row],[DATA]],"aaaa"))</f>
        <v>2021</v>
      </c>
    </row>
    <row r="3987" spans="1:8" x14ac:dyDescent="0.25">
      <c r="A3987" s="2">
        <v>44441</v>
      </c>
      <c r="B3987" t="s">
        <v>4</v>
      </c>
      <c r="C3987">
        <v>12503</v>
      </c>
      <c r="D3987" t="str">
        <f>VLOOKUP(B3987,Tabela_Auxiliar[],2,0)</f>
        <v>1. Receita Operacional Bruta</v>
      </c>
      <c r="E3987" t="str">
        <f>VLOOKUP(B3987,Tabela_Auxiliar[],4,0)</f>
        <v>Receita Bruta</v>
      </c>
      <c r="F3987" t="str">
        <f>VLOOKUP(B3987,Tabela_Auxiliar[],3,0)</f>
        <v>Entrada</v>
      </c>
      <c r="G3987" t="str">
        <f>UPPER(TEXT(Tabela_DB[[#This Row],[DATA]],"mmm"))</f>
        <v>SET</v>
      </c>
      <c r="H3987" t="str">
        <f>UPPER(TEXT(Tabela_DB[[#This Row],[DATA]],"aaaa"))</f>
        <v>2021</v>
      </c>
    </row>
    <row r="3988" spans="1:8" x14ac:dyDescent="0.25">
      <c r="A3988" s="2">
        <v>44441</v>
      </c>
      <c r="B3988" t="s">
        <v>38</v>
      </c>
      <c r="C3988">
        <v>-1876</v>
      </c>
      <c r="D3988" t="str">
        <f>VLOOKUP(B3988,Tabela_Auxiliar[],2,0)</f>
        <v>2. Deduções da Receita</v>
      </c>
      <c r="E3988" t="str">
        <f>VLOOKUP(B3988,Tabela_Auxiliar[],4,0)</f>
        <v>Deduções</v>
      </c>
      <c r="F3988" t="str">
        <f>VLOOKUP(B3988,Tabela_Auxiliar[],3,0)</f>
        <v>Saída</v>
      </c>
      <c r="G3988" t="str">
        <f>UPPER(TEXT(Tabela_DB[[#This Row],[DATA]],"mmm"))</f>
        <v>SET</v>
      </c>
      <c r="H3988" t="str">
        <f>UPPER(TEXT(Tabela_DB[[#This Row],[DATA]],"aaaa"))</f>
        <v>2021</v>
      </c>
    </row>
    <row r="3989" spans="1:8" x14ac:dyDescent="0.25">
      <c r="A3989" s="2">
        <v>44441</v>
      </c>
      <c r="B3989" t="s">
        <v>38</v>
      </c>
      <c r="C3989">
        <v>-1004</v>
      </c>
      <c r="D3989" t="str">
        <f>VLOOKUP(B3989,Tabela_Auxiliar[],2,0)</f>
        <v>2. Deduções da Receita</v>
      </c>
      <c r="E3989" t="str">
        <f>VLOOKUP(B3989,Tabela_Auxiliar[],4,0)</f>
        <v>Deduções</v>
      </c>
      <c r="F3989" t="str">
        <f>VLOOKUP(B3989,Tabela_Auxiliar[],3,0)</f>
        <v>Saída</v>
      </c>
      <c r="G3989" t="str">
        <f>UPPER(TEXT(Tabela_DB[[#This Row],[DATA]],"mmm"))</f>
        <v>SET</v>
      </c>
      <c r="H3989" t="str">
        <f>UPPER(TEXT(Tabela_DB[[#This Row],[DATA]],"aaaa"))</f>
        <v>2021</v>
      </c>
    </row>
    <row r="3990" spans="1:8" x14ac:dyDescent="0.25">
      <c r="A3990" s="2">
        <v>44441</v>
      </c>
      <c r="B3990" t="s">
        <v>35</v>
      </c>
      <c r="C3990">
        <v>-1259</v>
      </c>
      <c r="D3990" t="str">
        <f>VLOOKUP(B3990,Tabela_Auxiliar[],2,0)</f>
        <v>2. Deduções da Receita</v>
      </c>
      <c r="E3990" t="str">
        <f>VLOOKUP(B3990,Tabela_Auxiliar[],4,0)</f>
        <v>Imposto</v>
      </c>
      <c r="F3990" t="str">
        <f>VLOOKUP(B3990,Tabela_Auxiliar[],3,0)</f>
        <v>Saída</v>
      </c>
      <c r="G3990" t="str">
        <f>UPPER(TEXT(Tabela_DB[[#This Row],[DATA]],"mmm"))</f>
        <v>SET</v>
      </c>
      <c r="H3990" t="str">
        <f>UPPER(TEXT(Tabela_DB[[#This Row],[DATA]],"aaaa"))</f>
        <v>2021</v>
      </c>
    </row>
    <row r="3991" spans="1:8" x14ac:dyDescent="0.25">
      <c r="A3991" s="2">
        <v>44441</v>
      </c>
      <c r="B3991" t="s">
        <v>4</v>
      </c>
      <c r="C3991">
        <v>13659</v>
      </c>
      <c r="D3991" t="str">
        <f>VLOOKUP(B3991,Tabela_Auxiliar[],2,0)</f>
        <v>1. Receita Operacional Bruta</v>
      </c>
      <c r="E3991" t="str">
        <f>VLOOKUP(B3991,Tabela_Auxiliar[],4,0)</f>
        <v>Receita Bruta</v>
      </c>
      <c r="F3991" t="str">
        <f>VLOOKUP(B3991,Tabela_Auxiliar[],3,0)</f>
        <v>Entrada</v>
      </c>
      <c r="G3991" t="str">
        <f>UPPER(TEXT(Tabela_DB[[#This Row],[DATA]],"mmm"))</f>
        <v>SET</v>
      </c>
      <c r="H3991" t="str">
        <f>UPPER(TEXT(Tabela_DB[[#This Row],[DATA]],"aaaa"))</f>
        <v>2021</v>
      </c>
    </row>
    <row r="3992" spans="1:8" x14ac:dyDescent="0.25">
      <c r="A3992" s="2">
        <v>44441</v>
      </c>
      <c r="B3992" t="s">
        <v>8</v>
      </c>
      <c r="C3992">
        <v>-1463</v>
      </c>
      <c r="D3992" t="str">
        <f>VLOOKUP(B3992,Tabela_Auxiliar[],2,0)</f>
        <v>4. Despesas Operacionais</v>
      </c>
      <c r="E3992" t="str">
        <f>VLOOKUP(B3992,Tabela_Auxiliar[],4,0)</f>
        <v>Despesa com Pessoal</v>
      </c>
      <c r="F3992" t="str">
        <f>VLOOKUP(B3992,Tabela_Auxiliar[],3,0)</f>
        <v>Saída</v>
      </c>
      <c r="G3992" t="str">
        <f>UPPER(TEXT(Tabela_DB[[#This Row],[DATA]],"mmm"))</f>
        <v>SET</v>
      </c>
      <c r="H3992" t="str">
        <f>UPPER(TEXT(Tabela_DB[[#This Row],[DATA]],"aaaa"))</f>
        <v>2021</v>
      </c>
    </row>
    <row r="3993" spans="1:8" x14ac:dyDescent="0.25">
      <c r="A3993" s="2">
        <v>44441</v>
      </c>
      <c r="B3993" t="s">
        <v>35</v>
      </c>
      <c r="C3993">
        <v>-2399</v>
      </c>
      <c r="D3993" t="str">
        <f>VLOOKUP(B3993,Tabela_Auxiliar[],2,0)</f>
        <v>2. Deduções da Receita</v>
      </c>
      <c r="E3993" t="str">
        <f>VLOOKUP(B3993,Tabela_Auxiliar[],4,0)</f>
        <v>Imposto</v>
      </c>
      <c r="F3993" t="str">
        <f>VLOOKUP(B3993,Tabela_Auxiliar[],3,0)</f>
        <v>Saída</v>
      </c>
      <c r="G3993" t="str">
        <f>UPPER(TEXT(Tabela_DB[[#This Row],[DATA]],"mmm"))</f>
        <v>SET</v>
      </c>
      <c r="H3993" t="str">
        <f>UPPER(TEXT(Tabela_DB[[#This Row],[DATA]],"aaaa"))</f>
        <v>2021</v>
      </c>
    </row>
    <row r="3994" spans="1:8" x14ac:dyDescent="0.25">
      <c r="A3994" s="2">
        <v>44442</v>
      </c>
      <c r="B3994" t="s">
        <v>34</v>
      </c>
      <c r="C3994">
        <v>-1008</v>
      </c>
      <c r="D3994" t="str">
        <f>VLOOKUP(B3994,Tabela_Auxiliar[],2,0)</f>
        <v>2. Deduções da Receita</v>
      </c>
      <c r="E3994" t="str">
        <f>VLOOKUP(B3994,Tabela_Auxiliar[],4,0)</f>
        <v>Imposto</v>
      </c>
      <c r="F3994" t="str">
        <f>VLOOKUP(B3994,Tabela_Auxiliar[],3,0)</f>
        <v>Saída</v>
      </c>
      <c r="G3994" t="str">
        <f>UPPER(TEXT(Tabela_DB[[#This Row],[DATA]],"mmm"))</f>
        <v>SET</v>
      </c>
      <c r="H3994" t="str">
        <f>UPPER(TEXT(Tabela_DB[[#This Row],[DATA]],"aaaa"))</f>
        <v>2021</v>
      </c>
    </row>
    <row r="3995" spans="1:8" x14ac:dyDescent="0.25">
      <c r="A3995" s="2">
        <v>44442</v>
      </c>
      <c r="B3995" t="s">
        <v>45</v>
      </c>
      <c r="C3995">
        <v>-1049</v>
      </c>
      <c r="D3995" t="str">
        <f>VLOOKUP(B3995,Tabela_Auxiliar[],2,0)</f>
        <v>4. Despesas Operacionais</v>
      </c>
      <c r="E3995" t="str">
        <f>VLOOKUP(B3995,Tabela_Auxiliar[],4,0)</f>
        <v>Despesa com Pessoal</v>
      </c>
      <c r="F3995" t="str">
        <f>VLOOKUP(B3995,Tabela_Auxiliar[],3,0)</f>
        <v>Saída</v>
      </c>
      <c r="G3995" t="str">
        <f>UPPER(TEXT(Tabela_DB[[#This Row],[DATA]],"mmm"))</f>
        <v>SET</v>
      </c>
      <c r="H3995" t="str">
        <f>UPPER(TEXT(Tabela_DB[[#This Row],[DATA]],"aaaa"))</f>
        <v>2021</v>
      </c>
    </row>
    <row r="3996" spans="1:8" x14ac:dyDescent="0.25">
      <c r="A3996" s="2">
        <v>44442</v>
      </c>
      <c r="B3996" t="s">
        <v>38</v>
      </c>
      <c r="C3996">
        <v>-1421</v>
      </c>
      <c r="D3996" t="str">
        <f>VLOOKUP(B3996,Tabela_Auxiliar[],2,0)</f>
        <v>2. Deduções da Receita</v>
      </c>
      <c r="E3996" t="str">
        <f>VLOOKUP(B3996,Tabela_Auxiliar[],4,0)</f>
        <v>Deduções</v>
      </c>
      <c r="F3996" t="str">
        <f>VLOOKUP(B3996,Tabela_Auxiliar[],3,0)</f>
        <v>Saída</v>
      </c>
      <c r="G3996" t="str">
        <f>UPPER(TEXT(Tabela_DB[[#This Row],[DATA]],"mmm"))</f>
        <v>SET</v>
      </c>
      <c r="H3996" t="str">
        <f>UPPER(TEXT(Tabela_DB[[#This Row],[DATA]],"aaaa"))</f>
        <v>2021</v>
      </c>
    </row>
    <row r="3997" spans="1:8" x14ac:dyDescent="0.25">
      <c r="A3997" s="2">
        <v>44442</v>
      </c>
      <c r="B3997" t="s">
        <v>100</v>
      </c>
      <c r="C3997">
        <v>2257</v>
      </c>
      <c r="D3997" t="str">
        <f>VLOOKUP(B3997,Tabela_Auxiliar[],2,0)</f>
        <v>5. Resultado Financeiro</v>
      </c>
      <c r="E3997" t="str">
        <f>VLOOKUP(B3997,Tabela_Auxiliar[],4,0)</f>
        <v>Receita Financeira</v>
      </c>
      <c r="F3997" t="str">
        <f>VLOOKUP(B3997,Tabela_Auxiliar[],3,0)</f>
        <v>Saída</v>
      </c>
      <c r="G3997" t="str">
        <f>UPPER(TEXT(Tabela_DB[[#This Row],[DATA]],"mmm"))</f>
        <v>SET</v>
      </c>
      <c r="H3997" t="str">
        <f>UPPER(TEXT(Tabela_DB[[#This Row],[DATA]],"aaaa"))</f>
        <v>2021</v>
      </c>
    </row>
    <row r="3998" spans="1:8" x14ac:dyDescent="0.25">
      <c r="A3998" s="2">
        <v>44442</v>
      </c>
      <c r="B3998" t="s">
        <v>38</v>
      </c>
      <c r="C3998">
        <v>-1706</v>
      </c>
      <c r="D3998" t="str">
        <f>VLOOKUP(B3998,Tabela_Auxiliar[],2,0)</f>
        <v>2. Deduções da Receita</v>
      </c>
      <c r="E3998" t="str">
        <f>VLOOKUP(B3998,Tabela_Auxiliar[],4,0)</f>
        <v>Deduções</v>
      </c>
      <c r="F3998" t="str">
        <f>VLOOKUP(B3998,Tabela_Auxiliar[],3,0)</f>
        <v>Saída</v>
      </c>
      <c r="G3998" t="str">
        <f>UPPER(TEXT(Tabela_DB[[#This Row],[DATA]],"mmm"))</f>
        <v>SET</v>
      </c>
      <c r="H3998" t="str">
        <f>UPPER(TEXT(Tabela_DB[[#This Row],[DATA]],"aaaa"))</f>
        <v>2021</v>
      </c>
    </row>
    <row r="3999" spans="1:8" x14ac:dyDescent="0.25">
      <c r="A3999" s="2">
        <v>44442</v>
      </c>
      <c r="B3999" t="s">
        <v>37</v>
      </c>
      <c r="C3999">
        <v>-2971</v>
      </c>
      <c r="D3999" t="str">
        <f>VLOOKUP(B3999,Tabela_Auxiliar[],2,0)</f>
        <v>3. Custos do Produto/Mercadoria/Serviço</v>
      </c>
      <c r="E3999" t="str">
        <f>VLOOKUP(B3999,Tabela_Auxiliar[],4,0)</f>
        <v>Despesas c/ Produto</v>
      </c>
      <c r="F3999" t="str">
        <f>VLOOKUP(B3999,Tabela_Auxiliar[],3,0)</f>
        <v>Saída</v>
      </c>
      <c r="G3999" t="str">
        <f>UPPER(TEXT(Tabela_DB[[#This Row],[DATA]],"mmm"))</f>
        <v>SET</v>
      </c>
      <c r="H3999" t="str">
        <f>UPPER(TEXT(Tabela_DB[[#This Row],[DATA]],"aaaa"))</f>
        <v>2021</v>
      </c>
    </row>
    <row r="4000" spans="1:8" x14ac:dyDescent="0.25">
      <c r="A4000" s="2">
        <v>44442</v>
      </c>
      <c r="B4000" t="s">
        <v>35</v>
      </c>
      <c r="C4000">
        <v>-2139</v>
      </c>
      <c r="D4000" t="str">
        <f>VLOOKUP(B4000,Tabela_Auxiliar[],2,0)</f>
        <v>2. Deduções da Receita</v>
      </c>
      <c r="E4000" t="str">
        <f>VLOOKUP(B4000,Tabela_Auxiliar[],4,0)</f>
        <v>Imposto</v>
      </c>
      <c r="F4000" t="str">
        <f>VLOOKUP(B4000,Tabela_Auxiliar[],3,0)</f>
        <v>Saída</v>
      </c>
      <c r="G4000" t="str">
        <f>UPPER(TEXT(Tabela_DB[[#This Row],[DATA]],"mmm"))</f>
        <v>SET</v>
      </c>
      <c r="H4000" t="str">
        <f>UPPER(TEXT(Tabela_DB[[#This Row],[DATA]],"aaaa"))</f>
        <v>2021</v>
      </c>
    </row>
    <row r="4001" spans="1:8" x14ac:dyDescent="0.25">
      <c r="A4001" s="2">
        <v>44442</v>
      </c>
      <c r="B4001" t="s">
        <v>34</v>
      </c>
      <c r="C4001">
        <v>-1240</v>
      </c>
      <c r="D4001" t="str">
        <f>VLOOKUP(B4001,Tabela_Auxiliar[],2,0)</f>
        <v>2. Deduções da Receita</v>
      </c>
      <c r="E4001" t="str">
        <f>VLOOKUP(B4001,Tabela_Auxiliar[],4,0)</f>
        <v>Imposto</v>
      </c>
      <c r="F4001" t="str">
        <f>VLOOKUP(B4001,Tabela_Auxiliar[],3,0)</f>
        <v>Saída</v>
      </c>
      <c r="G4001" t="str">
        <f>UPPER(TEXT(Tabela_DB[[#This Row],[DATA]],"mmm"))</f>
        <v>SET</v>
      </c>
      <c r="H4001" t="str">
        <f>UPPER(TEXT(Tabela_DB[[#This Row],[DATA]],"aaaa"))</f>
        <v>2021</v>
      </c>
    </row>
    <row r="4002" spans="1:8" x14ac:dyDescent="0.25">
      <c r="A4002" s="2">
        <v>44442</v>
      </c>
      <c r="B4002" t="s">
        <v>35</v>
      </c>
      <c r="C4002">
        <v>-1787</v>
      </c>
      <c r="D4002" t="str">
        <f>VLOOKUP(B4002,Tabela_Auxiliar[],2,0)</f>
        <v>2. Deduções da Receita</v>
      </c>
      <c r="E4002" t="str">
        <f>VLOOKUP(B4002,Tabela_Auxiliar[],4,0)</f>
        <v>Imposto</v>
      </c>
      <c r="F4002" t="str">
        <f>VLOOKUP(B4002,Tabela_Auxiliar[],3,0)</f>
        <v>Saída</v>
      </c>
      <c r="G4002" t="str">
        <f>UPPER(TEXT(Tabela_DB[[#This Row],[DATA]],"mmm"))</f>
        <v>SET</v>
      </c>
      <c r="H4002" t="str">
        <f>UPPER(TEXT(Tabela_DB[[#This Row],[DATA]],"aaaa"))</f>
        <v>2021</v>
      </c>
    </row>
    <row r="4003" spans="1:8" x14ac:dyDescent="0.25">
      <c r="A4003" s="2">
        <v>44442</v>
      </c>
      <c r="B4003" t="s">
        <v>3</v>
      </c>
      <c r="C4003">
        <v>14247</v>
      </c>
      <c r="D4003" t="str">
        <f>VLOOKUP(B4003,Tabela_Auxiliar[],2,0)</f>
        <v>1. Receita Operacional Bruta</v>
      </c>
      <c r="E4003" t="str">
        <f>VLOOKUP(B4003,Tabela_Auxiliar[],4,0)</f>
        <v>Receita Bruta</v>
      </c>
      <c r="F4003" t="str">
        <f>VLOOKUP(B4003,Tabela_Auxiliar[],3,0)</f>
        <v>Entrada</v>
      </c>
      <c r="G4003" t="str">
        <f>UPPER(TEXT(Tabela_DB[[#This Row],[DATA]],"mmm"))</f>
        <v>SET</v>
      </c>
      <c r="H4003" t="str">
        <f>UPPER(TEXT(Tabela_DB[[#This Row],[DATA]],"aaaa"))</f>
        <v>2021</v>
      </c>
    </row>
    <row r="4004" spans="1:8" x14ac:dyDescent="0.25">
      <c r="A4004" s="2">
        <v>44443</v>
      </c>
      <c r="B4004" t="s">
        <v>87</v>
      </c>
      <c r="C4004">
        <v>-2497</v>
      </c>
      <c r="D4004" t="str">
        <f>VLOOKUP(B4004,Tabela_Auxiliar[],2,0)</f>
        <v>4. Despesas Operacionais</v>
      </c>
      <c r="E4004" t="str">
        <f>VLOOKUP(B4004,Tabela_Auxiliar[],4,0)</f>
        <v>Despesa Tributária</v>
      </c>
      <c r="F4004" t="str">
        <f>VLOOKUP(B4004,Tabela_Auxiliar[],3,0)</f>
        <v>Saída</v>
      </c>
      <c r="G4004" t="str">
        <f>UPPER(TEXT(Tabela_DB[[#This Row],[DATA]],"mmm"))</f>
        <v>SET</v>
      </c>
      <c r="H4004" t="str">
        <f>UPPER(TEXT(Tabela_DB[[#This Row],[DATA]],"aaaa"))</f>
        <v>2021</v>
      </c>
    </row>
    <row r="4005" spans="1:8" x14ac:dyDescent="0.25">
      <c r="A4005" s="2">
        <v>44443</v>
      </c>
      <c r="B4005" t="s">
        <v>87</v>
      </c>
      <c r="C4005">
        <v>-1173</v>
      </c>
      <c r="D4005" t="str">
        <f>VLOOKUP(B4005,Tabela_Auxiliar[],2,0)</f>
        <v>4. Despesas Operacionais</v>
      </c>
      <c r="E4005" t="str">
        <f>VLOOKUP(B4005,Tabela_Auxiliar[],4,0)</f>
        <v>Despesa Tributária</v>
      </c>
      <c r="F4005" t="str">
        <f>VLOOKUP(B4005,Tabela_Auxiliar[],3,0)</f>
        <v>Saída</v>
      </c>
      <c r="G4005" t="str">
        <f>UPPER(TEXT(Tabela_DB[[#This Row],[DATA]],"mmm"))</f>
        <v>SET</v>
      </c>
      <c r="H4005" t="str">
        <f>UPPER(TEXT(Tabela_DB[[#This Row],[DATA]],"aaaa"))</f>
        <v>2021</v>
      </c>
    </row>
    <row r="4006" spans="1:8" x14ac:dyDescent="0.25">
      <c r="A4006" s="2">
        <v>44443</v>
      </c>
      <c r="B4006" t="s">
        <v>37</v>
      </c>
      <c r="C4006">
        <v>-2946</v>
      </c>
      <c r="D4006" t="str">
        <f>VLOOKUP(B4006,Tabela_Auxiliar[],2,0)</f>
        <v>3. Custos do Produto/Mercadoria/Serviço</v>
      </c>
      <c r="E4006" t="str">
        <f>VLOOKUP(B4006,Tabela_Auxiliar[],4,0)</f>
        <v>Despesas c/ Produto</v>
      </c>
      <c r="F4006" t="str">
        <f>VLOOKUP(B4006,Tabela_Auxiliar[],3,0)</f>
        <v>Saída</v>
      </c>
      <c r="G4006" t="str">
        <f>UPPER(TEXT(Tabela_DB[[#This Row],[DATA]],"mmm"))</f>
        <v>SET</v>
      </c>
      <c r="H4006" t="str">
        <f>UPPER(TEXT(Tabela_DB[[#This Row],[DATA]],"aaaa"))</f>
        <v>2021</v>
      </c>
    </row>
    <row r="4007" spans="1:8" x14ac:dyDescent="0.25">
      <c r="A4007" s="2">
        <v>44443</v>
      </c>
      <c r="B4007" t="s">
        <v>60</v>
      </c>
      <c r="C4007">
        <v>-1198</v>
      </c>
      <c r="D4007" t="str">
        <f>VLOOKUP(B4007,Tabela_Auxiliar[],2,0)</f>
        <v>4. Despesas Operacionais</v>
      </c>
      <c r="E4007" t="str">
        <f>VLOOKUP(B4007,Tabela_Auxiliar[],4,0)</f>
        <v>Despesa de Depreciação</v>
      </c>
      <c r="F4007" t="str">
        <f>VLOOKUP(B4007,Tabela_Auxiliar[],3,0)</f>
        <v>Saída</v>
      </c>
      <c r="G4007" t="str">
        <f>UPPER(TEXT(Tabela_DB[[#This Row],[DATA]],"mmm"))</f>
        <v>SET</v>
      </c>
      <c r="H4007" t="str">
        <f>UPPER(TEXT(Tabela_DB[[#This Row],[DATA]],"aaaa"))</f>
        <v>2021</v>
      </c>
    </row>
    <row r="4008" spans="1:8" x14ac:dyDescent="0.25">
      <c r="A4008" s="2">
        <v>44443</v>
      </c>
      <c r="B4008" t="s">
        <v>34</v>
      </c>
      <c r="C4008">
        <v>-2448</v>
      </c>
      <c r="D4008" t="str">
        <f>VLOOKUP(B4008,Tabela_Auxiliar[],2,0)</f>
        <v>2. Deduções da Receita</v>
      </c>
      <c r="E4008" t="str">
        <f>VLOOKUP(B4008,Tabela_Auxiliar[],4,0)</f>
        <v>Imposto</v>
      </c>
      <c r="F4008" t="str">
        <f>VLOOKUP(B4008,Tabela_Auxiliar[],3,0)</f>
        <v>Saída</v>
      </c>
      <c r="G4008" t="str">
        <f>UPPER(TEXT(Tabela_DB[[#This Row],[DATA]],"mmm"))</f>
        <v>SET</v>
      </c>
      <c r="H4008" t="str">
        <f>UPPER(TEXT(Tabela_DB[[#This Row],[DATA]],"aaaa"))</f>
        <v>2021</v>
      </c>
    </row>
    <row r="4009" spans="1:8" x14ac:dyDescent="0.25">
      <c r="A4009" s="2">
        <v>44443</v>
      </c>
      <c r="B4009" t="s">
        <v>4</v>
      </c>
      <c r="C4009">
        <v>10360</v>
      </c>
      <c r="D4009" t="str">
        <f>VLOOKUP(B4009,Tabela_Auxiliar[],2,0)</f>
        <v>1. Receita Operacional Bruta</v>
      </c>
      <c r="E4009" t="str">
        <f>VLOOKUP(B4009,Tabela_Auxiliar[],4,0)</f>
        <v>Receita Bruta</v>
      </c>
      <c r="F4009" t="str">
        <f>VLOOKUP(B4009,Tabela_Auxiliar[],3,0)</f>
        <v>Entrada</v>
      </c>
      <c r="G4009" t="str">
        <f>UPPER(TEXT(Tabela_DB[[#This Row],[DATA]],"mmm"))</f>
        <v>SET</v>
      </c>
      <c r="H4009" t="str">
        <f>UPPER(TEXT(Tabela_DB[[#This Row],[DATA]],"aaaa"))</f>
        <v>2021</v>
      </c>
    </row>
    <row r="4010" spans="1:8" x14ac:dyDescent="0.25">
      <c r="A4010" s="2">
        <v>44443</v>
      </c>
      <c r="B4010" t="s">
        <v>111</v>
      </c>
      <c r="C4010">
        <v>-1431</v>
      </c>
      <c r="D4010" t="str">
        <f>VLOOKUP(B4010,Tabela_Auxiliar[],2,0)</f>
        <v>2. Deduções da Receita</v>
      </c>
      <c r="E4010" t="str">
        <f>VLOOKUP(B4010,Tabela_Auxiliar[],4,0)</f>
        <v>Imposto</v>
      </c>
      <c r="F4010" t="str">
        <f>VLOOKUP(B4010,Tabela_Auxiliar[],3,0)</f>
        <v>Saída</v>
      </c>
      <c r="G4010" t="str">
        <f>UPPER(TEXT(Tabela_DB[[#This Row],[DATA]],"mmm"))</f>
        <v>SET</v>
      </c>
      <c r="H4010" t="str">
        <f>UPPER(TEXT(Tabela_DB[[#This Row],[DATA]],"aaaa"))</f>
        <v>2021</v>
      </c>
    </row>
    <row r="4011" spans="1:8" x14ac:dyDescent="0.25">
      <c r="A4011" s="2">
        <v>44443</v>
      </c>
      <c r="B4011" t="s">
        <v>59</v>
      </c>
      <c r="C4011">
        <v>-1790</v>
      </c>
      <c r="D4011" t="str">
        <f>VLOOKUP(B4011,Tabela_Auxiliar[],2,0)</f>
        <v>4. Despesas Operacionais</v>
      </c>
      <c r="E4011" t="str">
        <f>VLOOKUP(B4011,Tabela_Auxiliar[],4,0)</f>
        <v>Despesa de Depreciação</v>
      </c>
      <c r="F4011" t="str">
        <f>VLOOKUP(B4011,Tabela_Auxiliar[],3,0)</f>
        <v>Saída</v>
      </c>
      <c r="G4011" t="str">
        <f>UPPER(TEXT(Tabela_DB[[#This Row],[DATA]],"mmm"))</f>
        <v>SET</v>
      </c>
      <c r="H4011" t="str">
        <f>UPPER(TEXT(Tabela_DB[[#This Row],[DATA]],"aaaa"))</f>
        <v>2021</v>
      </c>
    </row>
    <row r="4012" spans="1:8" x14ac:dyDescent="0.25">
      <c r="A4012" s="2">
        <v>44443</v>
      </c>
      <c r="B4012" t="s">
        <v>37</v>
      </c>
      <c r="C4012">
        <v>-4050</v>
      </c>
      <c r="D4012" t="str">
        <f>VLOOKUP(B4012,Tabela_Auxiliar[],2,0)</f>
        <v>3. Custos do Produto/Mercadoria/Serviço</v>
      </c>
      <c r="E4012" t="str">
        <f>VLOOKUP(B4012,Tabela_Auxiliar[],4,0)</f>
        <v>Despesas c/ Produto</v>
      </c>
      <c r="F4012" t="str">
        <f>VLOOKUP(B4012,Tabela_Auxiliar[],3,0)</f>
        <v>Saída</v>
      </c>
      <c r="G4012" t="str">
        <f>UPPER(TEXT(Tabela_DB[[#This Row],[DATA]],"mmm"))</f>
        <v>SET</v>
      </c>
      <c r="H4012" t="str">
        <f>UPPER(TEXT(Tabela_DB[[#This Row],[DATA]],"aaaa"))</f>
        <v>2021</v>
      </c>
    </row>
    <row r="4013" spans="1:8" x14ac:dyDescent="0.25">
      <c r="A4013" s="2">
        <v>44443</v>
      </c>
      <c r="B4013" t="s">
        <v>4</v>
      </c>
      <c r="C4013">
        <v>13074</v>
      </c>
      <c r="D4013" t="str">
        <f>VLOOKUP(B4013,Tabela_Auxiliar[],2,0)</f>
        <v>1. Receita Operacional Bruta</v>
      </c>
      <c r="E4013" t="str">
        <f>VLOOKUP(B4013,Tabela_Auxiliar[],4,0)</f>
        <v>Receita Bruta</v>
      </c>
      <c r="F4013" t="str">
        <f>VLOOKUP(B4013,Tabela_Auxiliar[],3,0)</f>
        <v>Entrada</v>
      </c>
      <c r="G4013" t="str">
        <f>UPPER(TEXT(Tabela_DB[[#This Row],[DATA]],"mmm"))</f>
        <v>SET</v>
      </c>
      <c r="H4013" t="str">
        <f>UPPER(TEXT(Tabela_DB[[#This Row],[DATA]],"aaaa"))</f>
        <v>2021</v>
      </c>
    </row>
    <row r="4014" spans="1:8" x14ac:dyDescent="0.25">
      <c r="A4014" s="2">
        <v>44443</v>
      </c>
      <c r="B4014" t="s">
        <v>45</v>
      </c>
      <c r="C4014">
        <v>-1765</v>
      </c>
      <c r="D4014" t="str">
        <f>VLOOKUP(B4014,Tabela_Auxiliar[],2,0)</f>
        <v>4. Despesas Operacionais</v>
      </c>
      <c r="E4014" t="str">
        <f>VLOOKUP(B4014,Tabela_Auxiliar[],4,0)</f>
        <v>Despesa com Pessoal</v>
      </c>
      <c r="F4014" t="str">
        <f>VLOOKUP(B4014,Tabela_Auxiliar[],3,0)</f>
        <v>Saída</v>
      </c>
      <c r="G4014" t="str">
        <f>UPPER(TEXT(Tabela_DB[[#This Row],[DATA]],"mmm"))</f>
        <v>SET</v>
      </c>
      <c r="H4014" t="str">
        <f>UPPER(TEXT(Tabela_DB[[#This Row],[DATA]],"aaaa"))</f>
        <v>2021</v>
      </c>
    </row>
    <row r="4015" spans="1:8" x14ac:dyDescent="0.25">
      <c r="A4015" s="2">
        <v>44443</v>
      </c>
      <c r="B4015" t="s">
        <v>4</v>
      </c>
      <c r="C4015">
        <v>13877</v>
      </c>
      <c r="D4015" t="str">
        <f>VLOOKUP(B4015,Tabela_Auxiliar[],2,0)</f>
        <v>1. Receita Operacional Bruta</v>
      </c>
      <c r="E4015" t="str">
        <f>VLOOKUP(B4015,Tabela_Auxiliar[],4,0)</f>
        <v>Receita Bruta</v>
      </c>
      <c r="F4015" t="str">
        <f>VLOOKUP(B4015,Tabela_Auxiliar[],3,0)</f>
        <v>Entrada</v>
      </c>
      <c r="G4015" t="str">
        <f>UPPER(TEXT(Tabela_DB[[#This Row],[DATA]],"mmm"))</f>
        <v>SET</v>
      </c>
      <c r="H4015" t="str">
        <f>UPPER(TEXT(Tabela_DB[[#This Row],[DATA]],"aaaa"))</f>
        <v>2021</v>
      </c>
    </row>
    <row r="4016" spans="1:8" x14ac:dyDescent="0.25">
      <c r="A4016" s="2">
        <v>44443</v>
      </c>
      <c r="B4016" t="s">
        <v>37</v>
      </c>
      <c r="C4016">
        <v>-4081</v>
      </c>
      <c r="D4016" t="str">
        <f>VLOOKUP(B4016,Tabela_Auxiliar[],2,0)</f>
        <v>3. Custos do Produto/Mercadoria/Serviço</v>
      </c>
      <c r="E4016" t="str">
        <f>VLOOKUP(B4016,Tabela_Auxiliar[],4,0)</f>
        <v>Despesas c/ Produto</v>
      </c>
      <c r="F4016" t="str">
        <f>VLOOKUP(B4016,Tabela_Auxiliar[],3,0)</f>
        <v>Saída</v>
      </c>
      <c r="G4016" t="str">
        <f>UPPER(TEXT(Tabela_DB[[#This Row],[DATA]],"mmm"))</f>
        <v>SET</v>
      </c>
      <c r="H4016" t="str">
        <f>UPPER(TEXT(Tabela_DB[[#This Row],[DATA]],"aaaa"))</f>
        <v>2021</v>
      </c>
    </row>
    <row r="4017" spans="1:8" x14ac:dyDescent="0.25">
      <c r="A4017" s="2">
        <v>44443</v>
      </c>
      <c r="B4017" t="s">
        <v>37</v>
      </c>
      <c r="C4017">
        <v>-4951</v>
      </c>
      <c r="D4017" t="str">
        <f>VLOOKUP(B4017,Tabela_Auxiliar[],2,0)</f>
        <v>3. Custos do Produto/Mercadoria/Serviço</v>
      </c>
      <c r="E4017" t="str">
        <f>VLOOKUP(B4017,Tabela_Auxiliar[],4,0)</f>
        <v>Despesas c/ Produto</v>
      </c>
      <c r="F4017" t="str">
        <f>VLOOKUP(B4017,Tabela_Auxiliar[],3,0)</f>
        <v>Saída</v>
      </c>
      <c r="G4017" t="str">
        <f>UPPER(TEXT(Tabela_DB[[#This Row],[DATA]],"mmm"))</f>
        <v>SET</v>
      </c>
      <c r="H4017" t="str">
        <f>UPPER(TEXT(Tabela_DB[[#This Row],[DATA]],"aaaa"))</f>
        <v>2021</v>
      </c>
    </row>
    <row r="4018" spans="1:8" x14ac:dyDescent="0.25">
      <c r="A4018" s="2">
        <v>44444</v>
      </c>
      <c r="B4018" t="s">
        <v>100</v>
      </c>
      <c r="C4018">
        <v>1164</v>
      </c>
      <c r="D4018" t="str">
        <f>VLOOKUP(B4018,Tabela_Auxiliar[],2,0)</f>
        <v>5. Resultado Financeiro</v>
      </c>
      <c r="E4018" t="str">
        <f>VLOOKUP(B4018,Tabela_Auxiliar[],4,0)</f>
        <v>Receita Financeira</v>
      </c>
      <c r="F4018" t="str">
        <f>VLOOKUP(B4018,Tabela_Auxiliar[],3,0)</f>
        <v>Saída</v>
      </c>
      <c r="G4018" t="str">
        <f>UPPER(TEXT(Tabela_DB[[#This Row],[DATA]],"mmm"))</f>
        <v>SET</v>
      </c>
      <c r="H4018" t="str">
        <f>UPPER(TEXT(Tabela_DB[[#This Row],[DATA]],"aaaa"))</f>
        <v>2021</v>
      </c>
    </row>
    <row r="4019" spans="1:8" x14ac:dyDescent="0.25">
      <c r="A4019" s="2">
        <v>44444</v>
      </c>
      <c r="B4019" t="s">
        <v>4</v>
      </c>
      <c r="C4019">
        <v>13475</v>
      </c>
      <c r="D4019" t="str">
        <f>VLOOKUP(B4019,Tabela_Auxiliar[],2,0)</f>
        <v>1. Receita Operacional Bruta</v>
      </c>
      <c r="E4019" t="str">
        <f>VLOOKUP(B4019,Tabela_Auxiliar[],4,0)</f>
        <v>Receita Bruta</v>
      </c>
      <c r="F4019" t="str">
        <f>VLOOKUP(B4019,Tabela_Auxiliar[],3,0)</f>
        <v>Entrada</v>
      </c>
      <c r="G4019" t="str">
        <f>UPPER(TEXT(Tabela_DB[[#This Row],[DATA]],"mmm"))</f>
        <v>SET</v>
      </c>
      <c r="H4019" t="str">
        <f>UPPER(TEXT(Tabela_DB[[#This Row],[DATA]],"aaaa"))</f>
        <v>2021</v>
      </c>
    </row>
    <row r="4020" spans="1:8" x14ac:dyDescent="0.25">
      <c r="A4020" s="2">
        <v>44444</v>
      </c>
      <c r="B4020" t="s">
        <v>3</v>
      </c>
      <c r="C4020">
        <v>10214</v>
      </c>
      <c r="D4020" t="str">
        <f>VLOOKUP(B4020,Tabela_Auxiliar[],2,0)</f>
        <v>1. Receita Operacional Bruta</v>
      </c>
      <c r="E4020" t="str">
        <f>VLOOKUP(B4020,Tabela_Auxiliar[],4,0)</f>
        <v>Receita Bruta</v>
      </c>
      <c r="F4020" t="str">
        <f>VLOOKUP(B4020,Tabela_Auxiliar[],3,0)</f>
        <v>Entrada</v>
      </c>
      <c r="G4020" t="str">
        <f>UPPER(TEXT(Tabela_DB[[#This Row],[DATA]],"mmm"))</f>
        <v>SET</v>
      </c>
      <c r="H4020" t="str">
        <f>UPPER(TEXT(Tabela_DB[[#This Row],[DATA]],"aaaa"))</f>
        <v>2021</v>
      </c>
    </row>
    <row r="4021" spans="1:8" x14ac:dyDescent="0.25">
      <c r="A4021" s="2">
        <v>44444</v>
      </c>
      <c r="B4021" t="s">
        <v>4</v>
      </c>
      <c r="C4021">
        <v>13672</v>
      </c>
      <c r="D4021" t="str">
        <f>VLOOKUP(B4021,Tabela_Auxiliar[],2,0)</f>
        <v>1. Receita Operacional Bruta</v>
      </c>
      <c r="E4021" t="str">
        <f>VLOOKUP(B4021,Tabela_Auxiliar[],4,0)</f>
        <v>Receita Bruta</v>
      </c>
      <c r="F4021" t="str">
        <f>VLOOKUP(B4021,Tabela_Auxiliar[],3,0)</f>
        <v>Entrada</v>
      </c>
      <c r="G4021" t="str">
        <f>UPPER(TEXT(Tabela_DB[[#This Row],[DATA]],"mmm"))</f>
        <v>SET</v>
      </c>
      <c r="H4021" t="str">
        <f>UPPER(TEXT(Tabela_DB[[#This Row],[DATA]],"aaaa"))</f>
        <v>2021</v>
      </c>
    </row>
    <row r="4022" spans="1:8" x14ac:dyDescent="0.25">
      <c r="A4022" s="2">
        <v>44444</v>
      </c>
      <c r="B4022" t="s">
        <v>35</v>
      </c>
      <c r="C4022">
        <v>-1174</v>
      </c>
      <c r="D4022" t="str">
        <f>VLOOKUP(B4022,Tabela_Auxiliar[],2,0)</f>
        <v>2. Deduções da Receita</v>
      </c>
      <c r="E4022" t="str">
        <f>VLOOKUP(B4022,Tabela_Auxiliar[],4,0)</f>
        <v>Imposto</v>
      </c>
      <c r="F4022" t="str">
        <f>VLOOKUP(B4022,Tabela_Auxiliar[],3,0)</f>
        <v>Saída</v>
      </c>
      <c r="G4022" t="str">
        <f>UPPER(TEXT(Tabela_DB[[#This Row],[DATA]],"mmm"))</f>
        <v>SET</v>
      </c>
      <c r="H4022" t="str">
        <f>UPPER(TEXT(Tabela_DB[[#This Row],[DATA]],"aaaa"))</f>
        <v>2021</v>
      </c>
    </row>
    <row r="4023" spans="1:8" x14ac:dyDescent="0.25">
      <c r="A4023" s="2">
        <v>44444</v>
      </c>
      <c r="B4023" t="s">
        <v>38</v>
      </c>
      <c r="C4023">
        <v>-1393</v>
      </c>
      <c r="D4023" t="str">
        <f>VLOOKUP(B4023,Tabela_Auxiliar[],2,0)</f>
        <v>2. Deduções da Receita</v>
      </c>
      <c r="E4023" t="str">
        <f>VLOOKUP(B4023,Tabela_Auxiliar[],4,0)</f>
        <v>Deduções</v>
      </c>
      <c r="F4023" t="str">
        <f>VLOOKUP(B4023,Tabela_Auxiliar[],3,0)</f>
        <v>Saída</v>
      </c>
      <c r="G4023" t="str">
        <f>UPPER(TEXT(Tabela_DB[[#This Row],[DATA]],"mmm"))</f>
        <v>SET</v>
      </c>
      <c r="H4023" t="str">
        <f>UPPER(TEXT(Tabela_DB[[#This Row],[DATA]],"aaaa"))</f>
        <v>2021</v>
      </c>
    </row>
    <row r="4024" spans="1:8" x14ac:dyDescent="0.25">
      <c r="A4024" s="2">
        <v>44444</v>
      </c>
      <c r="B4024" t="s">
        <v>38</v>
      </c>
      <c r="C4024">
        <v>-1103</v>
      </c>
      <c r="D4024" t="str">
        <f>VLOOKUP(B4024,Tabela_Auxiliar[],2,0)</f>
        <v>2. Deduções da Receita</v>
      </c>
      <c r="E4024" t="str">
        <f>VLOOKUP(B4024,Tabela_Auxiliar[],4,0)</f>
        <v>Deduções</v>
      </c>
      <c r="F4024" t="str">
        <f>VLOOKUP(B4024,Tabela_Auxiliar[],3,0)</f>
        <v>Saída</v>
      </c>
      <c r="G4024" t="str">
        <f>UPPER(TEXT(Tabela_DB[[#This Row],[DATA]],"mmm"))</f>
        <v>SET</v>
      </c>
      <c r="H4024" t="str">
        <f>UPPER(TEXT(Tabela_DB[[#This Row],[DATA]],"aaaa"))</f>
        <v>2021</v>
      </c>
    </row>
    <row r="4025" spans="1:8" x14ac:dyDescent="0.25">
      <c r="A4025" s="2">
        <v>44444</v>
      </c>
      <c r="B4025" t="s">
        <v>37</v>
      </c>
      <c r="C4025">
        <v>-3306</v>
      </c>
      <c r="D4025" t="str">
        <f>VLOOKUP(B4025,Tabela_Auxiliar[],2,0)</f>
        <v>3. Custos do Produto/Mercadoria/Serviço</v>
      </c>
      <c r="E4025" t="str">
        <f>VLOOKUP(B4025,Tabela_Auxiliar[],4,0)</f>
        <v>Despesas c/ Produto</v>
      </c>
      <c r="F4025" t="str">
        <f>VLOOKUP(B4025,Tabela_Auxiliar[],3,0)</f>
        <v>Saída</v>
      </c>
      <c r="G4025" t="str">
        <f>UPPER(TEXT(Tabela_DB[[#This Row],[DATA]],"mmm"))</f>
        <v>SET</v>
      </c>
      <c r="H4025" t="str">
        <f>UPPER(TEXT(Tabela_DB[[#This Row],[DATA]],"aaaa"))</f>
        <v>2021</v>
      </c>
    </row>
    <row r="4026" spans="1:8" x14ac:dyDescent="0.25">
      <c r="A4026" s="2">
        <v>44444</v>
      </c>
      <c r="B4026" t="s">
        <v>35</v>
      </c>
      <c r="C4026">
        <v>-1403</v>
      </c>
      <c r="D4026" t="str">
        <f>VLOOKUP(B4026,Tabela_Auxiliar[],2,0)</f>
        <v>2. Deduções da Receita</v>
      </c>
      <c r="E4026" t="str">
        <f>VLOOKUP(B4026,Tabela_Auxiliar[],4,0)</f>
        <v>Imposto</v>
      </c>
      <c r="F4026" t="str">
        <f>VLOOKUP(B4026,Tabela_Auxiliar[],3,0)</f>
        <v>Saída</v>
      </c>
      <c r="G4026" t="str">
        <f>UPPER(TEXT(Tabela_DB[[#This Row],[DATA]],"mmm"))</f>
        <v>SET</v>
      </c>
      <c r="H4026" t="str">
        <f>UPPER(TEXT(Tabela_DB[[#This Row],[DATA]],"aaaa"))</f>
        <v>2021</v>
      </c>
    </row>
    <row r="4027" spans="1:8" x14ac:dyDescent="0.25">
      <c r="A4027" s="2">
        <v>44444</v>
      </c>
      <c r="B4027" t="s">
        <v>34</v>
      </c>
      <c r="C4027">
        <v>-2141</v>
      </c>
      <c r="D4027" t="str">
        <f>VLOOKUP(B4027,Tabela_Auxiliar[],2,0)</f>
        <v>2. Deduções da Receita</v>
      </c>
      <c r="E4027" t="str">
        <f>VLOOKUP(B4027,Tabela_Auxiliar[],4,0)</f>
        <v>Imposto</v>
      </c>
      <c r="F4027" t="str">
        <f>VLOOKUP(B4027,Tabela_Auxiliar[],3,0)</f>
        <v>Saída</v>
      </c>
      <c r="G4027" t="str">
        <f>UPPER(TEXT(Tabela_DB[[#This Row],[DATA]],"mmm"))</f>
        <v>SET</v>
      </c>
      <c r="H4027" t="str">
        <f>UPPER(TEXT(Tabela_DB[[#This Row],[DATA]],"aaaa"))</f>
        <v>2021</v>
      </c>
    </row>
    <row r="4028" spans="1:8" x14ac:dyDescent="0.25">
      <c r="A4028" s="2">
        <v>44444</v>
      </c>
      <c r="B4028" t="s">
        <v>37</v>
      </c>
      <c r="C4028">
        <v>-4308</v>
      </c>
      <c r="D4028" t="str">
        <f>VLOOKUP(B4028,Tabela_Auxiliar[],2,0)</f>
        <v>3. Custos do Produto/Mercadoria/Serviço</v>
      </c>
      <c r="E4028" t="str">
        <f>VLOOKUP(B4028,Tabela_Auxiliar[],4,0)</f>
        <v>Despesas c/ Produto</v>
      </c>
      <c r="F4028" t="str">
        <f>VLOOKUP(B4028,Tabela_Auxiliar[],3,0)</f>
        <v>Saída</v>
      </c>
      <c r="G4028" t="str">
        <f>UPPER(TEXT(Tabela_DB[[#This Row],[DATA]],"mmm"))</f>
        <v>SET</v>
      </c>
      <c r="H4028" t="str">
        <f>UPPER(TEXT(Tabela_DB[[#This Row],[DATA]],"aaaa"))</f>
        <v>2021</v>
      </c>
    </row>
    <row r="4029" spans="1:8" x14ac:dyDescent="0.25">
      <c r="A4029" s="2">
        <v>44444</v>
      </c>
      <c r="B4029" t="s">
        <v>3</v>
      </c>
      <c r="C4029">
        <v>13354</v>
      </c>
      <c r="D4029" t="str">
        <f>VLOOKUP(B4029,Tabela_Auxiliar[],2,0)</f>
        <v>1. Receita Operacional Bruta</v>
      </c>
      <c r="E4029" t="str">
        <f>VLOOKUP(B4029,Tabela_Auxiliar[],4,0)</f>
        <v>Receita Bruta</v>
      </c>
      <c r="F4029" t="str">
        <f>VLOOKUP(B4029,Tabela_Auxiliar[],3,0)</f>
        <v>Entrada</v>
      </c>
      <c r="G4029" t="str">
        <f>UPPER(TEXT(Tabela_DB[[#This Row],[DATA]],"mmm"))</f>
        <v>SET</v>
      </c>
      <c r="H4029" t="str">
        <f>UPPER(TEXT(Tabela_DB[[#This Row],[DATA]],"aaaa"))</f>
        <v>2021</v>
      </c>
    </row>
    <row r="4030" spans="1:8" x14ac:dyDescent="0.25">
      <c r="A4030" s="2">
        <v>44444</v>
      </c>
      <c r="B4030" t="s">
        <v>59</v>
      </c>
      <c r="C4030">
        <v>-1810</v>
      </c>
      <c r="D4030" t="str">
        <f>VLOOKUP(B4030,Tabela_Auxiliar[],2,0)</f>
        <v>4. Despesas Operacionais</v>
      </c>
      <c r="E4030" t="str">
        <f>VLOOKUP(B4030,Tabela_Auxiliar[],4,0)</f>
        <v>Despesa de Depreciação</v>
      </c>
      <c r="F4030" t="str">
        <f>VLOOKUP(B4030,Tabela_Auxiliar[],3,0)</f>
        <v>Saída</v>
      </c>
      <c r="G4030" t="str">
        <f>UPPER(TEXT(Tabela_DB[[#This Row],[DATA]],"mmm"))</f>
        <v>SET</v>
      </c>
      <c r="H4030" t="str">
        <f>UPPER(TEXT(Tabela_DB[[#This Row],[DATA]],"aaaa"))</f>
        <v>2021</v>
      </c>
    </row>
    <row r="4031" spans="1:8" x14ac:dyDescent="0.25">
      <c r="A4031" s="2">
        <v>44444</v>
      </c>
      <c r="B4031" t="s">
        <v>37</v>
      </c>
      <c r="C4031">
        <v>-2883</v>
      </c>
      <c r="D4031" t="str">
        <f>VLOOKUP(B4031,Tabela_Auxiliar[],2,0)</f>
        <v>3. Custos do Produto/Mercadoria/Serviço</v>
      </c>
      <c r="E4031" t="str">
        <f>VLOOKUP(B4031,Tabela_Auxiliar[],4,0)</f>
        <v>Despesas c/ Produto</v>
      </c>
      <c r="F4031" t="str">
        <f>VLOOKUP(B4031,Tabela_Auxiliar[],3,0)</f>
        <v>Saída</v>
      </c>
      <c r="G4031" t="str">
        <f>UPPER(TEXT(Tabela_DB[[#This Row],[DATA]],"mmm"))</f>
        <v>SET</v>
      </c>
      <c r="H4031" t="str">
        <f>UPPER(TEXT(Tabela_DB[[#This Row],[DATA]],"aaaa"))</f>
        <v>2021</v>
      </c>
    </row>
    <row r="4032" spans="1:8" x14ac:dyDescent="0.25">
      <c r="A4032" s="2">
        <v>44445</v>
      </c>
      <c r="B4032" t="s">
        <v>111</v>
      </c>
      <c r="C4032">
        <v>-2327</v>
      </c>
      <c r="D4032" t="str">
        <f>VLOOKUP(B4032,Tabela_Auxiliar[],2,0)</f>
        <v>2. Deduções da Receita</v>
      </c>
      <c r="E4032" t="str">
        <f>VLOOKUP(B4032,Tabela_Auxiliar[],4,0)</f>
        <v>Imposto</v>
      </c>
      <c r="F4032" t="str">
        <f>VLOOKUP(B4032,Tabela_Auxiliar[],3,0)</f>
        <v>Saída</v>
      </c>
      <c r="G4032" t="str">
        <f>UPPER(TEXT(Tabela_DB[[#This Row],[DATA]],"mmm"))</f>
        <v>SET</v>
      </c>
      <c r="H4032" t="str">
        <f>UPPER(TEXT(Tabela_DB[[#This Row],[DATA]],"aaaa"))</f>
        <v>2021</v>
      </c>
    </row>
    <row r="4033" spans="1:8" x14ac:dyDescent="0.25">
      <c r="A4033" s="2">
        <v>44445</v>
      </c>
      <c r="B4033" t="s">
        <v>88</v>
      </c>
      <c r="C4033">
        <v>-2359</v>
      </c>
      <c r="D4033" t="str">
        <f>VLOOKUP(B4033,Tabela_Auxiliar[],2,0)</f>
        <v>4. Despesas Operacionais</v>
      </c>
      <c r="E4033" t="str">
        <f>VLOOKUP(B4033,Tabela_Auxiliar[],4,0)</f>
        <v>Despesa Tributária</v>
      </c>
      <c r="F4033" t="str">
        <f>VLOOKUP(B4033,Tabela_Auxiliar[],3,0)</f>
        <v>Saída</v>
      </c>
      <c r="G4033" t="str">
        <f>UPPER(TEXT(Tabela_DB[[#This Row],[DATA]],"mmm"))</f>
        <v>SET</v>
      </c>
      <c r="H4033" t="str">
        <f>UPPER(TEXT(Tabela_DB[[#This Row],[DATA]],"aaaa"))</f>
        <v>2021</v>
      </c>
    </row>
    <row r="4034" spans="1:8" x14ac:dyDescent="0.25">
      <c r="A4034" s="2">
        <v>44445</v>
      </c>
      <c r="B4034" t="s">
        <v>38</v>
      </c>
      <c r="C4034">
        <v>-2025</v>
      </c>
      <c r="D4034" t="str">
        <f>VLOOKUP(B4034,Tabela_Auxiliar[],2,0)</f>
        <v>2. Deduções da Receita</v>
      </c>
      <c r="E4034" t="str">
        <f>VLOOKUP(B4034,Tabela_Auxiliar[],4,0)</f>
        <v>Deduções</v>
      </c>
      <c r="F4034" t="str">
        <f>VLOOKUP(B4034,Tabela_Auxiliar[],3,0)</f>
        <v>Saída</v>
      </c>
      <c r="G4034" t="str">
        <f>UPPER(TEXT(Tabela_DB[[#This Row],[DATA]],"mmm"))</f>
        <v>SET</v>
      </c>
      <c r="H4034" t="str">
        <f>UPPER(TEXT(Tabela_DB[[#This Row],[DATA]],"aaaa"))</f>
        <v>2021</v>
      </c>
    </row>
    <row r="4035" spans="1:8" x14ac:dyDescent="0.25">
      <c r="A4035" s="2">
        <v>44445</v>
      </c>
      <c r="B4035" t="s">
        <v>80</v>
      </c>
      <c r="C4035">
        <v>-2466</v>
      </c>
      <c r="D4035" t="str">
        <f>VLOOKUP(B4035,Tabela_Auxiliar[],2,0)</f>
        <v>4. Despesas Operacionais</v>
      </c>
      <c r="E4035" t="str">
        <f>VLOOKUP(B4035,Tabela_Auxiliar[],4,0)</f>
        <v>Serviços Contratados</v>
      </c>
      <c r="F4035" t="str">
        <f>VLOOKUP(B4035,Tabela_Auxiliar[],3,0)</f>
        <v>Saída</v>
      </c>
      <c r="G4035" t="str">
        <f>UPPER(TEXT(Tabela_DB[[#This Row],[DATA]],"mmm"))</f>
        <v>SET</v>
      </c>
      <c r="H4035" t="str">
        <f>UPPER(TEXT(Tabela_DB[[#This Row],[DATA]],"aaaa"))</f>
        <v>2021</v>
      </c>
    </row>
    <row r="4036" spans="1:8" x14ac:dyDescent="0.25">
      <c r="A4036" s="2">
        <v>44445</v>
      </c>
      <c r="B4036" t="s">
        <v>34</v>
      </c>
      <c r="C4036">
        <v>-2332</v>
      </c>
      <c r="D4036" t="str">
        <f>VLOOKUP(B4036,Tabela_Auxiliar[],2,0)</f>
        <v>2. Deduções da Receita</v>
      </c>
      <c r="E4036" t="str">
        <f>VLOOKUP(B4036,Tabela_Auxiliar[],4,0)</f>
        <v>Imposto</v>
      </c>
      <c r="F4036" t="str">
        <f>VLOOKUP(B4036,Tabela_Auxiliar[],3,0)</f>
        <v>Saída</v>
      </c>
      <c r="G4036" t="str">
        <f>UPPER(TEXT(Tabela_DB[[#This Row],[DATA]],"mmm"))</f>
        <v>SET</v>
      </c>
      <c r="H4036" t="str">
        <f>UPPER(TEXT(Tabela_DB[[#This Row],[DATA]],"aaaa"))</f>
        <v>2021</v>
      </c>
    </row>
    <row r="4037" spans="1:8" x14ac:dyDescent="0.25">
      <c r="A4037" s="2">
        <v>44445</v>
      </c>
      <c r="B4037" t="s">
        <v>42</v>
      </c>
      <c r="C4037">
        <v>-1673</v>
      </c>
      <c r="D4037" t="str">
        <f>VLOOKUP(B4037,Tabela_Auxiliar[],2,0)</f>
        <v>4. Despesas Operacionais</v>
      </c>
      <c r="E4037" t="str">
        <f>VLOOKUP(B4037,Tabela_Auxiliar[],4,0)</f>
        <v>Despesa com Pessoal</v>
      </c>
      <c r="F4037" t="str">
        <f>VLOOKUP(B4037,Tabela_Auxiliar[],3,0)</f>
        <v>Saída</v>
      </c>
      <c r="G4037" t="str">
        <f>UPPER(TEXT(Tabela_DB[[#This Row],[DATA]],"mmm"))</f>
        <v>SET</v>
      </c>
      <c r="H4037" t="str">
        <f>UPPER(TEXT(Tabela_DB[[#This Row],[DATA]],"aaaa"))</f>
        <v>2021</v>
      </c>
    </row>
    <row r="4038" spans="1:8" x14ac:dyDescent="0.25">
      <c r="A4038" s="2">
        <v>44445</v>
      </c>
      <c r="B4038" t="s">
        <v>48</v>
      </c>
      <c r="C4038">
        <v>-1086</v>
      </c>
      <c r="D4038" t="str">
        <f>VLOOKUP(B4038,Tabela_Auxiliar[],2,0)</f>
        <v>4. Despesas Operacionais</v>
      </c>
      <c r="E4038" t="str">
        <f>VLOOKUP(B4038,Tabela_Auxiliar[],4,0)</f>
        <v>Despesa com Pessoal</v>
      </c>
      <c r="F4038" t="str">
        <f>VLOOKUP(B4038,Tabela_Auxiliar[],3,0)</f>
        <v>Saída</v>
      </c>
      <c r="G4038" t="str">
        <f>UPPER(TEXT(Tabela_DB[[#This Row],[DATA]],"mmm"))</f>
        <v>SET</v>
      </c>
      <c r="H4038" t="str">
        <f>UPPER(TEXT(Tabela_DB[[#This Row],[DATA]],"aaaa"))</f>
        <v>2021</v>
      </c>
    </row>
    <row r="4039" spans="1:8" x14ac:dyDescent="0.25">
      <c r="A4039" s="2">
        <v>44445</v>
      </c>
      <c r="B4039" t="s">
        <v>87</v>
      </c>
      <c r="C4039">
        <v>-1086</v>
      </c>
      <c r="D4039" t="str">
        <f>VLOOKUP(B4039,Tabela_Auxiliar[],2,0)</f>
        <v>4. Despesas Operacionais</v>
      </c>
      <c r="E4039" t="str">
        <f>VLOOKUP(B4039,Tabela_Auxiliar[],4,0)</f>
        <v>Despesa Tributária</v>
      </c>
      <c r="F4039" t="str">
        <f>VLOOKUP(B4039,Tabela_Auxiliar[],3,0)</f>
        <v>Saída</v>
      </c>
      <c r="G4039" t="str">
        <f>UPPER(TEXT(Tabela_DB[[#This Row],[DATA]],"mmm"))</f>
        <v>SET</v>
      </c>
      <c r="H4039" t="str">
        <f>UPPER(TEXT(Tabela_DB[[#This Row],[DATA]],"aaaa"))</f>
        <v>2021</v>
      </c>
    </row>
    <row r="4040" spans="1:8" x14ac:dyDescent="0.25">
      <c r="A4040" s="2">
        <v>44445</v>
      </c>
      <c r="B4040" t="s">
        <v>60</v>
      </c>
      <c r="C4040">
        <v>-1674</v>
      </c>
      <c r="D4040" t="str">
        <f>VLOOKUP(B4040,Tabela_Auxiliar[],2,0)</f>
        <v>4. Despesas Operacionais</v>
      </c>
      <c r="E4040" t="str">
        <f>VLOOKUP(B4040,Tabela_Auxiliar[],4,0)</f>
        <v>Despesa de Depreciação</v>
      </c>
      <c r="F4040" t="str">
        <f>VLOOKUP(B4040,Tabela_Auxiliar[],3,0)</f>
        <v>Saída</v>
      </c>
      <c r="G4040" t="str">
        <f>UPPER(TEXT(Tabela_DB[[#This Row],[DATA]],"mmm"))</f>
        <v>SET</v>
      </c>
      <c r="H4040" t="str">
        <f>UPPER(TEXT(Tabela_DB[[#This Row],[DATA]],"aaaa"))</f>
        <v>2021</v>
      </c>
    </row>
    <row r="4041" spans="1:8" x14ac:dyDescent="0.25">
      <c r="A4041" s="2">
        <v>44445</v>
      </c>
      <c r="B4041" t="s">
        <v>34</v>
      </c>
      <c r="C4041">
        <v>-1930</v>
      </c>
      <c r="D4041" t="str">
        <f>VLOOKUP(B4041,Tabela_Auxiliar[],2,0)</f>
        <v>2. Deduções da Receita</v>
      </c>
      <c r="E4041" t="str">
        <f>VLOOKUP(B4041,Tabela_Auxiliar[],4,0)</f>
        <v>Imposto</v>
      </c>
      <c r="F4041" t="str">
        <f>VLOOKUP(B4041,Tabela_Auxiliar[],3,0)</f>
        <v>Saída</v>
      </c>
      <c r="G4041" t="str">
        <f>UPPER(TEXT(Tabela_DB[[#This Row],[DATA]],"mmm"))</f>
        <v>SET</v>
      </c>
      <c r="H4041" t="str">
        <f>UPPER(TEXT(Tabela_DB[[#This Row],[DATA]],"aaaa"))</f>
        <v>2021</v>
      </c>
    </row>
    <row r="4042" spans="1:8" x14ac:dyDescent="0.25">
      <c r="A4042" s="2">
        <v>44445</v>
      </c>
      <c r="B4042" t="s">
        <v>38</v>
      </c>
      <c r="C4042">
        <v>-1267</v>
      </c>
      <c r="D4042" t="str">
        <f>VLOOKUP(B4042,Tabela_Auxiliar[],2,0)</f>
        <v>2. Deduções da Receita</v>
      </c>
      <c r="E4042" t="str">
        <f>VLOOKUP(B4042,Tabela_Auxiliar[],4,0)</f>
        <v>Deduções</v>
      </c>
      <c r="F4042" t="str">
        <f>VLOOKUP(B4042,Tabela_Auxiliar[],3,0)</f>
        <v>Saída</v>
      </c>
      <c r="G4042" t="str">
        <f>UPPER(TEXT(Tabela_DB[[#This Row],[DATA]],"mmm"))</f>
        <v>SET</v>
      </c>
      <c r="H4042" t="str">
        <f>UPPER(TEXT(Tabela_DB[[#This Row],[DATA]],"aaaa"))</f>
        <v>2021</v>
      </c>
    </row>
    <row r="4043" spans="1:8" x14ac:dyDescent="0.25">
      <c r="A4043" s="2">
        <v>44445</v>
      </c>
      <c r="B4043" t="s">
        <v>66</v>
      </c>
      <c r="C4043">
        <v>-1269</v>
      </c>
      <c r="D4043" t="str">
        <f>VLOOKUP(B4043,Tabela_Auxiliar[],2,0)</f>
        <v>4. Despesas Operacionais</v>
      </c>
      <c r="E4043" t="str">
        <f>VLOOKUP(B4043,Tabela_Auxiliar[],4,0)</f>
        <v>Despesa com Vendas</v>
      </c>
      <c r="F4043" t="str">
        <f>VLOOKUP(B4043,Tabela_Auxiliar[],3,0)</f>
        <v>Saída</v>
      </c>
      <c r="G4043" t="str">
        <f>UPPER(TEXT(Tabela_DB[[#This Row],[DATA]],"mmm"))</f>
        <v>SET</v>
      </c>
      <c r="H4043" t="str">
        <f>UPPER(TEXT(Tabela_DB[[#This Row],[DATA]],"aaaa"))</f>
        <v>2021</v>
      </c>
    </row>
    <row r="4044" spans="1:8" x14ac:dyDescent="0.25">
      <c r="A4044" s="2">
        <v>44445</v>
      </c>
      <c r="B4044" t="s">
        <v>35</v>
      </c>
      <c r="C4044">
        <v>-1133</v>
      </c>
      <c r="D4044" t="str">
        <f>VLOOKUP(B4044,Tabela_Auxiliar[],2,0)</f>
        <v>2. Deduções da Receita</v>
      </c>
      <c r="E4044" t="str">
        <f>VLOOKUP(B4044,Tabela_Auxiliar[],4,0)</f>
        <v>Imposto</v>
      </c>
      <c r="F4044" t="str">
        <f>VLOOKUP(B4044,Tabela_Auxiliar[],3,0)</f>
        <v>Saída</v>
      </c>
      <c r="G4044" t="str">
        <f>UPPER(TEXT(Tabela_DB[[#This Row],[DATA]],"mmm"))</f>
        <v>SET</v>
      </c>
      <c r="H4044" t="str">
        <f>UPPER(TEXT(Tabela_DB[[#This Row],[DATA]],"aaaa"))</f>
        <v>2021</v>
      </c>
    </row>
    <row r="4045" spans="1:8" x14ac:dyDescent="0.25">
      <c r="A4045" s="2">
        <v>44445</v>
      </c>
      <c r="B4045" t="s">
        <v>38</v>
      </c>
      <c r="C4045">
        <v>-1970</v>
      </c>
      <c r="D4045" t="str">
        <f>VLOOKUP(B4045,Tabela_Auxiliar[],2,0)</f>
        <v>2. Deduções da Receita</v>
      </c>
      <c r="E4045" t="str">
        <f>VLOOKUP(B4045,Tabela_Auxiliar[],4,0)</f>
        <v>Deduções</v>
      </c>
      <c r="F4045" t="str">
        <f>VLOOKUP(B4045,Tabela_Auxiliar[],3,0)</f>
        <v>Saída</v>
      </c>
      <c r="G4045" t="str">
        <f>UPPER(TEXT(Tabela_DB[[#This Row],[DATA]],"mmm"))</f>
        <v>SET</v>
      </c>
      <c r="H4045" t="str">
        <f>UPPER(TEXT(Tabela_DB[[#This Row],[DATA]],"aaaa"))</f>
        <v>2021</v>
      </c>
    </row>
    <row r="4046" spans="1:8" x14ac:dyDescent="0.25">
      <c r="A4046" s="2">
        <v>44446</v>
      </c>
      <c r="B4046" t="s">
        <v>89</v>
      </c>
      <c r="C4046">
        <v>-1380</v>
      </c>
      <c r="D4046" t="str">
        <f>VLOOKUP(B4046,Tabela_Auxiliar[],2,0)</f>
        <v>4. Despesas Operacionais</v>
      </c>
      <c r="E4046" t="str">
        <f>VLOOKUP(B4046,Tabela_Auxiliar[],4,0)</f>
        <v>Despesa Tributária</v>
      </c>
      <c r="F4046" t="str">
        <f>VLOOKUP(B4046,Tabela_Auxiliar[],3,0)</f>
        <v>Saída</v>
      </c>
      <c r="G4046" t="str">
        <f>UPPER(TEXT(Tabela_DB[[#This Row],[DATA]],"mmm"))</f>
        <v>SET</v>
      </c>
      <c r="H4046" t="str">
        <f>UPPER(TEXT(Tabela_DB[[#This Row],[DATA]],"aaaa"))</f>
        <v>2021</v>
      </c>
    </row>
    <row r="4047" spans="1:8" x14ac:dyDescent="0.25">
      <c r="A4047" s="2">
        <v>44446</v>
      </c>
      <c r="B4047" t="s">
        <v>54</v>
      </c>
      <c r="C4047">
        <v>-2355</v>
      </c>
      <c r="D4047" t="str">
        <f>VLOOKUP(B4047,Tabela_Auxiliar[],2,0)</f>
        <v>4. Despesas Operacionais</v>
      </c>
      <c r="E4047" t="str">
        <f>VLOOKUP(B4047,Tabela_Auxiliar[],4,0)</f>
        <v>Despesa com Pessoal</v>
      </c>
      <c r="F4047" t="str">
        <f>VLOOKUP(B4047,Tabela_Auxiliar[],3,0)</f>
        <v>Saída</v>
      </c>
      <c r="G4047" t="str">
        <f>UPPER(TEXT(Tabela_DB[[#This Row],[DATA]],"mmm"))</f>
        <v>SET</v>
      </c>
      <c r="H4047" t="str">
        <f>UPPER(TEXT(Tabela_DB[[#This Row],[DATA]],"aaaa"))</f>
        <v>2021</v>
      </c>
    </row>
    <row r="4048" spans="1:8" x14ac:dyDescent="0.25">
      <c r="A4048" s="2">
        <v>44446</v>
      </c>
      <c r="B4048" t="s">
        <v>3</v>
      </c>
      <c r="C4048">
        <v>14998</v>
      </c>
      <c r="D4048" t="str">
        <f>VLOOKUP(B4048,Tabela_Auxiliar[],2,0)</f>
        <v>1. Receita Operacional Bruta</v>
      </c>
      <c r="E4048" t="str">
        <f>VLOOKUP(B4048,Tabela_Auxiliar[],4,0)</f>
        <v>Receita Bruta</v>
      </c>
      <c r="F4048" t="str">
        <f>VLOOKUP(B4048,Tabela_Auxiliar[],3,0)</f>
        <v>Entrada</v>
      </c>
      <c r="G4048" t="str">
        <f>UPPER(TEXT(Tabela_DB[[#This Row],[DATA]],"mmm"))</f>
        <v>SET</v>
      </c>
      <c r="H4048" t="str">
        <f>UPPER(TEXT(Tabela_DB[[#This Row],[DATA]],"aaaa"))</f>
        <v>2021</v>
      </c>
    </row>
    <row r="4049" spans="1:8" x14ac:dyDescent="0.25">
      <c r="A4049" s="2">
        <v>44446</v>
      </c>
      <c r="B4049" t="s">
        <v>3</v>
      </c>
      <c r="C4049">
        <v>10242</v>
      </c>
      <c r="D4049" t="str">
        <f>VLOOKUP(B4049,Tabela_Auxiliar[],2,0)</f>
        <v>1. Receita Operacional Bruta</v>
      </c>
      <c r="E4049" t="str">
        <f>VLOOKUP(B4049,Tabela_Auxiliar[],4,0)</f>
        <v>Receita Bruta</v>
      </c>
      <c r="F4049" t="str">
        <f>VLOOKUP(B4049,Tabela_Auxiliar[],3,0)</f>
        <v>Entrada</v>
      </c>
      <c r="G4049" t="str">
        <f>UPPER(TEXT(Tabela_DB[[#This Row],[DATA]],"mmm"))</f>
        <v>SET</v>
      </c>
      <c r="H4049" t="str">
        <f>UPPER(TEXT(Tabela_DB[[#This Row],[DATA]],"aaaa"))</f>
        <v>2021</v>
      </c>
    </row>
    <row r="4050" spans="1:8" x14ac:dyDescent="0.25">
      <c r="A4050" s="2">
        <v>44446</v>
      </c>
      <c r="B4050" t="s">
        <v>3</v>
      </c>
      <c r="C4050">
        <v>10165</v>
      </c>
      <c r="D4050" t="str">
        <f>VLOOKUP(B4050,Tabela_Auxiliar[],2,0)</f>
        <v>1. Receita Operacional Bruta</v>
      </c>
      <c r="E4050" t="str">
        <f>VLOOKUP(B4050,Tabela_Auxiliar[],4,0)</f>
        <v>Receita Bruta</v>
      </c>
      <c r="F4050" t="str">
        <f>VLOOKUP(B4050,Tabela_Auxiliar[],3,0)</f>
        <v>Entrada</v>
      </c>
      <c r="G4050" t="str">
        <f>UPPER(TEXT(Tabela_DB[[#This Row],[DATA]],"mmm"))</f>
        <v>SET</v>
      </c>
      <c r="H4050" t="str">
        <f>UPPER(TEXT(Tabela_DB[[#This Row],[DATA]],"aaaa"))</f>
        <v>2021</v>
      </c>
    </row>
    <row r="4051" spans="1:8" x14ac:dyDescent="0.25">
      <c r="A4051" s="2">
        <v>44446</v>
      </c>
      <c r="B4051" t="s">
        <v>37</v>
      </c>
      <c r="C4051">
        <v>-3719</v>
      </c>
      <c r="D4051" t="str">
        <f>VLOOKUP(B4051,Tabela_Auxiliar[],2,0)</f>
        <v>3. Custos do Produto/Mercadoria/Serviço</v>
      </c>
      <c r="E4051" t="str">
        <f>VLOOKUP(B4051,Tabela_Auxiliar[],4,0)</f>
        <v>Despesas c/ Produto</v>
      </c>
      <c r="F4051" t="str">
        <f>VLOOKUP(B4051,Tabela_Auxiliar[],3,0)</f>
        <v>Saída</v>
      </c>
      <c r="G4051" t="str">
        <f>UPPER(TEXT(Tabela_DB[[#This Row],[DATA]],"mmm"))</f>
        <v>SET</v>
      </c>
      <c r="H4051" t="str">
        <f>UPPER(TEXT(Tabela_DB[[#This Row],[DATA]],"aaaa"))</f>
        <v>2021</v>
      </c>
    </row>
    <row r="4052" spans="1:8" x14ac:dyDescent="0.25">
      <c r="A4052" s="2">
        <v>44446</v>
      </c>
      <c r="B4052" t="s">
        <v>37</v>
      </c>
      <c r="C4052">
        <v>-4489</v>
      </c>
      <c r="D4052" t="str">
        <f>VLOOKUP(B4052,Tabela_Auxiliar[],2,0)</f>
        <v>3. Custos do Produto/Mercadoria/Serviço</v>
      </c>
      <c r="E4052" t="str">
        <f>VLOOKUP(B4052,Tabela_Auxiliar[],4,0)</f>
        <v>Despesas c/ Produto</v>
      </c>
      <c r="F4052" t="str">
        <f>VLOOKUP(B4052,Tabela_Auxiliar[],3,0)</f>
        <v>Saída</v>
      </c>
      <c r="G4052" t="str">
        <f>UPPER(TEXT(Tabela_DB[[#This Row],[DATA]],"mmm"))</f>
        <v>SET</v>
      </c>
      <c r="H4052" t="str">
        <f>UPPER(TEXT(Tabela_DB[[#This Row],[DATA]],"aaaa"))</f>
        <v>2021</v>
      </c>
    </row>
    <row r="4053" spans="1:8" x14ac:dyDescent="0.25">
      <c r="A4053" s="2">
        <v>44446</v>
      </c>
      <c r="B4053" t="s">
        <v>35</v>
      </c>
      <c r="C4053">
        <v>-1615</v>
      </c>
      <c r="D4053" t="str">
        <f>VLOOKUP(B4053,Tabela_Auxiliar[],2,0)</f>
        <v>2. Deduções da Receita</v>
      </c>
      <c r="E4053" t="str">
        <f>VLOOKUP(B4053,Tabela_Auxiliar[],4,0)</f>
        <v>Imposto</v>
      </c>
      <c r="F4053" t="str">
        <f>VLOOKUP(B4053,Tabela_Auxiliar[],3,0)</f>
        <v>Saída</v>
      </c>
      <c r="G4053" t="str">
        <f>UPPER(TEXT(Tabela_DB[[#This Row],[DATA]],"mmm"))</f>
        <v>SET</v>
      </c>
      <c r="H4053" t="str">
        <f>UPPER(TEXT(Tabela_DB[[#This Row],[DATA]],"aaaa"))</f>
        <v>2021</v>
      </c>
    </row>
    <row r="4054" spans="1:8" x14ac:dyDescent="0.25">
      <c r="A4054" s="2">
        <v>44446</v>
      </c>
      <c r="B4054" t="s">
        <v>75</v>
      </c>
      <c r="C4054">
        <v>-1704</v>
      </c>
      <c r="D4054" t="str">
        <f>VLOOKUP(B4054,Tabela_Auxiliar[],2,0)</f>
        <v>4. Despesas Operacionais</v>
      </c>
      <c r="E4054" t="str">
        <f>VLOOKUP(B4054,Tabela_Auxiliar[],4,0)</f>
        <v>Serviços Contratados</v>
      </c>
      <c r="F4054" t="str">
        <f>VLOOKUP(B4054,Tabela_Auxiliar[],3,0)</f>
        <v>Saída</v>
      </c>
      <c r="G4054" t="str">
        <f>UPPER(TEXT(Tabela_DB[[#This Row],[DATA]],"mmm"))</f>
        <v>SET</v>
      </c>
      <c r="H4054" t="str">
        <f>UPPER(TEXT(Tabela_DB[[#This Row],[DATA]],"aaaa"))</f>
        <v>2021</v>
      </c>
    </row>
    <row r="4055" spans="1:8" x14ac:dyDescent="0.25">
      <c r="A4055" s="2">
        <v>44446</v>
      </c>
      <c r="B4055" t="s">
        <v>35</v>
      </c>
      <c r="C4055">
        <v>-1035</v>
      </c>
      <c r="D4055" t="str">
        <f>VLOOKUP(B4055,Tabela_Auxiliar[],2,0)</f>
        <v>2. Deduções da Receita</v>
      </c>
      <c r="E4055" t="str">
        <f>VLOOKUP(B4055,Tabela_Auxiliar[],4,0)</f>
        <v>Imposto</v>
      </c>
      <c r="F4055" t="str">
        <f>VLOOKUP(B4055,Tabela_Auxiliar[],3,0)</f>
        <v>Saída</v>
      </c>
      <c r="G4055" t="str">
        <f>UPPER(TEXT(Tabela_DB[[#This Row],[DATA]],"mmm"))</f>
        <v>SET</v>
      </c>
      <c r="H4055" t="str">
        <f>UPPER(TEXT(Tabela_DB[[#This Row],[DATA]],"aaaa"))</f>
        <v>2021</v>
      </c>
    </row>
    <row r="4056" spans="1:8" x14ac:dyDescent="0.25">
      <c r="A4056" s="2">
        <v>44446</v>
      </c>
      <c r="B4056" t="s">
        <v>111</v>
      </c>
      <c r="C4056">
        <v>-1682</v>
      </c>
      <c r="D4056" t="str">
        <f>VLOOKUP(B4056,Tabela_Auxiliar[],2,0)</f>
        <v>2. Deduções da Receita</v>
      </c>
      <c r="E4056" t="str">
        <f>VLOOKUP(B4056,Tabela_Auxiliar[],4,0)</f>
        <v>Imposto</v>
      </c>
      <c r="F4056" t="str">
        <f>VLOOKUP(B4056,Tabela_Auxiliar[],3,0)</f>
        <v>Saída</v>
      </c>
      <c r="G4056" t="str">
        <f>UPPER(TEXT(Tabela_DB[[#This Row],[DATA]],"mmm"))</f>
        <v>SET</v>
      </c>
      <c r="H4056" t="str">
        <f>UPPER(TEXT(Tabela_DB[[#This Row],[DATA]],"aaaa"))</f>
        <v>2021</v>
      </c>
    </row>
    <row r="4057" spans="1:8" x14ac:dyDescent="0.25">
      <c r="A4057" s="2">
        <v>44446</v>
      </c>
      <c r="B4057" t="s">
        <v>3</v>
      </c>
      <c r="C4057">
        <v>12531</v>
      </c>
      <c r="D4057" t="str">
        <f>VLOOKUP(B4057,Tabela_Auxiliar[],2,0)</f>
        <v>1. Receita Operacional Bruta</v>
      </c>
      <c r="E4057" t="str">
        <f>VLOOKUP(B4057,Tabela_Auxiliar[],4,0)</f>
        <v>Receita Bruta</v>
      </c>
      <c r="F4057" t="str">
        <f>VLOOKUP(B4057,Tabela_Auxiliar[],3,0)</f>
        <v>Entrada</v>
      </c>
      <c r="G4057" t="str">
        <f>UPPER(TEXT(Tabela_DB[[#This Row],[DATA]],"mmm"))</f>
        <v>SET</v>
      </c>
      <c r="H4057" t="str">
        <f>UPPER(TEXT(Tabela_DB[[#This Row],[DATA]],"aaaa"))</f>
        <v>2021</v>
      </c>
    </row>
    <row r="4058" spans="1:8" x14ac:dyDescent="0.25">
      <c r="A4058" s="2">
        <v>44447</v>
      </c>
      <c r="B4058" t="s">
        <v>67</v>
      </c>
      <c r="C4058">
        <v>-2082</v>
      </c>
      <c r="D4058" t="str">
        <f>VLOOKUP(B4058,Tabela_Auxiliar[],2,0)</f>
        <v>4. Despesas Operacionais</v>
      </c>
      <c r="E4058" t="str">
        <f>VLOOKUP(B4058,Tabela_Auxiliar[],4,0)</f>
        <v>Despesa com Vendas</v>
      </c>
      <c r="F4058" t="str">
        <f>VLOOKUP(B4058,Tabela_Auxiliar[],3,0)</f>
        <v>Saída</v>
      </c>
      <c r="G4058" t="str">
        <f>UPPER(TEXT(Tabela_DB[[#This Row],[DATA]],"mmm"))</f>
        <v>SET</v>
      </c>
      <c r="H4058" t="str">
        <f>UPPER(TEXT(Tabela_DB[[#This Row],[DATA]],"aaaa"))</f>
        <v>2021</v>
      </c>
    </row>
    <row r="4059" spans="1:8" x14ac:dyDescent="0.25">
      <c r="A4059" s="2">
        <v>44447</v>
      </c>
      <c r="B4059" t="s">
        <v>78</v>
      </c>
      <c r="C4059">
        <v>-1953</v>
      </c>
      <c r="D4059" t="str">
        <f>VLOOKUP(B4059,Tabela_Auxiliar[],2,0)</f>
        <v>4. Despesas Operacionais</v>
      </c>
      <c r="E4059" t="str">
        <f>VLOOKUP(B4059,Tabela_Auxiliar[],4,0)</f>
        <v>Serviços Contratados</v>
      </c>
      <c r="F4059" t="str">
        <f>VLOOKUP(B4059,Tabela_Auxiliar[],3,0)</f>
        <v>Saída</v>
      </c>
      <c r="G4059" t="str">
        <f>UPPER(TEXT(Tabela_DB[[#This Row],[DATA]],"mmm"))</f>
        <v>SET</v>
      </c>
      <c r="H4059" t="str">
        <f>UPPER(TEXT(Tabela_DB[[#This Row],[DATA]],"aaaa"))</f>
        <v>2021</v>
      </c>
    </row>
    <row r="4060" spans="1:8" x14ac:dyDescent="0.25">
      <c r="A4060" s="2">
        <v>44447</v>
      </c>
      <c r="B4060" t="s">
        <v>34</v>
      </c>
      <c r="C4060">
        <v>-2282</v>
      </c>
      <c r="D4060" t="str">
        <f>VLOOKUP(B4060,Tabela_Auxiliar[],2,0)</f>
        <v>2. Deduções da Receita</v>
      </c>
      <c r="E4060" t="str">
        <f>VLOOKUP(B4060,Tabela_Auxiliar[],4,0)</f>
        <v>Imposto</v>
      </c>
      <c r="F4060" t="str">
        <f>VLOOKUP(B4060,Tabela_Auxiliar[],3,0)</f>
        <v>Saída</v>
      </c>
      <c r="G4060" t="str">
        <f>UPPER(TEXT(Tabela_DB[[#This Row],[DATA]],"mmm"))</f>
        <v>SET</v>
      </c>
      <c r="H4060" t="str">
        <f>UPPER(TEXT(Tabela_DB[[#This Row],[DATA]],"aaaa"))</f>
        <v>2021</v>
      </c>
    </row>
    <row r="4061" spans="1:8" x14ac:dyDescent="0.25">
      <c r="A4061" s="2">
        <v>44447</v>
      </c>
      <c r="B4061" t="s">
        <v>4</v>
      </c>
      <c r="C4061">
        <v>14715</v>
      </c>
      <c r="D4061" t="str">
        <f>VLOOKUP(B4061,Tabela_Auxiliar[],2,0)</f>
        <v>1. Receita Operacional Bruta</v>
      </c>
      <c r="E4061" t="str">
        <f>VLOOKUP(B4061,Tabela_Auxiliar[],4,0)</f>
        <v>Receita Bruta</v>
      </c>
      <c r="F4061" t="str">
        <f>VLOOKUP(B4061,Tabela_Auxiliar[],3,0)</f>
        <v>Entrada</v>
      </c>
      <c r="G4061" t="str">
        <f>UPPER(TEXT(Tabela_DB[[#This Row],[DATA]],"mmm"))</f>
        <v>SET</v>
      </c>
      <c r="H4061" t="str">
        <f>UPPER(TEXT(Tabela_DB[[#This Row],[DATA]],"aaaa"))</f>
        <v>2021</v>
      </c>
    </row>
    <row r="4062" spans="1:8" x14ac:dyDescent="0.25">
      <c r="A4062" s="2">
        <v>44447</v>
      </c>
      <c r="B4062" t="s">
        <v>38</v>
      </c>
      <c r="C4062">
        <v>-2180</v>
      </c>
      <c r="D4062" t="str">
        <f>VLOOKUP(B4062,Tabela_Auxiliar[],2,0)</f>
        <v>2. Deduções da Receita</v>
      </c>
      <c r="E4062" t="str">
        <f>VLOOKUP(B4062,Tabela_Auxiliar[],4,0)</f>
        <v>Deduções</v>
      </c>
      <c r="F4062" t="str">
        <f>VLOOKUP(B4062,Tabela_Auxiliar[],3,0)</f>
        <v>Saída</v>
      </c>
      <c r="G4062" t="str">
        <f>UPPER(TEXT(Tabela_DB[[#This Row],[DATA]],"mmm"))</f>
        <v>SET</v>
      </c>
      <c r="H4062" t="str">
        <f>UPPER(TEXT(Tabela_DB[[#This Row],[DATA]],"aaaa"))</f>
        <v>2021</v>
      </c>
    </row>
    <row r="4063" spans="1:8" x14ac:dyDescent="0.25">
      <c r="A4063" s="2">
        <v>44447</v>
      </c>
      <c r="B4063" t="s">
        <v>102</v>
      </c>
      <c r="C4063">
        <v>-2008</v>
      </c>
      <c r="D4063" t="str">
        <f>VLOOKUP(B4063,Tabela_Auxiliar[],2,0)</f>
        <v>6. Resultado após o Resultado Financeiro</v>
      </c>
      <c r="E4063" t="str">
        <f>VLOOKUP(B4063,Tabela_Auxiliar[],4,0)</f>
        <v>EBTIDA</v>
      </c>
      <c r="F4063" t="str">
        <f>VLOOKUP(B4063,Tabela_Auxiliar[],3,0)</f>
        <v>Saída</v>
      </c>
      <c r="G4063" t="str">
        <f>UPPER(TEXT(Tabela_DB[[#This Row],[DATA]],"mmm"))</f>
        <v>SET</v>
      </c>
      <c r="H4063" t="str">
        <f>UPPER(TEXT(Tabela_DB[[#This Row],[DATA]],"aaaa"))</f>
        <v>2021</v>
      </c>
    </row>
    <row r="4064" spans="1:8" x14ac:dyDescent="0.25">
      <c r="A4064" s="2">
        <v>44447</v>
      </c>
      <c r="B4064" t="s">
        <v>4</v>
      </c>
      <c r="C4064">
        <v>14037</v>
      </c>
      <c r="D4064" t="str">
        <f>VLOOKUP(B4064,Tabela_Auxiliar[],2,0)</f>
        <v>1. Receita Operacional Bruta</v>
      </c>
      <c r="E4064" t="str">
        <f>VLOOKUP(B4064,Tabela_Auxiliar[],4,0)</f>
        <v>Receita Bruta</v>
      </c>
      <c r="F4064" t="str">
        <f>VLOOKUP(B4064,Tabela_Auxiliar[],3,0)</f>
        <v>Entrada</v>
      </c>
      <c r="G4064" t="str">
        <f>UPPER(TEXT(Tabela_DB[[#This Row],[DATA]],"mmm"))</f>
        <v>SET</v>
      </c>
      <c r="H4064" t="str">
        <f>UPPER(TEXT(Tabela_DB[[#This Row],[DATA]],"aaaa"))</f>
        <v>2021</v>
      </c>
    </row>
    <row r="4065" spans="1:8" x14ac:dyDescent="0.25">
      <c r="A4065" s="2">
        <v>44447</v>
      </c>
      <c r="B4065" t="s">
        <v>43</v>
      </c>
      <c r="C4065">
        <v>-1319</v>
      </c>
      <c r="D4065" t="str">
        <f>VLOOKUP(B4065,Tabela_Auxiliar[],2,0)</f>
        <v>4. Despesas Operacionais</v>
      </c>
      <c r="E4065" t="str">
        <f>VLOOKUP(B4065,Tabela_Auxiliar[],4,0)</f>
        <v>Despesa com Pessoal</v>
      </c>
      <c r="F4065" t="str">
        <f>VLOOKUP(B4065,Tabela_Auxiliar[],3,0)</f>
        <v>Saída</v>
      </c>
      <c r="G4065" t="str">
        <f>UPPER(TEXT(Tabela_DB[[#This Row],[DATA]],"mmm"))</f>
        <v>SET</v>
      </c>
      <c r="H4065" t="str">
        <f>UPPER(TEXT(Tabela_DB[[#This Row],[DATA]],"aaaa"))</f>
        <v>2021</v>
      </c>
    </row>
    <row r="4066" spans="1:8" x14ac:dyDescent="0.25">
      <c r="A4066" s="2">
        <v>44447</v>
      </c>
      <c r="B4066" t="s">
        <v>37</v>
      </c>
      <c r="C4066">
        <v>-2837</v>
      </c>
      <c r="D4066" t="str">
        <f>VLOOKUP(B4066,Tabela_Auxiliar[],2,0)</f>
        <v>3. Custos do Produto/Mercadoria/Serviço</v>
      </c>
      <c r="E4066" t="str">
        <f>VLOOKUP(B4066,Tabela_Auxiliar[],4,0)</f>
        <v>Despesas c/ Produto</v>
      </c>
      <c r="F4066" t="str">
        <f>VLOOKUP(B4066,Tabela_Auxiliar[],3,0)</f>
        <v>Saída</v>
      </c>
      <c r="G4066" t="str">
        <f>UPPER(TEXT(Tabela_DB[[#This Row],[DATA]],"mmm"))</f>
        <v>SET</v>
      </c>
      <c r="H4066" t="str">
        <f>UPPER(TEXT(Tabela_DB[[#This Row],[DATA]],"aaaa"))</f>
        <v>2021</v>
      </c>
    </row>
    <row r="4067" spans="1:8" x14ac:dyDescent="0.25">
      <c r="A4067" s="2">
        <v>44447</v>
      </c>
      <c r="B4067" t="s">
        <v>3</v>
      </c>
      <c r="C4067">
        <v>13775</v>
      </c>
      <c r="D4067" t="str">
        <f>VLOOKUP(B4067,Tabela_Auxiliar[],2,0)</f>
        <v>1. Receita Operacional Bruta</v>
      </c>
      <c r="E4067" t="str">
        <f>VLOOKUP(B4067,Tabela_Auxiliar[],4,0)</f>
        <v>Receita Bruta</v>
      </c>
      <c r="F4067" t="str">
        <f>VLOOKUP(B4067,Tabela_Auxiliar[],3,0)</f>
        <v>Entrada</v>
      </c>
      <c r="G4067" t="str">
        <f>UPPER(TEXT(Tabela_DB[[#This Row],[DATA]],"mmm"))</f>
        <v>SET</v>
      </c>
      <c r="H4067" t="str">
        <f>UPPER(TEXT(Tabela_DB[[#This Row],[DATA]],"aaaa"))</f>
        <v>2021</v>
      </c>
    </row>
    <row r="4068" spans="1:8" x14ac:dyDescent="0.25">
      <c r="A4068" s="2">
        <v>44447</v>
      </c>
      <c r="B4068" t="s">
        <v>4</v>
      </c>
      <c r="C4068">
        <v>13370</v>
      </c>
      <c r="D4068" t="str">
        <f>VLOOKUP(B4068,Tabela_Auxiliar[],2,0)</f>
        <v>1. Receita Operacional Bruta</v>
      </c>
      <c r="E4068" t="str">
        <f>VLOOKUP(B4068,Tabela_Auxiliar[],4,0)</f>
        <v>Receita Bruta</v>
      </c>
      <c r="F4068" t="str">
        <f>VLOOKUP(B4068,Tabela_Auxiliar[],3,0)</f>
        <v>Entrada</v>
      </c>
      <c r="G4068" t="str">
        <f>UPPER(TEXT(Tabela_DB[[#This Row],[DATA]],"mmm"))</f>
        <v>SET</v>
      </c>
      <c r="H4068" t="str">
        <f>UPPER(TEXT(Tabela_DB[[#This Row],[DATA]],"aaaa"))</f>
        <v>2021</v>
      </c>
    </row>
    <row r="4069" spans="1:8" x14ac:dyDescent="0.25">
      <c r="A4069" s="2">
        <v>44447</v>
      </c>
      <c r="B4069" t="s">
        <v>60</v>
      </c>
      <c r="C4069">
        <v>-1234</v>
      </c>
      <c r="D4069" t="str">
        <f>VLOOKUP(B4069,Tabela_Auxiliar[],2,0)</f>
        <v>4. Despesas Operacionais</v>
      </c>
      <c r="E4069" t="str">
        <f>VLOOKUP(B4069,Tabela_Auxiliar[],4,0)</f>
        <v>Despesa de Depreciação</v>
      </c>
      <c r="F4069" t="str">
        <f>VLOOKUP(B4069,Tabela_Auxiliar[],3,0)</f>
        <v>Saída</v>
      </c>
      <c r="G4069" t="str">
        <f>UPPER(TEXT(Tabela_DB[[#This Row],[DATA]],"mmm"))</f>
        <v>SET</v>
      </c>
      <c r="H4069" t="str">
        <f>UPPER(TEXT(Tabela_DB[[#This Row],[DATA]],"aaaa"))</f>
        <v>2021</v>
      </c>
    </row>
    <row r="4070" spans="1:8" x14ac:dyDescent="0.25">
      <c r="A4070" s="2">
        <v>44447</v>
      </c>
      <c r="B4070" t="s">
        <v>38</v>
      </c>
      <c r="C4070">
        <v>-1728</v>
      </c>
      <c r="D4070" t="str">
        <f>VLOOKUP(B4070,Tabela_Auxiliar[],2,0)</f>
        <v>2. Deduções da Receita</v>
      </c>
      <c r="E4070" t="str">
        <f>VLOOKUP(B4070,Tabela_Auxiliar[],4,0)</f>
        <v>Deduções</v>
      </c>
      <c r="F4070" t="str">
        <f>VLOOKUP(B4070,Tabela_Auxiliar[],3,0)</f>
        <v>Saída</v>
      </c>
      <c r="G4070" t="str">
        <f>UPPER(TEXT(Tabela_DB[[#This Row],[DATA]],"mmm"))</f>
        <v>SET</v>
      </c>
      <c r="H4070" t="str">
        <f>UPPER(TEXT(Tabela_DB[[#This Row],[DATA]],"aaaa"))</f>
        <v>2021</v>
      </c>
    </row>
    <row r="4071" spans="1:8" x14ac:dyDescent="0.25">
      <c r="A4071" s="2">
        <v>44447</v>
      </c>
      <c r="B4071" t="s">
        <v>52</v>
      </c>
      <c r="C4071">
        <v>-2301</v>
      </c>
      <c r="D4071" t="str">
        <f>VLOOKUP(B4071,Tabela_Auxiliar[],2,0)</f>
        <v>4. Despesas Operacionais</v>
      </c>
      <c r="E4071" t="str">
        <f>VLOOKUP(B4071,Tabela_Auxiliar[],4,0)</f>
        <v>Despesa com Pessoal</v>
      </c>
      <c r="F4071" t="str">
        <f>VLOOKUP(B4071,Tabela_Auxiliar[],3,0)</f>
        <v>Saída</v>
      </c>
      <c r="G4071" t="str">
        <f>UPPER(TEXT(Tabela_DB[[#This Row],[DATA]],"mmm"))</f>
        <v>SET</v>
      </c>
      <c r="H4071" t="str">
        <f>UPPER(TEXT(Tabela_DB[[#This Row],[DATA]],"aaaa"))</f>
        <v>2021</v>
      </c>
    </row>
    <row r="4072" spans="1:8" x14ac:dyDescent="0.25">
      <c r="A4072" s="2">
        <v>44447</v>
      </c>
      <c r="B4072" t="s">
        <v>37</v>
      </c>
      <c r="C4072">
        <v>-3083</v>
      </c>
      <c r="D4072" t="str">
        <f>VLOOKUP(B4072,Tabela_Auxiliar[],2,0)</f>
        <v>3. Custos do Produto/Mercadoria/Serviço</v>
      </c>
      <c r="E4072" t="str">
        <f>VLOOKUP(B4072,Tabela_Auxiliar[],4,0)</f>
        <v>Despesas c/ Produto</v>
      </c>
      <c r="F4072" t="str">
        <f>VLOOKUP(B4072,Tabela_Auxiliar[],3,0)</f>
        <v>Saída</v>
      </c>
      <c r="G4072" t="str">
        <f>UPPER(TEXT(Tabela_DB[[#This Row],[DATA]],"mmm"))</f>
        <v>SET</v>
      </c>
      <c r="H4072" t="str">
        <f>UPPER(TEXT(Tabela_DB[[#This Row],[DATA]],"aaaa"))</f>
        <v>2021</v>
      </c>
    </row>
    <row r="4073" spans="1:8" x14ac:dyDescent="0.25">
      <c r="A4073" s="2">
        <v>44447</v>
      </c>
      <c r="B4073" t="s">
        <v>76</v>
      </c>
      <c r="C4073">
        <v>-1330</v>
      </c>
      <c r="D4073" t="str">
        <f>VLOOKUP(B4073,Tabela_Auxiliar[],2,0)</f>
        <v>4. Despesas Operacionais</v>
      </c>
      <c r="E4073" t="str">
        <f>VLOOKUP(B4073,Tabela_Auxiliar[],4,0)</f>
        <v>Serviços Contratados</v>
      </c>
      <c r="F4073" t="str">
        <f>VLOOKUP(B4073,Tabela_Auxiliar[],3,0)</f>
        <v>Saída</v>
      </c>
      <c r="G4073" t="str">
        <f>UPPER(TEXT(Tabela_DB[[#This Row],[DATA]],"mmm"))</f>
        <v>SET</v>
      </c>
      <c r="H4073" t="str">
        <f>UPPER(TEXT(Tabela_DB[[#This Row],[DATA]],"aaaa"))</f>
        <v>2021</v>
      </c>
    </row>
    <row r="4074" spans="1:8" x14ac:dyDescent="0.25">
      <c r="A4074" s="2">
        <v>44448</v>
      </c>
      <c r="B4074" t="s">
        <v>34</v>
      </c>
      <c r="C4074">
        <v>-1229</v>
      </c>
      <c r="D4074" t="str">
        <f>VLOOKUP(B4074,Tabela_Auxiliar[],2,0)</f>
        <v>2. Deduções da Receita</v>
      </c>
      <c r="E4074" t="str">
        <f>VLOOKUP(B4074,Tabela_Auxiliar[],4,0)</f>
        <v>Imposto</v>
      </c>
      <c r="F4074" t="str">
        <f>VLOOKUP(B4074,Tabela_Auxiliar[],3,0)</f>
        <v>Saída</v>
      </c>
      <c r="G4074" t="str">
        <f>UPPER(TEXT(Tabela_DB[[#This Row],[DATA]],"mmm"))</f>
        <v>SET</v>
      </c>
      <c r="H4074" t="str">
        <f>UPPER(TEXT(Tabela_DB[[#This Row],[DATA]],"aaaa"))</f>
        <v>2021</v>
      </c>
    </row>
    <row r="4075" spans="1:8" x14ac:dyDescent="0.25">
      <c r="A4075" s="2">
        <v>44448</v>
      </c>
      <c r="B4075" t="s">
        <v>111</v>
      </c>
      <c r="C4075">
        <v>-1640</v>
      </c>
      <c r="D4075" t="str">
        <f>VLOOKUP(B4075,Tabela_Auxiliar[],2,0)</f>
        <v>2. Deduções da Receita</v>
      </c>
      <c r="E4075" t="str">
        <f>VLOOKUP(B4075,Tabela_Auxiliar[],4,0)</f>
        <v>Imposto</v>
      </c>
      <c r="F4075" t="str">
        <f>VLOOKUP(B4075,Tabela_Auxiliar[],3,0)</f>
        <v>Saída</v>
      </c>
      <c r="G4075" t="str">
        <f>UPPER(TEXT(Tabela_DB[[#This Row],[DATA]],"mmm"))</f>
        <v>SET</v>
      </c>
      <c r="H4075" t="str">
        <f>UPPER(TEXT(Tabela_DB[[#This Row],[DATA]],"aaaa"))</f>
        <v>2021</v>
      </c>
    </row>
    <row r="4076" spans="1:8" x14ac:dyDescent="0.25">
      <c r="A4076" s="2">
        <v>44448</v>
      </c>
      <c r="B4076" t="s">
        <v>38</v>
      </c>
      <c r="C4076">
        <v>-2101</v>
      </c>
      <c r="D4076" t="str">
        <f>VLOOKUP(B4076,Tabela_Auxiliar[],2,0)</f>
        <v>2. Deduções da Receita</v>
      </c>
      <c r="E4076" t="str">
        <f>VLOOKUP(B4076,Tabela_Auxiliar[],4,0)</f>
        <v>Deduções</v>
      </c>
      <c r="F4076" t="str">
        <f>VLOOKUP(B4076,Tabela_Auxiliar[],3,0)</f>
        <v>Saída</v>
      </c>
      <c r="G4076" t="str">
        <f>UPPER(TEXT(Tabela_DB[[#This Row],[DATA]],"mmm"))</f>
        <v>SET</v>
      </c>
      <c r="H4076" t="str">
        <f>UPPER(TEXT(Tabela_DB[[#This Row],[DATA]],"aaaa"))</f>
        <v>2021</v>
      </c>
    </row>
    <row r="4077" spans="1:8" x14ac:dyDescent="0.25">
      <c r="A4077" s="2">
        <v>44448</v>
      </c>
      <c r="B4077" t="s">
        <v>40</v>
      </c>
      <c r="C4077">
        <v>-1960</v>
      </c>
      <c r="D4077" t="str">
        <f>VLOOKUP(B4077,Tabela_Auxiliar[],2,0)</f>
        <v>4. Despesas Operacionais</v>
      </c>
      <c r="E4077" t="str">
        <f>VLOOKUP(B4077,Tabela_Auxiliar[],4,0)</f>
        <v>Despesa com Pessoal</v>
      </c>
      <c r="F4077" t="str">
        <f>VLOOKUP(B4077,Tabela_Auxiliar[],3,0)</f>
        <v>Saída</v>
      </c>
      <c r="G4077" t="str">
        <f>UPPER(TEXT(Tabela_DB[[#This Row],[DATA]],"mmm"))</f>
        <v>SET</v>
      </c>
      <c r="H4077" t="str">
        <f>UPPER(TEXT(Tabela_DB[[#This Row],[DATA]],"aaaa"))</f>
        <v>2021</v>
      </c>
    </row>
    <row r="4078" spans="1:8" x14ac:dyDescent="0.25">
      <c r="A4078" s="2">
        <v>44448</v>
      </c>
      <c r="B4078" t="s">
        <v>35</v>
      </c>
      <c r="C4078">
        <v>-1625</v>
      </c>
      <c r="D4078" t="str">
        <f>VLOOKUP(B4078,Tabela_Auxiliar[],2,0)</f>
        <v>2. Deduções da Receita</v>
      </c>
      <c r="E4078" t="str">
        <f>VLOOKUP(B4078,Tabela_Auxiliar[],4,0)</f>
        <v>Imposto</v>
      </c>
      <c r="F4078" t="str">
        <f>VLOOKUP(B4078,Tabela_Auxiliar[],3,0)</f>
        <v>Saída</v>
      </c>
      <c r="G4078" t="str">
        <f>UPPER(TEXT(Tabela_DB[[#This Row],[DATA]],"mmm"))</f>
        <v>SET</v>
      </c>
      <c r="H4078" t="str">
        <f>UPPER(TEXT(Tabela_DB[[#This Row],[DATA]],"aaaa"))</f>
        <v>2021</v>
      </c>
    </row>
    <row r="4079" spans="1:8" x14ac:dyDescent="0.25">
      <c r="A4079" s="2">
        <v>44448</v>
      </c>
      <c r="B4079" t="s">
        <v>60</v>
      </c>
      <c r="C4079">
        <v>-1255</v>
      </c>
      <c r="D4079" t="str">
        <f>VLOOKUP(B4079,Tabela_Auxiliar[],2,0)</f>
        <v>4. Despesas Operacionais</v>
      </c>
      <c r="E4079" t="str">
        <f>VLOOKUP(B4079,Tabela_Auxiliar[],4,0)</f>
        <v>Despesa de Depreciação</v>
      </c>
      <c r="F4079" t="str">
        <f>VLOOKUP(B4079,Tabela_Auxiliar[],3,0)</f>
        <v>Saída</v>
      </c>
      <c r="G4079" t="str">
        <f>UPPER(TEXT(Tabela_DB[[#This Row],[DATA]],"mmm"))</f>
        <v>SET</v>
      </c>
      <c r="H4079" t="str">
        <f>UPPER(TEXT(Tabela_DB[[#This Row],[DATA]],"aaaa"))</f>
        <v>2021</v>
      </c>
    </row>
    <row r="4080" spans="1:8" x14ac:dyDescent="0.25">
      <c r="A4080" s="2">
        <v>44448</v>
      </c>
      <c r="B4080" t="s">
        <v>90</v>
      </c>
      <c r="C4080">
        <v>-2203</v>
      </c>
      <c r="D4080" t="str">
        <f>VLOOKUP(B4080,Tabela_Auxiliar[],2,0)</f>
        <v>4. Despesas Operacionais</v>
      </c>
      <c r="E4080" t="str">
        <f>VLOOKUP(B4080,Tabela_Auxiliar[],4,0)</f>
        <v>Despesa Tributária</v>
      </c>
      <c r="F4080" t="str">
        <f>VLOOKUP(B4080,Tabela_Auxiliar[],3,0)</f>
        <v>Saída</v>
      </c>
      <c r="G4080" t="str">
        <f>UPPER(TEXT(Tabela_DB[[#This Row],[DATA]],"mmm"))</f>
        <v>SET</v>
      </c>
      <c r="H4080" t="str">
        <f>UPPER(TEXT(Tabela_DB[[#This Row],[DATA]],"aaaa"))</f>
        <v>2021</v>
      </c>
    </row>
    <row r="4081" spans="1:8" x14ac:dyDescent="0.25">
      <c r="A4081" s="2">
        <v>44448</v>
      </c>
      <c r="B4081" t="s">
        <v>4</v>
      </c>
      <c r="C4081">
        <v>11666</v>
      </c>
      <c r="D4081" t="str">
        <f>VLOOKUP(B4081,Tabela_Auxiliar[],2,0)</f>
        <v>1. Receita Operacional Bruta</v>
      </c>
      <c r="E4081" t="str">
        <f>VLOOKUP(B4081,Tabela_Auxiliar[],4,0)</f>
        <v>Receita Bruta</v>
      </c>
      <c r="F4081" t="str">
        <f>VLOOKUP(B4081,Tabela_Auxiliar[],3,0)</f>
        <v>Entrada</v>
      </c>
      <c r="G4081" t="str">
        <f>UPPER(TEXT(Tabela_DB[[#This Row],[DATA]],"mmm"))</f>
        <v>SET</v>
      </c>
      <c r="H4081" t="str">
        <f>UPPER(TEXT(Tabela_DB[[#This Row],[DATA]],"aaaa"))</f>
        <v>2021</v>
      </c>
    </row>
    <row r="4082" spans="1:8" x14ac:dyDescent="0.25">
      <c r="A4082" s="2">
        <v>44449</v>
      </c>
      <c r="B4082" t="s">
        <v>45</v>
      </c>
      <c r="C4082">
        <v>-2283</v>
      </c>
      <c r="D4082" t="str">
        <f>VLOOKUP(B4082,Tabela_Auxiliar[],2,0)</f>
        <v>4. Despesas Operacionais</v>
      </c>
      <c r="E4082" t="str">
        <f>VLOOKUP(B4082,Tabela_Auxiliar[],4,0)</f>
        <v>Despesa com Pessoal</v>
      </c>
      <c r="F4082" t="str">
        <f>VLOOKUP(B4082,Tabela_Auxiliar[],3,0)</f>
        <v>Saída</v>
      </c>
      <c r="G4082" t="str">
        <f>UPPER(TEXT(Tabela_DB[[#This Row],[DATA]],"mmm"))</f>
        <v>SET</v>
      </c>
      <c r="H4082" t="str">
        <f>UPPER(TEXT(Tabela_DB[[#This Row],[DATA]],"aaaa"))</f>
        <v>2021</v>
      </c>
    </row>
    <row r="4083" spans="1:8" x14ac:dyDescent="0.25">
      <c r="A4083" s="2">
        <v>44449</v>
      </c>
      <c r="B4083" t="s">
        <v>37</v>
      </c>
      <c r="C4083">
        <v>-4736</v>
      </c>
      <c r="D4083" t="str">
        <f>VLOOKUP(B4083,Tabela_Auxiliar[],2,0)</f>
        <v>3. Custos do Produto/Mercadoria/Serviço</v>
      </c>
      <c r="E4083" t="str">
        <f>VLOOKUP(B4083,Tabela_Auxiliar[],4,0)</f>
        <v>Despesas c/ Produto</v>
      </c>
      <c r="F4083" t="str">
        <f>VLOOKUP(B4083,Tabela_Auxiliar[],3,0)</f>
        <v>Saída</v>
      </c>
      <c r="G4083" t="str">
        <f>UPPER(TEXT(Tabela_DB[[#This Row],[DATA]],"mmm"))</f>
        <v>SET</v>
      </c>
      <c r="H4083" t="str">
        <f>UPPER(TEXT(Tabela_DB[[#This Row],[DATA]],"aaaa"))</f>
        <v>2021</v>
      </c>
    </row>
    <row r="4084" spans="1:8" x14ac:dyDescent="0.25">
      <c r="A4084" s="2">
        <v>44449</v>
      </c>
      <c r="B4084" t="s">
        <v>4</v>
      </c>
      <c r="C4084">
        <v>11483</v>
      </c>
      <c r="D4084" t="str">
        <f>VLOOKUP(B4084,Tabela_Auxiliar[],2,0)</f>
        <v>1. Receita Operacional Bruta</v>
      </c>
      <c r="E4084" t="str">
        <f>VLOOKUP(B4084,Tabela_Auxiliar[],4,0)</f>
        <v>Receita Bruta</v>
      </c>
      <c r="F4084" t="str">
        <f>VLOOKUP(B4084,Tabela_Auxiliar[],3,0)</f>
        <v>Entrada</v>
      </c>
      <c r="G4084" t="str">
        <f>UPPER(TEXT(Tabela_DB[[#This Row],[DATA]],"mmm"))</f>
        <v>SET</v>
      </c>
      <c r="H4084" t="str">
        <f>UPPER(TEXT(Tabela_DB[[#This Row],[DATA]],"aaaa"))</f>
        <v>2021</v>
      </c>
    </row>
    <row r="4085" spans="1:8" x14ac:dyDescent="0.25">
      <c r="A4085" s="2">
        <v>44449</v>
      </c>
      <c r="B4085" t="s">
        <v>38</v>
      </c>
      <c r="C4085">
        <v>-2001</v>
      </c>
      <c r="D4085" t="str">
        <f>VLOOKUP(B4085,Tabela_Auxiliar[],2,0)</f>
        <v>2. Deduções da Receita</v>
      </c>
      <c r="E4085" t="str">
        <f>VLOOKUP(B4085,Tabela_Auxiliar[],4,0)</f>
        <v>Deduções</v>
      </c>
      <c r="F4085" t="str">
        <f>VLOOKUP(B4085,Tabela_Auxiliar[],3,0)</f>
        <v>Saída</v>
      </c>
      <c r="G4085" t="str">
        <f>UPPER(TEXT(Tabela_DB[[#This Row],[DATA]],"mmm"))</f>
        <v>SET</v>
      </c>
      <c r="H4085" t="str">
        <f>UPPER(TEXT(Tabela_DB[[#This Row],[DATA]],"aaaa"))</f>
        <v>2021</v>
      </c>
    </row>
    <row r="4086" spans="1:8" x14ac:dyDescent="0.25">
      <c r="A4086" s="2">
        <v>44449</v>
      </c>
      <c r="B4086" t="s">
        <v>42</v>
      </c>
      <c r="C4086">
        <v>-1994</v>
      </c>
      <c r="D4086" t="str">
        <f>VLOOKUP(B4086,Tabela_Auxiliar[],2,0)</f>
        <v>4. Despesas Operacionais</v>
      </c>
      <c r="E4086" t="str">
        <f>VLOOKUP(B4086,Tabela_Auxiliar[],4,0)</f>
        <v>Despesa com Pessoal</v>
      </c>
      <c r="F4086" t="str">
        <f>VLOOKUP(B4086,Tabela_Auxiliar[],3,0)</f>
        <v>Saída</v>
      </c>
      <c r="G4086" t="str">
        <f>UPPER(TEXT(Tabela_DB[[#This Row],[DATA]],"mmm"))</f>
        <v>SET</v>
      </c>
      <c r="H4086" t="str">
        <f>UPPER(TEXT(Tabela_DB[[#This Row],[DATA]],"aaaa"))</f>
        <v>2021</v>
      </c>
    </row>
    <row r="4087" spans="1:8" x14ac:dyDescent="0.25">
      <c r="A4087" s="2">
        <v>44449</v>
      </c>
      <c r="B4087" t="s">
        <v>3</v>
      </c>
      <c r="C4087">
        <v>13975</v>
      </c>
      <c r="D4087" t="str">
        <f>VLOOKUP(B4087,Tabela_Auxiliar[],2,0)</f>
        <v>1. Receita Operacional Bruta</v>
      </c>
      <c r="E4087" t="str">
        <f>VLOOKUP(B4087,Tabela_Auxiliar[],4,0)</f>
        <v>Receita Bruta</v>
      </c>
      <c r="F4087" t="str">
        <f>VLOOKUP(B4087,Tabela_Auxiliar[],3,0)</f>
        <v>Entrada</v>
      </c>
      <c r="G4087" t="str">
        <f>UPPER(TEXT(Tabela_DB[[#This Row],[DATA]],"mmm"))</f>
        <v>SET</v>
      </c>
      <c r="H4087" t="str">
        <f>UPPER(TEXT(Tabela_DB[[#This Row],[DATA]],"aaaa"))</f>
        <v>2021</v>
      </c>
    </row>
    <row r="4088" spans="1:8" x14ac:dyDescent="0.25">
      <c r="A4088" s="2">
        <v>44449</v>
      </c>
      <c r="B4088" t="s">
        <v>8</v>
      </c>
      <c r="C4088">
        <v>-1231</v>
      </c>
      <c r="D4088" t="str">
        <f>VLOOKUP(B4088,Tabela_Auxiliar[],2,0)</f>
        <v>4. Despesas Operacionais</v>
      </c>
      <c r="E4088" t="str">
        <f>VLOOKUP(B4088,Tabela_Auxiliar[],4,0)</f>
        <v>Despesa com Pessoal</v>
      </c>
      <c r="F4088" t="str">
        <f>VLOOKUP(B4088,Tabela_Auxiliar[],3,0)</f>
        <v>Saída</v>
      </c>
      <c r="G4088" t="str">
        <f>UPPER(TEXT(Tabela_DB[[#This Row],[DATA]],"mmm"))</f>
        <v>SET</v>
      </c>
      <c r="H4088" t="str">
        <f>UPPER(TEXT(Tabela_DB[[#This Row],[DATA]],"aaaa"))</f>
        <v>2021</v>
      </c>
    </row>
    <row r="4089" spans="1:8" x14ac:dyDescent="0.25">
      <c r="A4089" s="2">
        <v>44449</v>
      </c>
      <c r="B4089" t="s">
        <v>4</v>
      </c>
      <c r="C4089">
        <v>13448</v>
      </c>
      <c r="D4089" t="str">
        <f>VLOOKUP(B4089,Tabela_Auxiliar[],2,0)</f>
        <v>1. Receita Operacional Bruta</v>
      </c>
      <c r="E4089" t="str">
        <f>VLOOKUP(B4089,Tabela_Auxiliar[],4,0)</f>
        <v>Receita Bruta</v>
      </c>
      <c r="F4089" t="str">
        <f>VLOOKUP(B4089,Tabela_Auxiliar[],3,0)</f>
        <v>Entrada</v>
      </c>
      <c r="G4089" t="str">
        <f>UPPER(TEXT(Tabela_DB[[#This Row],[DATA]],"mmm"))</f>
        <v>SET</v>
      </c>
      <c r="H4089" t="str">
        <f>UPPER(TEXT(Tabela_DB[[#This Row],[DATA]],"aaaa"))</f>
        <v>2021</v>
      </c>
    </row>
    <row r="4090" spans="1:8" x14ac:dyDescent="0.25">
      <c r="A4090" s="2">
        <v>44449</v>
      </c>
      <c r="B4090" t="s">
        <v>4</v>
      </c>
      <c r="C4090">
        <v>12566</v>
      </c>
      <c r="D4090" t="str">
        <f>VLOOKUP(B4090,Tabela_Auxiliar[],2,0)</f>
        <v>1. Receita Operacional Bruta</v>
      </c>
      <c r="E4090" t="str">
        <f>VLOOKUP(B4090,Tabela_Auxiliar[],4,0)</f>
        <v>Receita Bruta</v>
      </c>
      <c r="F4090" t="str">
        <f>VLOOKUP(B4090,Tabela_Auxiliar[],3,0)</f>
        <v>Entrada</v>
      </c>
      <c r="G4090" t="str">
        <f>UPPER(TEXT(Tabela_DB[[#This Row],[DATA]],"mmm"))</f>
        <v>SET</v>
      </c>
      <c r="H4090" t="str">
        <f>UPPER(TEXT(Tabela_DB[[#This Row],[DATA]],"aaaa"))</f>
        <v>2021</v>
      </c>
    </row>
    <row r="4091" spans="1:8" x14ac:dyDescent="0.25">
      <c r="A4091" s="2">
        <v>44449</v>
      </c>
      <c r="B4091" t="s">
        <v>111</v>
      </c>
      <c r="C4091">
        <v>-1401</v>
      </c>
      <c r="D4091" t="str">
        <f>VLOOKUP(B4091,Tabela_Auxiliar[],2,0)</f>
        <v>2. Deduções da Receita</v>
      </c>
      <c r="E4091" t="str">
        <f>VLOOKUP(B4091,Tabela_Auxiliar[],4,0)</f>
        <v>Imposto</v>
      </c>
      <c r="F4091" t="str">
        <f>VLOOKUP(B4091,Tabela_Auxiliar[],3,0)</f>
        <v>Saída</v>
      </c>
      <c r="G4091" t="str">
        <f>UPPER(TEXT(Tabela_DB[[#This Row],[DATA]],"mmm"))</f>
        <v>SET</v>
      </c>
      <c r="H4091" t="str">
        <f>UPPER(TEXT(Tabela_DB[[#This Row],[DATA]],"aaaa"))</f>
        <v>2021</v>
      </c>
    </row>
    <row r="4092" spans="1:8" x14ac:dyDescent="0.25">
      <c r="A4092" s="2">
        <v>44449</v>
      </c>
      <c r="B4092" t="s">
        <v>47</v>
      </c>
      <c r="C4092">
        <v>-2500</v>
      </c>
      <c r="D4092" t="str">
        <f>VLOOKUP(B4092,Tabela_Auxiliar[],2,0)</f>
        <v>4. Despesas Operacionais</v>
      </c>
      <c r="E4092" t="str">
        <f>VLOOKUP(B4092,Tabela_Auxiliar[],4,0)</f>
        <v>Despesa com Pessoal</v>
      </c>
      <c r="F4092" t="str">
        <f>VLOOKUP(B4092,Tabela_Auxiliar[],3,0)</f>
        <v>Saída</v>
      </c>
      <c r="G4092" t="str">
        <f>UPPER(TEXT(Tabela_DB[[#This Row],[DATA]],"mmm"))</f>
        <v>SET</v>
      </c>
      <c r="H4092" t="str">
        <f>UPPER(TEXT(Tabela_DB[[#This Row],[DATA]],"aaaa"))</f>
        <v>2021</v>
      </c>
    </row>
    <row r="4093" spans="1:8" x14ac:dyDescent="0.25">
      <c r="A4093" s="2">
        <v>44449</v>
      </c>
      <c r="B4093" t="s">
        <v>3</v>
      </c>
      <c r="C4093">
        <v>11499</v>
      </c>
      <c r="D4093" t="str">
        <f>VLOOKUP(B4093,Tabela_Auxiliar[],2,0)</f>
        <v>1. Receita Operacional Bruta</v>
      </c>
      <c r="E4093" t="str">
        <f>VLOOKUP(B4093,Tabela_Auxiliar[],4,0)</f>
        <v>Receita Bruta</v>
      </c>
      <c r="F4093" t="str">
        <f>VLOOKUP(B4093,Tabela_Auxiliar[],3,0)</f>
        <v>Entrada</v>
      </c>
      <c r="G4093" t="str">
        <f>UPPER(TEXT(Tabela_DB[[#This Row],[DATA]],"mmm"))</f>
        <v>SET</v>
      </c>
      <c r="H4093" t="str">
        <f>UPPER(TEXT(Tabela_DB[[#This Row],[DATA]],"aaaa"))</f>
        <v>2021</v>
      </c>
    </row>
    <row r="4094" spans="1:8" x14ac:dyDescent="0.25">
      <c r="A4094" s="2">
        <v>44449</v>
      </c>
      <c r="B4094" t="s">
        <v>84</v>
      </c>
      <c r="C4094">
        <v>-2271</v>
      </c>
      <c r="D4094" t="str">
        <f>VLOOKUP(B4094,Tabela_Auxiliar[],2,0)</f>
        <v>4. Despesas Operacionais</v>
      </c>
      <c r="E4094" t="str">
        <f>VLOOKUP(B4094,Tabela_Auxiliar[],4,0)</f>
        <v>Despesa com Veículos</v>
      </c>
      <c r="F4094" t="str">
        <f>VLOOKUP(B4094,Tabela_Auxiliar[],3,0)</f>
        <v>Saída</v>
      </c>
      <c r="G4094" t="str">
        <f>UPPER(TEXT(Tabela_DB[[#This Row],[DATA]],"mmm"))</f>
        <v>SET</v>
      </c>
      <c r="H4094" t="str">
        <f>UPPER(TEXT(Tabela_DB[[#This Row],[DATA]],"aaaa"))</f>
        <v>2021</v>
      </c>
    </row>
    <row r="4095" spans="1:8" x14ac:dyDescent="0.25">
      <c r="A4095" s="2">
        <v>44449</v>
      </c>
      <c r="B4095" t="s">
        <v>66</v>
      </c>
      <c r="C4095">
        <v>-1415</v>
      </c>
      <c r="D4095" t="str">
        <f>VLOOKUP(B4095,Tabela_Auxiliar[],2,0)</f>
        <v>4. Despesas Operacionais</v>
      </c>
      <c r="E4095" t="str">
        <f>VLOOKUP(B4095,Tabela_Auxiliar[],4,0)</f>
        <v>Despesa com Vendas</v>
      </c>
      <c r="F4095" t="str">
        <f>VLOOKUP(B4095,Tabela_Auxiliar[],3,0)</f>
        <v>Saída</v>
      </c>
      <c r="G4095" t="str">
        <f>UPPER(TEXT(Tabela_DB[[#This Row],[DATA]],"mmm"))</f>
        <v>SET</v>
      </c>
      <c r="H4095" t="str">
        <f>UPPER(TEXT(Tabela_DB[[#This Row],[DATA]],"aaaa"))</f>
        <v>2021</v>
      </c>
    </row>
    <row r="4096" spans="1:8" x14ac:dyDescent="0.25">
      <c r="A4096" s="2">
        <v>44449</v>
      </c>
      <c r="B4096" t="s">
        <v>101</v>
      </c>
      <c r="C4096">
        <v>-1877</v>
      </c>
      <c r="D4096" t="str">
        <f>VLOOKUP(B4096,Tabela_Auxiliar[],2,0)</f>
        <v>5. Resultado Financeiro</v>
      </c>
      <c r="E4096" t="str">
        <f>VLOOKUP(B4096,Tabela_Auxiliar[],4,0)</f>
        <v>Despesa Financeira</v>
      </c>
      <c r="F4096" t="str">
        <f>VLOOKUP(B4096,Tabela_Auxiliar[],3,0)</f>
        <v>Saída</v>
      </c>
      <c r="G4096" t="str">
        <f>UPPER(TEXT(Tabela_DB[[#This Row],[DATA]],"mmm"))</f>
        <v>SET</v>
      </c>
      <c r="H4096" t="str">
        <f>UPPER(TEXT(Tabela_DB[[#This Row],[DATA]],"aaaa"))</f>
        <v>2021</v>
      </c>
    </row>
    <row r="4097" spans="1:8" x14ac:dyDescent="0.25">
      <c r="A4097" s="2">
        <v>44449</v>
      </c>
      <c r="B4097" t="s">
        <v>4</v>
      </c>
      <c r="C4097">
        <v>14546</v>
      </c>
      <c r="D4097" t="str">
        <f>VLOOKUP(B4097,Tabela_Auxiliar[],2,0)</f>
        <v>1. Receita Operacional Bruta</v>
      </c>
      <c r="E4097" t="str">
        <f>VLOOKUP(B4097,Tabela_Auxiliar[],4,0)</f>
        <v>Receita Bruta</v>
      </c>
      <c r="F4097" t="str">
        <f>VLOOKUP(B4097,Tabela_Auxiliar[],3,0)</f>
        <v>Entrada</v>
      </c>
      <c r="G4097" t="str">
        <f>UPPER(TEXT(Tabela_DB[[#This Row],[DATA]],"mmm"))</f>
        <v>SET</v>
      </c>
      <c r="H4097" t="str">
        <f>UPPER(TEXT(Tabela_DB[[#This Row],[DATA]],"aaaa"))</f>
        <v>2021</v>
      </c>
    </row>
    <row r="4098" spans="1:8" x14ac:dyDescent="0.25">
      <c r="A4098" s="2">
        <v>44449</v>
      </c>
      <c r="B4098" t="s">
        <v>35</v>
      </c>
      <c r="C4098">
        <v>-1525</v>
      </c>
      <c r="D4098" t="str">
        <f>VLOOKUP(B4098,Tabela_Auxiliar[],2,0)</f>
        <v>2. Deduções da Receita</v>
      </c>
      <c r="E4098" t="str">
        <f>VLOOKUP(B4098,Tabela_Auxiliar[],4,0)</f>
        <v>Imposto</v>
      </c>
      <c r="F4098" t="str">
        <f>VLOOKUP(B4098,Tabela_Auxiliar[],3,0)</f>
        <v>Saída</v>
      </c>
      <c r="G4098" t="str">
        <f>UPPER(TEXT(Tabela_DB[[#This Row],[DATA]],"mmm"))</f>
        <v>SET</v>
      </c>
      <c r="H4098" t="str">
        <f>UPPER(TEXT(Tabela_DB[[#This Row],[DATA]],"aaaa"))</f>
        <v>2021</v>
      </c>
    </row>
    <row r="4099" spans="1:8" x14ac:dyDescent="0.25">
      <c r="A4099" s="2">
        <v>44449</v>
      </c>
      <c r="B4099" t="s">
        <v>34</v>
      </c>
      <c r="C4099">
        <v>-1952</v>
      </c>
      <c r="D4099" t="str">
        <f>VLOOKUP(B4099,Tabela_Auxiliar[],2,0)</f>
        <v>2. Deduções da Receita</v>
      </c>
      <c r="E4099" t="str">
        <f>VLOOKUP(B4099,Tabela_Auxiliar[],4,0)</f>
        <v>Imposto</v>
      </c>
      <c r="F4099" t="str">
        <f>VLOOKUP(B4099,Tabela_Auxiliar[],3,0)</f>
        <v>Saída</v>
      </c>
      <c r="G4099" t="str">
        <f>UPPER(TEXT(Tabela_DB[[#This Row],[DATA]],"mmm"))</f>
        <v>SET</v>
      </c>
      <c r="H4099" t="str">
        <f>UPPER(TEXT(Tabela_DB[[#This Row],[DATA]],"aaaa"))</f>
        <v>2021</v>
      </c>
    </row>
    <row r="4100" spans="1:8" x14ac:dyDescent="0.25">
      <c r="A4100" s="2">
        <v>44450</v>
      </c>
      <c r="B4100" t="s">
        <v>38</v>
      </c>
      <c r="C4100">
        <v>-2432</v>
      </c>
      <c r="D4100" t="str">
        <f>VLOOKUP(B4100,Tabela_Auxiliar[],2,0)</f>
        <v>2. Deduções da Receita</v>
      </c>
      <c r="E4100" t="str">
        <f>VLOOKUP(B4100,Tabela_Auxiliar[],4,0)</f>
        <v>Deduções</v>
      </c>
      <c r="F4100" t="str">
        <f>VLOOKUP(B4100,Tabela_Auxiliar[],3,0)</f>
        <v>Saída</v>
      </c>
      <c r="G4100" t="str">
        <f>UPPER(TEXT(Tabela_DB[[#This Row],[DATA]],"mmm"))</f>
        <v>SET</v>
      </c>
      <c r="H4100" t="str">
        <f>UPPER(TEXT(Tabela_DB[[#This Row],[DATA]],"aaaa"))</f>
        <v>2021</v>
      </c>
    </row>
    <row r="4101" spans="1:8" x14ac:dyDescent="0.25">
      <c r="A4101" s="2">
        <v>44450</v>
      </c>
      <c r="B4101" t="s">
        <v>111</v>
      </c>
      <c r="C4101">
        <v>-1817</v>
      </c>
      <c r="D4101" t="str">
        <f>VLOOKUP(B4101,Tabela_Auxiliar[],2,0)</f>
        <v>2. Deduções da Receita</v>
      </c>
      <c r="E4101" t="str">
        <f>VLOOKUP(B4101,Tabela_Auxiliar[],4,0)</f>
        <v>Imposto</v>
      </c>
      <c r="F4101" t="str">
        <f>VLOOKUP(B4101,Tabela_Auxiliar[],3,0)</f>
        <v>Saída</v>
      </c>
      <c r="G4101" t="str">
        <f>UPPER(TEXT(Tabela_DB[[#This Row],[DATA]],"mmm"))</f>
        <v>SET</v>
      </c>
      <c r="H4101" t="str">
        <f>UPPER(TEXT(Tabela_DB[[#This Row],[DATA]],"aaaa"))</f>
        <v>2021</v>
      </c>
    </row>
    <row r="4102" spans="1:8" x14ac:dyDescent="0.25">
      <c r="A4102" s="2">
        <v>44450</v>
      </c>
      <c r="B4102" t="s">
        <v>37</v>
      </c>
      <c r="C4102">
        <v>-3781</v>
      </c>
      <c r="D4102" t="str">
        <f>VLOOKUP(B4102,Tabela_Auxiliar[],2,0)</f>
        <v>3. Custos do Produto/Mercadoria/Serviço</v>
      </c>
      <c r="E4102" t="str">
        <f>VLOOKUP(B4102,Tabela_Auxiliar[],4,0)</f>
        <v>Despesas c/ Produto</v>
      </c>
      <c r="F4102" t="str">
        <f>VLOOKUP(B4102,Tabela_Auxiliar[],3,0)</f>
        <v>Saída</v>
      </c>
      <c r="G4102" t="str">
        <f>UPPER(TEXT(Tabela_DB[[#This Row],[DATA]],"mmm"))</f>
        <v>SET</v>
      </c>
      <c r="H4102" t="str">
        <f>UPPER(TEXT(Tabela_DB[[#This Row],[DATA]],"aaaa"))</f>
        <v>2021</v>
      </c>
    </row>
    <row r="4103" spans="1:8" x14ac:dyDescent="0.25">
      <c r="A4103" s="2">
        <v>44450</v>
      </c>
      <c r="B4103" t="s">
        <v>35</v>
      </c>
      <c r="C4103">
        <v>-1779</v>
      </c>
      <c r="D4103" t="str">
        <f>VLOOKUP(B4103,Tabela_Auxiliar[],2,0)</f>
        <v>2. Deduções da Receita</v>
      </c>
      <c r="E4103" t="str">
        <f>VLOOKUP(B4103,Tabela_Auxiliar[],4,0)</f>
        <v>Imposto</v>
      </c>
      <c r="F4103" t="str">
        <f>VLOOKUP(B4103,Tabela_Auxiliar[],3,0)</f>
        <v>Saída</v>
      </c>
      <c r="G4103" t="str">
        <f>UPPER(TEXT(Tabela_DB[[#This Row],[DATA]],"mmm"))</f>
        <v>SET</v>
      </c>
      <c r="H4103" t="str">
        <f>UPPER(TEXT(Tabela_DB[[#This Row],[DATA]],"aaaa"))</f>
        <v>2021</v>
      </c>
    </row>
    <row r="4104" spans="1:8" x14ac:dyDescent="0.25">
      <c r="A4104" s="2">
        <v>44450</v>
      </c>
      <c r="B4104" t="s">
        <v>34</v>
      </c>
      <c r="C4104">
        <v>-2431</v>
      </c>
      <c r="D4104" t="str">
        <f>VLOOKUP(B4104,Tabela_Auxiliar[],2,0)</f>
        <v>2. Deduções da Receita</v>
      </c>
      <c r="E4104" t="str">
        <f>VLOOKUP(B4104,Tabela_Auxiliar[],4,0)</f>
        <v>Imposto</v>
      </c>
      <c r="F4104" t="str">
        <f>VLOOKUP(B4104,Tabela_Auxiliar[],3,0)</f>
        <v>Saída</v>
      </c>
      <c r="G4104" t="str">
        <f>UPPER(TEXT(Tabela_DB[[#This Row],[DATA]],"mmm"))</f>
        <v>SET</v>
      </c>
      <c r="H4104" t="str">
        <f>UPPER(TEXT(Tabela_DB[[#This Row],[DATA]],"aaaa"))</f>
        <v>2021</v>
      </c>
    </row>
    <row r="4105" spans="1:8" x14ac:dyDescent="0.25">
      <c r="A4105" s="2">
        <v>44450</v>
      </c>
      <c r="B4105" t="s">
        <v>54</v>
      </c>
      <c r="C4105">
        <v>-2171</v>
      </c>
      <c r="D4105" t="str">
        <f>VLOOKUP(B4105,Tabela_Auxiliar[],2,0)</f>
        <v>4. Despesas Operacionais</v>
      </c>
      <c r="E4105" t="str">
        <f>VLOOKUP(B4105,Tabela_Auxiliar[],4,0)</f>
        <v>Despesa com Pessoal</v>
      </c>
      <c r="F4105" t="str">
        <f>VLOOKUP(B4105,Tabela_Auxiliar[],3,0)</f>
        <v>Saída</v>
      </c>
      <c r="G4105" t="str">
        <f>UPPER(TEXT(Tabela_DB[[#This Row],[DATA]],"mmm"))</f>
        <v>SET</v>
      </c>
      <c r="H4105" t="str">
        <f>UPPER(TEXT(Tabela_DB[[#This Row],[DATA]],"aaaa"))</f>
        <v>2021</v>
      </c>
    </row>
    <row r="4106" spans="1:8" x14ac:dyDescent="0.25">
      <c r="A4106" s="2">
        <v>44450</v>
      </c>
      <c r="B4106" t="s">
        <v>77</v>
      </c>
      <c r="C4106">
        <v>-1586</v>
      </c>
      <c r="D4106" t="str">
        <f>VLOOKUP(B4106,Tabela_Auxiliar[],2,0)</f>
        <v>4. Despesas Operacionais</v>
      </c>
      <c r="E4106" t="str">
        <f>VLOOKUP(B4106,Tabela_Auxiliar[],4,0)</f>
        <v>Serviços Contratados</v>
      </c>
      <c r="F4106" t="str">
        <f>VLOOKUP(B4106,Tabela_Auxiliar[],3,0)</f>
        <v>Saída</v>
      </c>
      <c r="G4106" t="str">
        <f>UPPER(TEXT(Tabela_DB[[#This Row],[DATA]],"mmm"))</f>
        <v>SET</v>
      </c>
      <c r="H4106" t="str">
        <f>UPPER(TEXT(Tabela_DB[[#This Row],[DATA]],"aaaa"))</f>
        <v>2021</v>
      </c>
    </row>
    <row r="4107" spans="1:8" x14ac:dyDescent="0.25">
      <c r="A4107" s="2">
        <v>44450</v>
      </c>
      <c r="B4107" t="s">
        <v>63</v>
      </c>
      <c r="C4107">
        <v>-2223</v>
      </c>
      <c r="D4107" t="str">
        <f>VLOOKUP(B4107,Tabela_Auxiliar[],2,0)</f>
        <v>4. Despesas Operacionais</v>
      </c>
      <c r="E4107" t="str">
        <f>VLOOKUP(B4107,Tabela_Auxiliar[],4,0)</f>
        <v>Despesa Gerais</v>
      </c>
      <c r="F4107" t="str">
        <f>VLOOKUP(B4107,Tabela_Auxiliar[],3,0)</f>
        <v>Saída</v>
      </c>
      <c r="G4107" t="str">
        <f>UPPER(TEXT(Tabela_DB[[#This Row],[DATA]],"mmm"))</f>
        <v>SET</v>
      </c>
      <c r="H4107" t="str">
        <f>UPPER(TEXT(Tabela_DB[[#This Row],[DATA]],"aaaa"))</f>
        <v>2021</v>
      </c>
    </row>
    <row r="4108" spans="1:8" x14ac:dyDescent="0.25">
      <c r="A4108" s="2">
        <v>44450</v>
      </c>
      <c r="B4108" t="s">
        <v>49</v>
      </c>
      <c r="C4108">
        <v>-2308</v>
      </c>
      <c r="D4108" t="str">
        <f>VLOOKUP(B4108,Tabela_Auxiliar[],2,0)</f>
        <v>4. Despesas Operacionais</v>
      </c>
      <c r="E4108" t="str">
        <f>VLOOKUP(B4108,Tabela_Auxiliar[],4,0)</f>
        <v>Despesa com Pessoal</v>
      </c>
      <c r="F4108" t="str">
        <f>VLOOKUP(B4108,Tabela_Auxiliar[],3,0)</f>
        <v>Saída</v>
      </c>
      <c r="G4108" t="str">
        <f>UPPER(TEXT(Tabela_DB[[#This Row],[DATA]],"mmm"))</f>
        <v>SET</v>
      </c>
      <c r="H4108" t="str">
        <f>UPPER(TEXT(Tabela_DB[[#This Row],[DATA]],"aaaa"))</f>
        <v>2021</v>
      </c>
    </row>
    <row r="4109" spans="1:8" x14ac:dyDescent="0.25">
      <c r="A4109" s="2">
        <v>44450</v>
      </c>
      <c r="B4109" t="s">
        <v>66</v>
      </c>
      <c r="C4109">
        <v>-1866</v>
      </c>
      <c r="D4109" t="str">
        <f>VLOOKUP(B4109,Tabela_Auxiliar[],2,0)</f>
        <v>4. Despesas Operacionais</v>
      </c>
      <c r="E4109" t="str">
        <f>VLOOKUP(B4109,Tabela_Auxiliar[],4,0)</f>
        <v>Despesa com Vendas</v>
      </c>
      <c r="F4109" t="str">
        <f>VLOOKUP(B4109,Tabela_Auxiliar[],3,0)</f>
        <v>Saída</v>
      </c>
      <c r="G4109" t="str">
        <f>UPPER(TEXT(Tabela_DB[[#This Row],[DATA]],"mmm"))</f>
        <v>SET</v>
      </c>
      <c r="H4109" t="str">
        <f>UPPER(TEXT(Tabela_DB[[#This Row],[DATA]],"aaaa"))</f>
        <v>2021</v>
      </c>
    </row>
    <row r="4110" spans="1:8" x14ac:dyDescent="0.25">
      <c r="A4110" s="2">
        <v>44450</v>
      </c>
      <c r="B4110" t="s">
        <v>4</v>
      </c>
      <c r="C4110">
        <v>11852</v>
      </c>
      <c r="D4110" t="str">
        <f>VLOOKUP(B4110,Tabela_Auxiliar[],2,0)</f>
        <v>1. Receita Operacional Bruta</v>
      </c>
      <c r="E4110" t="str">
        <f>VLOOKUP(B4110,Tabela_Auxiliar[],4,0)</f>
        <v>Receita Bruta</v>
      </c>
      <c r="F4110" t="str">
        <f>VLOOKUP(B4110,Tabela_Auxiliar[],3,0)</f>
        <v>Entrada</v>
      </c>
      <c r="G4110" t="str">
        <f>UPPER(TEXT(Tabela_DB[[#This Row],[DATA]],"mmm"))</f>
        <v>SET</v>
      </c>
      <c r="H4110" t="str">
        <f>UPPER(TEXT(Tabela_DB[[#This Row],[DATA]],"aaaa"))</f>
        <v>2021</v>
      </c>
    </row>
    <row r="4111" spans="1:8" x14ac:dyDescent="0.25">
      <c r="A4111" s="2">
        <v>44450</v>
      </c>
      <c r="B4111" t="s">
        <v>37</v>
      </c>
      <c r="C4111">
        <v>-2692</v>
      </c>
      <c r="D4111" t="str">
        <f>VLOOKUP(B4111,Tabela_Auxiliar[],2,0)</f>
        <v>3. Custos do Produto/Mercadoria/Serviço</v>
      </c>
      <c r="E4111" t="str">
        <f>VLOOKUP(B4111,Tabela_Auxiliar[],4,0)</f>
        <v>Despesas c/ Produto</v>
      </c>
      <c r="F4111" t="str">
        <f>VLOOKUP(B4111,Tabela_Auxiliar[],3,0)</f>
        <v>Saída</v>
      </c>
      <c r="G4111" t="str">
        <f>UPPER(TEXT(Tabela_DB[[#This Row],[DATA]],"mmm"))</f>
        <v>SET</v>
      </c>
      <c r="H4111" t="str">
        <f>UPPER(TEXT(Tabela_DB[[#This Row],[DATA]],"aaaa"))</f>
        <v>2021</v>
      </c>
    </row>
    <row r="4112" spans="1:8" x14ac:dyDescent="0.25">
      <c r="A4112" s="2">
        <v>44450</v>
      </c>
      <c r="B4112" t="s">
        <v>4</v>
      </c>
      <c r="C4112">
        <v>13533</v>
      </c>
      <c r="D4112" t="str">
        <f>VLOOKUP(B4112,Tabela_Auxiliar[],2,0)</f>
        <v>1. Receita Operacional Bruta</v>
      </c>
      <c r="E4112" t="str">
        <f>VLOOKUP(B4112,Tabela_Auxiliar[],4,0)</f>
        <v>Receita Bruta</v>
      </c>
      <c r="F4112" t="str">
        <f>VLOOKUP(B4112,Tabela_Auxiliar[],3,0)</f>
        <v>Entrada</v>
      </c>
      <c r="G4112" t="str">
        <f>UPPER(TEXT(Tabela_DB[[#This Row],[DATA]],"mmm"))</f>
        <v>SET</v>
      </c>
      <c r="H4112" t="str">
        <f>UPPER(TEXT(Tabela_DB[[#This Row],[DATA]],"aaaa"))</f>
        <v>2021</v>
      </c>
    </row>
    <row r="4113" spans="1:8" x14ac:dyDescent="0.25">
      <c r="A4113" s="2">
        <v>44450</v>
      </c>
      <c r="B4113" t="s">
        <v>34</v>
      </c>
      <c r="C4113">
        <v>-1126</v>
      </c>
      <c r="D4113" t="str">
        <f>VLOOKUP(B4113,Tabela_Auxiliar[],2,0)</f>
        <v>2. Deduções da Receita</v>
      </c>
      <c r="E4113" t="str">
        <f>VLOOKUP(B4113,Tabela_Auxiliar[],4,0)</f>
        <v>Imposto</v>
      </c>
      <c r="F4113" t="str">
        <f>VLOOKUP(B4113,Tabela_Auxiliar[],3,0)</f>
        <v>Saída</v>
      </c>
      <c r="G4113" t="str">
        <f>UPPER(TEXT(Tabela_DB[[#This Row],[DATA]],"mmm"))</f>
        <v>SET</v>
      </c>
      <c r="H4113" t="str">
        <f>UPPER(TEXT(Tabela_DB[[#This Row],[DATA]],"aaaa"))</f>
        <v>2021</v>
      </c>
    </row>
    <row r="4114" spans="1:8" x14ac:dyDescent="0.25">
      <c r="A4114" s="2">
        <v>44450</v>
      </c>
      <c r="B4114" t="s">
        <v>53</v>
      </c>
      <c r="C4114">
        <v>-1369</v>
      </c>
      <c r="D4114" t="str">
        <f>VLOOKUP(B4114,Tabela_Auxiliar[],2,0)</f>
        <v>4. Despesas Operacionais</v>
      </c>
      <c r="E4114" t="str">
        <f>VLOOKUP(B4114,Tabela_Auxiliar[],4,0)</f>
        <v>Despesa com Pessoal</v>
      </c>
      <c r="F4114" t="str">
        <f>VLOOKUP(B4114,Tabela_Auxiliar[],3,0)</f>
        <v>Saída</v>
      </c>
      <c r="G4114" t="str">
        <f>UPPER(TEXT(Tabela_DB[[#This Row],[DATA]],"mmm"))</f>
        <v>SET</v>
      </c>
      <c r="H4114" t="str">
        <f>UPPER(TEXT(Tabela_DB[[#This Row],[DATA]],"aaaa"))</f>
        <v>2021</v>
      </c>
    </row>
    <row r="4115" spans="1:8" x14ac:dyDescent="0.25">
      <c r="A4115" s="2">
        <v>44450</v>
      </c>
      <c r="B4115" t="s">
        <v>35</v>
      </c>
      <c r="C4115">
        <v>-2110</v>
      </c>
      <c r="D4115" t="str">
        <f>VLOOKUP(B4115,Tabela_Auxiliar[],2,0)</f>
        <v>2. Deduções da Receita</v>
      </c>
      <c r="E4115" t="str">
        <f>VLOOKUP(B4115,Tabela_Auxiliar[],4,0)</f>
        <v>Imposto</v>
      </c>
      <c r="F4115" t="str">
        <f>VLOOKUP(B4115,Tabela_Auxiliar[],3,0)</f>
        <v>Saída</v>
      </c>
      <c r="G4115" t="str">
        <f>UPPER(TEXT(Tabela_DB[[#This Row],[DATA]],"mmm"))</f>
        <v>SET</v>
      </c>
      <c r="H4115" t="str">
        <f>UPPER(TEXT(Tabela_DB[[#This Row],[DATA]],"aaaa"))</f>
        <v>2021</v>
      </c>
    </row>
    <row r="4116" spans="1:8" x14ac:dyDescent="0.25">
      <c r="A4116" s="2">
        <v>44450</v>
      </c>
      <c r="B4116" t="s">
        <v>83</v>
      </c>
      <c r="C4116">
        <v>-2252</v>
      </c>
      <c r="D4116" t="str">
        <f>VLOOKUP(B4116,Tabela_Auxiliar[],2,0)</f>
        <v>4. Despesas Operacionais</v>
      </c>
      <c r="E4116" t="str">
        <f>VLOOKUP(B4116,Tabela_Auxiliar[],4,0)</f>
        <v>Despesa com Veículos</v>
      </c>
      <c r="F4116" t="str">
        <f>VLOOKUP(B4116,Tabela_Auxiliar[],3,0)</f>
        <v>Saída</v>
      </c>
      <c r="G4116" t="str">
        <f>UPPER(TEXT(Tabela_DB[[#This Row],[DATA]],"mmm"))</f>
        <v>SET</v>
      </c>
      <c r="H4116" t="str">
        <f>UPPER(TEXT(Tabela_DB[[#This Row],[DATA]],"aaaa"))</f>
        <v>2021</v>
      </c>
    </row>
    <row r="4117" spans="1:8" x14ac:dyDescent="0.25">
      <c r="A4117" s="2">
        <v>44450</v>
      </c>
      <c r="B4117" t="s">
        <v>35</v>
      </c>
      <c r="C4117">
        <v>-2307</v>
      </c>
      <c r="D4117" t="str">
        <f>VLOOKUP(B4117,Tabela_Auxiliar[],2,0)</f>
        <v>2. Deduções da Receita</v>
      </c>
      <c r="E4117" t="str">
        <f>VLOOKUP(B4117,Tabela_Auxiliar[],4,0)</f>
        <v>Imposto</v>
      </c>
      <c r="F4117" t="str">
        <f>VLOOKUP(B4117,Tabela_Auxiliar[],3,0)</f>
        <v>Saída</v>
      </c>
      <c r="G4117" t="str">
        <f>UPPER(TEXT(Tabela_DB[[#This Row],[DATA]],"mmm"))</f>
        <v>SET</v>
      </c>
      <c r="H4117" t="str">
        <f>UPPER(TEXT(Tabela_DB[[#This Row],[DATA]],"aaaa"))</f>
        <v>2021</v>
      </c>
    </row>
    <row r="4118" spans="1:8" x14ac:dyDescent="0.25">
      <c r="A4118" s="2">
        <v>44451</v>
      </c>
      <c r="B4118" t="s">
        <v>35</v>
      </c>
      <c r="C4118">
        <v>-2077</v>
      </c>
      <c r="D4118" t="str">
        <f>VLOOKUP(B4118,Tabela_Auxiliar[],2,0)</f>
        <v>2. Deduções da Receita</v>
      </c>
      <c r="E4118" t="str">
        <f>VLOOKUP(B4118,Tabela_Auxiliar[],4,0)</f>
        <v>Imposto</v>
      </c>
      <c r="F4118" t="str">
        <f>VLOOKUP(B4118,Tabela_Auxiliar[],3,0)</f>
        <v>Saída</v>
      </c>
      <c r="G4118" t="str">
        <f>UPPER(TEXT(Tabela_DB[[#This Row],[DATA]],"mmm"))</f>
        <v>SET</v>
      </c>
      <c r="H4118" t="str">
        <f>UPPER(TEXT(Tabela_DB[[#This Row],[DATA]],"aaaa"))</f>
        <v>2021</v>
      </c>
    </row>
    <row r="4119" spans="1:8" x14ac:dyDescent="0.25">
      <c r="A4119" s="2">
        <v>44451</v>
      </c>
      <c r="B4119" t="s">
        <v>66</v>
      </c>
      <c r="C4119">
        <v>-2421</v>
      </c>
      <c r="D4119" t="str">
        <f>VLOOKUP(B4119,Tabela_Auxiliar[],2,0)</f>
        <v>4. Despesas Operacionais</v>
      </c>
      <c r="E4119" t="str">
        <f>VLOOKUP(B4119,Tabela_Auxiliar[],4,0)</f>
        <v>Despesa com Vendas</v>
      </c>
      <c r="F4119" t="str">
        <f>VLOOKUP(B4119,Tabela_Auxiliar[],3,0)</f>
        <v>Saída</v>
      </c>
      <c r="G4119" t="str">
        <f>UPPER(TEXT(Tabela_DB[[#This Row],[DATA]],"mmm"))</f>
        <v>SET</v>
      </c>
      <c r="H4119" t="str">
        <f>UPPER(TEXT(Tabela_DB[[#This Row],[DATA]],"aaaa"))</f>
        <v>2021</v>
      </c>
    </row>
    <row r="4120" spans="1:8" x14ac:dyDescent="0.25">
      <c r="A4120" s="2">
        <v>44451</v>
      </c>
      <c r="B4120" t="s">
        <v>37</v>
      </c>
      <c r="C4120">
        <v>-2651</v>
      </c>
      <c r="D4120" t="str">
        <f>VLOOKUP(B4120,Tabela_Auxiliar[],2,0)</f>
        <v>3. Custos do Produto/Mercadoria/Serviço</v>
      </c>
      <c r="E4120" t="str">
        <f>VLOOKUP(B4120,Tabela_Auxiliar[],4,0)</f>
        <v>Despesas c/ Produto</v>
      </c>
      <c r="F4120" t="str">
        <f>VLOOKUP(B4120,Tabela_Auxiliar[],3,0)</f>
        <v>Saída</v>
      </c>
      <c r="G4120" t="str">
        <f>UPPER(TEXT(Tabela_DB[[#This Row],[DATA]],"mmm"))</f>
        <v>SET</v>
      </c>
      <c r="H4120" t="str">
        <f>UPPER(TEXT(Tabela_DB[[#This Row],[DATA]],"aaaa"))</f>
        <v>2021</v>
      </c>
    </row>
    <row r="4121" spans="1:8" x14ac:dyDescent="0.25">
      <c r="A4121" s="2">
        <v>44451</v>
      </c>
      <c r="B4121" t="s">
        <v>57</v>
      </c>
      <c r="C4121">
        <v>-1707</v>
      </c>
      <c r="D4121" t="str">
        <f>VLOOKUP(B4121,Tabela_Auxiliar[],2,0)</f>
        <v>4. Despesas Operacionais</v>
      </c>
      <c r="E4121" t="str">
        <f>VLOOKUP(B4121,Tabela_Auxiliar[],4,0)</f>
        <v>Despesa com Pessoal</v>
      </c>
      <c r="F4121" t="str">
        <f>VLOOKUP(B4121,Tabela_Auxiliar[],3,0)</f>
        <v>Saída</v>
      </c>
      <c r="G4121" t="str">
        <f>UPPER(TEXT(Tabela_DB[[#This Row],[DATA]],"mmm"))</f>
        <v>SET</v>
      </c>
      <c r="H4121" t="str">
        <f>UPPER(TEXT(Tabela_DB[[#This Row],[DATA]],"aaaa"))</f>
        <v>2021</v>
      </c>
    </row>
    <row r="4122" spans="1:8" x14ac:dyDescent="0.25">
      <c r="A4122" s="2">
        <v>44451</v>
      </c>
      <c r="B4122" t="s">
        <v>58</v>
      </c>
      <c r="C4122">
        <v>-1736</v>
      </c>
      <c r="D4122" t="str">
        <f>VLOOKUP(B4122,Tabela_Auxiliar[],2,0)</f>
        <v>4. Despesas Operacionais</v>
      </c>
      <c r="E4122" t="str">
        <f>VLOOKUP(B4122,Tabela_Auxiliar[],4,0)</f>
        <v>Despesa de Depreciação</v>
      </c>
      <c r="F4122" t="str">
        <f>VLOOKUP(B4122,Tabela_Auxiliar[],3,0)</f>
        <v>Saída</v>
      </c>
      <c r="G4122" t="str">
        <f>UPPER(TEXT(Tabela_DB[[#This Row],[DATA]],"mmm"))</f>
        <v>SET</v>
      </c>
      <c r="H4122" t="str">
        <f>UPPER(TEXT(Tabela_DB[[#This Row],[DATA]],"aaaa"))</f>
        <v>2021</v>
      </c>
    </row>
    <row r="4123" spans="1:8" x14ac:dyDescent="0.25">
      <c r="A4123" s="2">
        <v>44451</v>
      </c>
      <c r="B4123" t="s">
        <v>34</v>
      </c>
      <c r="C4123">
        <v>-1425</v>
      </c>
      <c r="D4123" t="str">
        <f>VLOOKUP(B4123,Tabela_Auxiliar[],2,0)</f>
        <v>2. Deduções da Receita</v>
      </c>
      <c r="E4123" t="str">
        <f>VLOOKUP(B4123,Tabela_Auxiliar[],4,0)</f>
        <v>Imposto</v>
      </c>
      <c r="F4123" t="str">
        <f>VLOOKUP(B4123,Tabela_Auxiliar[],3,0)</f>
        <v>Saída</v>
      </c>
      <c r="G4123" t="str">
        <f>UPPER(TEXT(Tabela_DB[[#This Row],[DATA]],"mmm"))</f>
        <v>SET</v>
      </c>
      <c r="H4123" t="str">
        <f>UPPER(TEXT(Tabela_DB[[#This Row],[DATA]],"aaaa"))</f>
        <v>2021</v>
      </c>
    </row>
    <row r="4124" spans="1:8" x14ac:dyDescent="0.25">
      <c r="A4124" s="2">
        <v>44451</v>
      </c>
      <c r="B4124" t="s">
        <v>48</v>
      </c>
      <c r="C4124">
        <v>-1076</v>
      </c>
      <c r="D4124" t="str">
        <f>VLOOKUP(B4124,Tabela_Auxiliar[],2,0)</f>
        <v>4. Despesas Operacionais</v>
      </c>
      <c r="E4124" t="str">
        <f>VLOOKUP(B4124,Tabela_Auxiliar[],4,0)</f>
        <v>Despesa com Pessoal</v>
      </c>
      <c r="F4124" t="str">
        <f>VLOOKUP(B4124,Tabela_Auxiliar[],3,0)</f>
        <v>Saída</v>
      </c>
      <c r="G4124" t="str">
        <f>UPPER(TEXT(Tabela_DB[[#This Row],[DATA]],"mmm"))</f>
        <v>SET</v>
      </c>
      <c r="H4124" t="str">
        <f>UPPER(TEXT(Tabela_DB[[#This Row],[DATA]],"aaaa"))</f>
        <v>2021</v>
      </c>
    </row>
    <row r="4125" spans="1:8" x14ac:dyDescent="0.25">
      <c r="A4125" s="2">
        <v>44451</v>
      </c>
      <c r="B4125" t="s">
        <v>35</v>
      </c>
      <c r="C4125">
        <v>-2152</v>
      </c>
      <c r="D4125" t="str">
        <f>VLOOKUP(B4125,Tabela_Auxiliar[],2,0)</f>
        <v>2. Deduções da Receita</v>
      </c>
      <c r="E4125" t="str">
        <f>VLOOKUP(B4125,Tabela_Auxiliar[],4,0)</f>
        <v>Imposto</v>
      </c>
      <c r="F4125" t="str">
        <f>VLOOKUP(B4125,Tabela_Auxiliar[],3,0)</f>
        <v>Saída</v>
      </c>
      <c r="G4125" t="str">
        <f>UPPER(TEXT(Tabela_DB[[#This Row],[DATA]],"mmm"))</f>
        <v>SET</v>
      </c>
      <c r="H4125" t="str">
        <f>UPPER(TEXT(Tabela_DB[[#This Row],[DATA]],"aaaa"))</f>
        <v>2021</v>
      </c>
    </row>
    <row r="4126" spans="1:8" x14ac:dyDescent="0.25">
      <c r="A4126" s="2">
        <v>44451</v>
      </c>
      <c r="B4126" t="s">
        <v>87</v>
      </c>
      <c r="C4126">
        <v>-1759</v>
      </c>
      <c r="D4126" t="str">
        <f>VLOOKUP(B4126,Tabela_Auxiliar[],2,0)</f>
        <v>4. Despesas Operacionais</v>
      </c>
      <c r="E4126" t="str">
        <f>VLOOKUP(B4126,Tabela_Auxiliar[],4,0)</f>
        <v>Despesa Tributária</v>
      </c>
      <c r="F4126" t="str">
        <f>VLOOKUP(B4126,Tabela_Auxiliar[],3,0)</f>
        <v>Saída</v>
      </c>
      <c r="G4126" t="str">
        <f>UPPER(TEXT(Tabela_DB[[#This Row],[DATA]],"mmm"))</f>
        <v>SET</v>
      </c>
      <c r="H4126" t="str">
        <f>UPPER(TEXT(Tabela_DB[[#This Row],[DATA]],"aaaa"))</f>
        <v>2021</v>
      </c>
    </row>
    <row r="4127" spans="1:8" x14ac:dyDescent="0.25">
      <c r="A4127" s="2">
        <v>44451</v>
      </c>
      <c r="B4127" t="s">
        <v>38</v>
      </c>
      <c r="C4127">
        <v>-2276</v>
      </c>
      <c r="D4127" t="str">
        <f>VLOOKUP(B4127,Tabela_Auxiliar[],2,0)</f>
        <v>2. Deduções da Receita</v>
      </c>
      <c r="E4127" t="str">
        <f>VLOOKUP(B4127,Tabela_Auxiliar[],4,0)</f>
        <v>Deduções</v>
      </c>
      <c r="F4127" t="str">
        <f>VLOOKUP(B4127,Tabela_Auxiliar[],3,0)</f>
        <v>Saída</v>
      </c>
      <c r="G4127" t="str">
        <f>UPPER(TEXT(Tabela_DB[[#This Row],[DATA]],"mmm"))</f>
        <v>SET</v>
      </c>
      <c r="H4127" t="str">
        <f>UPPER(TEXT(Tabela_DB[[#This Row],[DATA]],"aaaa"))</f>
        <v>2021</v>
      </c>
    </row>
    <row r="4128" spans="1:8" x14ac:dyDescent="0.25">
      <c r="A4128" s="2">
        <v>44451</v>
      </c>
      <c r="B4128" t="s">
        <v>75</v>
      </c>
      <c r="C4128">
        <v>-2390</v>
      </c>
      <c r="D4128" t="str">
        <f>VLOOKUP(B4128,Tabela_Auxiliar[],2,0)</f>
        <v>4. Despesas Operacionais</v>
      </c>
      <c r="E4128" t="str">
        <f>VLOOKUP(B4128,Tabela_Auxiliar[],4,0)</f>
        <v>Serviços Contratados</v>
      </c>
      <c r="F4128" t="str">
        <f>VLOOKUP(B4128,Tabela_Auxiliar[],3,0)</f>
        <v>Saída</v>
      </c>
      <c r="G4128" t="str">
        <f>UPPER(TEXT(Tabela_DB[[#This Row],[DATA]],"mmm"))</f>
        <v>SET</v>
      </c>
      <c r="H4128" t="str">
        <f>UPPER(TEXT(Tabela_DB[[#This Row],[DATA]],"aaaa"))</f>
        <v>2021</v>
      </c>
    </row>
    <row r="4129" spans="1:8" x14ac:dyDescent="0.25">
      <c r="A4129" s="2">
        <v>44451</v>
      </c>
      <c r="B4129" t="s">
        <v>75</v>
      </c>
      <c r="C4129">
        <v>-1528</v>
      </c>
      <c r="D4129" t="str">
        <f>VLOOKUP(B4129,Tabela_Auxiliar[],2,0)</f>
        <v>4. Despesas Operacionais</v>
      </c>
      <c r="E4129" t="str">
        <f>VLOOKUP(B4129,Tabela_Auxiliar[],4,0)</f>
        <v>Serviços Contratados</v>
      </c>
      <c r="F4129" t="str">
        <f>VLOOKUP(B4129,Tabela_Auxiliar[],3,0)</f>
        <v>Saída</v>
      </c>
      <c r="G4129" t="str">
        <f>UPPER(TEXT(Tabela_DB[[#This Row],[DATA]],"mmm"))</f>
        <v>SET</v>
      </c>
      <c r="H4129" t="str">
        <f>UPPER(TEXT(Tabela_DB[[#This Row],[DATA]],"aaaa"))</f>
        <v>2021</v>
      </c>
    </row>
    <row r="4130" spans="1:8" x14ac:dyDescent="0.25">
      <c r="A4130" s="2">
        <v>44452</v>
      </c>
      <c r="B4130" t="s">
        <v>62</v>
      </c>
      <c r="C4130">
        <v>-1144</v>
      </c>
      <c r="D4130" t="str">
        <f>VLOOKUP(B4130,Tabela_Auxiliar[],2,0)</f>
        <v>4. Despesas Operacionais</v>
      </c>
      <c r="E4130" t="str">
        <f>VLOOKUP(B4130,Tabela_Auxiliar[],4,0)</f>
        <v>Despesa Gerais</v>
      </c>
      <c r="F4130" t="str">
        <f>VLOOKUP(B4130,Tabela_Auxiliar[],3,0)</f>
        <v>Saída</v>
      </c>
      <c r="G4130" t="str">
        <f>UPPER(TEXT(Tabela_DB[[#This Row],[DATA]],"mmm"))</f>
        <v>SET</v>
      </c>
      <c r="H4130" t="str">
        <f>UPPER(TEXT(Tabela_DB[[#This Row],[DATA]],"aaaa"))</f>
        <v>2021</v>
      </c>
    </row>
    <row r="4131" spans="1:8" x14ac:dyDescent="0.25">
      <c r="A4131" s="2">
        <v>44452</v>
      </c>
      <c r="B4131" t="s">
        <v>82</v>
      </c>
      <c r="C4131">
        <v>-1781</v>
      </c>
      <c r="D4131" t="str">
        <f>VLOOKUP(B4131,Tabela_Auxiliar[],2,0)</f>
        <v>4. Despesas Operacionais</v>
      </c>
      <c r="E4131" t="str">
        <f>VLOOKUP(B4131,Tabela_Auxiliar[],4,0)</f>
        <v>Despesa com Veículos</v>
      </c>
      <c r="F4131" t="str">
        <f>VLOOKUP(B4131,Tabela_Auxiliar[],3,0)</f>
        <v>Saída</v>
      </c>
      <c r="G4131" t="str">
        <f>UPPER(TEXT(Tabela_DB[[#This Row],[DATA]],"mmm"))</f>
        <v>SET</v>
      </c>
      <c r="H4131" t="str">
        <f>UPPER(TEXT(Tabela_DB[[#This Row],[DATA]],"aaaa"))</f>
        <v>2021</v>
      </c>
    </row>
    <row r="4132" spans="1:8" x14ac:dyDescent="0.25">
      <c r="A4132" s="2">
        <v>44452</v>
      </c>
      <c r="B4132" t="s">
        <v>45</v>
      </c>
      <c r="C4132">
        <v>-1135</v>
      </c>
      <c r="D4132" t="str">
        <f>VLOOKUP(B4132,Tabela_Auxiliar[],2,0)</f>
        <v>4. Despesas Operacionais</v>
      </c>
      <c r="E4132" t="str">
        <f>VLOOKUP(B4132,Tabela_Auxiliar[],4,0)</f>
        <v>Despesa com Pessoal</v>
      </c>
      <c r="F4132" t="str">
        <f>VLOOKUP(B4132,Tabela_Auxiliar[],3,0)</f>
        <v>Saída</v>
      </c>
      <c r="G4132" t="str">
        <f>UPPER(TEXT(Tabela_DB[[#This Row],[DATA]],"mmm"))</f>
        <v>SET</v>
      </c>
      <c r="H4132" t="str">
        <f>UPPER(TEXT(Tabela_DB[[#This Row],[DATA]],"aaaa"))</f>
        <v>2021</v>
      </c>
    </row>
    <row r="4133" spans="1:8" x14ac:dyDescent="0.25">
      <c r="A4133" s="2">
        <v>44452</v>
      </c>
      <c r="B4133" t="s">
        <v>3</v>
      </c>
      <c r="C4133">
        <v>14617</v>
      </c>
      <c r="D4133" t="str">
        <f>VLOOKUP(B4133,Tabela_Auxiliar[],2,0)</f>
        <v>1. Receita Operacional Bruta</v>
      </c>
      <c r="E4133" t="str">
        <f>VLOOKUP(B4133,Tabela_Auxiliar[],4,0)</f>
        <v>Receita Bruta</v>
      </c>
      <c r="F4133" t="str">
        <f>VLOOKUP(B4133,Tabela_Auxiliar[],3,0)</f>
        <v>Entrada</v>
      </c>
      <c r="G4133" t="str">
        <f>UPPER(TEXT(Tabela_DB[[#This Row],[DATA]],"mmm"))</f>
        <v>SET</v>
      </c>
      <c r="H4133" t="str">
        <f>UPPER(TEXT(Tabela_DB[[#This Row],[DATA]],"aaaa"))</f>
        <v>2021</v>
      </c>
    </row>
    <row r="4134" spans="1:8" x14ac:dyDescent="0.25">
      <c r="A4134" s="2">
        <v>44452</v>
      </c>
      <c r="B4134" t="s">
        <v>37</v>
      </c>
      <c r="C4134">
        <v>-3240</v>
      </c>
      <c r="D4134" t="str">
        <f>VLOOKUP(B4134,Tabela_Auxiliar[],2,0)</f>
        <v>3. Custos do Produto/Mercadoria/Serviço</v>
      </c>
      <c r="E4134" t="str">
        <f>VLOOKUP(B4134,Tabela_Auxiliar[],4,0)</f>
        <v>Despesas c/ Produto</v>
      </c>
      <c r="F4134" t="str">
        <f>VLOOKUP(B4134,Tabela_Auxiliar[],3,0)</f>
        <v>Saída</v>
      </c>
      <c r="G4134" t="str">
        <f>UPPER(TEXT(Tabela_DB[[#This Row],[DATA]],"mmm"))</f>
        <v>SET</v>
      </c>
      <c r="H4134" t="str">
        <f>UPPER(TEXT(Tabela_DB[[#This Row],[DATA]],"aaaa"))</f>
        <v>2021</v>
      </c>
    </row>
    <row r="4135" spans="1:8" x14ac:dyDescent="0.25">
      <c r="A4135" s="2">
        <v>44452</v>
      </c>
      <c r="B4135" t="s">
        <v>63</v>
      </c>
      <c r="C4135">
        <v>-2208</v>
      </c>
      <c r="D4135" t="str">
        <f>VLOOKUP(B4135,Tabela_Auxiliar[],2,0)</f>
        <v>4. Despesas Operacionais</v>
      </c>
      <c r="E4135" t="str">
        <f>VLOOKUP(B4135,Tabela_Auxiliar[],4,0)</f>
        <v>Despesa Gerais</v>
      </c>
      <c r="F4135" t="str">
        <f>VLOOKUP(B4135,Tabela_Auxiliar[],3,0)</f>
        <v>Saída</v>
      </c>
      <c r="G4135" t="str">
        <f>UPPER(TEXT(Tabela_DB[[#This Row],[DATA]],"mmm"))</f>
        <v>SET</v>
      </c>
      <c r="H4135" t="str">
        <f>UPPER(TEXT(Tabela_DB[[#This Row],[DATA]],"aaaa"))</f>
        <v>2021</v>
      </c>
    </row>
    <row r="4136" spans="1:8" x14ac:dyDescent="0.25">
      <c r="A4136" s="2">
        <v>44452</v>
      </c>
      <c r="B4136" t="s">
        <v>111</v>
      </c>
      <c r="C4136">
        <v>-2273</v>
      </c>
      <c r="D4136" t="str">
        <f>VLOOKUP(B4136,Tabela_Auxiliar[],2,0)</f>
        <v>2. Deduções da Receita</v>
      </c>
      <c r="E4136" t="str">
        <f>VLOOKUP(B4136,Tabela_Auxiliar[],4,0)</f>
        <v>Imposto</v>
      </c>
      <c r="F4136" t="str">
        <f>VLOOKUP(B4136,Tabela_Auxiliar[],3,0)</f>
        <v>Saída</v>
      </c>
      <c r="G4136" t="str">
        <f>UPPER(TEXT(Tabela_DB[[#This Row],[DATA]],"mmm"))</f>
        <v>SET</v>
      </c>
      <c r="H4136" t="str">
        <f>UPPER(TEXT(Tabela_DB[[#This Row],[DATA]],"aaaa"))</f>
        <v>2021</v>
      </c>
    </row>
    <row r="4137" spans="1:8" x14ac:dyDescent="0.25">
      <c r="A4137" s="2">
        <v>44452</v>
      </c>
      <c r="B4137" t="s">
        <v>83</v>
      </c>
      <c r="C4137">
        <v>-1650</v>
      </c>
      <c r="D4137" t="str">
        <f>VLOOKUP(B4137,Tabela_Auxiliar[],2,0)</f>
        <v>4. Despesas Operacionais</v>
      </c>
      <c r="E4137" t="str">
        <f>VLOOKUP(B4137,Tabela_Auxiliar[],4,0)</f>
        <v>Despesa com Veículos</v>
      </c>
      <c r="F4137" t="str">
        <f>VLOOKUP(B4137,Tabela_Auxiliar[],3,0)</f>
        <v>Saída</v>
      </c>
      <c r="G4137" t="str">
        <f>UPPER(TEXT(Tabela_DB[[#This Row],[DATA]],"mmm"))</f>
        <v>SET</v>
      </c>
      <c r="H4137" t="str">
        <f>UPPER(TEXT(Tabela_DB[[#This Row],[DATA]],"aaaa"))</f>
        <v>2021</v>
      </c>
    </row>
    <row r="4138" spans="1:8" x14ac:dyDescent="0.25">
      <c r="A4138" s="2">
        <v>44452</v>
      </c>
      <c r="B4138" t="s">
        <v>34</v>
      </c>
      <c r="C4138">
        <v>-1804</v>
      </c>
      <c r="D4138" t="str">
        <f>VLOOKUP(B4138,Tabela_Auxiliar[],2,0)</f>
        <v>2. Deduções da Receita</v>
      </c>
      <c r="E4138" t="str">
        <f>VLOOKUP(B4138,Tabela_Auxiliar[],4,0)</f>
        <v>Imposto</v>
      </c>
      <c r="F4138" t="str">
        <f>VLOOKUP(B4138,Tabela_Auxiliar[],3,0)</f>
        <v>Saída</v>
      </c>
      <c r="G4138" t="str">
        <f>UPPER(TEXT(Tabela_DB[[#This Row],[DATA]],"mmm"))</f>
        <v>SET</v>
      </c>
      <c r="H4138" t="str">
        <f>UPPER(TEXT(Tabela_DB[[#This Row],[DATA]],"aaaa"))</f>
        <v>2021</v>
      </c>
    </row>
    <row r="4139" spans="1:8" x14ac:dyDescent="0.25">
      <c r="A4139" s="2">
        <v>44452</v>
      </c>
      <c r="B4139" t="s">
        <v>73</v>
      </c>
      <c r="C4139">
        <v>-2249</v>
      </c>
      <c r="D4139" t="str">
        <f>VLOOKUP(B4139,Tabela_Auxiliar[],2,0)</f>
        <v>4. Despesas Operacionais</v>
      </c>
      <c r="E4139" t="str">
        <f>VLOOKUP(B4139,Tabela_Auxiliar[],4,0)</f>
        <v>Despesa com Ocupação</v>
      </c>
      <c r="F4139" t="str">
        <f>VLOOKUP(B4139,Tabela_Auxiliar[],3,0)</f>
        <v>Saída</v>
      </c>
      <c r="G4139" t="str">
        <f>UPPER(TEXT(Tabela_DB[[#This Row],[DATA]],"mmm"))</f>
        <v>SET</v>
      </c>
      <c r="H4139" t="str">
        <f>UPPER(TEXT(Tabela_DB[[#This Row],[DATA]],"aaaa"))</f>
        <v>2021</v>
      </c>
    </row>
    <row r="4140" spans="1:8" x14ac:dyDescent="0.25">
      <c r="A4140" s="2">
        <v>44452</v>
      </c>
      <c r="B4140" t="s">
        <v>85</v>
      </c>
      <c r="C4140">
        <v>-1118</v>
      </c>
      <c r="D4140" t="str">
        <f>VLOOKUP(B4140,Tabela_Auxiliar[],2,0)</f>
        <v>4. Despesas Operacionais</v>
      </c>
      <c r="E4140" t="str">
        <f>VLOOKUP(B4140,Tabela_Auxiliar[],4,0)</f>
        <v>Despesa com Veículos</v>
      </c>
      <c r="F4140" t="str">
        <f>VLOOKUP(B4140,Tabela_Auxiliar[],3,0)</f>
        <v>Saída</v>
      </c>
      <c r="G4140" t="str">
        <f>UPPER(TEXT(Tabela_DB[[#This Row],[DATA]],"mmm"))</f>
        <v>SET</v>
      </c>
      <c r="H4140" t="str">
        <f>UPPER(TEXT(Tabela_DB[[#This Row],[DATA]],"aaaa"))</f>
        <v>2021</v>
      </c>
    </row>
    <row r="4141" spans="1:8" x14ac:dyDescent="0.25">
      <c r="A4141" s="2">
        <v>44452</v>
      </c>
      <c r="B4141" t="s">
        <v>44</v>
      </c>
      <c r="C4141">
        <v>-2467</v>
      </c>
      <c r="D4141" t="str">
        <f>VLOOKUP(B4141,Tabela_Auxiliar[],2,0)</f>
        <v>4. Despesas Operacionais</v>
      </c>
      <c r="E4141" t="str">
        <f>VLOOKUP(B4141,Tabela_Auxiliar[],4,0)</f>
        <v>Despesa com Pessoal</v>
      </c>
      <c r="F4141" t="str">
        <f>VLOOKUP(B4141,Tabela_Auxiliar[],3,0)</f>
        <v>Saída</v>
      </c>
      <c r="G4141" t="str">
        <f>UPPER(TEXT(Tabela_DB[[#This Row],[DATA]],"mmm"))</f>
        <v>SET</v>
      </c>
      <c r="H4141" t="str">
        <f>UPPER(TEXT(Tabela_DB[[#This Row],[DATA]],"aaaa"))</f>
        <v>2021</v>
      </c>
    </row>
    <row r="4142" spans="1:8" x14ac:dyDescent="0.25">
      <c r="A4142" s="2">
        <v>44452</v>
      </c>
      <c r="B4142" t="s">
        <v>38</v>
      </c>
      <c r="C4142">
        <v>-2057</v>
      </c>
      <c r="D4142" t="str">
        <f>VLOOKUP(B4142,Tabela_Auxiliar[],2,0)</f>
        <v>2. Deduções da Receita</v>
      </c>
      <c r="E4142" t="str">
        <f>VLOOKUP(B4142,Tabela_Auxiliar[],4,0)</f>
        <v>Deduções</v>
      </c>
      <c r="F4142" t="str">
        <f>VLOOKUP(B4142,Tabela_Auxiliar[],3,0)</f>
        <v>Saída</v>
      </c>
      <c r="G4142" t="str">
        <f>UPPER(TEXT(Tabela_DB[[#This Row],[DATA]],"mmm"))</f>
        <v>SET</v>
      </c>
      <c r="H4142" t="str">
        <f>UPPER(TEXT(Tabela_DB[[#This Row],[DATA]],"aaaa"))</f>
        <v>2021</v>
      </c>
    </row>
    <row r="4143" spans="1:8" x14ac:dyDescent="0.25">
      <c r="A4143" s="2">
        <v>44452</v>
      </c>
      <c r="B4143" t="s">
        <v>5</v>
      </c>
      <c r="C4143">
        <v>-1406</v>
      </c>
      <c r="D4143" t="str">
        <f>VLOOKUP(B4143,Tabela_Auxiliar[],2,0)</f>
        <v>4. Despesas Operacionais</v>
      </c>
      <c r="E4143" t="str">
        <f>VLOOKUP(B4143,Tabela_Auxiliar[],4,0)</f>
        <v>Despesa com Pessoal</v>
      </c>
      <c r="F4143" t="str">
        <f>VLOOKUP(B4143,Tabela_Auxiliar[],3,0)</f>
        <v>Saída</v>
      </c>
      <c r="G4143" t="str">
        <f>UPPER(TEXT(Tabela_DB[[#This Row],[DATA]],"mmm"))</f>
        <v>SET</v>
      </c>
      <c r="H4143" t="str">
        <f>UPPER(TEXT(Tabela_DB[[#This Row],[DATA]],"aaaa"))</f>
        <v>2021</v>
      </c>
    </row>
    <row r="4144" spans="1:8" x14ac:dyDescent="0.25">
      <c r="A4144" s="2">
        <v>44452</v>
      </c>
      <c r="B4144" t="s">
        <v>34</v>
      </c>
      <c r="C4144">
        <v>-1199</v>
      </c>
      <c r="D4144" t="str">
        <f>VLOOKUP(B4144,Tabela_Auxiliar[],2,0)</f>
        <v>2. Deduções da Receita</v>
      </c>
      <c r="E4144" t="str">
        <f>VLOOKUP(B4144,Tabela_Auxiliar[],4,0)</f>
        <v>Imposto</v>
      </c>
      <c r="F4144" t="str">
        <f>VLOOKUP(B4144,Tabela_Auxiliar[],3,0)</f>
        <v>Saída</v>
      </c>
      <c r="G4144" t="str">
        <f>UPPER(TEXT(Tabela_DB[[#This Row],[DATA]],"mmm"))</f>
        <v>SET</v>
      </c>
      <c r="H4144" t="str">
        <f>UPPER(TEXT(Tabela_DB[[#This Row],[DATA]],"aaaa"))</f>
        <v>2021</v>
      </c>
    </row>
    <row r="4145" spans="1:8" x14ac:dyDescent="0.25">
      <c r="A4145" s="2">
        <v>44452</v>
      </c>
      <c r="B4145" t="s">
        <v>37</v>
      </c>
      <c r="C4145">
        <v>-4278</v>
      </c>
      <c r="D4145" t="str">
        <f>VLOOKUP(B4145,Tabela_Auxiliar[],2,0)</f>
        <v>3. Custos do Produto/Mercadoria/Serviço</v>
      </c>
      <c r="E4145" t="str">
        <f>VLOOKUP(B4145,Tabela_Auxiliar[],4,0)</f>
        <v>Despesas c/ Produto</v>
      </c>
      <c r="F4145" t="str">
        <f>VLOOKUP(B4145,Tabela_Auxiliar[],3,0)</f>
        <v>Saída</v>
      </c>
      <c r="G4145" t="str">
        <f>UPPER(TEXT(Tabela_DB[[#This Row],[DATA]],"mmm"))</f>
        <v>SET</v>
      </c>
      <c r="H4145" t="str">
        <f>UPPER(TEXT(Tabela_DB[[#This Row],[DATA]],"aaaa"))</f>
        <v>2021</v>
      </c>
    </row>
    <row r="4146" spans="1:8" x14ac:dyDescent="0.25">
      <c r="A4146" s="2">
        <v>44452</v>
      </c>
      <c r="B4146" t="s">
        <v>4</v>
      </c>
      <c r="C4146">
        <v>13228</v>
      </c>
      <c r="D4146" t="str">
        <f>VLOOKUP(B4146,Tabela_Auxiliar[],2,0)</f>
        <v>1. Receita Operacional Bruta</v>
      </c>
      <c r="E4146" t="str">
        <f>VLOOKUP(B4146,Tabela_Auxiliar[],4,0)</f>
        <v>Receita Bruta</v>
      </c>
      <c r="F4146" t="str">
        <f>VLOOKUP(B4146,Tabela_Auxiliar[],3,0)</f>
        <v>Entrada</v>
      </c>
      <c r="G4146" t="str">
        <f>UPPER(TEXT(Tabela_DB[[#This Row],[DATA]],"mmm"))</f>
        <v>SET</v>
      </c>
      <c r="H4146" t="str">
        <f>UPPER(TEXT(Tabela_DB[[#This Row],[DATA]],"aaaa"))</f>
        <v>2021</v>
      </c>
    </row>
    <row r="4147" spans="1:8" x14ac:dyDescent="0.25">
      <c r="A4147" s="2">
        <v>44452</v>
      </c>
      <c r="B4147" t="s">
        <v>37</v>
      </c>
      <c r="C4147">
        <v>-3469</v>
      </c>
      <c r="D4147" t="str">
        <f>VLOOKUP(B4147,Tabela_Auxiliar[],2,0)</f>
        <v>3. Custos do Produto/Mercadoria/Serviço</v>
      </c>
      <c r="E4147" t="str">
        <f>VLOOKUP(B4147,Tabela_Auxiliar[],4,0)</f>
        <v>Despesas c/ Produto</v>
      </c>
      <c r="F4147" t="str">
        <f>VLOOKUP(B4147,Tabela_Auxiliar[],3,0)</f>
        <v>Saída</v>
      </c>
      <c r="G4147" t="str">
        <f>UPPER(TEXT(Tabela_DB[[#This Row],[DATA]],"mmm"))</f>
        <v>SET</v>
      </c>
      <c r="H4147" t="str">
        <f>UPPER(TEXT(Tabela_DB[[#This Row],[DATA]],"aaaa"))</f>
        <v>2021</v>
      </c>
    </row>
    <row r="4148" spans="1:8" x14ac:dyDescent="0.25">
      <c r="A4148" s="2">
        <v>44452</v>
      </c>
      <c r="B4148" t="s">
        <v>79</v>
      </c>
      <c r="C4148">
        <v>-2210</v>
      </c>
      <c r="D4148" t="str">
        <f>VLOOKUP(B4148,Tabela_Auxiliar[],2,0)</f>
        <v>4. Despesas Operacionais</v>
      </c>
      <c r="E4148" t="str">
        <f>VLOOKUP(B4148,Tabela_Auxiliar[],4,0)</f>
        <v>Serviços Contratados</v>
      </c>
      <c r="F4148" t="str">
        <f>VLOOKUP(B4148,Tabela_Auxiliar[],3,0)</f>
        <v>Saída</v>
      </c>
      <c r="G4148" t="str">
        <f>UPPER(TEXT(Tabela_DB[[#This Row],[DATA]],"mmm"))</f>
        <v>SET</v>
      </c>
      <c r="H4148" t="str">
        <f>UPPER(TEXT(Tabela_DB[[#This Row],[DATA]],"aaaa"))</f>
        <v>2021</v>
      </c>
    </row>
    <row r="4149" spans="1:8" x14ac:dyDescent="0.25">
      <c r="A4149" s="2">
        <v>44452</v>
      </c>
      <c r="B4149" t="s">
        <v>4</v>
      </c>
      <c r="C4149">
        <v>10672</v>
      </c>
      <c r="D4149" t="str">
        <f>VLOOKUP(B4149,Tabela_Auxiliar[],2,0)</f>
        <v>1. Receita Operacional Bruta</v>
      </c>
      <c r="E4149" t="str">
        <f>VLOOKUP(B4149,Tabela_Auxiliar[],4,0)</f>
        <v>Receita Bruta</v>
      </c>
      <c r="F4149" t="str">
        <f>VLOOKUP(B4149,Tabela_Auxiliar[],3,0)</f>
        <v>Entrada</v>
      </c>
      <c r="G4149" t="str">
        <f>UPPER(TEXT(Tabela_DB[[#This Row],[DATA]],"mmm"))</f>
        <v>SET</v>
      </c>
      <c r="H4149" t="str">
        <f>UPPER(TEXT(Tabela_DB[[#This Row],[DATA]],"aaaa"))</f>
        <v>2021</v>
      </c>
    </row>
    <row r="4150" spans="1:8" x14ac:dyDescent="0.25">
      <c r="A4150" s="2">
        <v>44453</v>
      </c>
      <c r="B4150" t="s">
        <v>4</v>
      </c>
      <c r="C4150">
        <v>14767</v>
      </c>
      <c r="D4150" t="str">
        <f>VLOOKUP(B4150,Tabela_Auxiliar[],2,0)</f>
        <v>1. Receita Operacional Bruta</v>
      </c>
      <c r="E4150" t="str">
        <f>VLOOKUP(B4150,Tabela_Auxiliar[],4,0)</f>
        <v>Receita Bruta</v>
      </c>
      <c r="F4150" t="str">
        <f>VLOOKUP(B4150,Tabela_Auxiliar[],3,0)</f>
        <v>Entrada</v>
      </c>
      <c r="G4150" t="str">
        <f>UPPER(TEXT(Tabela_DB[[#This Row],[DATA]],"mmm"))</f>
        <v>SET</v>
      </c>
      <c r="H4150" t="str">
        <f>UPPER(TEXT(Tabela_DB[[#This Row],[DATA]],"aaaa"))</f>
        <v>2021</v>
      </c>
    </row>
    <row r="4151" spans="1:8" x14ac:dyDescent="0.25">
      <c r="A4151" s="2">
        <v>44453</v>
      </c>
      <c r="B4151" t="s">
        <v>38</v>
      </c>
      <c r="C4151">
        <v>-1117</v>
      </c>
      <c r="D4151" t="str">
        <f>VLOOKUP(B4151,Tabela_Auxiliar[],2,0)</f>
        <v>2. Deduções da Receita</v>
      </c>
      <c r="E4151" t="str">
        <f>VLOOKUP(B4151,Tabela_Auxiliar[],4,0)</f>
        <v>Deduções</v>
      </c>
      <c r="F4151" t="str">
        <f>VLOOKUP(B4151,Tabela_Auxiliar[],3,0)</f>
        <v>Saída</v>
      </c>
      <c r="G4151" t="str">
        <f>UPPER(TEXT(Tabela_DB[[#This Row],[DATA]],"mmm"))</f>
        <v>SET</v>
      </c>
      <c r="H4151" t="str">
        <f>UPPER(TEXT(Tabela_DB[[#This Row],[DATA]],"aaaa"))</f>
        <v>2021</v>
      </c>
    </row>
    <row r="4152" spans="1:8" x14ac:dyDescent="0.25">
      <c r="A4152" s="2">
        <v>44453</v>
      </c>
      <c r="B4152" t="s">
        <v>37</v>
      </c>
      <c r="C4152">
        <v>-3208</v>
      </c>
      <c r="D4152" t="str">
        <f>VLOOKUP(B4152,Tabela_Auxiliar[],2,0)</f>
        <v>3. Custos do Produto/Mercadoria/Serviço</v>
      </c>
      <c r="E4152" t="str">
        <f>VLOOKUP(B4152,Tabela_Auxiliar[],4,0)</f>
        <v>Despesas c/ Produto</v>
      </c>
      <c r="F4152" t="str">
        <f>VLOOKUP(B4152,Tabela_Auxiliar[],3,0)</f>
        <v>Saída</v>
      </c>
      <c r="G4152" t="str">
        <f>UPPER(TEXT(Tabela_DB[[#This Row],[DATA]],"mmm"))</f>
        <v>SET</v>
      </c>
      <c r="H4152" t="str">
        <f>UPPER(TEXT(Tabela_DB[[#This Row],[DATA]],"aaaa"))</f>
        <v>2021</v>
      </c>
    </row>
    <row r="4153" spans="1:8" x14ac:dyDescent="0.25">
      <c r="A4153" s="2">
        <v>44453</v>
      </c>
      <c r="B4153" t="s">
        <v>80</v>
      </c>
      <c r="C4153">
        <v>-1304</v>
      </c>
      <c r="D4153" t="str">
        <f>VLOOKUP(B4153,Tabela_Auxiliar[],2,0)</f>
        <v>4. Despesas Operacionais</v>
      </c>
      <c r="E4153" t="str">
        <f>VLOOKUP(B4153,Tabela_Auxiliar[],4,0)</f>
        <v>Serviços Contratados</v>
      </c>
      <c r="F4153" t="str">
        <f>VLOOKUP(B4153,Tabela_Auxiliar[],3,0)</f>
        <v>Saída</v>
      </c>
      <c r="G4153" t="str">
        <f>UPPER(TEXT(Tabela_DB[[#This Row],[DATA]],"mmm"))</f>
        <v>SET</v>
      </c>
      <c r="H4153" t="str">
        <f>UPPER(TEXT(Tabela_DB[[#This Row],[DATA]],"aaaa"))</f>
        <v>2021</v>
      </c>
    </row>
    <row r="4154" spans="1:8" x14ac:dyDescent="0.25">
      <c r="A4154" s="2">
        <v>44453</v>
      </c>
      <c r="B4154" t="s">
        <v>111</v>
      </c>
      <c r="C4154">
        <v>-2305</v>
      </c>
      <c r="D4154" t="str">
        <f>VLOOKUP(B4154,Tabela_Auxiliar[],2,0)</f>
        <v>2. Deduções da Receita</v>
      </c>
      <c r="E4154" t="str">
        <f>VLOOKUP(B4154,Tabela_Auxiliar[],4,0)</f>
        <v>Imposto</v>
      </c>
      <c r="F4154" t="str">
        <f>VLOOKUP(B4154,Tabela_Auxiliar[],3,0)</f>
        <v>Saída</v>
      </c>
      <c r="G4154" t="str">
        <f>UPPER(TEXT(Tabela_DB[[#This Row],[DATA]],"mmm"))</f>
        <v>SET</v>
      </c>
      <c r="H4154" t="str">
        <f>UPPER(TEXT(Tabela_DB[[#This Row],[DATA]],"aaaa"))</f>
        <v>2021</v>
      </c>
    </row>
    <row r="4155" spans="1:8" x14ac:dyDescent="0.25">
      <c r="A4155" s="2">
        <v>44453</v>
      </c>
      <c r="B4155" t="s">
        <v>69</v>
      </c>
      <c r="C4155">
        <v>-1594</v>
      </c>
      <c r="D4155" t="str">
        <f>VLOOKUP(B4155,Tabela_Auxiliar[],2,0)</f>
        <v>4. Despesas Operacionais</v>
      </c>
      <c r="E4155" t="str">
        <f>VLOOKUP(B4155,Tabela_Auxiliar[],4,0)</f>
        <v>Despesa com Ocupação</v>
      </c>
      <c r="F4155" t="str">
        <f>VLOOKUP(B4155,Tabela_Auxiliar[],3,0)</f>
        <v>Saída</v>
      </c>
      <c r="G4155" t="str">
        <f>UPPER(TEXT(Tabela_DB[[#This Row],[DATA]],"mmm"))</f>
        <v>SET</v>
      </c>
      <c r="H4155" t="str">
        <f>UPPER(TEXT(Tabela_DB[[#This Row],[DATA]],"aaaa"))</f>
        <v>2021</v>
      </c>
    </row>
    <row r="4156" spans="1:8" x14ac:dyDescent="0.25">
      <c r="A4156" s="2">
        <v>44453</v>
      </c>
      <c r="B4156" t="s">
        <v>37</v>
      </c>
      <c r="C4156">
        <v>-4569</v>
      </c>
      <c r="D4156" t="str">
        <f>VLOOKUP(B4156,Tabela_Auxiliar[],2,0)</f>
        <v>3. Custos do Produto/Mercadoria/Serviço</v>
      </c>
      <c r="E4156" t="str">
        <f>VLOOKUP(B4156,Tabela_Auxiliar[],4,0)</f>
        <v>Despesas c/ Produto</v>
      </c>
      <c r="F4156" t="str">
        <f>VLOOKUP(B4156,Tabela_Auxiliar[],3,0)</f>
        <v>Saída</v>
      </c>
      <c r="G4156" t="str">
        <f>UPPER(TEXT(Tabela_DB[[#This Row],[DATA]],"mmm"))</f>
        <v>SET</v>
      </c>
      <c r="H4156" t="str">
        <f>UPPER(TEXT(Tabela_DB[[#This Row],[DATA]],"aaaa"))</f>
        <v>2021</v>
      </c>
    </row>
    <row r="4157" spans="1:8" x14ac:dyDescent="0.25">
      <c r="A4157" s="2">
        <v>44453</v>
      </c>
      <c r="B4157" t="s">
        <v>38</v>
      </c>
      <c r="C4157">
        <v>-1559</v>
      </c>
      <c r="D4157" t="str">
        <f>VLOOKUP(B4157,Tabela_Auxiliar[],2,0)</f>
        <v>2. Deduções da Receita</v>
      </c>
      <c r="E4157" t="str">
        <f>VLOOKUP(B4157,Tabela_Auxiliar[],4,0)</f>
        <v>Deduções</v>
      </c>
      <c r="F4157" t="str">
        <f>VLOOKUP(B4157,Tabela_Auxiliar[],3,0)</f>
        <v>Saída</v>
      </c>
      <c r="G4157" t="str">
        <f>UPPER(TEXT(Tabela_DB[[#This Row],[DATA]],"mmm"))</f>
        <v>SET</v>
      </c>
      <c r="H4157" t="str">
        <f>UPPER(TEXT(Tabela_DB[[#This Row],[DATA]],"aaaa"))</f>
        <v>2021</v>
      </c>
    </row>
    <row r="4158" spans="1:8" x14ac:dyDescent="0.25">
      <c r="A4158" s="2">
        <v>44453</v>
      </c>
      <c r="B4158" t="s">
        <v>33</v>
      </c>
      <c r="C4158">
        <v>-1765</v>
      </c>
      <c r="D4158" t="str">
        <f>VLOOKUP(B4158,Tabela_Auxiliar[],2,0)</f>
        <v>4. Despesas Operacionais</v>
      </c>
      <c r="E4158" t="str">
        <f>VLOOKUP(B4158,Tabela_Auxiliar[],4,0)</f>
        <v>Despesa com Vendas</v>
      </c>
      <c r="F4158" t="str">
        <f>VLOOKUP(B4158,Tabela_Auxiliar[],3,0)</f>
        <v>Saída</v>
      </c>
      <c r="G4158" t="str">
        <f>UPPER(TEXT(Tabela_DB[[#This Row],[DATA]],"mmm"))</f>
        <v>SET</v>
      </c>
      <c r="H4158" t="str">
        <f>UPPER(TEXT(Tabela_DB[[#This Row],[DATA]],"aaaa"))</f>
        <v>2021</v>
      </c>
    </row>
    <row r="4159" spans="1:8" x14ac:dyDescent="0.25">
      <c r="A4159" s="2">
        <v>44453</v>
      </c>
      <c r="B4159" t="s">
        <v>49</v>
      </c>
      <c r="C4159">
        <v>-1340</v>
      </c>
      <c r="D4159" t="str">
        <f>VLOOKUP(B4159,Tabela_Auxiliar[],2,0)</f>
        <v>4. Despesas Operacionais</v>
      </c>
      <c r="E4159" t="str">
        <f>VLOOKUP(B4159,Tabela_Auxiliar[],4,0)</f>
        <v>Despesa com Pessoal</v>
      </c>
      <c r="F4159" t="str">
        <f>VLOOKUP(B4159,Tabela_Auxiliar[],3,0)</f>
        <v>Saída</v>
      </c>
      <c r="G4159" t="str">
        <f>UPPER(TEXT(Tabela_DB[[#This Row],[DATA]],"mmm"))</f>
        <v>SET</v>
      </c>
      <c r="H4159" t="str">
        <f>UPPER(TEXT(Tabela_DB[[#This Row],[DATA]],"aaaa"))</f>
        <v>2021</v>
      </c>
    </row>
    <row r="4160" spans="1:8" x14ac:dyDescent="0.25">
      <c r="A4160" s="2">
        <v>44453</v>
      </c>
      <c r="B4160" t="s">
        <v>111</v>
      </c>
      <c r="C4160">
        <v>-1594</v>
      </c>
      <c r="D4160" t="str">
        <f>VLOOKUP(B4160,Tabela_Auxiliar[],2,0)</f>
        <v>2. Deduções da Receita</v>
      </c>
      <c r="E4160" t="str">
        <f>VLOOKUP(B4160,Tabela_Auxiliar[],4,0)</f>
        <v>Imposto</v>
      </c>
      <c r="F4160" t="str">
        <f>VLOOKUP(B4160,Tabela_Auxiliar[],3,0)</f>
        <v>Saída</v>
      </c>
      <c r="G4160" t="str">
        <f>UPPER(TEXT(Tabela_DB[[#This Row],[DATA]],"mmm"))</f>
        <v>SET</v>
      </c>
      <c r="H4160" t="str">
        <f>UPPER(TEXT(Tabela_DB[[#This Row],[DATA]],"aaaa"))</f>
        <v>2021</v>
      </c>
    </row>
    <row r="4161" spans="1:8" x14ac:dyDescent="0.25">
      <c r="A4161" s="2">
        <v>44453</v>
      </c>
      <c r="B4161" t="s">
        <v>3</v>
      </c>
      <c r="C4161">
        <v>11943</v>
      </c>
      <c r="D4161" t="str">
        <f>VLOOKUP(B4161,Tabela_Auxiliar[],2,0)</f>
        <v>1. Receita Operacional Bruta</v>
      </c>
      <c r="E4161" t="str">
        <f>VLOOKUP(B4161,Tabela_Auxiliar[],4,0)</f>
        <v>Receita Bruta</v>
      </c>
      <c r="F4161" t="str">
        <f>VLOOKUP(B4161,Tabela_Auxiliar[],3,0)</f>
        <v>Entrada</v>
      </c>
      <c r="G4161" t="str">
        <f>UPPER(TEXT(Tabela_DB[[#This Row],[DATA]],"mmm"))</f>
        <v>SET</v>
      </c>
      <c r="H4161" t="str">
        <f>UPPER(TEXT(Tabela_DB[[#This Row],[DATA]],"aaaa"))</f>
        <v>2021</v>
      </c>
    </row>
    <row r="4162" spans="1:8" x14ac:dyDescent="0.25">
      <c r="A4162" s="2">
        <v>44453</v>
      </c>
      <c r="B4162" t="s">
        <v>3</v>
      </c>
      <c r="C4162">
        <v>14941</v>
      </c>
      <c r="D4162" t="str">
        <f>VLOOKUP(B4162,Tabela_Auxiliar[],2,0)</f>
        <v>1. Receita Operacional Bruta</v>
      </c>
      <c r="E4162" t="str">
        <f>VLOOKUP(B4162,Tabela_Auxiliar[],4,0)</f>
        <v>Receita Bruta</v>
      </c>
      <c r="F4162" t="str">
        <f>VLOOKUP(B4162,Tabela_Auxiliar[],3,0)</f>
        <v>Entrada</v>
      </c>
      <c r="G4162" t="str">
        <f>UPPER(TEXT(Tabela_DB[[#This Row],[DATA]],"mmm"))</f>
        <v>SET</v>
      </c>
      <c r="H4162" t="str">
        <f>UPPER(TEXT(Tabela_DB[[#This Row],[DATA]],"aaaa"))</f>
        <v>2021</v>
      </c>
    </row>
    <row r="4163" spans="1:8" x14ac:dyDescent="0.25">
      <c r="A4163" s="2">
        <v>44453</v>
      </c>
      <c r="B4163" t="s">
        <v>111</v>
      </c>
      <c r="C4163">
        <v>-2454</v>
      </c>
      <c r="D4163" t="str">
        <f>VLOOKUP(B4163,Tabela_Auxiliar[],2,0)</f>
        <v>2. Deduções da Receita</v>
      </c>
      <c r="E4163" t="str">
        <f>VLOOKUP(B4163,Tabela_Auxiliar[],4,0)</f>
        <v>Imposto</v>
      </c>
      <c r="F4163" t="str">
        <f>VLOOKUP(B4163,Tabela_Auxiliar[],3,0)</f>
        <v>Saída</v>
      </c>
      <c r="G4163" t="str">
        <f>UPPER(TEXT(Tabela_DB[[#This Row],[DATA]],"mmm"))</f>
        <v>SET</v>
      </c>
      <c r="H4163" t="str">
        <f>UPPER(TEXT(Tabela_DB[[#This Row],[DATA]],"aaaa"))</f>
        <v>2021</v>
      </c>
    </row>
    <row r="4164" spans="1:8" x14ac:dyDescent="0.25">
      <c r="A4164" s="2">
        <v>44454</v>
      </c>
      <c r="B4164" t="s">
        <v>38</v>
      </c>
      <c r="C4164">
        <v>-1830</v>
      </c>
      <c r="D4164" t="str">
        <f>VLOOKUP(B4164,Tabela_Auxiliar[],2,0)</f>
        <v>2. Deduções da Receita</v>
      </c>
      <c r="E4164" t="str">
        <f>VLOOKUP(B4164,Tabela_Auxiliar[],4,0)</f>
        <v>Deduções</v>
      </c>
      <c r="F4164" t="str">
        <f>VLOOKUP(B4164,Tabela_Auxiliar[],3,0)</f>
        <v>Saída</v>
      </c>
      <c r="G4164" t="str">
        <f>UPPER(TEXT(Tabela_DB[[#This Row],[DATA]],"mmm"))</f>
        <v>SET</v>
      </c>
      <c r="H4164" t="str">
        <f>UPPER(TEXT(Tabela_DB[[#This Row],[DATA]],"aaaa"))</f>
        <v>2021</v>
      </c>
    </row>
    <row r="4165" spans="1:8" x14ac:dyDescent="0.25">
      <c r="A4165" s="2">
        <v>44454</v>
      </c>
      <c r="B4165" t="s">
        <v>38</v>
      </c>
      <c r="C4165">
        <v>-1080</v>
      </c>
      <c r="D4165" t="str">
        <f>VLOOKUP(B4165,Tabela_Auxiliar[],2,0)</f>
        <v>2. Deduções da Receita</v>
      </c>
      <c r="E4165" t="str">
        <f>VLOOKUP(B4165,Tabela_Auxiliar[],4,0)</f>
        <v>Deduções</v>
      </c>
      <c r="F4165" t="str">
        <f>VLOOKUP(B4165,Tabela_Auxiliar[],3,0)</f>
        <v>Saída</v>
      </c>
      <c r="G4165" t="str">
        <f>UPPER(TEXT(Tabela_DB[[#This Row],[DATA]],"mmm"))</f>
        <v>SET</v>
      </c>
      <c r="H4165" t="str">
        <f>UPPER(TEXT(Tabela_DB[[#This Row],[DATA]],"aaaa"))</f>
        <v>2021</v>
      </c>
    </row>
    <row r="4166" spans="1:8" x14ac:dyDescent="0.25">
      <c r="A4166" s="2">
        <v>44454</v>
      </c>
      <c r="B4166" t="s">
        <v>4</v>
      </c>
      <c r="C4166">
        <v>11749</v>
      </c>
      <c r="D4166" t="str">
        <f>VLOOKUP(B4166,Tabela_Auxiliar[],2,0)</f>
        <v>1. Receita Operacional Bruta</v>
      </c>
      <c r="E4166" t="str">
        <f>VLOOKUP(B4166,Tabela_Auxiliar[],4,0)</f>
        <v>Receita Bruta</v>
      </c>
      <c r="F4166" t="str">
        <f>VLOOKUP(B4166,Tabela_Auxiliar[],3,0)</f>
        <v>Entrada</v>
      </c>
      <c r="G4166" t="str">
        <f>UPPER(TEXT(Tabela_DB[[#This Row],[DATA]],"mmm"))</f>
        <v>SET</v>
      </c>
      <c r="H4166" t="str">
        <f>UPPER(TEXT(Tabela_DB[[#This Row],[DATA]],"aaaa"))</f>
        <v>2021</v>
      </c>
    </row>
    <row r="4167" spans="1:8" x14ac:dyDescent="0.25">
      <c r="A4167" s="2">
        <v>44454</v>
      </c>
      <c r="B4167" t="s">
        <v>42</v>
      </c>
      <c r="C4167">
        <v>-1900</v>
      </c>
      <c r="D4167" t="str">
        <f>VLOOKUP(B4167,Tabela_Auxiliar[],2,0)</f>
        <v>4. Despesas Operacionais</v>
      </c>
      <c r="E4167" t="str">
        <f>VLOOKUP(B4167,Tabela_Auxiliar[],4,0)</f>
        <v>Despesa com Pessoal</v>
      </c>
      <c r="F4167" t="str">
        <f>VLOOKUP(B4167,Tabela_Auxiliar[],3,0)</f>
        <v>Saída</v>
      </c>
      <c r="G4167" t="str">
        <f>UPPER(TEXT(Tabela_DB[[#This Row],[DATA]],"mmm"))</f>
        <v>SET</v>
      </c>
      <c r="H4167" t="str">
        <f>UPPER(TEXT(Tabela_DB[[#This Row],[DATA]],"aaaa"))</f>
        <v>2021</v>
      </c>
    </row>
    <row r="4168" spans="1:8" x14ac:dyDescent="0.25">
      <c r="A4168" s="2">
        <v>44454</v>
      </c>
      <c r="B4168" t="s">
        <v>58</v>
      </c>
      <c r="C4168">
        <v>-1506</v>
      </c>
      <c r="D4168" t="str">
        <f>VLOOKUP(B4168,Tabela_Auxiliar[],2,0)</f>
        <v>4. Despesas Operacionais</v>
      </c>
      <c r="E4168" t="str">
        <f>VLOOKUP(B4168,Tabela_Auxiliar[],4,0)</f>
        <v>Despesa de Depreciação</v>
      </c>
      <c r="F4168" t="str">
        <f>VLOOKUP(B4168,Tabela_Auxiliar[],3,0)</f>
        <v>Saída</v>
      </c>
      <c r="G4168" t="str">
        <f>UPPER(TEXT(Tabela_DB[[#This Row],[DATA]],"mmm"))</f>
        <v>SET</v>
      </c>
      <c r="H4168" t="str">
        <f>UPPER(TEXT(Tabela_DB[[#This Row],[DATA]],"aaaa"))</f>
        <v>2021</v>
      </c>
    </row>
    <row r="4169" spans="1:8" x14ac:dyDescent="0.25">
      <c r="A4169" s="2">
        <v>44454</v>
      </c>
      <c r="B4169" t="s">
        <v>100</v>
      </c>
      <c r="C4169">
        <v>1381</v>
      </c>
      <c r="D4169" t="str">
        <f>VLOOKUP(B4169,Tabela_Auxiliar[],2,0)</f>
        <v>5. Resultado Financeiro</v>
      </c>
      <c r="E4169" t="str">
        <f>VLOOKUP(B4169,Tabela_Auxiliar[],4,0)</f>
        <v>Receita Financeira</v>
      </c>
      <c r="F4169" t="str">
        <f>VLOOKUP(B4169,Tabela_Auxiliar[],3,0)</f>
        <v>Saída</v>
      </c>
      <c r="G4169" t="str">
        <f>UPPER(TEXT(Tabela_DB[[#This Row],[DATA]],"mmm"))</f>
        <v>SET</v>
      </c>
      <c r="H4169" t="str">
        <f>UPPER(TEXT(Tabela_DB[[#This Row],[DATA]],"aaaa"))</f>
        <v>2021</v>
      </c>
    </row>
    <row r="4170" spans="1:8" x14ac:dyDescent="0.25">
      <c r="A4170" s="2">
        <v>44454</v>
      </c>
      <c r="B4170" t="s">
        <v>3</v>
      </c>
      <c r="C4170">
        <v>10458</v>
      </c>
      <c r="D4170" t="str">
        <f>VLOOKUP(B4170,Tabela_Auxiliar[],2,0)</f>
        <v>1. Receita Operacional Bruta</v>
      </c>
      <c r="E4170" t="str">
        <f>VLOOKUP(B4170,Tabela_Auxiliar[],4,0)</f>
        <v>Receita Bruta</v>
      </c>
      <c r="F4170" t="str">
        <f>VLOOKUP(B4170,Tabela_Auxiliar[],3,0)</f>
        <v>Entrada</v>
      </c>
      <c r="G4170" t="str">
        <f>UPPER(TEXT(Tabela_DB[[#This Row],[DATA]],"mmm"))</f>
        <v>SET</v>
      </c>
      <c r="H4170" t="str">
        <f>UPPER(TEXT(Tabela_DB[[#This Row],[DATA]],"aaaa"))</f>
        <v>2021</v>
      </c>
    </row>
    <row r="4171" spans="1:8" x14ac:dyDescent="0.25">
      <c r="A4171" s="2">
        <v>44454</v>
      </c>
      <c r="B4171" t="s">
        <v>43</v>
      </c>
      <c r="C4171">
        <v>-1846</v>
      </c>
      <c r="D4171" t="str">
        <f>VLOOKUP(B4171,Tabela_Auxiliar[],2,0)</f>
        <v>4. Despesas Operacionais</v>
      </c>
      <c r="E4171" t="str">
        <f>VLOOKUP(B4171,Tabela_Auxiliar[],4,0)</f>
        <v>Despesa com Pessoal</v>
      </c>
      <c r="F4171" t="str">
        <f>VLOOKUP(B4171,Tabela_Auxiliar[],3,0)</f>
        <v>Saída</v>
      </c>
      <c r="G4171" t="str">
        <f>UPPER(TEXT(Tabela_DB[[#This Row],[DATA]],"mmm"))</f>
        <v>SET</v>
      </c>
      <c r="H4171" t="str">
        <f>UPPER(TEXT(Tabela_DB[[#This Row],[DATA]],"aaaa"))</f>
        <v>2021</v>
      </c>
    </row>
    <row r="4172" spans="1:8" x14ac:dyDescent="0.25">
      <c r="A4172" s="2">
        <v>44455</v>
      </c>
      <c r="B4172" t="s">
        <v>4</v>
      </c>
      <c r="C4172">
        <v>10241</v>
      </c>
      <c r="D4172" t="str">
        <f>VLOOKUP(B4172,Tabela_Auxiliar[],2,0)</f>
        <v>1. Receita Operacional Bruta</v>
      </c>
      <c r="E4172" t="str">
        <f>VLOOKUP(B4172,Tabela_Auxiliar[],4,0)</f>
        <v>Receita Bruta</v>
      </c>
      <c r="F4172" t="str">
        <f>VLOOKUP(B4172,Tabela_Auxiliar[],3,0)</f>
        <v>Entrada</v>
      </c>
      <c r="G4172" t="str">
        <f>UPPER(TEXT(Tabela_DB[[#This Row],[DATA]],"mmm"))</f>
        <v>SET</v>
      </c>
      <c r="H4172" t="str">
        <f>UPPER(TEXT(Tabela_DB[[#This Row],[DATA]],"aaaa"))</f>
        <v>2021</v>
      </c>
    </row>
    <row r="4173" spans="1:8" x14ac:dyDescent="0.25">
      <c r="A4173" s="2">
        <v>44455</v>
      </c>
      <c r="B4173" t="s">
        <v>45</v>
      </c>
      <c r="C4173">
        <v>-1298</v>
      </c>
      <c r="D4173" t="str">
        <f>VLOOKUP(B4173,Tabela_Auxiliar[],2,0)</f>
        <v>4. Despesas Operacionais</v>
      </c>
      <c r="E4173" t="str">
        <f>VLOOKUP(B4173,Tabela_Auxiliar[],4,0)</f>
        <v>Despesa com Pessoal</v>
      </c>
      <c r="F4173" t="str">
        <f>VLOOKUP(B4173,Tabela_Auxiliar[],3,0)</f>
        <v>Saída</v>
      </c>
      <c r="G4173" t="str">
        <f>UPPER(TEXT(Tabela_DB[[#This Row],[DATA]],"mmm"))</f>
        <v>SET</v>
      </c>
      <c r="H4173" t="str">
        <f>UPPER(TEXT(Tabela_DB[[#This Row],[DATA]],"aaaa"))</f>
        <v>2021</v>
      </c>
    </row>
    <row r="4174" spans="1:8" x14ac:dyDescent="0.25">
      <c r="A4174" s="2">
        <v>44455</v>
      </c>
      <c r="B4174" t="s">
        <v>61</v>
      </c>
      <c r="C4174">
        <v>-1854</v>
      </c>
      <c r="D4174" t="str">
        <f>VLOOKUP(B4174,Tabela_Auxiliar[],2,0)</f>
        <v>4. Despesas Operacionais</v>
      </c>
      <c r="E4174" t="str">
        <f>VLOOKUP(B4174,Tabela_Auxiliar[],4,0)</f>
        <v>Despesa de Depreciação</v>
      </c>
      <c r="F4174" t="str">
        <f>VLOOKUP(B4174,Tabela_Auxiliar[],3,0)</f>
        <v>Saída</v>
      </c>
      <c r="G4174" t="str">
        <f>UPPER(TEXT(Tabela_DB[[#This Row],[DATA]],"mmm"))</f>
        <v>SET</v>
      </c>
      <c r="H4174" t="str">
        <f>UPPER(TEXT(Tabela_DB[[#This Row],[DATA]],"aaaa"))</f>
        <v>2021</v>
      </c>
    </row>
    <row r="4175" spans="1:8" x14ac:dyDescent="0.25">
      <c r="A4175" s="2">
        <v>44455</v>
      </c>
      <c r="B4175" t="s">
        <v>38</v>
      </c>
      <c r="C4175">
        <v>-1566</v>
      </c>
      <c r="D4175" t="str">
        <f>VLOOKUP(B4175,Tabela_Auxiliar[],2,0)</f>
        <v>2. Deduções da Receita</v>
      </c>
      <c r="E4175" t="str">
        <f>VLOOKUP(B4175,Tabela_Auxiliar[],4,0)</f>
        <v>Deduções</v>
      </c>
      <c r="F4175" t="str">
        <f>VLOOKUP(B4175,Tabela_Auxiliar[],3,0)</f>
        <v>Saída</v>
      </c>
      <c r="G4175" t="str">
        <f>UPPER(TEXT(Tabela_DB[[#This Row],[DATA]],"mmm"))</f>
        <v>SET</v>
      </c>
      <c r="H4175" t="str">
        <f>UPPER(TEXT(Tabela_DB[[#This Row],[DATA]],"aaaa"))</f>
        <v>2021</v>
      </c>
    </row>
    <row r="4176" spans="1:8" x14ac:dyDescent="0.25">
      <c r="A4176" s="2">
        <v>44455</v>
      </c>
      <c r="B4176" t="s">
        <v>38</v>
      </c>
      <c r="C4176">
        <v>-1985</v>
      </c>
      <c r="D4176" t="str">
        <f>VLOOKUP(B4176,Tabela_Auxiliar[],2,0)</f>
        <v>2. Deduções da Receita</v>
      </c>
      <c r="E4176" t="str">
        <f>VLOOKUP(B4176,Tabela_Auxiliar[],4,0)</f>
        <v>Deduções</v>
      </c>
      <c r="F4176" t="str">
        <f>VLOOKUP(B4176,Tabela_Auxiliar[],3,0)</f>
        <v>Saída</v>
      </c>
      <c r="G4176" t="str">
        <f>UPPER(TEXT(Tabela_DB[[#This Row],[DATA]],"mmm"))</f>
        <v>SET</v>
      </c>
      <c r="H4176" t="str">
        <f>UPPER(TEXT(Tabela_DB[[#This Row],[DATA]],"aaaa"))</f>
        <v>2021</v>
      </c>
    </row>
    <row r="4177" spans="1:8" x14ac:dyDescent="0.25">
      <c r="A4177" s="2">
        <v>44455</v>
      </c>
      <c r="B4177" t="s">
        <v>111</v>
      </c>
      <c r="C4177">
        <v>-1659</v>
      </c>
      <c r="D4177" t="str">
        <f>VLOOKUP(B4177,Tabela_Auxiliar[],2,0)</f>
        <v>2. Deduções da Receita</v>
      </c>
      <c r="E4177" t="str">
        <f>VLOOKUP(B4177,Tabela_Auxiliar[],4,0)</f>
        <v>Imposto</v>
      </c>
      <c r="F4177" t="str">
        <f>VLOOKUP(B4177,Tabela_Auxiliar[],3,0)</f>
        <v>Saída</v>
      </c>
      <c r="G4177" t="str">
        <f>UPPER(TEXT(Tabela_DB[[#This Row],[DATA]],"mmm"))</f>
        <v>SET</v>
      </c>
      <c r="H4177" t="str">
        <f>UPPER(TEXT(Tabela_DB[[#This Row],[DATA]],"aaaa"))</f>
        <v>2021</v>
      </c>
    </row>
    <row r="4178" spans="1:8" x14ac:dyDescent="0.25">
      <c r="A4178" s="2">
        <v>44455</v>
      </c>
      <c r="B4178" t="s">
        <v>38</v>
      </c>
      <c r="C4178">
        <v>-1687</v>
      </c>
      <c r="D4178" t="str">
        <f>VLOOKUP(B4178,Tabela_Auxiliar[],2,0)</f>
        <v>2. Deduções da Receita</v>
      </c>
      <c r="E4178" t="str">
        <f>VLOOKUP(B4178,Tabela_Auxiliar[],4,0)</f>
        <v>Deduções</v>
      </c>
      <c r="F4178" t="str">
        <f>VLOOKUP(B4178,Tabela_Auxiliar[],3,0)</f>
        <v>Saída</v>
      </c>
      <c r="G4178" t="str">
        <f>UPPER(TEXT(Tabela_DB[[#This Row],[DATA]],"mmm"))</f>
        <v>SET</v>
      </c>
      <c r="H4178" t="str">
        <f>UPPER(TEXT(Tabela_DB[[#This Row],[DATA]],"aaaa"))</f>
        <v>2021</v>
      </c>
    </row>
    <row r="4179" spans="1:8" x14ac:dyDescent="0.25">
      <c r="A4179" s="2">
        <v>44455</v>
      </c>
      <c r="B4179" t="s">
        <v>4</v>
      </c>
      <c r="C4179">
        <v>13605</v>
      </c>
      <c r="D4179" t="str">
        <f>VLOOKUP(B4179,Tabela_Auxiliar[],2,0)</f>
        <v>1. Receita Operacional Bruta</v>
      </c>
      <c r="E4179" t="str">
        <f>VLOOKUP(B4179,Tabela_Auxiliar[],4,0)</f>
        <v>Receita Bruta</v>
      </c>
      <c r="F4179" t="str">
        <f>VLOOKUP(B4179,Tabela_Auxiliar[],3,0)</f>
        <v>Entrada</v>
      </c>
      <c r="G4179" t="str">
        <f>UPPER(TEXT(Tabela_DB[[#This Row],[DATA]],"mmm"))</f>
        <v>SET</v>
      </c>
      <c r="H4179" t="str">
        <f>UPPER(TEXT(Tabela_DB[[#This Row],[DATA]],"aaaa"))</f>
        <v>2021</v>
      </c>
    </row>
    <row r="4180" spans="1:8" x14ac:dyDescent="0.25">
      <c r="A4180" s="2">
        <v>44456</v>
      </c>
      <c r="B4180" t="s">
        <v>38</v>
      </c>
      <c r="C4180">
        <v>-2497</v>
      </c>
      <c r="D4180" t="str">
        <f>VLOOKUP(B4180,Tabela_Auxiliar[],2,0)</f>
        <v>2. Deduções da Receita</v>
      </c>
      <c r="E4180" t="str">
        <f>VLOOKUP(B4180,Tabela_Auxiliar[],4,0)</f>
        <v>Deduções</v>
      </c>
      <c r="F4180" t="str">
        <f>VLOOKUP(B4180,Tabela_Auxiliar[],3,0)</f>
        <v>Saída</v>
      </c>
      <c r="G4180" t="str">
        <f>UPPER(TEXT(Tabela_DB[[#This Row],[DATA]],"mmm"))</f>
        <v>SET</v>
      </c>
      <c r="H4180" t="str">
        <f>UPPER(TEXT(Tabela_DB[[#This Row],[DATA]],"aaaa"))</f>
        <v>2021</v>
      </c>
    </row>
    <row r="4181" spans="1:8" x14ac:dyDescent="0.25">
      <c r="A4181" s="2">
        <v>44456</v>
      </c>
      <c r="B4181" t="s">
        <v>3</v>
      </c>
      <c r="C4181">
        <v>12064</v>
      </c>
      <c r="D4181" t="str">
        <f>VLOOKUP(B4181,Tabela_Auxiliar[],2,0)</f>
        <v>1. Receita Operacional Bruta</v>
      </c>
      <c r="E4181" t="str">
        <f>VLOOKUP(B4181,Tabela_Auxiliar[],4,0)</f>
        <v>Receita Bruta</v>
      </c>
      <c r="F4181" t="str">
        <f>VLOOKUP(B4181,Tabela_Auxiliar[],3,0)</f>
        <v>Entrada</v>
      </c>
      <c r="G4181" t="str">
        <f>UPPER(TEXT(Tabela_DB[[#This Row],[DATA]],"mmm"))</f>
        <v>SET</v>
      </c>
      <c r="H4181" t="str">
        <f>UPPER(TEXT(Tabela_DB[[#This Row],[DATA]],"aaaa"))</f>
        <v>2021</v>
      </c>
    </row>
    <row r="4182" spans="1:8" x14ac:dyDescent="0.25">
      <c r="A4182" s="2">
        <v>44456</v>
      </c>
      <c r="B4182" t="s">
        <v>38</v>
      </c>
      <c r="C4182">
        <v>-2017</v>
      </c>
      <c r="D4182" t="str">
        <f>VLOOKUP(B4182,Tabela_Auxiliar[],2,0)</f>
        <v>2. Deduções da Receita</v>
      </c>
      <c r="E4182" t="str">
        <f>VLOOKUP(B4182,Tabela_Auxiliar[],4,0)</f>
        <v>Deduções</v>
      </c>
      <c r="F4182" t="str">
        <f>VLOOKUP(B4182,Tabela_Auxiliar[],3,0)</f>
        <v>Saída</v>
      </c>
      <c r="G4182" t="str">
        <f>UPPER(TEXT(Tabela_DB[[#This Row],[DATA]],"mmm"))</f>
        <v>SET</v>
      </c>
      <c r="H4182" t="str">
        <f>UPPER(TEXT(Tabela_DB[[#This Row],[DATA]],"aaaa"))</f>
        <v>2021</v>
      </c>
    </row>
    <row r="4183" spans="1:8" x14ac:dyDescent="0.25">
      <c r="A4183" s="2">
        <v>44456</v>
      </c>
      <c r="B4183" t="s">
        <v>85</v>
      </c>
      <c r="C4183">
        <v>-1833</v>
      </c>
      <c r="D4183" t="str">
        <f>VLOOKUP(B4183,Tabela_Auxiliar[],2,0)</f>
        <v>4. Despesas Operacionais</v>
      </c>
      <c r="E4183" t="str">
        <f>VLOOKUP(B4183,Tabela_Auxiliar[],4,0)</f>
        <v>Despesa com Veículos</v>
      </c>
      <c r="F4183" t="str">
        <f>VLOOKUP(B4183,Tabela_Auxiliar[],3,0)</f>
        <v>Saída</v>
      </c>
      <c r="G4183" t="str">
        <f>UPPER(TEXT(Tabela_DB[[#This Row],[DATA]],"mmm"))</f>
        <v>SET</v>
      </c>
      <c r="H4183" t="str">
        <f>UPPER(TEXT(Tabela_DB[[#This Row],[DATA]],"aaaa"))</f>
        <v>2021</v>
      </c>
    </row>
    <row r="4184" spans="1:8" x14ac:dyDescent="0.25">
      <c r="A4184" s="2">
        <v>44456</v>
      </c>
      <c r="B4184" t="s">
        <v>82</v>
      </c>
      <c r="C4184">
        <v>-1359</v>
      </c>
      <c r="D4184" t="str">
        <f>VLOOKUP(B4184,Tabela_Auxiliar[],2,0)</f>
        <v>4. Despesas Operacionais</v>
      </c>
      <c r="E4184" t="str">
        <f>VLOOKUP(B4184,Tabela_Auxiliar[],4,0)</f>
        <v>Despesa com Veículos</v>
      </c>
      <c r="F4184" t="str">
        <f>VLOOKUP(B4184,Tabela_Auxiliar[],3,0)</f>
        <v>Saída</v>
      </c>
      <c r="G4184" t="str">
        <f>UPPER(TEXT(Tabela_DB[[#This Row],[DATA]],"mmm"))</f>
        <v>SET</v>
      </c>
      <c r="H4184" t="str">
        <f>UPPER(TEXT(Tabela_DB[[#This Row],[DATA]],"aaaa"))</f>
        <v>2021</v>
      </c>
    </row>
    <row r="4185" spans="1:8" x14ac:dyDescent="0.25">
      <c r="A4185" s="2">
        <v>44456</v>
      </c>
      <c r="B4185" t="s">
        <v>35</v>
      </c>
      <c r="C4185">
        <v>-2279</v>
      </c>
      <c r="D4185" t="str">
        <f>VLOOKUP(B4185,Tabela_Auxiliar[],2,0)</f>
        <v>2. Deduções da Receita</v>
      </c>
      <c r="E4185" t="str">
        <f>VLOOKUP(B4185,Tabela_Auxiliar[],4,0)</f>
        <v>Imposto</v>
      </c>
      <c r="F4185" t="str">
        <f>VLOOKUP(B4185,Tabela_Auxiliar[],3,0)</f>
        <v>Saída</v>
      </c>
      <c r="G4185" t="str">
        <f>UPPER(TEXT(Tabela_DB[[#This Row],[DATA]],"mmm"))</f>
        <v>SET</v>
      </c>
      <c r="H4185" t="str">
        <f>UPPER(TEXT(Tabela_DB[[#This Row],[DATA]],"aaaa"))</f>
        <v>2021</v>
      </c>
    </row>
    <row r="4186" spans="1:8" x14ac:dyDescent="0.25">
      <c r="A4186" s="2">
        <v>44456</v>
      </c>
      <c r="B4186" t="s">
        <v>34</v>
      </c>
      <c r="C4186">
        <v>-1499</v>
      </c>
      <c r="D4186" t="str">
        <f>VLOOKUP(B4186,Tabela_Auxiliar[],2,0)</f>
        <v>2. Deduções da Receita</v>
      </c>
      <c r="E4186" t="str">
        <f>VLOOKUP(B4186,Tabela_Auxiliar[],4,0)</f>
        <v>Imposto</v>
      </c>
      <c r="F4186" t="str">
        <f>VLOOKUP(B4186,Tabela_Auxiliar[],3,0)</f>
        <v>Saída</v>
      </c>
      <c r="G4186" t="str">
        <f>UPPER(TEXT(Tabela_DB[[#This Row],[DATA]],"mmm"))</f>
        <v>SET</v>
      </c>
      <c r="H4186" t="str">
        <f>UPPER(TEXT(Tabela_DB[[#This Row],[DATA]],"aaaa"))</f>
        <v>2021</v>
      </c>
    </row>
    <row r="4187" spans="1:8" x14ac:dyDescent="0.25">
      <c r="A4187" s="2">
        <v>44456</v>
      </c>
      <c r="B4187" t="s">
        <v>79</v>
      </c>
      <c r="C4187">
        <v>-1869</v>
      </c>
      <c r="D4187" t="str">
        <f>VLOOKUP(B4187,Tabela_Auxiliar[],2,0)</f>
        <v>4. Despesas Operacionais</v>
      </c>
      <c r="E4187" t="str">
        <f>VLOOKUP(B4187,Tabela_Auxiliar[],4,0)</f>
        <v>Serviços Contratados</v>
      </c>
      <c r="F4187" t="str">
        <f>VLOOKUP(B4187,Tabela_Auxiliar[],3,0)</f>
        <v>Saída</v>
      </c>
      <c r="G4187" t="str">
        <f>UPPER(TEXT(Tabela_DB[[#This Row],[DATA]],"mmm"))</f>
        <v>SET</v>
      </c>
      <c r="H4187" t="str">
        <f>UPPER(TEXT(Tabela_DB[[#This Row],[DATA]],"aaaa"))</f>
        <v>2021</v>
      </c>
    </row>
    <row r="4188" spans="1:8" x14ac:dyDescent="0.25">
      <c r="A4188" s="2">
        <v>44456</v>
      </c>
      <c r="B4188" t="s">
        <v>4</v>
      </c>
      <c r="C4188">
        <v>12035</v>
      </c>
      <c r="D4188" t="str">
        <f>VLOOKUP(B4188,Tabela_Auxiliar[],2,0)</f>
        <v>1. Receita Operacional Bruta</v>
      </c>
      <c r="E4188" t="str">
        <f>VLOOKUP(B4188,Tabela_Auxiliar[],4,0)</f>
        <v>Receita Bruta</v>
      </c>
      <c r="F4188" t="str">
        <f>VLOOKUP(B4188,Tabela_Auxiliar[],3,0)</f>
        <v>Entrada</v>
      </c>
      <c r="G4188" t="str">
        <f>UPPER(TEXT(Tabela_DB[[#This Row],[DATA]],"mmm"))</f>
        <v>SET</v>
      </c>
      <c r="H4188" t="str">
        <f>UPPER(TEXT(Tabela_DB[[#This Row],[DATA]],"aaaa"))</f>
        <v>2021</v>
      </c>
    </row>
    <row r="4189" spans="1:8" x14ac:dyDescent="0.25">
      <c r="A4189" s="2">
        <v>44456</v>
      </c>
      <c r="B4189" t="s">
        <v>34</v>
      </c>
      <c r="C4189">
        <v>-1995</v>
      </c>
      <c r="D4189" t="str">
        <f>VLOOKUP(B4189,Tabela_Auxiliar[],2,0)</f>
        <v>2. Deduções da Receita</v>
      </c>
      <c r="E4189" t="str">
        <f>VLOOKUP(B4189,Tabela_Auxiliar[],4,0)</f>
        <v>Imposto</v>
      </c>
      <c r="F4189" t="str">
        <f>VLOOKUP(B4189,Tabela_Auxiliar[],3,0)</f>
        <v>Saída</v>
      </c>
      <c r="G4189" t="str">
        <f>UPPER(TEXT(Tabela_DB[[#This Row],[DATA]],"mmm"))</f>
        <v>SET</v>
      </c>
      <c r="H4189" t="str">
        <f>UPPER(TEXT(Tabela_DB[[#This Row],[DATA]],"aaaa"))</f>
        <v>2021</v>
      </c>
    </row>
    <row r="4190" spans="1:8" x14ac:dyDescent="0.25">
      <c r="A4190" s="2">
        <v>44456</v>
      </c>
      <c r="B4190" t="s">
        <v>4</v>
      </c>
      <c r="C4190">
        <v>11413</v>
      </c>
      <c r="D4190" t="str">
        <f>VLOOKUP(B4190,Tabela_Auxiliar[],2,0)</f>
        <v>1. Receita Operacional Bruta</v>
      </c>
      <c r="E4190" t="str">
        <f>VLOOKUP(B4190,Tabela_Auxiliar[],4,0)</f>
        <v>Receita Bruta</v>
      </c>
      <c r="F4190" t="str">
        <f>VLOOKUP(B4190,Tabela_Auxiliar[],3,0)</f>
        <v>Entrada</v>
      </c>
      <c r="G4190" t="str">
        <f>UPPER(TEXT(Tabela_DB[[#This Row],[DATA]],"mmm"))</f>
        <v>SET</v>
      </c>
      <c r="H4190" t="str">
        <f>UPPER(TEXT(Tabela_DB[[#This Row],[DATA]],"aaaa"))</f>
        <v>2021</v>
      </c>
    </row>
    <row r="4191" spans="1:8" x14ac:dyDescent="0.25">
      <c r="A4191" s="2">
        <v>44456</v>
      </c>
      <c r="B4191" t="s">
        <v>34</v>
      </c>
      <c r="C4191">
        <v>-1444</v>
      </c>
      <c r="D4191" t="str">
        <f>VLOOKUP(B4191,Tabela_Auxiliar[],2,0)</f>
        <v>2. Deduções da Receita</v>
      </c>
      <c r="E4191" t="str">
        <f>VLOOKUP(B4191,Tabela_Auxiliar[],4,0)</f>
        <v>Imposto</v>
      </c>
      <c r="F4191" t="str">
        <f>VLOOKUP(B4191,Tabela_Auxiliar[],3,0)</f>
        <v>Saída</v>
      </c>
      <c r="G4191" t="str">
        <f>UPPER(TEXT(Tabela_DB[[#This Row],[DATA]],"mmm"))</f>
        <v>SET</v>
      </c>
      <c r="H4191" t="str">
        <f>UPPER(TEXT(Tabela_DB[[#This Row],[DATA]],"aaaa"))</f>
        <v>2021</v>
      </c>
    </row>
    <row r="4192" spans="1:8" x14ac:dyDescent="0.25">
      <c r="A4192" s="2">
        <v>44456</v>
      </c>
      <c r="B4192" t="s">
        <v>4</v>
      </c>
      <c r="C4192">
        <v>14273</v>
      </c>
      <c r="D4192" t="str">
        <f>VLOOKUP(B4192,Tabela_Auxiliar[],2,0)</f>
        <v>1. Receita Operacional Bruta</v>
      </c>
      <c r="E4192" t="str">
        <f>VLOOKUP(B4192,Tabela_Auxiliar[],4,0)</f>
        <v>Receita Bruta</v>
      </c>
      <c r="F4192" t="str">
        <f>VLOOKUP(B4192,Tabela_Auxiliar[],3,0)</f>
        <v>Entrada</v>
      </c>
      <c r="G4192" t="str">
        <f>UPPER(TEXT(Tabela_DB[[#This Row],[DATA]],"mmm"))</f>
        <v>SET</v>
      </c>
      <c r="H4192" t="str">
        <f>UPPER(TEXT(Tabela_DB[[#This Row],[DATA]],"aaaa"))</f>
        <v>2021</v>
      </c>
    </row>
    <row r="4193" spans="1:8" x14ac:dyDescent="0.25">
      <c r="A4193" s="2">
        <v>44456</v>
      </c>
      <c r="B4193" t="s">
        <v>38</v>
      </c>
      <c r="C4193">
        <v>-2375</v>
      </c>
      <c r="D4193" t="str">
        <f>VLOOKUP(B4193,Tabela_Auxiliar[],2,0)</f>
        <v>2. Deduções da Receita</v>
      </c>
      <c r="E4193" t="str">
        <f>VLOOKUP(B4193,Tabela_Auxiliar[],4,0)</f>
        <v>Deduções</v>
      </c>
      <c r="F4193" t="str">
        <f>VLOOKUP(B4193,Tabela_Auxiliar[],3,0)</f>
        <v>Saída</v>
      </c>
      <c r="G4193" t="str">
        <f>UPPER(TEXT(Tabela_DB[[#This Row],[DATA]],"mmm"))</f>
        <v>SET</v>
      </c>
      <c r="H4193" t="str">
        <f>UPPER(TEXT(Tabela_DB[[#This Row],[DATA]],"aaaa"))</f>
        <v>2021</v>
      </c>
    </row>
    <row r="4194" spans="1:8" x14ac:dyDescent="0.25">
      <c r="A4194" s="2">
        <v>44456</v>
      </c>
      <c r="B4194" t="s">
        <v>101</v>
      </c>
      <c r="C4194">
        <v>-1158</v>
      </c>
      <c r="D4194" t="str">
        <f>VLOOKUP(B4194,Tabela_Auxiliar[],2,0)</f>
        <v>5. Resultado Financeiro</v>
      </c>
      <c r="E4194" t="str">
        <f>VLOOKUP(B4194,Tabela_Auxiliar[],4,0)</f>
        <v>Despesa Financeira</v>
      </c>
      <c r="F4194" t="str">
        <f>VLOOKUP(B4194,Tabela_Auxiliar[],3,0)</f>
        <v>Saída</v>
      </c>
      <c r="G4194" t="str">
        <f>UPPER(TEXT(Tabela_DB[[#This Row],[DATA]],"mmm"))</f>
        <v>SET</v>
      </c>
      <c r="H4194" t="str">
        <f>UPPER(TEXT(Tabela_DB[[#This Row],[DATA]],"aaaa"))</f>
        <v>2021</v>
      </c>
    </row>
    <row r="4195" spans="1:8" x14ac:dyDescent="0.25">
      <c r="A4195" s="2">
        <v>44456</v>
      </c>
      <c r="B4195" t="s">
        <v>38</v>
      </c>
      <c r="C4195">
        <v>-2365</v>
      </c>
      <c r="D4195" t="str">
        <f>VLOOKUP(B4195,Tabela_Auxiliar[],2,0)</f>
        <v>2. Deduções da Receita</v>
      </c>
      <c r="E4195" t="str">
        <f>VLOOKUP(B4195,Tabela_Auxiliar[],4,0)</f>
        <v>Deduções</v>
      </c>
      <c r="F4195" t="str">
        <f>VLOOKUP(B4195,Tabela_Auxiliar[],3,0)</f>
        <v>Saída</v>
      </c>
      <c r="G4195" t="str">
        <f>UPPER(TEXT(Tabela_DB[[#This Row],[DATA]],"mmm"))</f>
        <v>SET</v>
      </c>
      <c r="H4195" t="str">
        <f>UPPER(TEXT(Tabela_DB[[#This Row],[DATA]],"aaaa"))</f>
        <v>2021</v>
      </c>
    </row>
    <row r="4196" spans="1:8" x14ac:dyDescent="0.25">
      <c r="A4196" s="2">
        <v>44456</v>
      </c>
      <c r="B4196" t="s">
        <v>3</v>
      </c>
      <c r="C4196">
        <v>14401</v>
      </c>
      <c r="D4196" t="str">
        <f>VLOOKUP(B4196,Tabela_Auxiliar[],2,0)</f>
        <v>1. Receita Operacional Bruta</v>
      </c>
      <c r="E4196" t="str">
        <f>VLOOKUP(B4196,Tabela_Auxiliar[],4,0)</f>
        <v>Receita Bruta</v>
      </c>
      <c r="F4196" t="str">
        <f>VLOOKUP(B4196,Tabela_Auxiliar[],3,0)</f>
        <v>Entrada</v>
      </c>
      <c r="G4196" t="str">
        <f>UPPER(TEXT(Tabela_DB[[#This Row],[DATA]],"mmm"))</f>
        <v>SET</v>
      </c>
      <c r="H4196" t="str">
        <f>UPPER(TEXT(Tabela_DB[[#This Row],[DATA]],"aaaa"))</f>
        <v>2021</v>
      </c>
    </row>
    <row r="4197" spans="1:8" x14ac:dyDescent="0.25">
      <c r="A4197" s="2">
        <v>44456</v>
      </c>
      <c r="B4197" t="s">
        <v>3</v>
      </c>
      <c r="C4197">
        <v>13568</v>
      </c>
      <c r="D4197" t="str">
        <f>VLOOKUP(B4197,Tabela_Auxiliar[],2,0)</f>
        <v>1. Receita Operacional Bruta</v>
      </c>
      <c r="E4197" t="str">
        <f>VLOOKUP(B4197,Tabela_Auxiliar[],4,0)</f>
        <v>Receita Bruta</v>
      </c>
      <c r="F4197" t="str">
        <f>VLOOKUP(B4197,Tabela_Auxiliar[],3,0)</f>
        <v>Entrada</v>
      </c>
      <c r="G4197" t="str">
        <f>UPPER(TEXT(Tabela_DB[[#This Row],[DATA]],"mmm"))</f>
        <v>SET</v>
      </c>
      <c r="H4197" t="str">
        <f>UPPER(TEXT(Tabela_DB[[#This Row],[DATA]],"aaaa"))</f>
        <v>2021</v>
      </c>
    </row>
    <row r="4198" spans="1:8" x14ac:dyDescent="0.25">
      <c r="A4198" s="2">
        <v>44456</v>
      </c>
      <c r="B4198" t="s">
        <v>65</v>
      </c>
      <c r="C4198">
        <v>-2086</v>
      </c>
      <c r="D4198" t="str">
        <f>VLOOKUP(B4198,Tabela_Auxiliar[],2,0)</f>
        <v>4. Despesas Operacionais</v>
      </c>
      <c r="E4198" t="str">
        <f>VLOOKUP(B4198,Tabela_Auxiliar[],4,0)</f>
        <v>Despesa Gerais</v>
      </c>
      <c r="F4198" t="str">
        <f>VLOOKUP(B4198,Tabela_Auxiliar[],3,0)</f>
        <v>Saída</v>
      </c>
      <c r="G4198" t="str">
        <f>UPPER(TEXT(Tabela_DB[[#This Row],[DATA]],"mmm"))</f>
        <v>SET</v>
      </c>
      <c r="H4198" t="str">
        <f>UPPER(TEXT(Tabela_DB[[#This Row],[DATA]],"aaaa"))</f>
        <v>2021</v>
      </c>
    </row>
    <row r="4199" spans="1:8" x14ac:dyDescent="0.25">
      <c r="A4199" s="2">
        <v>44456</v>
      </c>
      <c r="B4199" t="s">
        <v>40</v>
      </c>
      <c r="C4199">
        <v>-1993</v>
      </c>
      <c r="D4199" t="str">
        <f>VLOOKUP(B4199,Tabela_Auxiliar[],2,0)</f>
        <v>4. Despesas Operacionais</v>
      </c>
      <c r="E4199" t="str">
        <f>VLOOKUP(B4199,Tabela_Auxiliar[],4,0)</f>
        <v>Despesa com Pessoal</v>
      </c>
      <c r="F4199" t="str">
        <f>VLOOKUP(B4199,Tabela_Auxiliar[],3,0)</f>
        <v>Saída</v>
      </c>
      <c r="G4199" t="str">
        <f>UPPER(TEXT(Tabela_DB[[#This Row],[DATA]],"mmm"))</f>
        <v>SET</v>
      </c>
      <c r="H4199" t="str">
        <f>UPPER(TEXT(Tabela_DB[[#This Row],[DATA]],"aaaa"))</f>
        <v>2021</v>
      </c>
    </row>
    <row r="4200" spans="1:8" x14ac:dyDescent="0.25">
      <c r="A4200" s="2">
        <v>44456</v>
      </c>
      <c r="B4200" t="s">
        <v>37</v>
      </c>
      <c r="C4200">
        <v>-3616</v>
      </c>
      <c r="D4200" t="str">
        <f>VLOOKUP(B4200,Tabela_Auxiliar[],2,0)</f>
        <v>3. Custos do Produto/Mercadoria/Serviço</v>
      </c>
      <c r="E4200" t="str">
        <f>VLOOKUP(B4200,Tabela_Auxiliar[],4,0)</f>
        <v>Despesas c/ Produto</v>
      </c>
      <c r="F4200" t="str">
        <f>VLOOKUP(B4200,Tabela_Auxiliar[],3,0)</f>
        <v>Saída</v>
      </c>
      <c r="G4200" t="str">
        <f>UPPER(TEXT(Tabela_DB[[#This Row],[DATA]],"mmm"))</f>
        <v>SET</v>
      </c>
      <c r="H4200" t="str">
        <f>UPPER(TEXT(Tabela_DB[[#This Row],[DATA]],"aaaa"))</f>
        <v>2021</v>
      </c>
    </row>
    <row r="4201" spans="1:8" x14ac:dyDescent="0.25">
      <c r="A4201" s="2">
        <v>44456</v>
      </c>
      <c r="B4201" t="s">
        <v>3</v>
      </c>
      <c r="C4201">
        <v>13461</v>
      </c>
      <c r="D4201" t="str">
        <f>VLOOKUP(B4201,Tabela_Auxiliar[],2,0)</f>
        <v>1. Receita Operacional Bruta</v>
      </c>
      <c r="E4201" t="str">
        <f>VLOOKUP(B4201,Tabela_Auxiliar[],4,0)</f>
        <v>Receita Bruta</v>
      </c>
      <c r="F4201" t="str">
        <f>VLOOKUP(B4201,Tabela_Auxiliar[],3,0)</f>
        <v>Entrada</v>
      </c>
      <c r="G4201" t="str">
        <f>UPPER(TEXT(Tabela_DB[[#This Row],[DATA]],"mmm"))</f>
        <v>SET</v>
      </c>
      <c r="H4201" t="str">
        <f>UPPER(TEXT(Tabela_DB[[#This Row],[DATA]],"aaaa"))</f>
        <v>2021</v>
      </c>
    </row>
    <row r="4202" spans="1:8" x14ac:dyDescent="0.25">
      <c r="A4202" s="2">
        <v>44457</v>
      </c>
      <c r="B4202" t="s">
        <v>111</v>
      </c>
      <c r="C4202">
        <v>-1659</v>
      </c>
      <c r="D4202" t="str">
        <f>VLOOKUP(B4202,Tabela_Auxiliar[],2,0)</f>
        <v>2. Deduções da Receita</v>
      </c>
      <c r="E4202" t="str">
        <f>VLOOKUP(B4202,Tabela_Auxiliar[],4,0)</f>
        <v>Imposto</v>
      </c>
      <c r="F4202" t="str">
        <f>VLOOKUP(B4202,Tabela_Auxiliar[],3,0)</f>
        <v>Saída</v>
      </c>
      <c r="G4202" t="str">
        <f>UPPER(TEXT(Tabela_DB[[#This Row],[DATA]],"mmm"))</f>
        <v>SET</v>
      </c>
      <c r="H4202" t="str">
        <f>UPPER(TEXT(Tabela_DB[[#This Row],[DATA]],"aaaa"))</f>
        <v>2021</v>
      </c>
    </row>
    <row r="4203" spans="1:8" x14ac:dyDescent="0.25">
      <c r="A4203" s="2">
        <v>44457</v>
      </c>
      <c r="B4203" t="s">
        <v>34</v>
      </c>
      <c r="C4203">
        <v>-1190</v>
      </c>
      <c r="D4203" t="str">
        <f>VLOOKUP(B4203,Tabela_Auxiliar[],2,0)</f>
        <v>2. Deduções da Receita</v>
      </c>
      <c r="E4203" t="str">
        <f>VLOOKUP(B4203,Tabela_Auxiliar[],4,0)</f>
        <v>Imposto</v>
      </c>
      <c r="F4203" t="str">
        <f>VLOOKUP(B4203,Tabela_Auxiliar[],3,0)</f>
        <v>Saída</v>
      </c>
      <c r="G4203" t="str">
        <f>UPPER(TEXT(Tabela_DB[[#This Row],[DATA]],"mmm"))</f>
        <v>SET</v>
      </c>
      <c r="H4203" t="str">
        <f>UPPER(TEXT(Tabela_DB[[#This Row],[DATA]],"aaaa"))</f>
        <v>2021</v>
      </c>
    </row>
    <row r="4204" spans="1:8" x14ac:dyDescent="0.25">
      <c r="A4204" s="2">
        <v>44457</v>
      </c>
      <c r="B4204" t="s">
        <v>54</v>
      </c>
      <c r="C4204">
        <v>-1956</v>
      </c>
      <c r="D4204" t="str">
        <f>VLOOKUP(B4204,Tabela_Auxiliar[],2,0)</f>
        <v>4. Despesas Operacionais</v>
      </c>
      <c r="E4204" t="str">
        <f>VLOOKUP(B4204,Tabela_Auxiliar[],4,0)</f>
        <v>Despesa com Pessoal</v>
      </c>
      <c r="F4204" t="str">
        <f>VLOOKUP(B4204,Tabela_Auxiliar[],3,0)</f>
        <v>Saída</v>
      </c>
      <c r="G4204" t="str">
        <f>UPPER(TEXT(Tabela_DB[[#This Row],[DATA]],"mmm"))</f>
        <v>SET</v>
      </c>
      <c r="H4204" t="str">
        <f>UPPER(TEXT(Tabela_DB[[#This Row],[DATA]],"aaaa"))</f>
        <v>2021</v>
      </c>
    </row>
    <row r="4205" spans="1:8" x14ac:dyDescent="0.25">
      <c r="A4205" s="2">
        <v>44457</v>
      </c>
      <c r="B4205" t="s">
        <v>33</v>
      </c>
      <c r="C4205">
        <v>-2417</v>
      </c>
      <c r="D4205" t="str">
        <f>VLOOKUP(B4205,Tabela_Auxiliar[],2,0)</f>
        <v>4. Despesas Operacionais</v>
      </c>
      <c r="E4205" t="str">
        <f>VLOOKUP(B4205,Tabela_Auxiliar[],4,0)</f>
        <v>Despesa com Vendas</v>
      </c>
      <c r="F4205" t="str">
        <f>VLOOKUP(B4205,Tabela_Auxiliar[],3,0)</f>
        <v>Saída</v>
      </c>
      <c r="G4205" t="str">
        <f>UPPER(TEXT(Tabela_DB[[#This Row],[DATA]],"mmm"))</f>
        <v>SET</v>
      </c>
      <c r="H4205" t="str">
        <f>UPPER(TEXT(Tabela_DB[[#This Row],[DATA]],"aaaa"))</f>
        <v>2021</v>
      </c>
    </row>
    <row r="4206" spans="1:8" x14ac:dyDescent="0.25">
      <c r="A4206" s="2">
        <v>44457</v>
      </c>
      <c r="B4206" t="s">
        <v>3</v>
      </c>
      <c r="C4206">
        <v>10957</v>
      </c>
      <c r="D4206" t="str">
        <f>VLOOKUP(B4206,Tabela_Auxiliar[],2,0)</f>
        <v>1. Receita Operacional Bruta</v>
      </c>
      <c r="E4206" t="str">
        <f>VLOOKUP(B4206,Tabela_Auxiliar[],4,0)</f>
        <v>Receita Bruta</v>
      </c>
      <c r="F4206" t="str">
        <f>VLOOKUP(B4206,Tabela_Auxiliar[],3,0)</f>
        <v>Entrada</v>
      </c>
      <c r="G4206" t="str">
        <f>UPPER(TEXT(Tabela_DB[[#This Row],[DATA]],"mmm"))</f>
        <v>SET</v>
      </c>
      <c r="H4206" t="str">
        <f>UPPER(TEXT(Tabela_DB[[#This Row],[DATA]],"aaaa"))</f>
        <v>2021</v>
      </c>
    </row>
    <row r="4207" spans="1:8" x14ac:dyDescent="0.25">
      <c r="A4207" s="2">
        <v>44457</v>
      </c>
      <c r="B4207" t="s">
        <v>4</v>
      </c>
      <c r="C4207">
        <v>11685</v>
      </c>
      <c r="D4207" t="str">
        <f>VLOOKUP(B4207,Tabela_Auxiliar[],2,0)</f>
        <v>1. Receita Operacional Bruta</v>
      </c>
      <c r="E4207" t="str">
        <f>VLOOKUP(B4207,Tabela_Auxiliar[],4,0)</f>
        <v>Receita Bruta</v>
      </c>
      <c r="F4207" t="str">
        <f>VLOOKUP(B4207,Tabela_Auxiliar[],3,0)</f>
        <v>Entrada</v>
      </c>
      <c r="G4207" t="str">
        <f>UPPER(TEXT(Tabela_DB[[#This Row],[DATA]],"mmm"))</f>
        <v>SET</v>
      </c>
      <c r="H4207" t="str">
        <f>UPPER(TEXT(Tabela_DB[[#This Row],[DATA]],"aaaa"))</f>
        <v>2021</v>
      </c>
    </row>
    <row r="4208" spans="1:8" x14ac:dyDescent="0.25">
      <c r="A4208" s="2">
        <v>44457</v>
      </c>
      <c r="B4208" t="s">
        <v>72</v>
      </c>
      <c r="C4208">
        <v>-2344</v>
      </c>
      <c r="D4208" t="str">
        <f>VLOOKUP(B4208,Tabela_Auxiliar[],2,0)</f>
        <v>4. Despesas Operacionais</v>
      </c>
      <c r="E4208" t="str">
        <f>VLOOKUP(B4208,Tabela_Auxiliar[],4,0)</f>
        <v>Despesa com Ocupação</v>
      </c>
      <c r="F4208" t="str">
        <f>VLOOKUP(B4208,Tabela_Auxiliar[],3,0)</f>
        <v>Saída</v>
      </c>
      <c r="G4208" t="str">
        <f>UPPER(TEXT(Tabela_DB[[#This Row],[DATA]],"mmm"))</f>
        <v>SET</v>
      </c>
      <c r="H4208" t="str">
        <f>UPPER(TEXT(Tabela_DB[[#This Row],[DATA]],"aaaa"))</f>
        <v>2021</v>
      </c>
    </row>
    <row r="4209" spans="1:8" x14ac:dyDescent="0.25">
      <c r="A4209" s="2">
        <v>44457</v>
      </c>
      <c r="B4209" t="s">
        <v>38</v>
      </c>
      <c r="C4209">
        <v>-2321</v>
      </c>
      <c r="D4209" t="str">
        <f>VLOOKUP(B4209,Tabela_Auxiliar[],2,0)</f>
        <v>2. Deduções da Receita</v>
      </c>
      <c r="E4209" t="str">
        <f>VLOOKUP(B4209,Tabela_Auxiliar[],4,0)</f>
        <v>Deduções</v>
      </c>
      <c r="F4209" t="str">
        <f>VLOOKUP(B4209,Tabela_Auxiliar[],3,0)</f>
        <v>Saída</v>
      </c>
      <c r="G4209" t="str">
        <f>UPPER(TEXT(Tabela_DB[[#This Row],[DATA]],"mmm"))</f>
        <v>SET</v>
      </c>
      <c r="H4209" t="str">
        <f>UPPER(TEXT(Tabela_DB[[#This Row],[DATA]],"aaaa"))</f>
        <v>2021</v>
      </c>
    </row>
    <row r="4210" spans="1:8" x14ac:dyDescent="0.25">
      <c r="A4210" s="2">
        <v>44457</v>
      </c>
      <c r="B4210" t="s">
        <v>35</v>
      </c>
      <c r="C4210">
        <v>-2377</v>
      </c>
      <c r="D4210" t="str">
        <f>VLOOKUP(B4210,Tabela_Auxiliar[],2,0)</f>
        <v>2. Deduções da Receita</v>
      </c>
      <c r="E4210" t="str">
        <f>VLOOKUP(B4210,Tabela_Auxiliar[],4,0)</f>
        <v>Imposto</v>
      </c>
      <c r="F4210" t="str">
        <f>VLOOKUP(B4210,Tabela_Auxiliar[],3,0)</f>
        <v>Saída</v>
      </c>
      <c r="G4210" t="str">
        <f>UPPER(TEXT(Tabela_DB[[#This Row],[DATA]],"mmm"))</f>
        <v>SET</v>
      </c>
      <c r="H4210" t="str">
        <f>UPPER(TEXT(Tabela_DB[[#This Row],[DATA]],"aaaa"))</f>
        <v>2021</v>
      </c>
    </row>
    <row r="4211" spans="1:8" x14ac:dyDescent="0.25">
      <c r="A4211" s="2">
        <v>44457</v>
      </c>
      <c r="B4211" t="s">
        <v>50</v>
      </c>
      <c r="C4211">
        <v>-1053</v>
      </c>
      <c r="D4211" t="str">
        <f>VLOOKUP(B4211,Tabela_Auxiliar[],2,0)</f>
        <v>4. Despesas Operacionais</v>
      </c>
      <c r="E4211" t="str">
        <f>VLOOKUP(B4211,Tabela_Auxiliar[],4,0)</f>
        <v>Despesa com Pessoal</v>
      </c>
      <c r="F4211" t="str">
        <f>VLOOKUP(B4211,Tabela_Auxiliar[],3,0)</f>
        <v>Saída</v>
      </c>
      <c r="G4211" t="str">
        <f>UPPER(TEXT(Tabela_DB[[#This Row],[DATA]],"mmm"))</f>
        <v>SET</v>
      </c>
      <c r="H4211" t="str">
        <f>UPPER(TEXT(Tabela_DB[[#This Row],[DATA]],"aaaa"))</f>
        <v>2021</v>
      </c>
    </row>
    <row r="4212" spans="1:8" x14ac:dyDescent="0.25">
      <c r="A4212" s="2">
        <v>44457</v>
      </c>
      <c r="B4212" t="s">
        <v>3</v>
      </c>
      <c r="C4212">
        <v>10172</v>
      </c>
      <c r="D4212" t="str">
        <f>VLOOKUP(B4212,Tabela_Auxiliar[],2,0)</f>
        <v>1. Receita Operacional Bruta</v>
      </c>
      <c r="E4212" t="str">
        <f>VLOOKUP(B4212,Tabela_Auxiliar[],4,0)</f>
        <v>Receita Bruta</v>
      </c>
      <c r="F4212" t="str">
        <f>VLOOKUP(B4212,Tabela_Auxiliar[],3,0)</f>
        <v>Entrada</v>
      </c>
      <c r="G4212" t="str">
        <f>UPPER(TEXT(Tabela_DB[[#This Row],[DATA]],"mmm"))</f>
        <v>SET</v>
      </c>
      <c r="H4212" t="str">
        <f>UPPER(TEXT(Tabela_DB[[#This Row],[DATA]],"aaaa"))</f>
        <v>2021</v>
      </c>
    </row>
    <row r="4213" spans="1:8" x14ac:dyDescent="0.25">
      <c r="A4213" s="2">
        <v>44457</v>
      </c>
      <c r="B4213" t="s">
        <v>35</v>
      </c>
      <c r="C4213">
        <v>-1373</v>
      </c>
      <c r="D4213" t="str">
        <f>VLOOKUP(B4213,Tabela_Auxiliar[],2,0)</f>
        <v>2. Deduções da Receita</v>
      </c>
      <c r="E4213" t="str">
        <f>VLOOKUP(B4213,Tabela_Auxiliar[],4,0)</f>
        <v>Imposto</v>
      </c>
      <c r="F4213" t="str">
        <f>VLOOKUP(B4213,Tabela_Auxiliar[],3,0)</f>
        <v>Saída</v>
      </c>
      <c r="G4213" t="str">
        <f>UPPER(TEXT(Tabela_DB[[#This Row],[DATA]],"mmm"))</f>
        <v>SET</v>
      </c>
      <c r="H4213" t="str">
        <f>UPPER(TEXT(Tabela_DB[[#This Row],[DATA]],"aaaa"))</f>
        <v>2021</v>
      </c>
    </row>
    <row r="4214" spans="1:8" x14ac:dyDescent="0.25">
      <c r="A4214" s="2">
        <v>44457</v>
      </c>
      <c r="B4214" t="s">
        <v>37</v>
      </c>
      <c r="C4214">
        <v>-3600</v>
      </c>
      <c r="D4214" t="str">
        <f>VLOOKUP(B4214,Tabela_Auxiliar[],2,0)</f>
        <v>3. Custos do Produto/Mercadoria/Serviço</v>
      </c>
      <c r="E4214" t="str">
        <f>VLOOKUP(B4214,Tabela_Auxiliar[],4,0)</f>
        <v>Despesas c/ Produto</v>
      </c>
      <c r="F4214" t="str">
        <f>VLOOKUP(B4214,Tabela_Auxiliar[],3,0)</f>
        <v>Saída</v>
      </c>
      <c r="G4214" t="str">
        <f>UPPER(TEXT(Tabela_DB[[#This Row],[DATA]],"mmm"))</f>
        <v>SET</v>
      </c>
      <c r="H4214" t="str">
        <f>UPPER(TEXT(Tabela_DB[[#This Row],[DATA]],"aaaa"))</f>
        <v>2021</v>
      </c>
    </row>
    <row r="4215" spans="1:8" x14ac:dyDescent="0.25">
      <c r="A4215" s="2">
        <v>44457</v>
      </c>
      <c r="B4215" t="s">
        <v>37</v>
      </c>
      <c r="C4215">
        <v>-2532</v>
      </c>
      <c r="D4215" t="str">
        <f>VLOOKUP(B4215,Tabela_Auxiliar[],2,0)</f>
        <v>3. Custos do Produto/Mercadoria/Serviço</v>
      </c>
      <c r="E4215" t="str">
        <f>VLOOKUP(B4215,Tabela_Auxiliar[],4,0)</f>
        <v>Despesas c/ Produto</v>
      </c>
      <c r="F4215" t="str">
        <f>VLOOKUP(B4215,Tabela_Auxiliar[],3,0)</f>
        <v>Saída</v>
      </c>
      <c r="G4215" t="str">
        <f>UPPER(TEXT(Tabela_DB[[#This Row],[DATA]],"mmm"))</f>
        <v>SET</v>
      </c>
      <c r="H4215" t="str">
        <f>UPPER(TEXT(Tabela_DB[[#This Row],[DATA]],"aaaa"))</f>
        <v>2021</v>
      </c>
    </row>
    <row r="4216" spans="1:8" x14ac:dyDescent="0.25">
      <c r="A4216" s="2">
        <v>44457</v>
      </c>
      <c r="B4216" t="s">
        <v>34</v>
      </c>
      <c r="C4216">
        <v>-1402</v>
      </c>
      <c r="D4216" t="str">
        <f>VLOOKUP(B4216,Tabela_Auxiliar[],2,0)</f>
        <v>2. Deduções da Receita</v>
      </c>
      <c r="E4216" t="str">
        <f>VLOOKUP(B4216,Tabela_Auxiliar[],4,0)</f>
        <v>Imposto</v>
      </c>
      <c r="F4216" t="str">
        <f>VLOOKUP(B4216,Tabela_Auxiliar[],3,0)</f>
        <v>Saída</v>
      </c>
      <c r="G4216" t="str">
        <f>UPPER(TEXT(Tabela_DB[[#This Row],[DATA]],"mmm"))</f>
        <v>SET</v>
      </c>
      <c r="H4216" t="str">
        <f>UPPER(TEXT(Tabela_DB[[#This Row],[DATA]],"aaaa"))</f>
        <v>2021</v>
      </c>
    </row>
    <row r="4217" spans="1:8" x14ac:dyDescent="0.25">
      <c r="A4217" s="2">
        <v>44457</v>
      </c>
      <c r="B4217" t="s">
        <v>111</v>
      </c>
      <c r="C4217">
        <v>-1746</v>
      </c>
      <c r="D4217" t="str">
        <f>VLOOKUP(B4217,Tabela_Auxiliar[],2,0)</f>
        <v>2. Deduções da Receita</v>
      </c>
      <c r="E4217" t="str">
        <f>VLOOKUP(B4217,Tabela_Auxiliar[],4,0)</f>
        <v>Imposto</v>
      </c>
      <c r="F4217" t="str">
        <f>VLOOKUP(B4217,Tabela_Auxiliar[],3,0)</f>
        <v>Saída</v>
      </c>
      <c r="G4217" t="str">
        <f>UPPER(TEXT(Tabela_DB[[#This Row],[DATA]],"mmm"))</f>
        <v>SET</v>
      </c>
      <c r="H4217" t="str">
        <f>UPPER(TEXT(Tabela_DB[[#This Row],[DATA]],"aaaa"))</f>
        <v>2021</v>
      </c>
    </row>
    <row r="4218" spans="1:8" x14ac:dyDescent="0.25">
      <c r="A4218" s="2">
        <v>44457</v>
      </c>
      <c r="B4218" t="s">
        <v>34</v>
      </c>
      <c r="C4218">
        <v>-2404</v>
      </c>
      <c r="D4218" t="str">
        <f>VLOOKUP(B4218,Tabela_Auxiliar[],2,0)</f>
        <v>2. Deduções da Receita</v>
      </c>
      <c r="E4218" t="str">
        <f>VLOOKUP(B4218,Tabela_Auxiliar[],4,0)</f>
        <v>Imposto</v>
      </c>
      <c r="F4218" t="str">
        <f>VLOOKUP(B4218,Tabela_Auxiliar[],3,0)</f>
        <v>Saída</v>
      </c>
      <c r="G4218" t="str">
        <f>UPPER(TEXT(Tabela_DB[[#This Row],[DATA]],"mmm"))</f>
        <v>SET</v>
      </c>
      <c r="H4218" t="str">
        <f>UPPER(TEXT(Tabela_DB[[#This Row],[DATA]],"aaaa"))</f>
        <v>2021</v>
      </c>
    </row>
    <row r="4219" spans="1:8" x14ac:dyDescent="0.25">
      <c r="A4219" s="2">
        <v>44457</v>
      </c>
      <c r="B4219" t="s">
        <v>33</v>
      </c>
      <c r="C4219">
        <v>-2244</v>
      </c>
      <c r="D4219" t="str">
        <f>VLOOKUP(B4219,Tabela_Auxiliar[],2,0)</f>
        <v>4. Despesas Operacionais</v>
      </c>
      <c r="E4219" t="str">
        <f>VLOOKUP(B4219,Tabela_Auxiliar[],4,0)</f>
        <v>Despesa com Vendas</v>
      </c>
      <c r="F4219" t="str">
        <f>VLOOKUP(B4219,Tabela_Auxiliar[],3,0)</f>
        <v>Saída</v>
      </c>
      <c r="G4219" t="str">
        <f>UPPER(TEXT(Tabela_DB[[#This Row],[DATA]],"mmm"))</f>
        <v>SET</v>
      </c>
      <c r="H4219" t="str">
        <f>UPPER(TEXT(Tabela_DB[[#This Row],[DATA]],"aaaa"))</f>
        <v>2021</v>
      </c>
    </row>
    <row r="4220" spans="1:8" x14ac:dyDescent="0.25">
      <c r="A4220" s="2">
        <v>44457</v>
      </c>
      <c r="B4220" t="s">
        <v>37</v>
      </c>
      <c r="C4220">
        <v>-4237</v>
      </c>
      <c r="D4220" t="str">
        <f>VLOOKUP(B4220,Tabela_Auxiliar[],2,0)</f>
        <v>3. Custos do Produto/Mercadoria/Serviço</v>
      </c>
      <c r="E4220" t="str">
        <f>VLOOKUP(B4220,Tabela_Auxiliar[],4,0)</f>
        <v>Despesas c/ Produto</v>
      </c>
      <c r="F4220" t="str">
        <f>VLOOKUP(B4220,Tabela_Auxiliar[],3,0)</f>
        <v>Saída</v>
      </c>
      <c r="G4220" t="str">
        <f>UPPER(TEXT(Tabela_DB[[#This Row],[DATA]],"mmm"))</f>
        <v>SET</v>
      </c>
      <c r="H4220" t="str">
        <f>UPPER(TEXT(Tabela_DB[[#This Row],[DATA]],"aaaa"))</f>
        <v>2021</v>
      </c>
    </row>
    <row r="4221" spans="1:8" x14ac:dyDescent="0.25">
      <c r="A4221" s="2">
        <v>44457</v>
      </c>
      <c r="B4221" t="s">
        <v>3</v>
      </c>
      <c r="C4221">
        <v>13956</v>
      </c>
      <c r="D4221" t="str">
        <f>VLOOKUP(B4221,Tabela_Auxiliar[],2,0)</f>
        <v>1. Receita Operacional Bruta</v>
      </c>
      <c r="E4221" t="str">
        <f>VLOOKUP(B4221,Tabela_Auxiliar[],4,0)</f>
        <v>Receita Bruta</v>
      </c>
      <c r="F4221" t="str">
        <f>VLOOKUP(B4221,Tabela_Auxiliar[],3,0)</f>
        <v>Entrada</v>
      </c>
      <c r="G4221" t="str">
        <f>UPPER(TEXT(Tabela_DB[[#This Row],[DATA]],"mmm"))</f>
        <v>SET</v>
      </c>
      <c r="H4221" t="str">
        <f>UPPER(TEXT(Tabela_DB[[#This Row],[DATA]],"aaaa"))</f>
        <v>2021</v>
      </c>
    </row>
    <row r="4222" spans="1:8" x14ac:dyDescent="0.25">
      <c r="A4222" s="2">
        <v>44457</v>
      </c>
      <c r="B4222" t="s">
        <v>31</v>
      </c>
      <c r="C4222">
        <v>-1198</v>
      </c>
      <c r="D4222" t="str">
        <f>VLOOKUP(B4222,Tabela_Auxiliar[],2,0)</f>
        <v>5. Resultado Financeiro</v>
      </c>
      <c r="E4222" t="str">
        <f>VLOOKUP(B4222,Tabela_Auxiliar[],4,0)</f>
        <v>Participação nos resultados</v>
      </c>
      <c r="F4222" t="str">
        <f>VLOOKUP(B4222,Tabela_Auxiliar[],3,0)</f>
        <v>Saída</v>
      </c>
      <c r="G4222" t="str">
        <f>UPPER(TEXT(Tabela_DB[[#This Row],[DATA]],"mmm"))</f>
        <v>SET</v>
      </c>
      <c r="H4222" t="str">
        <f>UPPER(TEXT(Tabela_DB[[#This Row],[DATA]],"aaaa"))</f>
        <v>2021</v>
      </c>
    </row>
    <row r="4223" spans="1:8" x14ac:dyDescent="0.25">
      <c r="A4223" s="2">
        <v>44457</v>
      </c>
      <c r="B4223" t="s">
        <v>62</v>
      </c>
      <c r="C4223">
        <v>-1219</v>
      </c>
      <c r="D4223" t="str">
        <f>VLOOKUP(B4223,Tabela_Auxiliar[],2,0)</f>
        <v>4. Despesas Operacionais</v>
      </c>
      <c r="E4223" t="str">
        <f>VLOOKUP(B4223,Tabela_Auxiliar[],4,0)</f>
        <v>Despesa Gerais</v>
      </c>
      <c r="F4223" t="str">
        <f>VLOOKUP(B4223,Tabela_Auxiliar[],3,0)</f>
        <v>Saída</v>
      </c>
      <c r="G4223" t="str">
        <f>UPPER(TEXT(Tabela_DB[[#This Row],[DATA]],"mmm"))</f>
        <v>SET</v>
      </c>
      <c r="H4223" t="str">
        <f>UPPER(TEXT(Tabela_DB[[#This Row],[DATA]],"aaaa"))</f>
        <v>2021</v>
      </c>
    </row>
    <row r="4224" spans="1:8" x14ac:dyDescent="0.25">
      <c r="A4224" s="2">
        <v>44457</v>
      </c>
      <c r="B4224" t="s">
        <v>37</v>
      </c>
      <c r="C4224">
        <v>-3893</v>
      </c>
      <c r="D4224" t="str">
        <f>VLOOKUP(B4224,Tabela_Auxiliar[],2,0)</f>
        <v>3. Custos do Produto/Mercadoria/Serviço</v>
      </c>
      <c r="E4224" t="str">
        <f>VLOOKUP(B4224,Tabela_Auxiliar[],4,0)</f>
        <v>Despesas c/ Produto</v>
      </c>
      <c r="F4224" t="str">
        <f>VLOOKUP(B4224,Tabela_Auxiliar[],3,0)</f>
        <v>Saída</v>
      </c>
      <c r="G4224" t="str">
        <f>UPPER(TEXT(Tabela_DB[[#This Row],[DATA]],"mmm"))</f>
        <v>SET</v>
      </c>
      <c r="H4224" t="str">
        <f>UPPER(TEXT(Tabela_DB[[#This Row],[DATA]],"aaaa"))</f>
        <v>2021</v>
      </c>
    </row>
    <row r="4225" spans="1:8" x14ac:dyDescent="0.25">
      <c r="A4225" s="2">
        <v>44457</v>
      </c>
      <c r="B4225" t="s">
        <v>38</v>
      </c>
      <c r="C4225">
        <v>-1350</v>
      </c>
      <c r="D4225" t="str">
        <f>VLOOKUP(B4225,Tabela_Auxiliar[],2,0)</f>
        <v>2. Deduções da Receita</v>
      </c>
      <c r="E4225" t="str">
        <f>VLOOKUP(B4225,Tabela_Auxiliar[],4,0)</f>
        <v>Deduções</v>
      </c>
      <c r="F4225" t="str">
        <f>VLOOKUP(B4225,Tabela_Auxiliar[],3,0)</f>
        <v>Saída</v>
      </c>
      <c r="G4225" t="str">
        <f>UPPER(TEXT(Tabela_DB[[#This Row],[DATA]],"mmm"))</f>
        <v>SET</v>
      </c>
      <c r="H4225" t="str">
        <f>UPPER(TEXT(Tabela_DB[[#This Row],[DATA]],"aaaa"))</f>
        <v>2021</v>
      </c>
    </row>
    <row r="4226" spans="1:8" x14ac:dyDescent="0.25">
      <c r="A4226" s="2">
        <v>44458</v>
      </c>
      <c r="B4226" t="s">
        <v>34</v>
      </c>
      <c r="C4226">
        <v>-1394</v>
      </c>
      <c r="D4226" t="str">
        <f>VLOOKUP(B4226,Tabela_Auxiliar[],2,0)</f>
        <v>2. Deduções da Receita</v>
      </c>
      <c r="E4226" t="str">
        <f>VLOOKUP(B4226,Tabela_Auxiliar[],4,0)</f>
        <v>Imposto</v>
      </c>
      <c r="F4226" t="str">
        <f>VLOOKUP(B4226,Tabela_Auxiliar[],3,0)</f>
        <v>Saída</v>
      </c>
      <c r="G4226" t="str">
        <f>UPPER(TEXT(Tabela_DB[[#This Row],[DATA]],"mmm"))</f>
        <v>SET</v>
      </c>
      <c r="H4226" t="str">
        <f>UPPER(TEXT(Tabela_DB[[#This Row],[DATA]],"aaaa"))</f>
        <v>2021</v>
      </c>
    </row>
    <row r="4227" spans="1:8" x14ac:dyDescent="0.25">
      <c r="A4227" s="2">
        <v>44458</v>
      </c>
      <c r="B4227" t="s">
        <v>37</v>
      </c>
      <c r="C4227">
        <v>-3347</v>
      </c>
      <c r="D4227" t="str">
        <f>VLOOKUP(B4227,Tabela_Auxiliar[],2,0)</f>
        <v>3. Custos do Produto/Mercadoria/Serviço</v>
      </c>
      <c r="E4227" t="str">
        <f>VLOOKUP(B4227,Tabela_Auxiliar[],4,0)</f>
        <v>Despesas c/ Produto</v>
      </c>
      <c r="F4227" t="str">
        <f>VLOOKUP(B4227,Tabela_Auxiliar[],3,0)</f>
        <v>Saída</v>
      </c>
      <c r="G4227" t="str">
        <f>UPPER(TEXT(Tabela_DB[[#This Row],[DATA]],"mmm"))</f>
        <v>SET</v>
      </c>
      <c r="H4227" t="str">
        <f>UPPER(TEXT(Tabela_DB[[#This Row],[DATA]],"aaaa"))</f>
        <v>2021</v>
      </c>
    </row>
    <row r="4228" spans="1:8" x14ac:dyDescent="0.25">
      <c r="A4228" s="2">
        <v>44458</v>
      </c>
      <c r="B4228" t="s">
        <v>35</v>
      </c>
      <c r="C4228">
        <v>-1780</v>
      </c>
      <c r="D4228" t="str">
        <f>VLOOKUP(B4228,Tabela_Auxiliar[],2,0)</f>
        <v>2. Deduções da Receita</v>
      </c>
      <c r="E4228" t="str">
        <f>VLOOKUP(B4228,Tabela_Auxiliar[],4,0)</f>
        <v>Imposto</v>
      </c>
      <c r="F4228" t="str">
        <f>VLOOKUP(B4228,Tabela_Auxiliar[],3,0)</f>
        <v>Saída</v>
      </c>
      <c r="G4228" t="str">
        <f>UPPER(TEXT(Tabela_DB[[#This Row],[DATA]],"mmm"))</f>
        <v>SET</v>
      </c>
      <c r="H4228" t="str">
        <f>UPPER(TEXT(Tabela_DB[[#This Row],[DATA]],"aaaa"))</f>
        <v>2021</v>
      </c>
    </row>
    <row r="4229" spans="1:8" x14ac:dyDescent="0.25">
      <c r="A4229" s="2">
        <v>44458</v>
      </c>
      <c r="B4229" t="s">
        <v>34</v>
      </c>
      <c r="C4229">
        <v>-1252</v>
      </c>
      <c r="D4229" t="str">
        <f>VLOOKUP(B4229,Tabela_Auxiliar[],2,0)</f>
        <v>2. Deduções da Receita</v>
      </c>
      <c r="E4229" t="str">
        <f>VLOOKUP(B4229,Tabela_Auxiliar[],4,0)</f>
        <v>Imposto</v>
      </c>
      <c r="F4229" t="str">
        <f>VLOOKUP(B4229,Tabela_Auxiliar[],3,0)</f>
        <v>Saída</v>
      </c>
      <c r="G4229" t="str">
        <f>UPPER(TEXT(Tabela_DB[[#This Row],[DATA]],"mmm"))</f>
        <v>SET</v>
      </c>
      <c r="H4229" t="str">
        <f>UPPER(TEXT(Tabela_DB[[#This Row],[DATA]],"aaaa"))</f>
        <v>2021</v>
      </c>
    </row>
    <row r="4230" spans="1:8" x14ac:dyDescent="0.25">
      <c r="A4230" s="2">
        <v>44458</v>
      </c>
      <c r="B4230" t="s">
        <v>35</v>
      </c>
      <c r="C4230">
        <v>-1572</v>
      </c>
      <c r="D4230" t="str">
        <f>VLOOKUP(B4230,Tabela_Auxiliar[],2,0)</f>
        <v>2. Deduções da Receita</v>
      </c>
      <c r="E4230" t="str">
        <f>VLOOKUP(B4230,Tabela_Auxiliar[],4,0)</f>
        <v>Imposto</v>
      </c>
      <c r="F4230" t="str">
        <f>VLOOKUP(B4230,Tabela_Auxiliar[],3,0)</f>
        <v>Saída</v>
      </c>
      <c r="G4230" t="str">
        <f>UPPER(TEXT(Tabela_DB[[#This Row],[DATA]],"mmm"))</f>
        <v>SET</v>
      </c>
      <c r="H4230" t="str">
        <f>UPPER(TEXT(Tabela_DB[[#This Row],[DATA]],"aaaa"))</f>
        <v>2021</v>
      </c>
    </row>
    <row r="4231" spans="1:8" x14ac:dyDescent="0.25">
      <c r="A4231" s="2">
        <v>44458</v>
      </c>
      <c r="B4231" t="s">
        <v>35</v>
      </c>
      <c r="C4231">
        <v>-2496</v>
      </c>
      <c r="D4231" t="str">
        <f>VLOOKUP(B4231,Tabela_Auxiliar[],2,0)</f>
        <v>2. Deduções da Receita</v>
      </c>
      <c r="E4231" t="str">
        <f>VLOOKUP(B4231,Tabela_Auxiliar[],4,0)</f>
        <v>Imposto</v>
      </c>
      <c r="F4231" t="str">
        <f>VLOOKUP(B4231,Tabela_Auxiliar[],3,0)</f>
        <v>Saída</v>
      </c>
      <c r="G4231" t="str">
        <f>UPPER(TEXT(Tabela_DB[[#This Row],[DATA]],"mmm"))</f>
        <v>SET</v>
      </c>
      <c r="H4231" t="str">
        <f>UPPER(TEXT(Tabela_DB[[#This Row],[DATA]],"aaaa"))</f>
        <v>2021</v>
      </c>
    </row>
    <row r="4232" spans="1:8" x14ac:dyDescent="0.25">
      <c r="A4232" s="2">
        <v>44458</v>
      </c>
      <c r="B4232" t="s">
        <v>34</v>
      </c>
      <c r="C4232">
        <v>-2182</v>
      </c>
      <c r="D4232" t="str">
        <f>VLOOKUP(B4232,Tabela_Auxiliar[],2,0)</f>
        <v>2. Deduções da Receita</v>
      </c>
      <c r="E4232" t="str">
        <f>VLOOKUP(B4232,Tabela_Auxiliar[],4,0)</f>
        <v>Imposto</v>
      </c>
      <c r="F4232" t="str">
        <f>VLOOKUP(B4232,Tabela_Auxiliar[],3,0)</f>
        <v>Saída</v>
      </c>
      <c r="G4232" t="str">
        <f>UPPER(TEXT(Tabela_DB[[#This Row],[DATA]],"mmm"))</f>
        <v>SET</v>
      </c>
      <c r="H4232" t="str">
        <f>UPPER(TEXT(Tabela_DB[[#This Row],[DATA]],"aaaa"))</f>
        <v>2021</v>
      </c>
    </row>
    <row r="4233" spans="1:8" x14ac:dyDescent="0.25">
      <c r="A4233" s="2">
        <v>44458</v>
      </c>
      <c r="B4233" t="s">
        <v>88</v>
      </c>
      <c r="C4233">
        <v>-2492</v>
      </c>
      <c r="D4233" t="str">
        <f>VLOOKUP(B4233,Tabela_Auxiliar[],2,0)</f>
        <v>4. Despesas Operacionais</v>
      </c>
      <c r="E4233" t="str">
        <f>VLOOKUP(B4233,Tabela_Auxiliar[],4,0)</f>
        <v>Despesa Tributária</v>
      </c>
      <c r="F4233" t="str">
        <f>VLOOKUP(B4233,Tabela_Auxiliar[],3,0)</f>
        <v>Saída</v>
      </c>
      <c r="G4233" t="str">
        <f>UPPER(TEXT(Tabela_DB[[#This Row],[DATA]],"mmm"))</f>
        <v>SET</v>
      </c>
      <c r="H4233" t="str">
        <f>UPPER(TEXT(Tabela_DB[[#This Row],[DATA]],"aaaa"))</f>
        <v>2021</v>
      </c>
    </row>
    <row r="4234" spans="1:8" x14ac:dyDescent="0.25">
      <c r="A4234" s="2">
        <v>44458</v>
      </c>
      <c r="B4234" t="s">
        <v>34</v>
      </c>
      <c r="C4234">
        <v>-2328</v>
      </c>
      <c r="D4234" t="str">
        <f>VLOOKUP(B4234,Tabela_Auxiliar[],2,0)</f>
        <v>2. Deduções da Receita</v>
      </c>
      <c r="E4234" t="str">
        <f>VLOOKUP(B4234,Tabela_Auxiliar[],4,0)</f>
        <v>Imposto</v>
      </c>
      <c r="F4234" t="str">
        <f>VLOOKUP(B4234,Tabela_Auxiliar[],3,0)</f>
        <v>Saída</v>
      </c>
      <c r="G4234" t="str">
        <f>UPPER(TEXT(Tabela_DB[[#This Row],[DATA]],"mmm"))</f>
        <v>SET</v>
      </c>
      <c r="H4234" t="str">
        <f>UPPER(TEXT(Tabela_DB[[#This Row],[DATA]],"aaaa"))</f>
        <v>2021</v>
      </c>
    </row>
    <row r="4235" spans="1:8" x14ac:dyDescent="0.25">
      <c r="A4235" s="2">
        <v>44458</v>
      </c>
      <c r="B4235" t="s">
        <v>38</v>
      </c>
      <c r="C4235">
        <v>-2156</v>
      </c>
      <c r="D4235" t="str">
        <f>VLOOKUP(B4235,Tabela_Auxiliar[],2,0)</f>
        <v>2. Deduções da Receita</v>
      </c>
      <c r="E4235" t="str">
        <f>VLOOKUP(B4235,Tabela_Auxiliar[],4,0)</f>
        <v>Deduções</v>
      </c>
      <c r="F4235" t="str">
        <f>VLOOKUP(B4235,Tabela_Auxiliar[],3,0)</f>
        <v>Saída</v>
      </c>
      <c r="G4235" t="str">
        <f>UPPER(TEXT(Tabela_DB[[#This Row],[DATA]],"mmm"))</f>
        <v>SET</v>
      </c>
      <c r="H4235" t="str">
        <f>UPPER(TEXT(Tabela_DB[[#This Row],[DATA]],"aaaa"))</f>
        <v>2021</v>
      </c>
    </row>
    <row r="4236" spans="1:8" x14ac:dyDescent="0.25">
      <c r="A4236" s="2">
        <v>44458</v>
      </c>
      <c r="B4236" t="s">
        <v>37</v>
      </c>
      <c r="C4236">
        <v>-4632</v>
      </c>
      <c r="D4236" t="str">
        <f>VLOOKUP(B4236,Tabela_Auxiliar[],2,0)</f>
        <v>3. Custos do Produto/Mercadoria/Serviço</v>
      </c>
      <c r="E4236" t="str">
        <f>VLOOKUP(B4236,Tabela_Auxiliar[],4,0)</f>
        <v>Despesas c/ Produto</v>
      </c>
      <c r="F4236" t="str">
        <f>VLOOKUP(B4236,Tabela_Auxiliar[],3,0)</f>
        <v>Saída</v>
      </c>
      <c r="G4236" t="str">
        <f>UPPER(TEXT(Tabela_DB[[#This Row],[DATA]],"mmm"))</f>
        <v>SET</v>
      </c>
      <c r="H4236" t="str">
        <f>UPPER(TEXT(Tabela_DB[[#This Row],[DATA]],"aaaa"))</f>
        <v>2021</v>
      </c>
    </row>
    <row r="4237" spans="1:8" x14ac:dyDescent="0.25">
      <c r="A4237" s="2">
        <v>44458</v>
      </c>
      <c r="B4237" t="s">
        <v>3</v>
      </c>
      <c r="C4237">
        <v>10372</v>
      </c>
      <c r="D4237" t="str">
        <f>VLOOKUP(B4237,Tabela_Auxiliar[],2,0)</f>
        <v>1. Receita Operacional Bruta</v>
      </c>
      <c r="E4237" t="str">
        <f>VLOOKUP(B4237,Tabela_Auxiliar[],4,0)</f>
        <v>Receita Bruta</v>
      </c>
      <c r="F4237" t="str">
        <f>VLOOKUP(B4237,Tabela_Auxiliar[],3,0)</f>
        <v>Entrada</v>
      </c>
      <c r="G4237" t="str">
        <f>UPPER(TEXT(Tabela_DB[[#This Row],[DATA]],"mmm"))</f>
        <v>SET</v>
      </c>
      <c r="H4237" t="str">
        <f>UPPER(TEXT(Tabela_DB[[#This Row],[DATA]],"aaaa"))</f>
        <v>2021</v>
      </c>
    </row>
    <row r="4238" spans="1:8" x14ac:dyDescent="0.25">
      <c r="A4238" s="2">
        <v>44459</v>
      </c>
      <c r="B4238" t="s">
        <v>34</v>
      </c>
      <c r="C4238">
        <v>-1396</v>
      </c>
      <c r="D4238" t="str">
        <f>VLOOKUP(B4238,Tabela_Auxiliar[],2,0)</f>
        <v>2. Deduções da Receita</v>
      </c>
      <c r="E4238" t="str">
        <f>VLOOKUP(B4238,Tabela_Auxiliar[],4,0)</f>
        <v>Imposto</v>
      </c>
      <c r="F4238" t="str">
        <f>VLOOKUP(B4238,Tabela_Auxiliar[],3,0)</f>
        <v>Saída</v>
      </c>
      <c r="G4238" t="str">
        <f>UPPER(TEXT(Tabela_DB[[#This Row],[DATA]],"mmm"))</f>
        <v>SET</v>
      </c>
      <c r="H4238" t="str">
        <f>UPPER(TEXT(Tabela_DB[[#This Row],[DATA]],"aaaa"))</f>
        <v>2021</v>
      </c>
    </row>
    <row r="4239" spans="1:8" x14ac:dyDescent="0.25">
      <c r="A4239" s="2">
        <v>44459</v>
      </c>
      <c r="B4239" t="s">
        <v>35</v>
      </c>
      <c r="C4239">
        <v>-1380</v>
      </c>
      <c r="D4239" t="str">
        <f>VLOOKUP(B4239,Tabela_Auxiliar[],2,0)</f>
        <v>2. Deduções da Receita</v>
      </c>
      <c r="E4239" t="str">
        <f>VLOOKUP(B4239,Tabela_Auxiliar[],4,0)</f>
        <v>Imposto</v>
      </c>
      <c r="F4239" t="str">
        <f>VLOOKUP(B4239,Tabela_Auxiliar[],3,0)</f>
        <v>Saída</v>
      </c>
      <c r="G4239" t="str">
        <f>UPPER(TEXT(Tabela_DB[[#This Row],[DATA]],"mmm"))</f>
        <v>SET</v>
      </c>
      <c r="H4239" t="str">
        <f>UPPER(TEXT(Tabela_DB[[#This Row],[DATA]],"aaaa"))</f>
        <v>2021</v>
      </c>
    </row>
    <row r="4240" spans="1:8" x14ac:dyDescent="0.25">
      <c r="A4240" s="2">
        <v>44459</v>
      </c>
      <c r="B4240" t="s">
        <v>3</v>
      </c>
      <c r="C4240">
        <v>12121</v>
      </c>
      <c r="D4240" t="str">
        <f>VLOOKUP(B4240,Tabela_Auxiliar[],2,0)</f>
        <v>1. Receita Operacional Bruta</v>
      </c>
      <c r="E4240" t="str">
        <f>VLOOKUP(B4240,Tabela_Auxiliar[],4,0)</f>
        <v>Receita Bruta</v>
      </c>
      <c r="F4240" t="str">
        <f>VLOOKUP(B4240,Tabela_Auxiliar[],3,0)</f>
        <v>Entrada</v>
      </c>
      <c r="G4240" t="str">
        <f>UPPER(TEXT(Tabela_DB[[#This Row],[DATA]],"mmm"))</f>
        <v>SET</v>
      </c>
      <c r="H4240" t="str">
        <f>UPPER(TEXT(Tabela_DB[[#This Row],[DATA]],"aaaa"))</f>
        <v>2021</v>
      </c>
    </row>
    <row r="4241" spans="1:8" x14ac:dyDescent="0.25">
      <c r="A4241" s="2">
        <v>44459</v>
      </c>
      <c r="B4241" t="s">
        <v>60</v>
      </c>
      <c r="C4241">
        <v>-2341</v>
      </c>
      <c r="D4241" t="str">
        <f>VLOOKUP(B4241,Tabela_Auxiliar[],2,0)</f>
        <v>4. Despesas Operacionais</v>
      </c>
      <c r="E4241" t="str">
        <f>VLOOKUP(B4241,Tabela_Auxiliar[],4,0)</f>
        <v>Despesa de Depreciação</v>
      </c>
      <c r="F4241" t="str">
        <f>VLOOKUP(B4241,Tabela_Auxiliar[],3,0)</f>
        <v>Saída</v>
      </c>
      <c r="G4241" t="str">
        <f>UPPER(TEXT(Tabela_DB[[#This Row],[DATA]],"mmm"))</f>
        <v>SET</v>
      </c>
      <c r="H4241" t="str">
        <f>UPPER(TEXT(Tabela_DB[[#This Row],[DATA]],"aaaa"))</f>
        <v>2021</v>
      </c>
    </row>
    <row r="4242" spans="1:8" x14ac:dyDescent="0.25">
      <c r="A4242" s="2">
        <v>44459</v>
      </c>
      <c r="B4242" t="s">
        <v>38</v>
      </c>
      <c r="C4242">
        <v>-1893</v>
      </c>
      <c r="D4242" t="str">
        <f>VLOOKUP(B4242,Tabela_Auxiliar[],2,0)</f>
        <v>2. Deduções da Receita</v>
      </c>
      <c r="E4242" t="str">
        <f>VLOOKUP(B4242,Tabela_Auxiliar[],4,0)</f>
        <v>Deduções</v>
      </c>
      <c r="F4242" t="str">
        <f>VLOOKUP(B4242,Tabela_Auxiliar[],3,0)</f>
        <v>Saída</v>
      </c>
      <c r="G4242" t="str">
        <f>UPPER(TEXT(Tabela_DB[[#This Row],[DATA]],"mmm"))</f>
        <v>SET</v>
      </c>
      <c r="H4242" t="str">
        <f>UPPER(TEXT(Tabela_DB[[#This Row],[DATA]],"aaaa"))</f>
        <v>2021</v>
      </c>
    </row>
    <row r="4243" spans="1:8" x14ac:dyDescent="0.25">
      <c r="A4243" s="2">
        <v>44459</v>
      </c>
      <c r="B4243" t="s">
        <v>35</v>
      </c>
      <c r="C4243">
        <v>-1447</v>
      </c>
      <c r="D4243" t="str">
        <f>VLOOKUP(B4243,Tabela_Auxiliar[],2,0)</f>
        <v>2. Deduções da Receita</v>
      </c>
      <c r="E4243" t="str">
        <f>VLOOKUP(B4243,Tabela_Auxiliar[],4,0)</f>
        <v>Imposto</v>
      </c>
      <c r="F4243" t="str">
        <f>VLOOKUP(B4243,Tabela_Auxiliar[],3,0)</f>
        <v>Saída</v>
      </c>
      <c r="G4243" t="str">
        <f>UPPER(TEXT(Tabela_DB[[#This Row],[DATA]],"mmm"))</f>
        <v>SET</v>
      </c>
      <c r="H4243" t="str">
        <f>UPPER(TEXT(Tabela_DB[[#This Row],[DATA]],"aaaa"))</f>
        <v>2021</v>
      </c>
    </row>
    <row r="4244" spans="1:8" x14ac:dyDescent="0.25">
      <c r="A4244" s="2">
        <v>44459</v>
      </c>
      <c r="B4244" t="s">
        <v>53</v>
      </c>
      <c r="C4244">
        <v>-1247</v>
      </c>
      <c r="D4244" t="str">
        <f>VLOOKUP(B4244,Tabela_Auxiliar[],2,0)</f>
        <v>4. Despesas Operacionais</v>
      </c>
      <c r="E4244" t="str">
        <f>VLOOKUP(B4244,Tabela_Auxiliar[],4,0)</f>
        <v>Despesa com Pessoal</v>
      </c>
      <c r="F4244" t="str">
        <f>VLOOKUP(B4244,Tabela_Auxiliar[],3,0)</f>
        <v>Saída</v>
      </c>
      <c r="G4244" t="str">
        <f>UPPER(TEXT(Tabela_DB[[#This Row],[DATA]],"mmm"))</f>
        <v>SET</v>
      </c>
      <c r="H4244" t="str">
        <f>UPPER(TEXT(Tabela_DB[[#This Row],[DATA]],"aaaa"))</f>
        <v>2021</v>
      </c>
    </row>
    <row r="4245" spans="1:8" x14ac:dyDescent="0.25">
      <c r="A4245" s="2">
        <v>44459</v>
      </c>
      <c r="B4245" t="s">
        <v>3</v>
      </c>
      <c r="C4245">
        <v>10185</v>
      </c>
      <c r="D4245" t="str">
        <f>VLOOKUP(B4245,Tabela_Auxiliar[],2,0)</f>
        <v>1. Receita Operacional Bruta</v>
      </c>
      <c r="E4245" t="str">
        <f>VLOOKUP(B4245,Tabela_Auxiliar[],4,0)</f>
        <v>Receita Bruta</v>
      </c>
      <c r="F4245" t="str">
        <f>VLOOKUP(B4245,Tabela_Auxiliar[],3,0)</f>
        <v>Entrada</v>
      </c>
      <c r="G4245" t="str">
        <f>UPPER(TEXT(Tabela_DB[[#This Row],[DATA]],"mmm"))</f>
        <v>SET</v>
      </c>
      <c r="H4245" t="str">
        <f>UPPER(TEXT(Tabela_DB[[#This Row],[DATA]],"aaaa"))</f>
        <v>2021</v>
      </c>
    </row>
    <row r="4246" spans="1:8" x14ac:dyDescent="0.25">
      <c r="A4246" s="2">
        <v>44460</v>
      </c>
      <c r="B4246" t="s">
        <v>3</v>
      </c>
      <c r="C4246">
        <v>13313</v>
      </c>
      <c r="D4246" t="str">
        <f>VLOOKUP(B4246,Tabela_Auxiliar[],2,0)</f>
        <v>1. Receita Operacional Bruta</v>
      </c>
      <c r="E4246" t="str">
        <f>VLOOKUP(B4246,Tabela_Auxiliar[],4,0)</f>
        <v>Receita Bruta</v>
      </c>
      <c r="F4246" t="str">
        <f>VLOOKUP(B4246,Tabela_Auxiliar[],3,0)</f>
        <v>Entrada</v>
      </c>
      <c r="G4246" t="str">
        <f>UPPER(TEXT(Tabela_DB[[#This Row],[DATA]],"mmm"))</f>
        <v>SET</v>
      </c>
      <c r="H4246" t="str">
        <f>UPPER(TEXT(Tabela_DB[[#This Row],[DATA]],"aaaa"))</f>
        <v>2021</v>
      </c>
    </row>
    <row r="4247" spans="1:8" x14ac:dyDescent="0.25">
      <c r="A4247" s="2">
        <v>44460</v>
      </c>
      <c r="B4247" t="s">
        <v>81</v>
      </c>
      <c r="C4247">
        <v>-2017</v>
      </c>
      <c r="D4247" t="str">
        <f>VLOOKUP(B4247,Tabela_Auxiliar[],2,0)</f>
        <v>4. Despesas Operacionais</v>
      </c>
      <c r="E4247" t="str">
        <f>VLOOKUP(B4247,Tabela_Auxiliar[],4,0)</f>
        <v>Serviços Contratados</v>
      </c>
      <c r="F4247" t="str">
        <f>VLOOKUP(B4247,Tabela_Auxiliar[],3,0)</f>
        <v>Saída</v>
      </c>
      <c r="G4247" t="str">
        <f>UPPER(TEXT(Tabela_DB[[#This Row],[DATA]],"mmm"))</f>
        <v>SET</v>
      </c>
      <c r="H4247" t="str">
        <f>UPPER(TEXT(Tabela_DB[[#This Row],[DATA]],"aaaa"))</f>
        <v>2021</v>
      </c>
    </row>
    <row r="4248" spans="1:8" x14ac:dyDescent="0.25">
      <c r="A4248" s="2">
        <v>44460</v>
      </c>
      <c r="B4248" t="s">
        <v>35</v>
      </c>
      <c r="C4248">
        <v>-2207</v>
      </c>
      <c r="D4248" t="str">
        <f>VLOOKUP(B4248,Tabela_Auxiliar[],2,0)</f>
        <v>2. Deduções da Receita</v>
      </c>
      <c r="E4248" t="str">
        <f>VLOOKUP(B4248,Tabela_Auxiliar[],4,0)</f>
        <v>Imposto</v>
      </c>
      <c r="F4248" t="str">
        <f>VLOOKUP(B4248,Tabela_Auxiliar[],3,0)</f>
        <v>Saída</v>
      </c>
      <c r="G4248" t="str">
        <f>UPPER(TEXT(Tabela_DB[[#This Row],[DATA]],"mmm"))</f>
        <v>SET</v>
      </c>
      <c r="H4248" t="str">
        <f>UPPER(TEXT(Tabela_DB[[#This Row],[DATA]],"aaaa"))</f>
        <v>2021</v>
      </c>
    </row>
    <row r="4249" spans="1:8" x14ac:dyDescent="0.25">
      <c r="A4249" s="2">
        <v>44460</v>
      </c>
      <c r="B4249" t="s">
        <v>35</v>
      </c>
      <c r="C4249">
        <v>-1348</v>
      </c>
      <c r="D4249" t="str">
        <f>VLOOKUP(B4249,Tabela_Auxiliar[],2,0)</f>
        <v>2. Deduções da Receita</v>
      </c>
      <c r="E4249" t="str">
        <f>VLOOKUP(B4249,Tabela_Auxiliar[],4,0)</f>
        <v>Imposto</v>
      </c>
      <c r="F4249" t="str">
        <f>VLOOKUP(B4249,Tabela_Auxiliar[],3,0)</f>
        <v>Saída</v>
      </c>
      <c r="G4249" t="str">
        <f>UPPER(TEXT(Tabela_DB[[#This Row],[DATA]],"mmm"))</f>
        <v>SET</v>
      </c>
      <c r="H4249" t="str">
        <f>UPPER(TEXT(Tabela_DB[[#This Row],[DATA]],"aaaa"))</f>
        <v>2021</v>
      </c>
    </row>
    <row r="4250" spans="1:8" x14ac:dyDescent="0.25">
      <c r="A4250" s="2">
        <v>44460</v>
      </c>
      <c r="B4250" t="s">
        <v>73</v>
      </c>
      <c r="C4250">
        <v>-1340</v>
      </c>
      <c r="D4250" t="str">
        <f>VLOOKUP(B4250,Tabela_Auxiliar[],2,0)</f>
        <v>4. Despesas Operacionais</v>
      </c>
      <c r="E4250" t="str">
        <f>VLOOKUP(B4250,Tabela_Auxiliar[],4,0)</f>
        <v>Despesa com Ocupação</v>
      </c>
      <c r="F4250" t="str">
        <f>VLOOKUP(B4250,Tabela_Auxiliar[],3,0)</f>
        <v>Saída</v>
      </c>
      <c r="G4250" t="str">
        <f>UPPER(TEXT(Tabela_DB[[#This Row],[DATA]],"mmm"))</f>
        <v>SET</v>
      </c>
      <c r="H4250" t="str">
        <f>UPPER(TEXT(Tabela_DB[[#This Row],[DATA]],"aaaa"))</f>
        <v>2021</v>
      </c>
    </row>
    <row r="4251" spans="1:8" x14ac:dyDescent="0.25">
      <c r="A4251" s="2">
        <v>44460</v>
      </c>
      <c r="B4251" t="s">
        <v>111</v>
      </c>
      <c r="C4251">
        <v>-1280</v>
      </c>
      <c r="D4251" t="str">
        <f>VLOOKUP(B4251,Tabela_Auxiliar[],2,0)</f>
        <v>2. Deduções da Receita</v>
      </c>
      <c r="E4251" t="str">
        <f>VLOOKUP(B4251,Tabela_Auxiliar[],4,0)</f>
        <v>Imposto</v>
      </c>
      <c r="F4251" t="str">
        <f>VLOOKUP(B4251,Tabela_Auxiliar[],3,0)</f>
        <v>Saída</v>
      </c>
      <c r="G4251" t="str">
        <f>UPPER(TEXT(Tabela_DB[[#This Row],[DATA]],"mmm"))</f>
        <v>SET</v>
      </c>
      <c r="H4251" t="str">
        <f>UPPER(TEXT(Tabela_DB[[#This Row],[DATA]],"aaaa"))</f>
        <v>2021</v>
      </c>
    </row>
    <row r="4252" spans="1:8" x14ac:dyDescent="0.25">
      <c r="A4252" s="2">
        <v>44460</v>
      </c>
      <c r="B4252" t="s">
        <v>35</v>
      </c>
      <c r="C4252">
        <v>-1644</v>
      </c>
      <c r="D4252" t="str">
        <f>VLOOKUP(B4252,Tabela_Auxiliar[],2,0)</f>
        <v>2. Deduções da Receita</v>
      </c>
      <c r="E4252" t="str">
        <f>VLOOKUP(B4252,Tabela_Auxiliar[],4,0)</f>
        <v>Imposto</v>
      </c>
      <c r="F4252" t="str">
        <f>VLOOKUP(B4252,Tabela_Auxiliar[],3,0)</f>
        <v>Saída</v>
      </c>
      <c r="G4252" t="str">
        <f>UPPER(TEXT(Tabela_DB[[#This Row],[DATA]],"mmm"))</f>
        <v>SET</v>
      </c>
      <c r="H4252" t="str">
        <f>UPPER(TEXT(Tabela_DB[[#This Row],[DATA]],"aaaa"))</f>
        <v>2021</v>
      </c>
    </row>
    <row r="4253" spans="1:8" x14ac:dyDescent="0.25">
      <c r="A4253" s="2">
        <v>44460</v>
      </c>
      <c r="B4253" t="s">
        <v>38</v>
      </c>
      <c r="C4253">
        <v>-1303</v>
      </c>
      <c r="D4253" t="str">
        <f>VLOOKUP(B4253,Tabela_Auxiliar[],2,0)</f>
        <v>2. Deduções da Receita</v>
      </c>
      <c r="E4253" t="str">
        <f>VLOOKUP(B4253,Tabela_Auxiliar[],4,0)</f>
        <v>Deduções</v>
      </c>
      <c r="F4253" t="str">
        <f>VLOOKUP(B4253,Tabela_Auxiliar[],3,0)</f>
        <v>Saída</v>
      </c>
      <c r="G4253" t="str">
        <f>UPPER(TEXT(Tabela_DB[[#This Row],[DATA]],"mmm"))</f>
        <v>SET</v>
      </c>
      <c r="H4253" t="str">
        <f>UPPER(TEXT(Tabela_DB[[#This Row],[DATA]],"aaaa"))</f>
        <v>2021</v>
      </c>
    </row>
    <row r="4254" spans="1:8" x14ac:dyDescent="0.25">
      <c r="A4254" s="2">
        <v>44460</v>
      </c>
      <c r="B4254" t="s">
        <v>37</v>
      </c>
      <c r="C4254">
        <v>-4075</v>
      </c>
      <c r="D4254" t="str">
        <f>VLOOKUP(B4254,Tabela_Auxiliar[],2,0)</f>
        <v>3. Custos do Produto/Mercadoria/Serviço</v>
      </c>
      <c r="E4254" t="str">
        <f>VLOOKUP(B4254,Tabela_Auxiliar[],4,0)</f>
        <v>Despesas c/ Produto</v>
      </c>
      <c r="F4254" t="str">
        <f>VLOOKUP(B4254,Tabela_Auxiliar[],3,0)</f>
        <v>Saída</v>
      </c>
      <c r="G4254" t="str">
        <f>UPPER(TEXT(Tabela_DB[[#This Row],[DATA]],"mmm"))</f>
        <v>SET</v>
      </c>
      <c r="H4254" t="str">
        <f>UPPER(TEXT(Tabela_DB[[#This Row],[DATA]],"aaaa"))</f>
        <v>2021</v>
      </c>
    </row>
    <row r="4255" spans="1:8" x14ac:dyDescent="0.25">
      <c r="A4255" s="2">
        <v>44460</v>
      </c>
      <c r="B4255" t="s">
        <v>111</v>
      </c>
      <c r="C4255">
        <v>-1144</v>
      </c>
      <c r="D4255" t="str">
        <f>VLOOKUP(B4255,Tabela_Auxiliar[],2,0)</f>
        <v>2. Deduções da Receita</v>
      </c>
      <c r="E4255" t="str">
        <f>VLOOKUP(B4255,Tabela_Auxiliar[],4,0)</f>
        <v>Imposto</v>
      </c>
      <c r="F4255" t="str">
        <f>VLOOKUP(B4255,Tabela_Auxiliar[],3,0)</f>
        <v>Saída</v>
      </c>
      <c r="G4255" t="str">
        <f>UPPER(TEXT(Tabela_DB[[#This Row],[DATA]],"mmm"))</f>
        <v>SET</v>
      </c>
      <c r="H4255" t="str">
        <f>UPPER(TEXT(Tabela_DB[[#This Row],[DATA]],"aaaa"))</f>
        <v>2021</v>
      </c>
    </row>
    <row r="4256" spans="1:8" x14ac:dyDescent="0.25">
      <c r="A4256" s="2">
        <v>44460</v>
      </c>
      <c r="B4256" t="s">
        <v>37</v>
      </c>
      <c r="C4256">
        <v>-4835</v>
      </c>
      <c r="D4256" t="str">
        <f>VLOOKUP(B4256,Tabela_Auxiliar[],2,0)</f>
        <v>3. Custos do Produto/Mercadoria/Serviço</v>
      </c>
      <c r="E4256" t="str">
        <f>VLOOKUP(B4256,Tabela_Auxiliar[],4,0)</f>
        <v>Despesas c/ Produto</v>
      </c>
      <c r="F4256" t="str">
        <f>VLOOKUP(B4256,Tabela_Auxiliar[],3,0)</f>
        <v>Saída</v>
      </c>
      <c r="G4256" t="str">
        <f>UPPER(TEXT(Tabela_DB[[#This Row],[DATA]],"mmm"))</f>
        <v>SET</v>
      </c>
      <c r="H4256" t="str">
        <f>UPPER(TEXT(Tabela_DB[[#This Row],[DATA]],"aaaa"))</f>
        <v>2021</v>
      </c>
    </row>
    <row r="4257" spans="1:8" x14ac:dyDescent="0.25">
      <c r="A4257" s="2">
        <v>44460</v>
      </c>
      <c r="B4257" t="s">
        <v>70</v>
      </c>
      <c r="C4257">
        <v>-2250</v>
      </c>
      <c r="D4257" t="str">
        <f>VLOOKUP(B4257,Tabela_Auxiliar[],2,0)</f>
        <v>4. Despesas Operacionais</v>
      </c>
      <c r="E4257" t="str">
        <f>VLOOKUP(B4257,Tabela_Auxiliar[],4,0)</f>
        <v>Despesa com Ocupação</v>
      </c>
      <c r="F4257" t="str">
        <f>VLOOKUP(B4257,Tabela_Auxiliar[],3,0)</f>
        <v>Saída</v>
      </c>
      <c r="G4257" t="str">
        <f>UPPER(TEXT(Tabela_DB[[#This Row],[DATA]],"mmm"))</f>
        <v>SET</v>
      </c>
      <c r="H4257" t="str">
        <f>UPPER(TEXT(Tabela_DB[[#This Row],[DATA]],"aaaa"))</f>
        <v>2021</v>
      </c>
    </row>
    <row r="4258" spans="1:8" x14ac:dyDescent="0.25">
      <c r="A4258" s="2">
        <v>44461</v>
      </c>
      <c r="B4258" t="s">
        <v>37</v>
      </c>
      <c r="C4258">
        <v>-4944</v>
      </c>
      <c r="D4258" t="str">
        <f>VLOOKUP(B4258,Tabela_Auxiliar[],2,0)</f>
        <v>3. Custos do Produto/Mercadoria/Serviço</v>
      </c>
      <c r="E4258" t="str">
        <f>VLOOKUP(B4258,Tabela_Auxiliar[],4,0)</f>
        <v>Despesas c/ Produto</v>
      </c>
      <c r="F4258" t="str">
        <f>VLOOKUP(B4258,Tabela_Auxiliar[],3,0)</f>
        <v>Saída</v>
      </c>
      <c r="G4258" t="str">
        <f>UPPER(TEXT(Tabela_DB[[#This Row],[DATA]],"mmm"))</f>
        <v>SET</v>
      </c>
      <c r="H4258" t="str">
        <f>UPPER(TEXT(Tabela_DB[[#This Row],[DATA]],"aaaa"))</f>
        <v>2021</v>
      </c>
    </row>
    <row r="4259" spans="1:8" x14ac:dyDescent="0.25">
      <c r="A4259" s="2">
        <v>44461</v>
      </c>
      <c r="B4259" t="s">
        <v>38</v>
      </c>
      <c r="C4259">
        <v>-1030</v>
      </c>
      <c r="D4259" t="str">
        <f>VLOOKUP(B4259,Tabela_Auxiliar[],2,0)</f>
        <v>2. Deduções da Receita</v>
      </c>
      <c r="E4259" t="str">
        <f>VLOOKUP(B4259,Tabela_Auxiliar[],4,0)</f>
        <v>Deduções</v>
      </c>
      <c r="F4259" t="str">
        <f>VLOOKUP(B4259,Tabela_Auxiliar[],3,0)</f>
        <v>Saída</v>
      </c>
      <c r="G4259" t="str">
        <f>UPPER(TEXT(Tabela_DB[[#This Row],[DATA]],"mmm"))</f>
        <v>SET</v>
      </c>
      <c r="H4259" t="str">
        <f>UPPER(TEXT(Tabela_DB[[#This Row],[DATA]],"aaaa"))</f>
        <v>2021</v>
      </c>
    </row>
    <row r="4260" spans="1:8" x14ac:dyDescent="0.25">
      <c r="A4260" s="2">
        <v>44461</v>
      </c>
      <c r="B4260" t="s">
        <v>4</v>
      </c>
      <c r="C4260">
        <v>13099</v>
      </c>
      <c r="D4260" t="str">
        <f>VLOOKUP(B4260,Tabela_Auxiliar[],2,0)</f>
        <v>1. Receita Operacional Bruta</v>
      </c>
      <c r="E4260" t="str">
        <f>VLOOKUP(B4260,Tabela_Auxiliar[],4,0)</f>
        <v>Receita Bruta</v>
      </c>
      <c r="F4260" t="str">
        <f>VLOOKUP(B4260,Tabela_Auxiliar[],3,0)</f>
        <v>Entrada</v>
      </c>
      <c r="G4260" t="str">
        <f>UPPER(TEXT(Tabela_DB[[#This Row],[DATA]],"mmm"))</f>
        <v>SET</v>
      </c>
      <c r="H4260" t="str">
        <f>UPPER(TEXT(Tabela_DB[[#This Row],[DATA]],"aaaa"))</f>
        <v>2021</v>
      </c>
    </row>
    <row r="4261" spans="1:8" x14ac:dyDescent="0.25">
      <c r="A4261" s="2">
        <v>44461</v>
      </c>
      <c r="B4261" t="s">
        <v>4</v>
      </c>
      <c r="C4261">
        <v>11852</v>
      </c>
      <c r="D4261" t="str">
        <f>VLOOKUP(B4261,Tabela_Auxiliar[],2,0)</f>
        <v>1. Receita Operacional Bruta</v>
      </c>
      <c r="E4261" t="str">
        <f>VLOOKUP(B4261,Tabela_Auxiliar[],4,0)</f>
        <v>Receita Bruta</v>
      </c>
      <c r="F4261" t="str">
        <f>VLOOKUP(B4261,Tabela_Auxiliar[],3,0)</f>
        <v>Entrada</v>
      </c>
      <c r="G4261" t="str">
        <f>UPPER(TEXT(Tabela_DB[[#This Row],[DATA]],"mmm"))</f>
        <v>SET</v>
      </c>
      <c r="H4261" t="str">
        <f>UPPER(TEXT(Tabela_DB[[#This Row],[DATA]],"aaaa"))</f>
        <v>2021</v>
      </c>
    </row>
    <row r="4262" spans="1:8" x14ac:dyDescent="0.25">
      <c r="A4262" s="2">
        <v>44461</v>
      </c>
      <c r="B4262" t="s">
        <v>38</v>
      </c>
      <c r="C4262">
        <v>-1134</v>
      </c>
      <c r="D4262" t="str">
        <f>VLOOKUP(B4262,Tabela_Auxiliar[],2,0)</f>
        <v>2. Deduções da Receita</v>
      </c>
      <c r="E4262" t="str">
        <f>VLOOKUP(B4262,Tabela_Auxiliar[],4,0)</f>
        <v>Deduções</v>
      </c>
      <c r="F4262" t="str">
        <f>VLOOKUP(B4262,Tabela_Auxiliar[],3,0)</f>
        <v>Saída</v>
      </c>
      <c r="G4262" t="str">
        <f>UPPER(TEXT(Tabela_DB[[#This Row],[DATA]],"mmm"))</f>
        <v>SET</v>
      </c>
      <c r="H4262" t="str">
        <f>UPPER(TEXT(Tabela_DB[[#This Row],[DATA]],"aaaa"))</f>
        <v>2021</v>
      </c>
    </row>
    <row r="4263" spans="1:8" x14ac:dyDescent="0.25">
      <c r="A4263" s="2">
        <v>44461</v>
      </c>
      <c r="B4263" t="s">
        <v>3</v>
      </c>
      <c r="C4263">
        <v>10583</v>
      </c>
      <c r="D4263" t="str">
        <f>VLOOKUP(B4263,Tabela_Auxiliar[],2,0)</f>
        <v>1. Receita Operacional Bruta</v>
      </c>
      <c r="E4263" t="str">
        <f>VLOOKUP(B4263,Tabela_Auxiliar[],4,0)</f>
        <v>Receita Bruta</v>
      </c>
      <c r="F4263" t="str">
        <f>VLOOKUP(B4263,Tabela_Auxiliar[],3,0)</f>
        <v>Entrada</v>
      </c>
      <c r="G4263" t="str">
        <f>UPPER(TEXT(Tabela_DB[[#This Row],[DATA]],"mmm"))</f>
        <v>SET</v>
      </c>
      <c r="H4263" t="str">
        <f>UPPER(TEXT(Tabela_DB[[#This Row],[DATA]],"aaaa"))</f>
        <v>2021</v>
      </c>
    </row>
    <row r="4264" spans="1:8" x14ac:dyDescent="0.25">
      <c r="A4264" s="2">
        <v>44461</v>
      </c>
      <c r="B4264" t="s">
        <v>40</v>
      </c>
      <c r="C4264">
        <v>-1312</v>
      </c>
      <c r="D4264" t="str">
        <f>VLOOKUP(B4264,Tabela_Auxiliar[],2,0)</f>
        <v>4. Despesas Operacionais</v>
      </c>
      <c r="E4264" t="str">
        <f>VLOOKUP(B4264,Tabela_Auxiliar[],4,0)</f>
        <v>Despesa com Pessoal</v>
      </c>
      <c r="F4264" t="str">
        <f>VLOOKUP(B4264,Tabela_Auxiliar[],3,0)</f>
        <v>Saída</v>
      </c>
      <c r="G4264" t="str">
        <f>UPPER(TEXT(Tabela_DB[[#This Row],[DATA]],"mmm"))</f>
        <v>SET</v>
      </c>
      <c r="H4264" t="str">
        <f>UPPER(TEXT(Tabela_DB[[#This Row],[DATA]],"aaaa"))</f>
        <v>2021</v>
      </c>
    </row>
    <row r="4265" spans="1:8" x14ac:dyDescent="0.25">
      <c r="A4265" s="2">
        <v>44461</v>
      </c>
      <c r="B4265" t="s">
        <v>45</v>
      </c>
      <c r="C4265">
        <v>-2158</v>
      </c>
      <c r="D4265" t="str">
        <f>VLOOKUP(B4265,Tabela_Auxiliar[],2,0)</f>
        <v>4. Despesas Operacionais</v>
      </c>
      <c r="E4265" t="str">
        <f>VLOOKUP(B4265,Tabela_Auxiliar[],4,0)</f>
        <v>Despesa com Pessoal</v>
      </c>
      <c r="F4265" t="str">
        <f>VLOOKUP(B4265,Tabela_Auxiliar[],3,0)</f>
        <v>Saída</v>
      </c>
      <c r="G4265" t="str">
        <f>UPPER(TEXT(Tabela_DB[[#This Row],[DATA]],"mmm"))</f>
        <v>SET</v>
      </c>
      <c r="H4265" t="str">
        <f>UPPER(TEXT(Tabela_DB[[#This Row],[DATA]],"aaaa"))</f>
        <v>2021</v>
      </c>
    </row>
    <row r="4266" spans="1:8" x14ac:dyDescent="0.25">
      <c r="A4266" s="2">
        <v>44461</v>
      </c>
      <c r="B4266" t="s">
        <v>3</v>
      </c>
      <c r="C4266">
        <v>12162</v>
      </c>
      <c r="D4266" t="str">
        <f>VLOOKUP(B4266,Tabela_Auxiliar[],2,0)</f>
        <v>1. Receita Operacional Bruta</v>
      </c>
      <c r="E4266" t="str">
        <f>VLOOKUP(B4266,Tabela_Auxiliar[],4,0)</f>
        <v>Receita Bruta</v>
      </c>
      <c r="F4266" t="str">
        <f>VLOOKUP(B4266,Tabela_Auxiliar[],3,0)</f>
        <v>Entrada</v>
      </c>
      <c r="G4266" t="str">
        <f>UPPER(TEXT(Tabela_DB[[#This Row],[DATA]],"mmm"))</f>
        <v>SET</v>
      </c>
      <c r="H4266" t="str">
        <f>UPPER(TEXT(Tabela_DB[[#This Row],[DATA]],"aaaa"))</f>
        <v>2021</v>
      </c>
    </row>
    <row r="4267" spans="1:8" x14ac:dyDescent="0.25">
      <c r="A4267" s="2">
        <v>44461</v>
      </c>
      <c r="B4267" t="s">
        <v>38</v>
      </c>
      <c r="C4267">
        <v>-1287</v>
      </c>
      <c r="D4267" t="str">
        <f>VLOOKUP(B4267,Tabela_Auxiliar[],2,0)</f>
        <v>2. Deduções da Receita</v>
      </c>
      <c r="E4267" t="str">
        <f>VLOOKUP(B4267,Tabela_Auxiliar[],4,0)</f>
        <v>Deduções</v>
      </c>
      <c r="F4267" t="str">
        <f>VLOOKUP(B4267,Tabela_Auxiliar[],3,0)</f>
        <v>Saída</v>
      </c>
      <c r="G4267" t="str">
        <f>UPPER(TEXT(Tabela_DB[[#This Row],[DATA]],"mmm"))</f>
        <v>SET</v>
      </c>
      <c r="H4267" t="str">
        <f>UPPER(TEXT(Tabela_DB[[#This Row],[DATA]],"aaaa"))</f>
        <v>2021</v>
      </c>
    </row>
    <row r="4268" spans="1:8" x14ac:dyDescent="0.25">
      <c r="A4268" s="2">
        <v>44461</v>
      </c>
      <c r="B4268" t="s">
        <v>3</v>
      </c>
      <c r="C4268">
        <v>13669</v>
      </c>
      <c r="D4268" t="str">
        <f>VLOOKUP(B4268,Tabela_Auxiliar[],2,0)</f>
        <v>1. Receita Operacional Bruta</v>
      </c>
      <c r="E4268" t="str">
        <f>VLOOKUP(B4268,Tabela_Auxiliar[],4,0)</f>
        <v>Receita Bruta</v>
      </c>
      <c r="F4268" t="str">
        <f>VLOOKUP(B4268,Tabela_Auxiliar[],3,0)</f>
        <v>Entrada</v>
      </c>
      <c r="G4268" t="str">
        <f>UPPER(TEXT(Tabela_DB[[#This Row],[DATA]],"mmm"))</f>
        <v>SET</v>
      </c>
      <c r="H4268" t="str">
        <f>UPPER(TEXT(Tabela_DB[[#This Row],[DATA]],"aaaa"))</f>
        <v>2021</v>
      </c>
    </row>
    <row r="4269" spans="1:8" x14ac:dyDescent="0.25">
      <c r="A4269" s="2">
        <v>44462</v>
      </c>
      <c r="B4269" t="s">
        <v>37</v>
      </c>
      <c r="C4269">
        <v>-3100</v>
      </c>
      <c r="D4269" t="str">
        <f>VLOOKUP(B4269,Tabela_Auxiliar[],2,0)</f>
        <v>3. Custos do Produto/Mercadoria/Serviço</v>
      </c>
      <c r="E4269" t="str">
        <f>VLOOKUP(B4269,Tabela_Auxiliar[],4,0)</f>
        <v>Despesas c/ Produto</v>
      </c>
      <c r="F4269" t="str">
        <f>VLOOKUP(B4269,Tabela_Auxiliar[],3,0)</f>
        <v>Saída</v>
      </c>
      <c r="G4269" t="str">
        <f>UPPER(TEXT(Tabela_DB[[#This Row],[DATA]],"mmm"))</f>
        <v>SET</v>
      </c>
      <c r="H4269" t="str">
        <f>UPPER(TEXT(Tabela_DB[[#This Row],[DATA]],"aaaa"))</f>
        <v>2021</v>
      </c>
    </row>
    <row r="4270" spans="1:8" x14ac:dyDescent="0.25">
      <c r="A4270" s="2">
        <v>44462</v>
      </c>
      <c r="B4270" t="s">
        <v>3</v>
      </c>
      <c r="C4270">
        <v>10911</v>
      </c>
      <c r="D4270" t="str">
        <f>VLOOKUP(B4270,Tabela_Auxiliar[],2,0)</f>
        <v>1. Receita Operacional Bruta</v>
      </c>
      <c r="E4270" t="str">
        <f>VLOOKUP(B4270,Tabela_Auxiliar[],4,0)</f>
        <v>Receita Bruta</v>
      </c>
      <c r="F4270" t="str">
        <f>VLOOKUP(B4270,Tabela_Auxiliar[],3,0)</f>
        <v>Entrada</v>
      </c>
      <c r="G4270" t="str">
        <f>UPPER(TEXT(Tabela_DB[[#This Row],[DATA]],"mmm"))</f>
        <v>SET</v>
      </c>
      <c r="H4270" t="str">
        <f>UPPER(TEXT(Tabela_DB[[#This Row],[DATA]],"aaaa"))</f>
        <v>2021</v>
      </c>
    </row>
    <row r="4271" spans="1:8" x14ac:dyDescent="0.25">
      <c r="A4271" s="2">
        <v>44462</v>
      </c>
      <c r="B4271" t="s">
        <v>3</v>
      </c>
      <c r="C4271">
        <v>10385</v>
      </c>
      <c r="D4271" t="str">
        <f>VLOOKUP(B4271,Tabela_Auxiliar[],2,0)</f>
        <v>1. Receita Operacional Bruta</v>
      </c>
      <c r="E4271" t="str">
        <f>VLOOKUP(B4271,Tabela_Auxiliar[],4,0)</f>
        <v>Receita Bruta</v>
      </c>
      <c r="F4271" t="str">
        <f>VLOOKUP(B4271,Tabela_Auxiliar[],3,0)</f>
        <v>Entrada</v>
      </c>
      <c r="G4271" t="str">
        <f>UPPER(TEXT(Tabela_DB[[#This Row],[DATA]],"mmm"))</f>
        <v>SET</v>
      </c>
      <c r="H4271" t="str">
        <f>UPPER(TEXT(Tabela_DB[[#This Row],[DATA]],"aaaa"))</f>
        <v>2021</v>
      </c>
    </row>
    <row r="4272" spans="1:8" x14ac:dyDescent="0.25">
      <c r="A4272" s="2">
        <v>44462</v>
      </c>
      <c r="B4272" t="s">
        <v>71</v>
      </c>
      <c r="C4272">
        <v>-2251</v>
      </c>
      <c r="D4272" t="str">
        <f>VLOOKUP(B4272,Tabela_Auxiliar[],2,0)</f>
        <v>4. Despesas Operacionais</v>
      </c>
      <c r="E4272" t="str">
        <f>VLOOKUP(B4272,Tabela_Auxiliar[],4,0)</f>
        <v>Despesa com Ocupação</v>
      </c>
      <c r="F4272" t="str">
        <f>VLOOKUP(B4272,Tabela_Auxiliar[],3,0)</f>
        <v>Saída</v>
      </c>
      <c r="G4272" t="str">
        <f>UPPER(TEXT(Tabela_DB[[#This Row],[DATA]],"mmm"))</f>
        <v>SET</v>
      </c>
      <c r="H4272" t="str">
        <f>UPPER(TEXT(Tabela_DB[[#This Row],[DATA]],"aaaa"))</f>
        <v>2021</v>
      </c>
    </row>
    <row r="4273" spans="1:8" x14ac:dyDescent="0.25">
      <c r="A4273" s="2">
        <v>44462</v>
      </c>
      <c r="B4273" t="s">
        <v>4</v>
      </c>
      <c r="C4273">
        <v>13992</v>
      </c>
      <c r="D4273" t="str">
        <f>VLOOKUP(B4273,Tabela_Auxiliar[],2,0)</f>
        <v>1. Receita Operacional Bruta</v>
      </c>
      <c r="E4273" t="str">
        <f>VLOOKUP(B4273,Tabela_Auxiliar[],4,0)</f>
        <v>Receita Bruta</v>
      </c>
      <c r="F4273" t="str">
        <f>VLOOKUP(B4273,Tabela_Auxiliar[],3,0)</f>
        <v>Entrada</v>
      </c>
      <c r="G4273" t="str">
        <f>UPPER(TEXT(Tabela_DB[[#This Row],[DATA]],"mmm"))</f>
        <v>SET</v>
      </c>
      <c r="H4273" t="str">
        <f>UPPER(TEXT(Tabela_DB[[#This Row],[DATA]],"aaaa"))</f>
        <v>2021</v>
      </c>
    </row>
    <row r="4274" spans="1:8" x14ac:dyDescent="0.25">
      <c r="A4274" s="2">
        <v>44462</v>
      </c>
      <c r="B4274" t="s">
        <v>102</v>
      </c>
      <c r="C4274">
        <v>-1471</v>
      </c>
      <c r="D4274" t="str">
        <f>VLOOKUP(B4274,Tabela_Auxiliar[],2,0)</f>
        <v>6. Resultado após o Resultado Financeiro</v>
      </c>
      <c r="E4274" t="str">
        <f>VLOOKUP(B4274,Tabela_Auxiliar[],4,0)</f>
        <v>EBTIDA</v>
      </c>
      <c r="F4274" t="str">
        <f>VLOOKUP(B4274,Tabela_Auxiliar[],3,0)</f>
        <v>Saída</v>
      </c>
      <c r="G4274" t="str">
        <f>UPPER(TEXT(Tabela_DB[[#This Row],[DATA]],"mmm"))</f>
        <v>SET</v>
      </c>
      <c r="H4274" t="str">
        <f>UPPER(TEXT(Tabela_DB[[#This Row],[DATA]],"aaaa"))</f>
        <v>2021</v>
      </c>
    </row>
    <row r="4275" spans="1:8" x14ac:dyDescent="0.25">
      <c r="A4275" s="2">
        <v>44462</v>
      </c>
      <c r="B4275" t="s">
        <v>61</v>
      </c>
      <c r="C4275">
        <v>-1873</v>
      </c>
      <c r="D4275" t="str">
        <f>VLOOKUP(B4275,Tabela_Auxiliar[],2,0)</f>
        <v>4. Despesas Operacionais</v>
      </c>
      <c r="E4275" t="str">
        <f>VLOOKUP(B4275,Tabela_Auxiliar[],4,0)</f>
        <v>Despesa de Depreciação</v>
      </c>
      <c r="F4275" t="str">
        <f>VLOOKUP(B4275,Tabela_Auxiliar[],3,0)</f>
        <v>Saída</v>
      </c>
      <c r="G4275" t="str">
        <f>UPPER(TEXT(Tabela_DB[[#This Row],[DATA]],"mmm"))</f>
        <v>SET</v>
      </c>
      <c r="H4275" t="str">
        <f>UPPER(TEXT(Tabela_DB[[#This Row],[DATA]],"aaaa"))</f>
        <v>2021</v>
      </c>
    </row>
    <row r="4276" spans="1:8" x14ac:dyDescent="0.25">
      <c r="A4276" s="2">
        <v>44462</v>
      </c>
      <c r="B4276" t="s">
        <v>35</v>
      </c>
      <c r="C4276">
        <v>-1474</v>
      </c>
      <c r="D4276" t="str">
        <f>VLOOKUP(B4276,Tabela_Auxiliar[],2,0)</f>
        <v>2. Deduções da Receita</v>
      </c>
      <c r="E4276" t="str">
        <f>VLOOKUP(B4276,Tabela_Auxiliar[],4,0)</f>
        <v>Imposto</v>
      </c>
      <c r="F4276" t="str">
        <f>VLOOKUP(B4276,Tabela_Auxiliar[],3,0)</f>
        <v>Saída</v>
      </c>
      <c r="G4276" t="str">
        <f>UPPER(TEXT(Tabela_DB[[#This Row],[DATA]],"mmm"))</f>
        <v>SET</v>
      </c>
      <c r="H4276" t="str">
        <f>UPPER(TEXT(Tabela_DB[[#This Row],[DATA]],"aaaa"))</f>
        <v>2021</v>
      </c>
    </row>
    <row r="4277" spans="1:8" x14ac:dyDescent="0.25">
      <c r="A4277" s="2">
        <v>44462</v>
      </c>
      <c r="B4277" t="s">
        <v>38</v>
      </c>
      <c r="C4277">
        <v>-1612</v>
      </c>
      <c r="D4277" t="str">
        <f>VLOOKUP(B4277,Tabela_Auxiliar[],2,0)</f>
        <v>2. Deduções da Receita</v>
      </c>
      <c r="E4277" t="str">
        <f>VLOOKUP(B4277,Tabela_Auxiliar[],4,0)</f>
        <v>Deduções</v>
      </c>
      <c r="F4277" t="str">
        <f>VLOOKUP(B4277,Tabela_Auxiliar[],3,0)</f>
        <v>Saída</v>
      </c>
      <c r="G4277" t="str">
        <f>UPPER(TEXT(Tabela_DB[[#This Row],[DATA]],"mmm"))</f>
        <v>SET</v>
      </c>
      <c r="H4277" t="str">
        <f>UPPER(TEXT(Tabela_DB[[#This Row],[DATA]],"aaaa"))</f>
        <v>2021</v>
      </c>
    </row>
    <row r="4278" spans="1:8" x14ac:dyDescent="0.25">
      <c r="A4278" s="2">
        <v>44462</v>
      </c>
      <c r="B4278" t="s">
        <v>49</v>
      </c>
      <c r="C4278">
        <v>-2347</v>
      </c>
      <c r="D4278" t="str">
        <f>VLOOKUP(B4278,Tabela_Auxiliar[],2,0)</f>
        <v>4. Despesas Operacionais</v>
      </c>
      <c r="E4278" t="str">
        <f>VLOOKUP(B4278,Tabela_Auxiliar[],4,0)</f>
        <v>Despesa com Pessoal</v>
      </c>
      <c r="F4278" t="str">
        <f>VLOOKUP(B4278,Tabela_Auxiliar[],3,0)</f>
        <v>Saída</v>
      </c>
      <c r="G4278" t="str">
        <f>UPPER(TEXT(Tabela_DB[[#This Row],[DATA]],"mmm"))</f>
        <v>SET</v>
      </c>
      <c r="H4278" t="str">
        <f>UPPER(TEXT(Tabela_DB[[#This Row],[DATA]],"aaaa"))</f>
        <v>2021</v>
      </c>
    </row>
    <row r="4279" spans="1:8" x14ac:dyDescent="0.25">
      <c r="A4279" s="2">
        <v>44463</v>
      </c>
      <c r="B4279" t="s">
        <v>59</v>
      </c>
      <c r="C4279">
        <v>-1345</v>
      </c>
      <c r="D4279" t="str">
        <f>VLOOKUP(B4279,Tabela_Auxiliar[],2,0)</f>
        <v>4. Despesas Operacionais</v>
      </c>
      <c r="E4279" t="str">
        <f>VLOOKUP(B4279,Tabela_Auxiliar[],4,0)</f>
        <v>Despesa de Depreciação</v>
      </c>
      <c r="F4279" t="str">
        <f>VLOOKUP(B4279,Tabela_Auxiliar[],3,0)</f>
        <v>Saída</v>
      </c>
      <c r="G4279" t="str">
        <f>UPPER(TEXT(Tabela_DB[[#This Row],[DATA]],"mmm"))</f>
        <v>SET</v>
      </c>
      <c r="H4279" t="str">
        <f>UPPER(TEXT(Tabela_DB[[#This Row],[DATA]],"aaaa"))</f>
        <v>2021</v>
      </c>
    </row>
    <row r="4280" spans="1:8" x14ac:dyDescent="0.25">
      <c r="A4280" s="2">
        <v>44463</v>
      </c>
      <c r="B4280" t="s">
        <v>38</v>
      </c>
      <c r="C4280">
        <v>-1351</v>
      </c>
      <c r="D4280" t="str">
        <f>VLOOKUP(B4280,Tabela_Auxiliar[],2,0)</f>
        <v>2. Deduções da Receita</v>
      </c>
      <c r="E4280" t="str">
        <f>VLOOKUP(B4280,Tabela_Auxiliar[],4,0)</f>
        <v>Deduções</v>
      </c>
      <c r="F4280" t="str">
        <f>VLOOKUP(B4280,Tabela_Auxiliar[],3,0)</f>
        <v>Saída</v>
      </c>
      <c r="G4280" t="str">
        <f>UPPER(TEXT(Tabela_DB[[#This Row],[DATA]],"mmm"))</f>
        <v>SET</v>
      </c>
      <c r="H4280" t="str">
        <f>UPPER(TEXT(Tabela_DB[[#This Row],[DATA]],"aaaa"))</f>
        <v>2021</v>
      </c>
    </row>
    <row r="4281" spans="1:8" x14ac:dyDescent="0.25">
      <c r="A4281" s="2">
        <v>44463</v>
      </c>
      <c r="B4281" t="s">
        <v>3</v>
      </c>
      <c r="C4281">
        <v>12232</v>
      </c>
      <c r="D4281" t="str">
        <f>VLOOKUP(B4281,Tabela_Auxiliar[],2,0)</f>
        <v>1. Receita Operacional Bruta</v>
      </c>
      <c r="E4281" t="str">
        <f>VLOOKUP(B4281,Tabela_Auxiliar[],4,0)</f>
        <v>Receita Bruta</v>
      </c>
      <c r="F4281" t="str">
        <f>VLOOKUP(B4281,Tabela_Auxiliar[],3,0)</f>
        <v>Entrada</v>
      </c>
      <c r="G4281" t="str">
        <f>UPPER(TEXT(Tabela_DB[[#This Row],[DATA]],"mmm"))</f>
        <v>SET</v>
      </c>
      <c r="H4281" t="str">
        <f>UPPER(TEXT(Tabela_DB[[#This Row],[DATA]],"aaaa"))</f>
        <v>2021</v>
      </c>
    </row>
    <row r="4282" spans="1:8" x14ac:dyDescent="0.25">
      <c r="A4282" s="2">
        <v>44463</v>
      </c>
      <c r="B4282" t="s">
        <v>37</v>
      </c>
      <c r="C4282">
        <v>-2656</v>
      </c>
      <c r="D4282" t="str">
        <f>VLOOKUP(B4282,Tabela_Auxiliar[],2,0)</f>
        <v>3. Custos do Produto/Mercadoria/Serviço</v>
      </c>
      <c r="E4282" t="str">
        <f>VLOOKUP(B4282,Tabela_Auxiliar[],4,0)</f>
        <v>Despesas c/ Produto</v>
      </c>
      <c r="F4282" t="str">
        <f>VLOOKUP(B4282,Tabela_Auxiliar[],3,0)</f>
        <v>Saída</v>
      </c>
      <c r="G4282" t="str">
        <f>UPPER(TEXT(Tabela_DB[[#This Row],[DATA]],"mmm"))</f>
        <v>SET</v>
      </c>
      <c r="H4282" t="str">
        <f>UPPER(TEXT(Tabela_DB[[#This Row],[DATA]],"aaaa"))</f>
        <v>2021</v>
      </c>
    </row>
    <row r="4283" spans="1:8" x14ac:dyDescent="0.25">
      <c r="A4283" s="2">
        <v>44463</v>
      </c>
      <c r="B4283" t="s">
        <v>47</v>
      </c>
      <c r="C4283">
        <v>-2057</v>
      </c>
      <c r="D4283" t="str">
        <f>VLOOKUP(B4283,Tabela_Auxiliar[],2,0)</f>
        <v>4. Despesas Operacionais</v>
      </c>
      <c r="E4283" t="str">
        <f>VLOOKUP(B4283,Tabela_Auxiliar[],4,0)</f>
        <v>Despesa com Pessoal</v>
      </c>
      <c r="F4283" t="str">
        <f>VLOOKUP(B4283,Tabela_Auxiliar[],3,0)</f>
        <v>Saída</v>
      </c>
      <c r="G4283" t="str">
        <f>UPPER(TEXT(Tabela_DB[[#This Row],[DATA]],"mmm"))</f>
        <v>SET</v>
      </c>
      <c r="H4283" t="str">
        <f>UPPER(TEXT(Tabela_DB[[#This Row],[DATA]],"aaaa"))</f>
        <v>2021</v>
      </c>
    </row>
    <row r="4284" spans="1:8" x14ac:dyDescent="0.25">
      <c r="A4284" s="2">
        <v>44464</v>
      </c>
      <c r="B4284" t="s">
        <v>4</v>
      </c>
      <c r="C4284">
        <v>10782</v>
      </c>
      <c r="D4284" t="str">
        <f>VLOOKUP(B4284,Tabela_Auxiliar[],2,0)</f>
        <v>1. Receita Operacional Bruta</v>
      </c>
      <c r="E4284" t="str">
        <f>VLOOKUP(B4284,Tabela_Auxiliar[],4,0)</f>
        <v>Receita Bruta</v>
      </c>
      <c r="F4284" t="str">
        <f>VLOOKUP(B4284,Tabela_Auxiliar[],3,0)</f>
        <v>Entrada</v>
      </c>
      <c r="G4284" t="str">
        <f>UPPER(TEXT(Tabela_DB[[#This Row],[DATA]],"mmm"))</f>
        <v>SET</v>
      </c>
      <c r="H4284" t="str">
        <f>UPPER(TEXT(Tabela_DB[[#This Row],[DATA]],"aaaa"))</f>
        <v>2021</v>
      </c>
    </row>
    <row r="4285" spans="1:8" x14ac:dyDescent="0.25">
      <c r="A4285" s="2">
        <v>44464</v>
      </c>
      <c r="B4285" t="s">
        <v>4</v>
      </c>
      <c r="C4285">
        <v>11004</v>
      </c>
      <c r="D4285" t="str">
        <f>VLOOKUP(B4285,Tabela_Auxiliar[],2,0)</f>
        <v>1. Receita Operacional Bruta</v>
      </c>
      <c r="E4285" t="str">
        <f>VLOOKUP(B4285,Tabela_Auxiliar[],4,0)</f>
        <v>Receita Bruta</v>
      </c>
      <c r="F4285" t="str">
        <f>VLOOKUP(B4285,Tabela_Auxiliar[],3,0)</f>
        <v>Entrada</v>
      </c>
      <c r="G4285" t="str">
        <f>UPPER(TEXT(Tabela_DB[[#This Row],[DATA]],"mmm"))</f>
        <v>SET</v>
      </c>
      <c r="H4285" t="str">
        <f>UPPER(TEXT(Tabela_DB[[#This Row],[DATA]],"aaaa"))</f>
        <v>2021</v>
      </c>
    </row>
    <row r="4286" spans="1:8" x14ac:dyDescent="0.25">
      <c r="A4286" s="2">
        <v>44464</v>
      </c>
      <c r="B4286" t="s">
        <v>60</v>
      </c>
      <c r="C4286">
        <v>-1174</v>
      </c>
      <c r="D4286" t="str">
        <f>VLOOKUP(B4286,Tabela_Auxiliar[],2,0)</f>
        <v>4. Despesas Operacionais</v>
      </c>
      <c r="E4286" t="str">
        <f>VLOOKUP(B4286,Tabela_Auxiliar[],4,0)</f>
        <v>Despesa de Depreciação</v>
      </c>
      <c r="F4286" t="str">
        <f>VLOOKUP(B4286,Tabela_Auxiliar[],3,0)</f>
        <v>Saída</v>
      </c>
      <c r="G4286" t="str">
        <f>UPPER(TEXT(Tabela_DB[[#This Row],[DATA]],"mmm"))</f>
        <v>SET</v>
      </c>
      <c r="H4286" t="str">
        <f>UPPER(TEXT(Tabela_DB[[#This Row],[DATA]],"aaaa"))</f>
        <v>2021</v>
      </c>
    </row>
    <row r="4287" spans="1:8" x14ac:dyDescent="0.25">
      <c r="A4287" s="2">
        <v>44464</v>
      </c>
      <c r="B4287" t="s">
        <v>34</v>
      </c>
      <c r="C4287">
        <v>-1722</v>
      </c>
      <c r="D4287" t="str">
        <f>VLOOKUP(B4287,Tabela_Auxiliar[],2,0)</f>
        <v>2. Deduções da Receita</v>
      </c>
      <c r="E4287" t="str">
        <f>VLOOKUP(B4287,Tabela_Auxiliar[],4,0)</f>
        <v>Imposto</v>
      </c>
      <c r="F4287" t="str">
        <f>VLOOKUP(B4287,Tabela_Auxiliar[],3,0)</f>
        <v>Saída</v>
      </c>
      <c r="G4287" t="str">
        <f>UPPER(TEXT(Tabela_DB[[#This Row],[DATA]],"mmm"))</f>
        <v>SET</v>
      </c>
      <c r="H4287" t="str">
        <f>UPPER(TEXT(Tabela_DB[[#This Row],[DATA]],"aaaa"))</f>
        <v>2021</v>
      </c>
    </row>
    <row r="4288" spans="1:8" x14ac:dyDescent="0.25">
      <c r="A4288" s="2">
        <v>44464</v>
      </c>
      <c r="B4288" t="s">
        <v>74</v>
      </c>
      <c r="C4288">
        <v>-2223</v>
      </c>
      <c r="D4288" t="str">
        <f>VLOOKUP(B4288,Tabela_Auxiliar[],2,0)</f>
        <v>4. Despesas Operacionais</v>
      </c>
      <c r="E4288" t="str">
        <f>VLOOKUP(B4288,Tabela_Auxiliar[],4,0)</f>
        <v>Serviços Contratados</v>
      </c>
      <c r="F4288" t="str">
        <f>VLOOKUP(B4288,Tabela_Auxiliar[],3,0)</f>
        <v>Saída</v>
      </c>
      <c r="G4288" t="str">
        <f>UPPER(TEXT(Tabela_DB[[#This Row],[DATA]],"mmm"))</f>
        <v>SET</v>
      </c>
      <c r="H4288" t="str">
        <f>UPPER(TEXT(Tabela_DB[[#This Row],[DATA]],"aaaa"))</f>
        <v>2021</v>
      </c>
    </row>
    <row r="4289" spans="1:8" x14ac:dyDescent="0.25">
      <c r="A4289" s="2">
        <v>44464</v>
      </c>
      <c r="B4289" t="s">
        <v>85</v>
      </c>
      <c r="C4289">
        <v>-1553</v>
      </c>
      <c r="D4289" t="str">
        <f>VLOOKUP(B4289,Tabela_Auxiliar[],2,0)</f>
        <v>4. Despesas Operacionais</v>
      </c>
      <c r="E4289" t="str">
        <f>VLOOKUP(B4289,Tabela_Auxiliar[],4,0)</f>
        <v>Despesa com Veículos</v>
      </c>
      <c r="F4289" t="str">
        <f>VLOOKUP(B4289,Tabela_Auxiliar[],3,0)</f>
        <v>Saída</v>
      </c>
      <c r="G4289" t="str">
        <f>UPPER(TEXT(Tabela_DB[[#This Row],[DATA]],"mmm"))</f>
        <v>SET</v>
      </c>
      <c r="H4289" t="str">
        <f>UPPER(TEXT(Tabela_DB[[#This Row],[DATA]],"aaaa"))</f>
        <v>2021</v>
      </c>
    </row>
    <row r="4290" spans="1:8" x14ac:dyDescent="0.25">
      <c r="A4290" s="2">
        <v>44464</v>
      </c>
      <c r="B4290" t="s">
        <v>4</v>
      </c>
      <c r="C4290">
        <v>12602</v>
      </c>
      <c r="D4290" t="str">
        <f>VLOOKUP(B4290,Tabela_Auxiliar[],2,0)</f>
        <v>1. Receita Operacional Bruta</v>
      </c>
      <c r="E4290" t="str">
        <f>VLOOKUP(B4290,Tabela_Auxiliar[],4,0)</f>
        <v>Receita Bruta</v>
      </c>
      <c r="F4290" t="str">
        <f>VLOOKUP(B4290,Tabela_Auxiliar[],3,0)</f>
        <v>Entrada</v>
      </c>
      <c r="G4290" t="str">
        <f>UPPER(TEXT(Tabela_DB[[#This Row],[DATA]],"mmm"))</f>
        <v>SET</v>
      </c>
      <c r="H4290" t="str">
        <f>UPPER(TEXT(Tabela_DB[[#This Row],[DATA]],"aaaa"))</f>
        <v>2021</v>
      </c>
    </row>
    <row r="4291" spans="1:8" x14ac:dyDescent="0.25">
      <c r="A4291" s="2">
        <v>44465</v>
      </c>
      <c r="B4291" t="s">
        <v>3</v>
      </c>
      <c r="C4291">
        <v>13190</v>
      </c>
      <c r="D4291" t="str">
        <f>VLOOKUP(B4291,Tabela_Auxiliar[],2,0)</f>
        <v>1. Receita Operacional Bruta</v>
      </c>
      <c r="E4291" t="str">
        <f>VLOOKUP(B4291,Tabela_Auxiliar[],4,0)</f>
        <v>Receita Bruta</v>
      </c>
      <c r="F4291" t="str">
        <f>VLOOKUP(B4291,Tabela_Auxiliar[],3,0)</f>
        <v>Entrada</v>
      </c>
      <c r="G4291" t="str">
        <f>UPPER(TEXT(Tabela_DB[[#This Row],[DATA]],"mmm"))</f>
        <v>SET</v>
      </c>
      <c r="H4291" t="str">
        <f>UPPER(TEXT(Tabela_DB[[#This Row],[DATA]],"aaaa"))</f>
        <v>2021</v>
      </c>
    </row>
    <row r="4292" spans="1:8" x14ac:dyDescent="0.25">
      <c r="A4292" s="2">
        <v>44465</v>
      </c>
      <c r="B4292" t="s">
        <v>34</v>
      </c>
      <c r="C4292">
        <v>-1850</v>
      </c>
      <c r="D4292" t="str">
        <f>VLOOKUP(B4292,Tabela_Auxiliar[],2,0)</f>
        <v>2. Deduções da Receita</v>
      </c>
      <c r="E4292" t="str">
        <f>VLOOKUP(B4292,Tabela_Auxiliar[],4,0)</f>
        <v>Imposto</v>
      </c>
      <c r="F4292" t="str">
        <f>VLOOKUP(B4292,Tabela_Auxiliar[],3,0)</f>
        <v>Saída</v>
      </c>
      <c r="G4292" t="str">
        <f>UPPER(TEXT(Tabela_DB[[#This Row],[DATA]],"mmm"))</f>
        <v>SET</v>
      </c>
      <c r="H4292" t="str">
        <f>UPPER(TEXT(Tabela_DB[[#This Row],[DATA]],"aaaa"))</f>
        <v>2021</v>
      </c>
    </row>
    <row r="4293" spans="1:8" x14ac:dyDescent="0.25">
      <c r="A4293" s="2">
        <v>44465</v>
      </c>
      <c r="B4293" t="s">
        <v>52</v>
      </c>
      <c r="C4293">
        <v>-1190</v>
      </c>
      <c r="D4293" t="str">
        <f>VLOOKUP(B4293,Tabela_Auxiliar[],2,0)</f>
        <v>4. Despesas Operacionais</v>
      </c>
      <c r="E4293" t="str">
        <f>VLOOKUP(B4293,Tabela_Auxiliar[],4,0)</f>
        <v>Despesa com Pessoal</v>
      </c>
      <c r="F4293" t="str">
        <f>VLOOKUP(B4293,Tabela_Auxiliar[],3,0)</f>
        <v>Saída</v>
      </c>
      <c r="G4293" t="str">
        <f>UPPER(TEXT(Tabela_DB[[#This Row],[DATA]],"mmm"))</f>
        <v>SET</v>
      </c>
      <c r="H4293" t="str">
        <f>UPPER(TEXT(Tabela_DB[[#This Row],[DATA]],"aaaa"))</f>
        <v>2021</v>
      </c>
    </row>
    <row r="4294" spans="1:8" x14ac:dyDescent="0.25">
      <c r="A4294" s="2">
        <v>44465</v>
      </c>
      <c r="B4294" t="s">
        <v>111</v>
      </c>
      <c r="C4294">
        <v>-2186</v>
      </c>
      <c r="D4294" t="str">
        <f>VLOOKUP(B4294,Tabela_Auxiliar[],2,0)</f>
        <v>2. Deduções da Receita</v>
      </c>
      <c r="E4294" t="str">
        <f>VLOOKUP(B4294,Tabela_Auxiliar[],4,0)</f>
        <v>Imposto</v>
      </c>
      <c r="F4294" t="str">
        <f>VLOOKUP(B4294,Tabela_Auxiliar[],3,0)</f>
        <v>Saída</v>
      </c>
      <c r="G4294" t="str">
        <f>UPPER(TEXT(Tabela_DB[[#This Row],[DATA]],"mmm"))</f>
        <v>SET</v>
      </c>
      <c r="H4294" t="str">
        <f>UPPER(TEXT(Tabela_DB[[#This Row],[DATA]],"aaaa"))</f>
        <v>2021</v>
      </c>
    </row>
    <row r="4295" spans="1:8" x14ac:dyDescent="0.25">
      <c r="A4295" s="2">
        <v>44465</v>
      </c>
      <c r="B4295" t="s">
        <v>4</v>
      </c>
      <c r="C4295">
        <v>14626</v>
      </c>
      <c r="D4295" t="str">
        <f>VLOOKUP(B4295,Tabela_Auxiliar[],2,0)</f>
        <v>1. Receita Operacional Bruta</v>
      </c>
      <c r="E4295" t="str">
        <f>VLOOKUP(B4295,Tabela_Auxiliar[],4,0)</f>
        <v>Receita Bruta</v>
      </c>
      <c r="F4295" t="str">
        <f>VLOOKUP(B4295,Tabela_Auxiliar[],3,0)</f>
        <v>Entrada</v>
      </c>
      <c r="G4295" t="str">
        <f>UPPER(TEXT(Tabela_DB[[#This Row],[DATA]],"mmm"))</f>
        <v>SET</v>
      </c>
      <c r="H4295" t="str">
        <f>UPPER(TEXT(Tabela_DB[[#This Row],[DATA]],"aaaa"))</f>
        <v>2021</v>
      </c>
    </row>
    <row r="4296" spans="1:8" x14ac:dyDescent="0.25">
      <c r="A4296" s="2">
        <v>44465</v>
      </c>
      <c r="B4296" t="s">
        <v>78</v>
      </c>
      <c r="C4296">
        <v>-1776</v>
      </c>
      <c r="D4296" t="str">
        <f>VLOOKUP(B4296,Tabela_Auxiliar[],2,0)</f>
        <v>4. Despesas Operacionais</v>
      </c>
      <c r="E4296" t="str">
        <f>VLOOKUP(B4296,Tabela_Auxiliar[],4,0)</f>
        <v>Serviços Contratados</v>
      </c>
      <c r="F4296" t="str">
        <f>VLOOKUP(B4296,Tabela_Auxiliar[],3,0)</f>
        <v>Saída</v>
      </c>
      <c r="G4296" t="str">
        <f>UPPER(TEXT(Tabela_DB[[#This Row],[DATA]],"mmm"))</f>
        <v>SET</v>
      </c>
      <c r="H4296" t="str">
        <f>UPPER(TEXT(Tabela_DB[[#This Row],[DATA]],"aaaa"))</f>
        <v>2021</v>
      </c>
    </row>
    <row r="4297" spans="1:8" x14ac:dyDescent="0.25">
      <c r="A4297" s="2">
        <v>44465</v>
      </c>
      <c r="B4297" t="s">
        <v>4</v>
      </c>
      <c r="C4297">
        <v>11761</v>
      </c>
      <c r="D4297" t="str">
        <f>VLOOKUP(B4297,Tabela_Auxiliar[],2,0)</f>
        <v>1. Receita Operacional Bruta</v>
      </c>
      <c r="E4297" t="str">
        <f>VLOOKUP(B4297,Tabela_Auxiliar[],4,0)</f>
        <v>Receita Bruta</v>
      </c>
      <c r="F4297" t="str">
        <f>VLOOKUP(B4297,Tabela_Auxiliar[],3,0)</f>
        <v>Entrada</v>
      </c>
      <c r="G4297" t="str">
        <f>UPPER(TEXT(Tabela_DB[[#This Row],[DATA]],"mmm"))</f>
        <v>SET</v>
      </c>
      <c r="H4297" t="str">
        <f>UPPER(TEXT(Tabela_DB[[#This Row],[DATA]],"aaaa"))</f>
        <v>2021</v>
      </c>
    </row>
    <row r="4298" spans="1:8" x14ac:dyDescent="0.25">
      <c r="A4298" s="2">
        <v>44465</v>
      </c>
      <c r="B4298" t="s">
        <v>34</v>
      </c>
      <c r="C4298">
        <v>-2129</v>
      </c>
      <c r="D4298" t="str">
        <f>VLOOKUP(B4298,Tabela_Auxiliar[],2,0)</f>
        <v>2. Deduções da Receita</v>
      </c>
      <c r="E4298" t="str">
        <f>VLOOKUP(B4298,Tabela_Auxiliar[],4,0)</f>
        <v>Imposto</v>
      </c>
      <c r="F4298" t="str">
        <f>VLOOKUP(B4298,Tabela_Auxiliar[],3,0)</f>
        <v>Saída</v>
      </c>
      <c r="G4298" t="str">
        <f>UPPER(TEXT(Tabela_DB[[#This Row],[DATA]],"mmm"))</f>
        <v>SET</v>
      </c>
      <c r="H4298" t="str">
        <f>UPPER(TEXT(Tabela_DB[[#This Row],[DATA]],"aaaa"))</f>
        <v>2021</v>
      </c>
    </row>
    <row r="4299" spans="1:8" x14ac:dyDescent="0.25">
      <c r="A4299" s="2">
        <v>44466</v>
      </c>
      <c r="B4299" t="s">
        <v>111</v>
      </c>
      <c r="C4299">
        <v>-1036</v>
      </c>
      <c r="D4299" t="str">
        <f>VLOOKUP(B4299,Tabela_Auxiliar[],2,0)</f>
        <v>2. Deduções da Receita</v>
      </c>
      <c r="E4299" t="str">
        <f>VLOOKUP(B4299,Tabela_Auxiliar[],4,0)</f>
        <v>Imposto</v>
      </c>
      <c r="F4299" t="str">
        <f>VLOOKUP(B4299,Tabela_Auxiliar[],3,0)</f>
        <v>Saída</v>
      </c>
      <c r="G4299" t="str">
        <f>UPPER(TEXT(Tabela_DB[[#This Row],[DATA]],"mmm"))</f>
        <v>SET</v>
      </c>
      <c r="H4299" t="str">
        <f>UPPER(TEXT(Tabela_DB[[#This Row],[DATA]],"aaaa"))</f>
        <v>2021</v>
      </c>
    </row>
    <row r="4300" spans="1:8" x14ac:dyDescent="0.25">
      <c r="A4300" s="2">
        <v>44466</v>
      </c>
      <c r="B4300" t="s">
        <v>34</v>
      </c>
      <c r="C4300">
        <v>-2376</v>
      </c>
      <c r="D4300" t="str">
        <f>VLOOKUP(B4300,Tabela_Auxiliar[],2,0)</f>
        <v>2. Deduções da Receita</v>
      </c>
      <c r="E4300" t="str">
        <f>VLOOKUP(B4300,Tabela_Auxiliar[],4,0)</f>
        <v>Imposto</v>
      </c>
      <c r="F4300" t="str">
        <f>VLOOKUP(B4300,Tabela_Auxiliar[],3,0)</f>
        <v>Saída</v>
      </c>
      <c r="G4300" t="str">
        <f>UPPER(TEXT(Tabela_DB[[#This Row],[DATA]],"mmm"))</f>
        <v>SET</v>
      </c>
      <c r="H4300" t="str">
        <f>UPPER(TEXT(Tabela_DB[[#This Row],[DATA]],"aaaa"))</f>
        <v>2021</v>
      </c>
    </row>
    <row r="4301" spans="1:8" x14ac:dyDescent="0.25">
      <c r="A4301" s="2">
        <v>44466</v>
      </c>
      <c r="B4301" t="s">
        <v>37</v>
      </c>
      <c r="C4301">
        <v>-3565</v>
      </c>
      <c r="D4301" t="str">
        <f>VLOOKUP(B4301,Tabela_Auxiliar[],2,0)</f>
        <v>3. Custos do Produto/Mercadoria/Serviço</v>
      </c>
      <c r="E4301" t="str">
        <f>VLOOKUP(B4301,Tabela_Auxiliar[],4,0)</f>
        <v>Despesas c/ Produto</v>
      </c>
      <c r="F4301" t="str">
        <f>VLOOKUP(B4301,Tabela_Auxiliar[],3,0)</f>
        <v>Saída</v>
      </c>
      <c r="G4301" t="str">
        <f>UPPER(TEXT(Tabela_DB[[#This Row],[DATA]],"mmm"))</f>
        <v>SET</v>
      </c>
      <c r="H4301" t="str">
        <f>UPPER(TEXT(Tabela_DB[[#This Row],[DATA]],"aaaa"))</f>
        <v>2021</v>
      </c>
    </row>
    <row r="4302" spans="1:8" x14ac:dyDescent="0.25">
      <c r="A4302" s="2">
        <v>44466</v>
      </c>
      <c r="B4302" t="s">
        <v>65</v>
      </c>
      <c r="C4302">
        <v>-1210</v>
      </c>
      <c r="D4302" t="str">
        <f>VLOOKUP(B4302,Tabela_Auxiliar[],2,0)</f>
        <v>4. Despesas Operacionais</v>
      </c>
      <c r="E4302" t="str">
        <f>VLOOKUP(B4302,Tabela_Auxiliar[],4,0)</f>
        <v>Despesa Gerais</v>
      </c>
      <c r="F4302" t="str">
        <f>VLOOKUP(B4302,Tabela_Auxiliar[],3,0)</f>
        <v>Saída</v>
      </c>
      <c r="G4302" t="str">
        <f>UPPER(TEXT(Tabela_DB[[#This Row],[DATA]],"mmm"))</f>
        <v>SET</v>
      </c>
      <c r="H4302" t="str">
        <f>UPPER(TEXT(Tabela_DB[[#This Row],[DATA]],"aaaa"))</f>
        <v>2021</v>
      </c>
    </row>
    <row r="4303" spans="1:8" x14ac:dyDescent="0.25">
      <c r="A4303" s="2">
        <v>44466</v>
      </c>
      <c r="B4303" t="s">
        <v>34</v>
      </c>
      <c r="C4303">
        <v>-1001</v>
      </c>
      <c r="D4303" t="str">
        <f>VLOOKUP(B4303,Tabela_Auxiliar[],2,0)</f>
        <v>2. Deduções da Receita</v>
      </c>
      <c r="E4303" t="str">
        <f>VLOOKUP(B4303,Tabela_Auxiliar[],4,0)</f>
        <v>Imposto</v>
      </c>
      <c r="F4303" t="str">
        <f>VLOOKUP(B4303,Tabela_Auxiliar[],3,0)</f>
        <v>Saída</v>
      </c>
      <c r="G4303" t="str">
        <f>UPPER(TEXT(Tabela_DB[[#This Row],[DATA]],"mmm"))</f>
        <v>SET</v>
      </c>
      <c r="H4303" t="str">
        <f>UPPER(TEXT(Tabela_DB[[#This Row],[DATA]],"aaaa"))</f>
        <v>2021</v>
      </c>
    </row>
    <row r="4304" spans="1:8" x14ac:dyDescent="0.25">
      <c r="A4304" s="2">
        <v>44466</v>
      </c>
      <c r="B4304" t="s">
        <v>3</v>
      </c>
      <c r="C4304">
        <v>13859</v>
      </c>
      <c r="D4304" t="str">
        <f>VLOOKUP(B4304,Tabela_Auxiliar[],2,0)</f>
        <v>1. Receita Operacional Bruta</v>
      </c>
      <c r="E4304" t="str">
        <f>VLOOKUP(B4304,Tabela_Auxiliar[],4,0)</f>
        <v>Receita Bruta</v>
      </c>
      <c r="F4304" t="str">
        <f>VLOOKUP(B4304,Tabela_Auxiliar[],3,0)</f>
        <v>Entrada</v>
      </c>
      <c r="G4304" t="str">
        <f>UPPER(TEXT(Tabela_DB[[#This Row],[DATA]],"mmm"))</f>
        <v>SET</v>
      </c>
      <c r="H4304" t="str">
        <f>UPPER(TEXT(Tabela_DB[[#This Row],[DATA]],"aaaa"))</f>
        <v>2021</v>
      </c>
    </row>
    <row r="4305" spans="1:8" x14ac:dyDescent="0.25">
      <c r="A4305" s="2">
        <v>44466</v>
      </c>
      <c r="B4305" t="s">
        <v>37</v>
      </c>
      <c r="C4305">
        <v>-4158</v>
      </c>
      <c r="D4305" t="str">
        <f>VLOOKUP(B4305,Tabela_Auxiliar[],2,0)</f>
        <v>3. Custos do Produto/Mercadoria/Serviço</v>
      </c>
      <c r="E4305" t="str">
        <f>VLOOKUP(B4305,Tabela_Auxiliar[],4,0)</f>
        <v>Despesas c/ Produto</v>
      </c>
      <c r="F4305" t="str">
        <f>VLOOKUP(B4305,Tabela_Auxiliar[],3,0)</f>
        <v>Saída</v>
      </c>
      <c r="G4305" t="str">
        <f>UPPER(TEXT(Tabela_DB[[#This Row],[DATA]],"mmm"))</f>
        <v>SET</v>
      </c>
      <c r="H4305" t="str">
        <f>UPPER(TEXT(Tabela_DB[[#This Row],[DATA]],"aaaa"))</f>
        <v>2021</v>
      </c>
    </row>
    <row r="4306" spans="1:8" x14ac:dyDescent="0.25">
      <c r="A4306" s="2">
        <v>44466</v>
      </c>
      <c r="B4306" t="s">
        <v>35</v>
      </c>
      <c r="C4306">
        <v>-2333</v>
      </c>
      <c r="D4306" t="str">
        <f>VLOOKUP(B4306,Tabela_Auxiliar[],2,0)</f>
        <v>2. Deduções da Receita</v>
      </c>
      <c r="E4306" t="str">
        <f>VLOOKUP(B4306,Tabela_Auxiliar[],4,0)</f>
        <v>Imposto</v>
      </c>
      <c r="F4306" t="str">
        <f>VLOOKUP(B4306,Tabela_Auxiliar[],3,0)</f>
        <v>Saída</v>
      </c>
      <c r="G4306" t="str">
        <f>UPPER(TEXT(Tabela_DB[[#This Row],[DATA]],"mmm"))</f>
        <v>SET</v>
      </c>
      <c r="H4306" t="str">
        <f>UPPER(TEXT(Tabela_DB[[#This Row],[DATA]],"aaaa"))</f>
        <v>2021</v>
      </c>
    </row>
    <row r="4307" spans="1:8" x14ac:dyDescent="0.25">
      <c r="A4307" s="2">
        <v>44466</v>
      </c>
      <c r="B4307" t="s">
        <v>52</v>
      </c>
      <c r="C4307">
        <v>-1761</v>
      </c>
      <c r="D4307" t="str">
        <f>VLOOKUP(B4307,Tabela_Auxiliar[],2,0)</f>
        <v>4. Despesas Operacionais</v>
      </c>
      <c r="E4307" t="str">
        <f>VLOOKUP(B4307,Tabela_Auxiliar[],4,0)</f>
        <v>Despesa com Pessoal</v>
      </c>
      <c r="F4307" t="str">
        <f>VLOOKUP(B4307,Tabela_Auxiliar[],3,0)</f>
        <v>Saída</v>
      </c>
      <c r="G4307" t="str">
        <f>UPPER(TEXT(Tabela_DB[[#This Row],[DATA]],"mmm"))</f>
        <v>SET</v>
      </c>
      <c r="H4307" t="str">
        <f>UPPER(TEXT(Tabela_DB[[#This Row],[DATA]],"aaaa"))</f>
        <v>2021</v>
      </c>
    </row>
    <row r="4308" spans="1:8" x14ac:dyDescent="0.25">
      <c r="A4308" s="2">
        <v>44467</v>
      </c>
      <c r="B4308" t="s">
        <v>34</v>
      </c>
      <c r="C4308">
        <v>-1678</v>
      </c>
      <c r="D4308" t="str">
        <f>VLOOKUP(B4308,Tabela_Auxiliar[],2,0)</f>
        <v>2. Deduções da Receita</v>
      </c>
      <c r="E4308" t="str">
        <f>VLOOKUP(B4308,Tabela_Auxiliar[],4,0)</f>
        <v>Imposto</v>
      </c>
      <c r="F4308" t="str">
        <f>VLOOKUP(B4308,Tabela_Auxiliar[],3,0)</f>
        <v>Saída</v>
      </c>
      <c r="G4308" t="str">
        <f>UPPER(TEXT(Tabela_DB[[#This Row],[DATA]],"mmm"))</f>
        <v>SET</v>
      </c>
      <c r="H4308" t="str">
        <f>UPPER(TEXT(Tabela_DB[[#This Row],[DATA]],"aaaa"))</f>
        <v>2021</v>
      </c>
    </row>
    <row r="4309" spans="1:8" x14ac:dyDescent="0.25">
      <c r="A4309" s="2">
        <v>44467</v>
      </c>
      <c r="B4309" t="s">
        <v>4</v>
      </c>
      <c r="C4309">
        <v>11290</v>
      </c>
      <c r="D4309" t="str">
        <f>VLOOKUP(B4309,Tabela_Auxiliar[],2,0)</f>
        <v>1. Receita Operacional Bruta</v>
      </c>
      <c r="E4309" t="str">
        <f>VLOOKUP(B4309,Tabela_Auxiliar[],4,0)</f>
        <v>Receita Bruta</v>
      </c>
      <c r="F4309" t="str">
        <f>VLOOKUP(B4309,Tabela_Auxiliar[],3,0)</f>
        <v>Entrada</v>
      </c>
      <c r="G4309" t="str">
        <f>UPPER(TEXT(Tabela_DB[[#This Row],[DATA]],"mmm"))</f>
        <v>SET</v>
      </c>
      <c r="H4309" t="str">
        <f>UPPER(TEXT(Tabela_DB[[#This Row],[DATA]],"aaaa"))</f>
        <v>2021</v>
      </c>
    </row>
    <row r="4310" spans="1:8" x14ac:dyDescent="0.25">
      <c r="A4310" s="2">
        <v>44467</v>
      </c>
      <c r="B4310" t="s">
        <v>3</v>
      </c>
      <c r="C4310">
        <v>14807</v>
      </c>
      <c r="D4310" t="str">
        <f>VLOOKUP(B4310,Tabela_Auxiliar[],2,0)</f>
        <v>1. Receita Operacional Bruta</v>
      </c>
      <c r="E4310" t="str">
        <f>VLOOKUP(B4310,Tabela_Auxiliar[],4,0)</f>
        <v>Receita Bruta</v>
      </c>
      <c r="F4310" t="str">
        <f>VLOOKUP(B4310,Tabela_Auxiliar[],3,0)</f>
        <v>Entrada</v>
      </c>
      <c r="G4310" t="str">
        <f>UPPER(TEXT(Tabela_DB[[#This Row],[DATA]],"mmm"))</f>
        <v>SET</v>
      </c>
      <c r="H4310" t="str">
        <f>UPPER(TEXT(Tabela_DB[[#This Row],[DATA]],"aaaa"))</f>
        <v>2021</v>
      </c>
    </row>
    <row r="4311" spans="1:8" x14ac:dyDescent="0.25">
      <c r="A4311" s="2">
        <v>44467</v>
      </c>
      <c r="B4311" t="s">
        <v>4</v>
      </c>
      <c r="C4311">
        <v>13935</v>
      </c>
      <c r="D4311" t="str">
        <f>VLOOKUP(B4311,Tabela_Auxiliar[],2,0)</f>
        <v>1. Receita Operacional Bruta</v>
      </c>
      <c r="E4311" t="str">
        <f>VLOOKUP(B4311,Tabela_Auxiliar[],4,0)</f>
        <v>Receita Bruta</v>
      </c>
      <c r="F4311" t="str">
        <f>VLOOKUP(B4311,Tabela_Auxiliar[],3,0)</f>
        <v>Entrada</v>
      </c>
      <c r="G4311" t="str">
        <f>UPPER(TEXT(Tabela_DB[[#This Row],[DATA]],"mmm"))</f>
        <v>SET</v>
      </c>
      <c r="H4311" t="str">
        <f>UPPER(TEXT(Tabela_DB[[#This Row],[DATA]],"aaaa"))</f>
        <v>2021</v>
      </c>
    </row>
    <row r="4312" spans="1:8" x14ac:dyDescent="0.25">
      <c r="A4312" s="2">
        <v>44468</v>
      </c>
      <c r="B4312" t="s">
        <v>83</v>
      </c>
      <c r="C4312">
        <v>-2453</v>
      </c>
      <c r="D4312" t="str">
        <f>VLOOKUP(B4312,Tabela_Auxiliar[],2,0)</f>
        <v>4. Despesas Operacionais</v>
      </c>
      <c r="E4312" t="str">
        <f>VLOOKUP(B4312,Tabela_Auxiliar[],4,0)</f>
        <v>Despesa com Veículos</v>
      </c>
      <c r="F4312" t="str">
        <f>VLOOKUP(B4312,Tabela_Auxiliar[],3,0)</f>
        <v>Saída</v>
      </c>
      <c r="G4312" t="str">
        <f>UPPER(TEXT(Tabela_DB[[#This Row],[DATA]],"mmm"))</f>
        <v>SET</v>
      </c>
      <c r="H4312" t="str">
        <f>UPPER(TEXT(Tabela_DB[[#This Row],[DATA]],"aaaa"))</f>
        <v>2021</v>
      </c>
    </row>
    <row r="4313" spans="1:8" x14ac:dyDescent="0.25">
      <c r="A4313" s="2">
        <v>44468</v>
      </c>
      <c r="B4313" t="s">
        <v>61</v>
      </c>
      <c r="C4313">
        <v>-1974</v>
      </c>
      <c r="D4313" t="str">
        <f>VLOOKUP(B4313,Tabela_Auxiliar[],2,0)</f>
        <v>4. Despesas Operacionais</v>
      </c>
      <c r="E4313" t="str">
        <f>VLOOKUP(B4313,Tabela_Auxiliar[],4,0)</f>
        <v>Despesa de Depreciação</v>
      </c>
      <c r="F4313" t="str">
        <f>VLOOKUP(B4313,Tabela_Auxiliar[],3,0)</f>
        <v>Saída</v>
      </c>
      <c r="G4313" t="str">
        <f>UPPER(TEXT(Tabela_DB[[#This Row],[DATA]],"mmm"))</f>
        <v>SET</v>
      </c>
      <c r="H4313" t="str">
        <f>UPPER(TEXT(Tabela_DB[[#This Row],[DATA]],"aaaa"))</f>
        <v>2021</v>
      </c>
    </row>
    <row r="4314" spans="1:8" x14ac:dyDescent="0.25">
      <c r="A4314" s="2">
        <v>44468</v>
      </c>
      <c r="B4314" t="s">
        <v>79</v>
      </c>
      <c r="C4314">
        <v>-2040</v>
      </c>
      <c r="D4314" t="str">
        <f>VLOOKUP(B4314,Tabela_Auxiliar[],2,0)</f>
        <v>4. Despesas Operacionais</v>
      </c>
      <c r="E4314" t="str">
        <f>VLOOKUP(B4314,Tabela_Auxiliar[],4,0)</f>
        <v>Serviços Contratados</v>
      </c>
      <c r="F4314" t="str">
        <f>VLOOKUP(B4314,Tabela_Auxiliar[],3,0)</f>
        <v>Saída</v>
      </c>
      <c r="G4314" t="str">
        <f>UPPER(TEXT(Tabela_DB[[#This Row],[DATA]],"mmm"))</f>
        <v>SET</v>
      </c>
      <c r="H4314" t="str">
        <f>UPPER(TEXT(Tabela_DB[[#This Row],[DATA]],"aaaa"))</f>
        <v>2021</v>
      </c>
    </row>
    <row r="4315" spans="1:8" x14ac:dyDescent="0.25">
      <c r="A4315" s="2">
        <v>44468</v>
      </c>
      <c r="B4315" t="s">
        <v>38</v>
      </c>
      <c r="C4315">
        <v>-1685</v>
      </c>
      <c r="D4315" t="str">
        <f>VLOOKUP(B4315,Tabela_Auxiliar[],2,0)</f>
        <v>2. Deduções da Receita</v>
      </c>
      <c r="E4315" t="str">
        <f>VLOOKUP(B4315,Tabela_Auxiliar[],4,0)</f>
        <v>Deduções</v>
      </c>
      <c r="F4315" t="str">
        <f>VLOOKUP(B4315,Tabela_Auxiliar[],3,0)</f>
        <v>Saída</v>
      </c>
      <c r="G4315" t="str">
        <f>UPPER(TEXT(Tabela_DB[[#This Row],[DATA]],"mmm"))</f>
        <v>SET</v>
      </c>
      <c r="H4315" t="str">
        <f>UPPER(TEXT(Tabela_DB[[#This Row],[DATA]],"aaaa"))</f>
        <v>2021</v>
      </c>
    </row>
    <row r="4316" spans="1:8" x14ac:dyDescent="0.25">
      <c r="A4316" s="2">
        <v>44468</v>
      </c>
      <c r="B4316" t="s">
        <v>4</v>
      </c>
      <c r="C4316">
        <v>13145</v>
      </c>
      <c r="D4316" t="str">
        <f>VLOOKUP(B4316,Tabela_Auxiliar[],2,0)</f>
        <v>1. Receita Operacional Bruta</v>
      </c>
      <c r="E4316" t="str">
        <f>VLOOKUP(B4316,Tabela_Auxiliar[],4,0)</f>
        <v>Receita Bruta</v>
      </c>
      <c r="F4316" t="str">
        <f>VLOOKUP(B4316,Tabela_Auxiliar[],3,0)</f>
        <v>Entrada</v>
      </c>
      <c r="G4316" t="str">
        <f>UPPER(TEXT(Tabela_DB[[#This Row],[DATA]],"mmm"))</f>
        <v>SET</v>
      </c>
      <c r="H4316" t="str">
        <f>UPPER(TEXT(Tabela_DB[[#This Row],[DATA]],"aaaa"))</f>
        <v>2021</v>
      </c>
    </row>
    <row r="4317" spans="1:8" x14ac:dyDescent="0.25">
      <c r="A4317" s="2">
        <v>44468</v>
      </c>
      <c r="B4317" t="s">
        <v>38</v>
      </c>
      <c r="C4317">
        <v>-1659</v>
      </c>
      <c r="D4317" t="str">
        <f>VLOOKUP(B4317,Tabela_Auxiliar[],2,0)</f>
        <v>2. Deduções da Receita</v>
      </c>
      <c r="E4317" t="str">
        <f>VLOOKUP(B4317,Tabela_Auxiliar[],4,0)</f>
        <v>Deduções</v>
      </c>
      <c r="F4317" t="str">
        <f>VLOOKUP(B4317,Tabela_Auxiliar[],3,0)</f>
        <v>Saída</v>
      </c>
      <c r="G4317" t="str">
        <f>UPPER(TEXT(Tabela_DB[[#This Row],[DATA]],"mmm"))</f>
        <v>SET</v>
      </c>
      <c r="H4317" t="str">
        <f>UPPER(TEXT(Tabela_DB[[#This Row],[DATA]],"aaaa"))</f>
        <v>2021</v>
      </c>
    </row>
    <row r="4318" spans="1:8" x14ac:dyDescent="0.25">
      <c r="A4318" s="2">
        <v>44468</v>
      </c>
      <c r="B4318" t="s">
        <v>79</v>
      </c>
      <c r="C4318">
        <v>-2206</v>
      </c>
      <c r="D4318" t="str">
        <f>VLOOKUP(B4318,Tabela_Auxiliar[],2,0)</f>
        <v>4. Despesas Operacionais</v>
      </c>
      <c r="E4318" t="str">
        <f>VLOOKUP(B4318,Tabela_Auxiliar[],4,0)</f>
        <v>Serviços Contratados</v>
      </c>
      <c r="F4318" t="str">
        <f>VLOOKUP(B4318,Tabela_Auxiliar[],3,0)</f>
        <v>Saída</v>
      </c>
      <c r="G4318" t="str">
        <f>UPPER(TEXT(Tabela_DB[[#This Row],[DATA]],"mmm"))</f>
        <v>SET</v>
      </c>
      <c r="H4318" t="str">
        <f>UPPER(TEXT(Tabela_DB[[#This Row],[DATA]],"aaaa"))</f>
        <v>2021</v>
      </c>
    </row>
    <row r="4319" spans="1:8" x14ac:dyDescent="0.25">
      <c r="A4319" s="2">
        <v>44469</v>
      </c>
      <c r="B4319" t="s">
        <v>66</v>
      </c>
      <c r="C4319">
        <v>-1543</v>
      </c>
      <c r="D4319" t="str">
        <f>VLOOKUP(B4319,Tabela_Auxiliar[],2,0)</f>
        <v>4. Despesas Operacionais</v>
      </c>
      <c r="E4319" t="str">
        <f>VLOOKUP(B4319,Tabela_Auxiliar[],4,0)</f>
        <v>Despesa com Vendas</v>
      </c>
      <c r="F4319" t="str">
        <f>VLOOKUP(B4319,Tabela_Auxiliar[],3,0)</f>
        <v>Saída</v>
      </c>
      <c r="G4319" t="str">
        <f>UPPER(TEXT(Tabela_DB[[#This Row],[DATA]],"mmm"))</f>
        <v>SET</v>
      </c>
      <c r="H4319" t="str">
        <f>UPPER(TEXT(Tabela_DB[[#This Row],[DATA]],"aaaa"))</f>
        <v>2021</v>
      </c>
    </row>
    <row r="4320" spans="1:8" x14ac:dyDescent="0.25">
      <c r="A4320" s="2">
        <v>44469</v>
      </c>
      <c r="B4320" t="s">
        <v>3</v>
      </c>
      <c r="C4320">
        <v>11520</v>
      </c>
      <c r="D4320" t="str">
        <f>VLOOKUP(B4320,Tabela_Auxiliar[],2,0)</f>
        <v>1. Receita Operacional Bruta</v>
      </c>
      <c r="E4320" t="str">
        <f>VLOOKUP(B4320,Tabela_Auxiliar[],4,0)</f>
        <v>Receita Bruta</v>
      </c>
      <c r="F4320" t="str">
        <f>VLOOKUP(B4320,Tabela_Auxiliar[],3,0)</f>
        <v>Entrada</v>
      </c>
      <c r="G4320" t="str">
        <f>UPPER(TEXT(Tabela_DB[[#This Row],[DATA]],"mmm"))</f>
        <v>SET</v>
      </c>
      <c r="H4320" t="str">
        <f>UPPER(TEXT(Tabela_DB[[#This Row],[DATA]],"aaaa"))</f>
        <v>2021</v>
      </c>
    </row>
    <row r="4321" spans="1:8" x14ac:dyDescent="0.25">
      <c r="A4321" s="2">
        <v>44469</v>
      </c>
      <c r="B4321" t="s">
        <v>3</v>
      </c>
      <c r="C4321">
        <v>11497</v>
      </c>
      <c r="D4321" t="str">
        <f>VLOOKUP(B4321,Tabela_Auxiliar[],2,0)</f>
        <v>1. Receita Operacional Bruta</v>
      </c>
      <c r="E4321" t="str">
        <f>VLOOKUP(B4321,Tabela_Auxiliar[],4,0)</f>
        <v>Receita Bruta</v>
      </c>
      <c r="F4321" t="str">
        <f>VLOOKUP(B4321,Tabela_Auxiliar[],3,0)</f>
        <v>Entrada</v>
      </c>
      <c r="G4321" t="str">
        <f>UPPER(TEXT(Tabela_DB[[#This Row],[DATA]],"mmm"))</f>
        <v>SET</v>
      </c>
      <c r="H4321" t="str">
        <f>UPPER(TEXT(Tabela_DB[[#This Row],[DATA]],"aaaa"))</f>
        <v>2021</v>
      </c>
    </row>
    <row r="4322" spans="1:8" x14ac:dyDescent="0.25">
      <c r="A4322" s="2">
        <v>44469</v>
      </c>
      <c r="B4322" t="s">
        <v>72</v>
      </c>
      <c r="C4322">
        <v>-2097</v>
      </c>
      <c r="D4322" t="str">
        <f>VLOOKUP(B4322,Tabela_Auxiliar[],2,0)</f>
        <v>4. Despesas Operacionais</v>
      </c>
      <c r="E4322" t="str">
        <f>VLOOKUP(B4322,Tabela_Auxiliar[],4,0)</f>
        <v>Despesa com Ocupação</v>
      </c>
      <c r="F4322" t="str">
        <f>VLOOKUP(B4322,Tabela_Auxiliar[],3,0)</f>
        <v>Saída</v>
      </c>
      <c r="G4322" t="str">
        <f>UPPER(TEXT(Tabela_DB[[#This Row],[DATA]],"mmm"))</f>
        <v>SET</v>
      </c>
      <c r="H4322" t="str">
        <f>UPPER(TEXT(Tabela_DB[[#This Row],[DATA]],"aaaa"))</f>
        <v>2021</v>
      </c>
    </row>
    <row r="4323" spans="1:8" x14ac:dyDescent="0.25">
      <c r="A4323" s="2">
        <v>44469</v>
      </c>
      <c r="B4323" t="s">
        <v>111</v>
      </c>
      <c r="C4323">
        <v>-1298</v>
      </c>
      <c r="D4323" t="str">
        <f>VLOOKUP(B4323,Tabela_Auxiliar[],2,0)</f>
        <v>2. Deduções da Receita</v>
      </c>
      <c r="E4323" t="str">
        <f>VLOOKUP(B4323,Tabela_Auxiliar[],4,0)</f>
        <v>Imposto</v>
      </c>
      <c r="F4323" t="str">
        <f>VLOOKUP(B4323,Tabela_Auxiliar[],3,0)</f>
        <v>Saída</v>
      </c>
      <c r="G4323" t="str">
        <f>UPPER(TEXT(Tabela_DB[[#This Row],[DATA]],"mmm"))</f>
        <v>SET</v>
      </c>
      <c r="H4323" t="str">
        <f>UPPER(TEXT(Tabela_DB[[#This Row],[DATA]],"aaaa"))</f>
        <v>2021</v>
      </c>
    </row>
    <row r="4324" spans="1:8" x14ac:dyDescent="0.25">
      <c r="A4324" s="2">
        <v>44469</v>
      </c>
      <c r="B4324" t="s">
        <v>86</v>
      </c>
      <c r="C4324">
        <v>-1328</v>
      </c>
      <c r="D4324" t="str">
        <f>VLOOKUP(B4324,Tabela_Auxiliar[],2,0)</f>
        <v>4. Despesas Operacionais</v>
      </c>
      <c r="E4324" t="str">
        <f>VLOOKUP(B4324,Tabela_Auxiliar[],4,0)</f>
        <v>Despesa com Veículos</v>
      </c>
      <c r="F4324" t="str">
        <f>VLOOKUP(B4324,Tabela_Auxiliar[],3,0)</f>
        <v>Saída</v>
      </c>
      <c r="G4324" t="str">
        <f>UPPER(TEXT(Tabela_DB[[#This Row],[DATA]],"mmm"))</f>
        <v>SET</v>
      </c>
      <c r="H4324" t="str">
        <f>UPPER(TEXT(Tabela_DB[[#This Row],[DATA]],"aaaa"))</f>
        <v>2021</v>
      </c>
    </row>
    <row r="4325" spans="1:8" x14ac:dyDescent="0.25">
      <c r="A4325" s="2">
        <v>44469</v>
      </c>
      <c r="B4325" t="s">
        <v>40</v>
      </c>
      <c r="C4325">
        <v>-2287</v>
      </c>
      <c r="D4325" t="str">
        <f>VLOOKUP(B4325,Tabela_Auxiliar[],2,0)</f>
        <v>4. Despesas Operacionais</v>
      </c>
      <c r="E4325" t="str">
        <f>VLOOKUP(B4325,Tabela_Auxiliar[],4,0)</f>
        <v>Despesa com Pessoal</v>
      </c>
      <c r="F4325" t="str">
        <f>VLOOKUP(B4325,Tabela_Auxiliar[],3,0)</f>
        <v>Saída</v>
      </c>
      <c r="G4325" t="str">
        <f>UPPER(TEXT(Tabela_DB[[#This Row],[DATA]],"mmm"))</f>
        <v>SET</v>
      </c>
      <c r="H4325" t="str">
        <f>UPPER(TEXT(Tabela_DB[[#This Row],[DATA]],"aaaa"))</f>
        <v>2021</v>
      </c>
    </row>
    <row r="4326" spans="1:8" x14ac:dyDescent="0.25">
      <c r="A4326" s="2">
        <v>44469</v>
      </c>
      <c r="B4326" t="s">
        <v>34</v>
      </c>
      <c r="C4326">
        <v>-1633</v>
      </c>
      <c r="D4326" t="str">
        <f>VLOOKUP(B4326,Tabela_Auxiliar[],2,0)</f>
        <v>2. Deduções da Receita</v>
      </c>
      <c r="E4326" t="str">
        <f>VLOOKUP(B4326,Tabela_Auxiliar[],4,0)</f>
        <v>Imposto</v>
      </c>
      <c r="F4326" t="str">
        <f>VLOOKUP(B4326,Tabela_Auxiliar[],3,0)</f>
        <v>Saída</v>
      </c>
      <c r="G4326" t="str">
        <f>UPPER(TEXT(Tabela_DB[[#This Row],[DATA]],"mmm"))</f>
        <v>SET</v>
      </c>
      <c r="H4326" t="str">
        <f>UPPER(TEXT(Tabela_DB[[#This Row],[DATA]],"aaaa"))</f>
        <v>2021</v>
      </c>
    </row>
    <row r="4327" spans="1:8" x14ac:dyDescent="0.25">
      <c r="A4327" s="2">
        <v>44469</v>
      </c>
      <c r="B4327" t="s">
        <v>38</v>
      </c>
      <c r="C4327">
        <v>-1306</v>
      </c>
      <c r="D4327" t="str">
        <f>VLOOKUP(B4327,Tabela_Auxiliar[],2,0)</f>
        <v>2. Deduções da Receita</v>
      </c>
      <c r="E4327" t="str">
        <f>VLOOKUP(B4327,Tabela_Auxiliar[],4,0)</f>
        <v>Deduções</v>
      </c>
      <c r="F4327" t="str">
        <f>VLOOKUP(B4327,Tabela_Auxiliar[],3,0)</f>
        <v>Saída</v>
      </c>
      <c r="G4327" t="str">
        <f>UPPER(TEXT(Tabela_DB[[#This Row],[DATA]],"mmm"))</f>
        <v>SET</v>
      </c>
      <c r="H4327" t="str">
        <f>UPPER(TEXT(Tabela_DB[[#This Row],[DATA]],"aaaa"))</f>
        <v>2021</v>
      </c>
    </row>
    <row r="4328" spans="1:8" x14ac:dyDescent="0.25">
      <c r="A4328" s="2">
        <v>44470</v>
      </c>
      <c r="B4328" t="s">
        <v>111</v>
      </c>
      <c r="C4328">
        <v>-1247</v>
      </c>
      <c r="D4328" t="str">
        <f>VLOOKUP(B4328,Tabela_Auxiliar[],2,0)</f>
        <v>2. Deduções da Receita</v>
      </c>
      <c r="E4328" t="str">
        <f>VLOOKUP(B4328,Tabela_Auxiliar[],4,0)</f>
        <v>Imposto</v>
      </c>
      <c r="F4328" t="str">
        <f>VLOOKUP(B4328,Tabela_Auxiliar[],3,0)</f>
        <v>Saída</v>
      </c>
      <c r="G4328" t="str">
        <f>UPPER(TEXT(Tabela_DB[[#This Row],[DATA]],"mmm"))</f>
        <v>OUT</v>
      </c>
      <c r="H4328" t="str">
        <f>UPPER(TEXT(Tabela_DB[[#This Row],[DATA]],"aaaa"))</f>
        <v>2021</v>
      </c>
    </row>
    <row r="4329" spans="1:8" x14ac:dyDescent="0.25">
      <c r="A4329" s="2">
        <v>44470</v>
      </c>
      <c r="B4329" t="s">
        <v>79</v>
      </c>
      <c r="C4329">
        <v>-1302</v>
      </c>
      <c r="D4329" t="str">
        <f>VLOOKUP(B4329,Tabela_Auxiliar[],2,0)</f>
        <v>4. Despesas Operacionais</v>
      </c>
      <c r="E4329" t="str">
        <f>VLOOKUP(B4329,Tabela_Auxiliar[],4,0)</f>
        <v>Serviços Contratados</v>
      </c>
      <c r="F4329" t="str">
        <f>VLOOKUP(B4329,Tabela_Auxiliar[],3,0)</f>
        <v>Saída</v>
      </c>
      <c r="G4329" t="str">
        <f>UPPER(TEXT(Tabela_DB[[#This Row],[DATA]],"mmm"))</f>
        <v>OUT</v>
      </c>
      <c r="H4329" t="str">
        <f>UPPER(TEXT(Tabela_DB[[#This Row],[DATA]],"aaaa"))</f>
        <v>2021</v>
      </c>
    </row>
    <row r="4330" spans="1:8" x14ac:dyDescent="0.25">
      <c r="A4330" s="2">
        <v>44470</v>
      </c>
      <c r="B4330" t="s">
        <v>37</v>
      </c>
      <c r="C4330">
        <v>-3306</v>
      </c>
      <c r="D4330" t="str">
        <f>VLOOKUP(B4330,Tabela_Auxiliar[],2,0)</f>
        <v>3. Custos do Produto/Mercadoria/Serviço</v>
      </c>
      <c r="E4330" t="str">
        <f>VLOOKUP(B4330,Tabela_Auxiliar[],4,0)</f>
        <v>Despesas c/ Produto</v>
      </c>
      <c r="F4330" t="str">
        <f>VLOOKUP(B4330,Tabela_Auxiliar[],3,0)</f>
        <v>Saída</v>
      </c>
      <c r="G4330" t="str">
        <f>UPPER(TEXT(Tabela_DB[[#This Row],[DATA]],"mmm"))</f>
        <v>OUT</v>
      </c>
      <c r="H4330" t="str">
        <f>UPPER(TEXT(Tabela_DB[[#This Row],[DATA]],"aaaa"))</f>
        <v>2021</v>
      </c>
    </row>
    <row r="4331" spans="1:8" x14ac:dyDescent="0.25">
      <c r="A4331" s="2">
        <v>44470</v>
      </c>
      <c r="B4331" t="s">
        <v>56</v>
      </c>
      <c r="C4331">
        <v>-2394</v>
      </c>
      <c r="D4331" t="str">
        <f>VLOOKUP(B4331,Tabela_Auxiliar[],2,0)</f>
        <v>4. Despesas Operacionais</v>
      </c>
      <c r="E4331" t="str">
        <f>VLOOKUP(B4331,Tabela_Auxiliar[],4,0)</f>
        <v>Despesa com Pessoal</v>
      </c>
      <c r="F4331" t="str">
        <f>VLOOKUP(B4331,Tabela_Auxiliar[],3,0)</f>
        <v>Saída</v>
      </c>
      <c r="G4331" t="str">
        <f>UPPER(TEXT(Tabela_DB[[#This Row],[DATA]],"mmm"))</f>
        <v>OUT</v>
      </c>
      <c r="H4331" t="str">
        <f>UPPER(TEXT(Tabela_DB[[#This Row],[DATA]],"aaaa"))</f>
        <v>2021</v>
      </c>
    </row>
    <row r="4332" spans="1:8" x14ac:dyDescent="0.25">
      <c r="A4332" s="2">
        <v>44470</v>
      </c>
      <c r="B4332" t="s">
        <v>67</v>
      </c>
      <c r="C4332">
        <v>-1681</v>
      </c>
      <c r="D4332" t="str">
        <f>VLOOKUP(B4332,Tabela_Auxiliar[],2,0)</f>
        <v>4. Despesas Operacionais</v>
      </c>
      <c r="E4332" t="str">
        <f>VLOOKUP(B4332,Tabela_Auxiliar[],4,0)</f>
        <v>Despesa com Vendas</v>
      </c>
      <c r="F4332" t="str">
        <f>VLOOKUP(B4332,Tabela_Auxiliar[],3,0)</f>
        <v>Saída</v>
      </c>
      <c r="G4332" t="str">
        <f>UPPER(TEXT(Tabela_DB[[#This Row],[DATA]],"mmm"))</f>
        <v>OUT</v>
      </c>
      <c r="H4332" t="str">
        <f>UPPER(TEXT(Tabela_DB[[#This Row],[DATA]],"aaaa"))</f>
        <v>2021</v>
      </c>
    </row>
    <row r="4333" spans="1:8" x14ac:dyDescent="0.25">
      <c r="A4333" s="2">
        <v>44470</v>
      </c>
      <c r="B4333" t="s">
        <v>102</v>
      </c>
      <c r="C4333">
        <v>-2209</v>
      </c>
      <c r="D4333" t="str">
        <f>VLOOKUP(B4333,Tabela_Auxiliar[],2,0)</f>
        <v>6. Resultado após o Resultado Financeiro</v>
      </c>
      <c r="E4333" t="str">
        <f>VLOOKUP(B4333,Tabela_Auxiliar[],4,0)</f>
        <v>EBTIDA</v>
      </c>
      <c r="F4333" t="str">
        <f>VLOOKUP(B4333,Tabela_Auxiliar[],3,0)</f>
        <v>Saída</v>
      </c>
      <c r="G4333" t="str">
        <f>UPPER(TEXT(Tabela_DB[[#This Row],[DATA]],"mmm"))</f>
        <v>OUT</v>
      </c>
      <c r="H4333" t="str">
        <f>UPPER(TEXT(Tabela_DB[[#This Row],[DATA]],"aaaa"))</f>
        <v>2021</v>
      </c>
    </row>
    <row r="4334" spans="1:8" x14ac:dyDescent="0.25">
      <c r="A4334" s="2">
        <v>44470</v>
      </c>
      <c r="B4334" t="s">
        <v>3</v>
      </c>
      <c r="C4334">
        <v>11412</v>
      </c>
      <c r="D4334" t="str">
        <f>VLOOKUP(B4334,Tabela_Auxiliar[],2,0)</f>
        <v>1. Receita Operacional Bruta</v>
      </c>
      <c r="E4334" t="str">
        <f>VLOOKUP(B4334,Tabela_Auxiliar[],4,0)</f>
        <v>Receita Bruta</v>
      </c>
      <c r="F4334" t="str">
        <f>VLOOKUP(B4334,Tabela_Auxiliar[],3,0)</f>
        <v>Entrada</v>
      </c>
      <c r="G4334" t="str">
        <f>UPPER(TEXT(Tabela_DB[[#This Row],[DATA]],"mmm"))</f>
        <v>OUT</v>
      </c>
      <c r="H4334" t="str">
        <f>UPPER(TEXT(Tabela_DB[[#This Row],[DATA]],"aaaa"))</f>
        <v>2021</v>
      </c>
    </row>
    <row r="4335" spans="1:8" x14ac:dyDescent="0.25">
      <c r="A4335" s="2">
        <v>44470</v>
      </c>
      <c r="B4335" t="s">
        <v>88</v>
      </c>
      <c r="C4335">
        <v>-1899</v>
      </c>
      <c r="D4335" t="str">
        <f>VLOOKUP(B4335,Tabela_Auxiliar[],2,0)</f>
        <v>4. Despesas Operacionais</v>
      </c>
      <c r="E4335" t="str">
        <f>VLOOKUP(B4335,Tabela_Auxiliar[],4,0)</f>
        <v>Despesa Tributária</v>
      </c>
      <c r="F4335" t="str">
        <f>VLOOKUP(B4335,Tabela_Auxiliar[],3,0)</f>
        <v>Saída</v>
      </c>
      <c r="G4335" t="str">
        <f>UPPER(TEXT(Tabela_DB[[#This Row],[DATA]],"mmm"))</f>
        <v>OUT</v>
      </c>
      <c r="H4335" t="str">
        <f>UPPER(TEXT(Tabela_DB[[#This Row],[DATA]],"aaaa"))</f>
        <v>2021</v>
      </c>
    </row>
    <row r="4336" spans="1:8" x14ac:dyDescent="0.25">
      <c r="A4336" s="2">
        <v>44471</v>
      </c>
      <c r="B4336" t="s">
        <v>111</v>
      </c>
      <c r="C4336">
        <v>-1245</v>
      </c>
      <c r="D4336" t="str">
        <f>VLOOKUP(B4336,Tabela_Auxiliar[],2,0)</f>
        <v>2. Deduções da Receita</v>
      </c>
      <c r="E4336" t="str">
        <f>VLOOKUP(B4336,Tabela_Auxiliar[],4,0)</f>
        <v>Imposto</v>
      </c>
      <c r="F4336" t="str">
        <f>VLOOKUP(B4336,Tabela_Auxiliar[],3,0)</f>
        <v>Saída</v>
      </c>
      <c r="G4336" t="str">
        <f>UPPER(TEXT(Tabela_DB[[#This Row],[DATA]],"mmm"))</f>
        <v>OUT</v>
      </c>
      <c r="H4336" t="str">
        <f>UPPER(TEXT(Tabela_DB[[#This Row],[DATA]],"aaaa"))</f>
        <v>2021</v>
      </c>
    </row>
    <row r="4337" spans="1:8" x14ac:dyDescent="0.25">
      <c r="A4337" s="2">
        <v>44471</v>
      </c>
      <c r="B4337" t="s">
        <v>35</v>
      </c>
      <c r="C4337">
        <v>-2334</v>
      </c>
      <c r="D4337" t="str">
        <f>VLOOKUP(B4337,Tabela_Auxiliar[],2,0)</f>
        <v>2. Deduções da Receita</v>
      </c>
      <c r="E4337" t="str">
        <f>VLOOKUP(B4337,Tabela_Auxiliar[],4,0)</f>
        <v>Imposto</v>
      </c>
      <c r="F4337" t="str">
        <f>VLOOKUP(B4337,Tabela_Auxiliar[],3,0)</f>
        <v>Saída</v>
      </c>
      <c r="G4337" t="str">
        <f>UPPER(TEXT(Tabela_DB[[#This Row],[DATA]],"mmm"))</f>
        <v>OUT</v>
      </c>
      <c r="H4337" t="str">
        <f>UPPER(TEXT(Tabela_DB[[#This Row],[DATA]],"aaaa"))</f>
        <v>2021</v>
      </c>
    </row>
    <row r="4338" spans="1:8" x14ac:dyDescent="0.25">
      <c r="A4338" s="2">
        <v>44471</v>
      </c>
      <c r="B4338" t="s">
        <v>72</v>
      </c>
      <c r="C4338">
        <v>-2176</v>
      </c>
      <c r="D4338" t="str">
        <f>VLOOKUP(B4338,Tabela_Auxiliar[],2,0)</f>
        <v>4. Despesas Operacionais</v>
      </c>
      <c r="E4338" t="str">
        <f>VLOOKUP(B4338,Tabela_Auxiliar[],4,0)</f>
        <v>Despesa com Ocupação</v>
      </c>
      <c r="F4338" t="str">
        <f>VLOOKUP(B4338,Tabela_Auxiliar[],3,0)</f>
        <v>Saída</v>
      </c>
      <c r="G4338" t="str">
        <f>UPPER(TEXT(Tabela_DB[[#This Row],[DATA]],"mmm"))</f>
        <v>OUT</v>
      </c>
      <c r="H4338" t="str">
        <f>UPPER(TEXT(Tabela_DB[[#This Row],[DATA]],"aaaa"))</f>
        <v>2021</v>
      </c>
    </row>
    <row r="4339" spans="1:8" x14ac:dyDescent="0.25">
      <c r="A4339" s="2">
        <v>44471</v>
      </c>
      <c r="B4339" t="s">
        <v>3</v>
      </c>
      <c r="C4339">
        <v>14675</v>
      </c>
      <c r="D4339" t="str">
        <f>VLOOKUP(B4339,Tabela_Auxiliar[],2,0)</f>
        <v>1. Receita Operacional Bruta</v>
      </c>
      <c r="E4339" t="str">
        <f>VLOOKUP(B4339,Tabela_Auxiliar[],4,0)</f>
        <v>Receita Bruta</v>
      </c>
      <c r="F4339" t="str">
        <f>VLOOKUP(B4339,Tabela_Auxiliar[],3,0)</f>
        <v>Entrada</v>
      </c>
      <c r="G4339" t="str">
        <f>UPPER(TEXT(Tabela_DB[[#This Row],[DATA]],"mmm"))</f>
        <v>OUT</v>
      </c>
      <c r="H4339" t="str">
        <f>UPPER(TEXT(Tabela_DB[[#This Row],[DATA]],"aaaa"))</f>
        <v>2021</v>
      </c>
    </row>
    <row r="4340" spans="1:8" x14ac:dyDescent="0.25">
      <c r="A4340" s="2">
        <v>44472</v>
      </c>
      <c r="B4340" t="s">
        <v>43</v>
      </c>
      <c r="C4340">
        <v>-2389</v>
      </c>
      <c r="D4340" t="str">
        <f>VLOOKUP(B4340,Tabela_Auxiliar[],2,0)</f>
        <v>4. Despesas Operacionais</v>
      </c>
      <c r="E4340" t="str">
        <f>VLOOKUP(B4340,Tabela_Auxiliar[],4,0)</f>
        <v>Despesa com Pessoal</v>
      </c>
      <c r="F4340" t="str">
        <f>VLOOKUP(B4340,Tabela_Auxiliar[],3,0)</f>
        <v>Saída</v>
      </c>
      <c r="G4340" t="str">
        <f>UPPER(TEXT(Tabela_DB[[#This Row],[DATA]],"mmm"))</f>
        <v>OUT</v>
      </c>
      <c r="H4340" t="str">
        <f>UPPER(TEXT(Tabela_DB[[#This Row],[DATA]],"aaaa"))</f>
        <v>2021</v>
      </c>
    </row>
    <row r="4341" spans="1:8" x14ac:dyDescent="0.25">
      <c r="A4341" s="2">
        <v>44472</v>
      </c>
      <c r="B4341" t="s">
        <v>86</v>
      </c>
      <c r="C4341">
        <v>-1730</v>
      </c>
      <c r="D4341" t="str">
        <f>VLOOKUP(B4341,Tabela_Auxiliar[],2,0)</f>
        <v>4. Despesas Operacionais</v>
      </c>
      <c r="E4341" t="str">
        <f>VLOOKUP(B4341,Tabela_Auxiliar[],4,0)</f>
        <v>Despesa com Veículos</v>
      </c>
      <c r="F4341" t="str">
        <f>VLOOKUP(B4341,Tabela_Auxiliar[],3,0)</f>
        <v>Saída</v>
      </c>
      <c r="G4341" t="str">
        <f>UPPER(TEXT(Tabela_DB[[#This Row],[DATA]],"mmm"))</f>
        <v>OUT</v>
      </c>
      <c r="H4341" t="str">
        <f>UPPER(TEXT(Tabela_DB[[#This Row],[DATA]],"aaaa"))</f>
        <v>2021</v>
      </c>
    </row>
    <row r="4342" spans="1:8" x14ac:dyDescent="0.25">
      <c r="A4342" s="2">
        <v>44472</v>
      </c>
      <c r="B4342" t="s">
        <v>4</v>
      </c>
      <c r="C4342">
        <v>14698</v>
      </c>
      <c r="D4342" t="str">
        <f>VLOOKUP(B4342,Tabela_Auxiliar[],2,0)</f>
        <v>1. Receita Operacional Bruta</v>
      </c>
      <c r="E4342" t="str">
        <f>VLOOKUP(B4342,Tabela_Auxiliar[],4,0)</f>
        <v>Receita Bruta</v>
      </c>
      <c r="F4342" t="str">
        <f>VLOOKUP(B4342,Tabela_Auxiliar[],3,0)</f>
        <v>Entrada</v>
      </c>
      <c r="G4342" t="str">
        <f>UPPER(TEXT(Tabela_DB[[#This Row],[DATA]],"mmm"))</f>
        <v>OUT</v>
      </c>
      <c r="H4342" t="str">
        <f>UPPER(TEXT(Tabela_DB[[#This Row],[DATA]],"aaaa"))</f>
        <v>2021</v>
      </c>
    </row>
    <row r="4343" spans="1:8" x14ac:dyDescent="0.25">
      <c r="A4343" s="2">
        <v>44472</v>
      </c>
      <c r="B4343" t="s">
        <v>34</v>
      </c>
      <c r="C4343">
        <v>-2451</v>
      </c>
      <c r="D4343" t="str">
        <f>VLOOKUP(B4343,Tabela_Auxiliar[],2,0)</f>
        <v>2. Deduções da Receita</v>
      </c>
      <c r="E4343" t="str">
        <f>VLOOKUP(B4343,Tabela_Auxiliar[],4,0)</f>
        <v>Imposto</v>
      </c>
      <c r="F4343" t="str">
        <f>VLOOKUP(B4343,Tabela_Auxiliar[],3,0)</f>
        <v>Saída</v>
      </c>
      <c r="G4343" t="str">
        <f>UPPER(TEXT(Tabela_DB[[#This Row],[DATA]],"mmm"))</f>
        <v>OUT</v>
      </c>
      <c r="H4343" t="str">
        <f>UPPER(TEXT(Tabela_DB[[#This Row],[DATA]],"aaaa"))</f>
        <v>2021</v>
      </c>
    </row>
    <row r="4344" spans="1:8" x14ac:dyDescent="0.25">
      <c r="A4344" s="2">
        <v>44472</v>
      </c>
      <c r="B4344" t="s">
        <v>102</v>
      </c>
      <c r="C4344">
        <v>-1415</v>
      </c>
      <c r="D4344" t="str">
        <f>VLOOKUP(B4344,Tabela_Auxiliar[],2,0)</f>
        <v>6. Resultado após o Resultado Financeiro</v>
      </c>
      <c r="E4344" t="str">
        <f>VLOOKUP(B4344,Tabela_Auxiliar[],4,0)</f>
        <v>EBTIDA</v>
      </c>
      <c r="F4344" t="str">
        <f>VLOOKUP(B4344,Tabela_Auxiliar[],3,0)</f>
        <v>Saída</v>
      </c>
      <c r="G4344" t="str">
        <f>UPPER(TEXT(Tabela_DB[[#This Row],[DATA]],"mmm"))</f>
        <v>OUT</v>
      </c>
      <c r="H4344" t="str">
        <f>UPPER(TEXT(Tabela_DB[[#This Row],[DATA]],"aaaa"))</f>
        <v>2021</v>
      </c>
    </row>
    <row r="4345" spans="1:8" x14ac:dyDescent="0.25">
      <c r="A4345" s="2">
        <v>44473</v>
      </c>
      <c r="B4345" t="s">
        <v>4</v>
      </c>
      <c r="C4345">
        <v>14923</v>
      </c>
      <c r="D4345" t="str">
        <f>VLOOKUP(B4345,Tabela_Auxiliar[],2,0)</f>
        <v>1. Receita Operacional Bruta</v>
      </c>
      <c r="E4345" t="str">
        <f>VLOOKUP(B4345,Tabela_Auxiliar[],4,0)</f>
        <v>Receita Bruta</v>
      </c>
      <c r="F4345" t="str">
        <f>VLOOKUP(B4345,Tabela_Auxiliar[],3,0)</f>
        <v>Entrada</v>
      </c>
      <c r="G4345" t="str">
        <f>UPPER(TEXT(Tabela_DB[[#This Row],[DATA]],"mmm"))</f>
        <v>OUT</v>
      </c>
      <c r="H4345" t="str">
        <f>UPPER(TEXT(Tabela_DB[[#This Row],[DATA]],"aaaa"))</f>
        <v>2021</v>
      </c>
    </row>
    <row r="4346" spans="1:8" x14ac:dyDescent="0.25">
      <c r="A4346" s="2">
        <v>44473</v>
      </c>
      <c r="B4346" t="s">
        <v>79</v>
      </c>
      <c r="C4346">
        <v>-2394</v>
      </c>
      <c r="D4346" t="str">
        <f>VLOOKUP(B4346,Tabela_Auxiliar[],2,0)</f>
        <v>4. Despesas Operacionais</v>
      </c>
      <c r="E4346" t="str">
        <f>VLOOKUP(B4346,Tabela_Auxiliar[],4,0)</f>
        <v>Serviços Contratados</v>
      </c>
      <c r="F4346" t="str">
        <f>VLOOKUP(B4346,Tabela_Auxiliar[],3,0)</f>
        <v>Saída</v>
      </c>
      <c r="G4346" t="str">
        <f>UPPER(TEXT(Tabela_DB[[#This Row],[DATA]],"mmm"))</f>
        <v>OUT</v>
      </c>
      <c r="H4346" t="str">
        <f>UPPER(TEXT(Tabela_DB[[#This Row],[DATA]],"aaaa"))</f>
        <v>2021</v>
      </c>
    </row>
    <row r="4347" spans="1:8" x14ac:dyDescent="0.25">
      <c r="A4347" s="2">
        <v>44473</v>
      </c>
      <c r="B4347" t="s">
        <v>111</v>
      </c>
      <c r="C4347">
        <v>-2287</v>
      </c>
      <c r="D4347" t="str">
        <f>VLOOKUP(B4347,Tabela_Auxiliar[],2,0)</f>
        <v>2. Deduções da Receita</v>
      </c>
      <c r="E4347" t="str">
        <f>VLOOKUP(B4347,Tabela_Auxiliar[],4,0)</f>
        <v>Imposto</v>
      </c>
      <c r="F4347" t="str">
        <f>VLOOKUP(B4347,Tabela_Auxiliar[],3,0)</f>
        <v>Saída</v>
      </c>
      <c r="G4347" t="str">
        <f>UPPER(TEXT(Tabela_DB[[#This Row],[DATA]],"mmm"))</f>
        <v>OUT</v>
      </c>
      <c r="H4347" t="str">
        <f>UPPER(TEXT(Tabela_DB[[#This Row],[DATA]],"aaaa"))</f>
        <v>2021</v>
      </c>
    </row>
    <row r="4348" spans="1:8" x14ac:dyDescent="0.25">
      <c r="A4348" s="2">
        <v>44473</v>
      </c>
      <c r="B4348" t="s">
        <v>45</v>
      </c>
      <c r="C4348">
        <v>-2079</v>
      </c>
      <c r="D4348" t="str">
        <f>VLOOKUP(B4348,Tabela_Auxiliar[],2,0)</f>
        <v>4. Despesas Operacionais</v>
      </c>
      <c r="E4348" t="str">
        <f>VLOOKUP(B4348,Tabela_Auxiliar[],4,0)</f>
        <v>Despesa com Pessoal</v>
      </c>
      <c r="F4348" t="str">
        <f>VLOOKUP(B4348,Tabela_Auxiliar[],3,0)</f>
        <v>Saída</v>
      </c>
      <c r="G4348" t="str">
        <f>UPPER(TEXT(Tabela_DB[[#This Row],[DATA]],"mmm"))</f>
        <v>OUT</v>
      </c>
      <c r="H4348" t="str">
        <f>UPPER(TEXT(Tabela_DB[[#This Row],[DATA]],"aaaa"))</f>
        <v>2021</v>
      </c>
    </row>
    <row r="4349" spans="1:8" x14ac:dyDescent="0.25">
      <c r="A4349" s="2">
        <v>44473</v>
      </c>
      <c r="B4349" t="s">
        <v>8</v>
      </c>
      <c r="C4349">
        <v>-2500</v>
      </c>
      <c r="D4349" t="str">
        <f>VLOOKUP(B4349,Tabela_Auxiliar[],2,0)</f>
        <v>4. Despesas Operacionais</v>
      </c>
      <c r="E4349" t="str">
        <f>VLOOKUP(B4349,Tabela_Auxiliar[],4,0)</f>
        <v>Despesa com Pessoal</v>
      </c>
      <c r="F4349" t="str">
        <f>VLOOKUP(B4349,Tabela_Auxiliar[],3,0)</f>
        <v>Saída</v>
      </c>
      <c r="G4349" t="str">
        <f>UPPER(TEXT(Tabela_DB[[#This Row],[DATA]],"mmm"))</f>
        <v>OUT</v>
      </c>
      <c r="H4349" t="str">
        <f>UPPER(TEXT(Tabela_DB[[#This Row],[DATA]],"aaaa"))</f>
        <v>2021</v>
      </c>
    </row>
    <row r="4350" spans="1:8" x14ac:dyDescent="0.25">
      <c r="A4350" s="2">
        <v>44473</v>
      </c>
      <c r="B4350" t="s">
        <v>44</v>
      </c>
      <c r="C4350">
        <v>-1127</v>
      </c>
      <c r="D4350" t="str">
        <f>VLOOKUP(B4350,Tabela_Auxiliar[],2,0)</f>
        <v>4. Despesas Operacionais</v>
      </c>
      <c r="E4350" t="str">
        <f>VLOOKUP(B4350,Tabela_Auxiliar[],4,0)</f>
        <v>Despesa com Pessoal</v>
      </c>
      <c r="F4350" t="str">
        <f>VLOOKUP(B4350,Tabela_Auxiliar[],3,0)</f>
        <v>Saída</v>
      </c>
      <c r="G4350" t="str">
        <f>UPPER(TEXT(Tabela_DB[[#This Row],[DATA]],"mmm"))</f>
        <v>OUT</v>
      </c>
      <c r="H4350" t="str">
        <f>UPPER(TEXT(Tabela_DB[[#This Row],[DATA]],"aaaa"))</f>
        <v>2021</v>
      </c>
    </row>
    <row r="4351" spans="1:8" x14ac:dyDescent="0.25">
      <c r="A4351" s="2">
        <v>44474</v>
      </c>
      <c r="B4351" t="s">
        <v>87</v>
      </c>
      <c r="C4351">
        <v>-2466</v>
      </c>
      <c r="D4351" t="str">
        <f>VLOOKUP(B4351,Tabela_Auxiliar[],2,0)</f>
        <v>4. Despesas Operacionais</v>
      </c>
      <c r="E4351" t="str">
        <f>VLOOKUP(B4351,Tabela_Auxiliar[],4,0)</f>
        <v>Despesa Tributária</v>
      </c>
      <c r="F4351" t="str">
        <f>VLOOKUP(B4351,Tabela_Auxiliar[],3,0)</f>
        <v>Saída</v>
      </c>
      <c r="G4351" t="str">
        <f>UPPER(TEXT(Tabela_DB[[#This Row],[DATA]],"mmm"))</f>
        <v>OUT</v>
      </c>
      <c r="H4351" t="str">
        <f>UPPER(TEXT(Tabela_DB[[#This Row],[DATA]],"aaaa"))</f>
        <v>2021</v>
      </c>
    </row>
    <row r="4352" spans="1:8" x14ac:dyDescent="0.25">
      <c r="A4352" s="2">
        <v>44474</v>
      </c>
      <c r="B4352" t="s">
        <v>4</v>
      </c>
      <c r="C4352">
        <v>13900</v>
      </c>
      <c r="D4352" t="str">
        <f>VLOOKUP(B4352,Tabela_Auxiliar[],2,0)</f>
        <v>1. Receita Operacional Bruta</v>
      </c>
      <c r="E4352" t="str">
        <f>VLOOKUP(B4352,Tabela_Auxiliar[],4,0)</f>
        <v>Receita Bruta</v>
      </c>
      <c r="F4352" t="str">
        <f>VLOOKUP(B4352,Tabela_Auxiliar[],3,0)</f>
        <v>Entrada</v>
      </c>
      <c r="G4352" t="str">
        <f>UPPER(TEXT(Tabela_DB[[#This Row],[DATA]],"mmm"))</f>
        <v>OUT</v>
      </c>
      <c r="H4352" t="str">
        <f>UPPER(TEXT(Tabela_DB[[#This Row],[DATA]],"aaaa"))</f>
        <v>2021</v>
      </c>
    </row>
    <row r="4353" spans="1:8" x14ac:dyDescent="0.25">
      <c r="A4353" s="2">
        <v>44474</v>
      </c>
      <c r="B4353" t="s">
        <v>64</v>
      </c>
      <c r="C4353">
        <v>-1019</v>
      </c>
      <c r="D4353" t="str">
        <f>VLOOKUP(B4353,Tabela_Auxiliar[],2,0)</f>
        <v>4. Despesas Operacionais</v>
      </c>
      <c r="E4353" t="str">
        <f>VLOOKUP(B4353,Tabela_Auxiliar[],4,0)</f>
        <v>Despesa Gerais</v>
      </c>
      <c r="F4353" t="str">
        <f>VLOOKUP(B4353,Tabela_Auxiliar[],3,0)</f>
        <v>Saída</v>
      </c>
      <c r="G4353" t="str">
        <f>UPPER(TEXT(Tabela_DB[[#This Row],[DATA]],"mmm"))</f>
        <v>OUT</v>
      </c>
      <c r="H4353" t="str">
        <f>UPPER(TEXT(Tabela_DB[[#This Row],[DATA]],"aaaa"))</f>
        <v>2021</v>
      </c>
    </row>
    <row r="4354" spans="1:8" x14ac:dyDescent="0.25">
      <c r="A4354" s="2">
        <v>44474</v>
      </c>
      <c r="B4354" t="s">
        <v>34</v>
      </c>
      <c r="C4354">
        <v>-1886</v>
      </c>
      <c r="D4354" t="str">
        <f>VLOOKUP(B4354,Tabela_Auxiliar[],2,0)</f>
        <v>2. Deduções da Receita</v>
      </c>
      <c r="E4354" t="str">
        <f>VLOOKUP(B4354,Tabela_Auxiliar[],4,0)</f>
        <v>Imposto</v>
      </c>
      <c r="F4354" t="str">
        <f>VLOOKUP(B4354,Tabela_Auxiliar[],3,0)</f>
        <v>Saída</v>
      </c>
      <c r="G4354" t="str">
        <f>UPPER(TEXT(Tabela_DB[[#This Row],[DATA]],"mmm"))</f>
        <v>OUT</v>
      </c>
      <c r="H4354" t="str">
        <f>UPPER(TEXT(Tabela_DB[[#This Row],[DATA]],"aaaa"))</f>
        <v>2021</v>
      </c>
    </row>
    <row r="4355" spans="1:8" x14ac:dyDescent="0.25">
      <c r="A4355" s="2">
        <v>44474</v>
      </c>
      <c r="B4355" t="s">
        <v>44</v>
      </c>
      <c r="C4355">
        <v>-1020</v>
      </c>
      <c r="D4355" t="str">
        <f>VLOOKUP(B4355,Tabela_Auxiliar[],2,0)</f>
        <v>4. Despesas Operacionais</v>
      </c>
      <c r="E4355" t="str">
        <f>VLOOKUP(B4355,Tabela_Auxiliar[],4,0)</f>
        <v>Despesa com Pessoal</v>
      </c>
      <c r="F4355" t="str">
        <f>VLOOKUP(B4355,Tabela_Auxiliar[],3,0)</f>
        <v>Saída</v>
      </c>
      <c r="G4355" t="str">
        <f>UPPER(TEXT(Tabela_DB[[#This Row],[DATA]],"mmm"))</f>
        <v>OUT</v>
      </c>
      <c r="H4355" t="str">
        <f>UPPER(TEXT(Tabela_DB[[#This Row],[DATA]],"aaaa"))</f>
        <v>2021</v>
      </c>
    </row>
    <row r="4356" spans="1:8" x14ac:dyDescent="0.25">
      <c r="A4356" s="2">
        <v>44474</v>
      </c>
      <c r="B4356" t="s">
        <v>55</v>
      </c>
      <c r="C4356">
        <v>-1884</v>
      </c>
      <c r="D4356" t="str">
        <f>VLOOKUP(B4356,Tabela_Auxiliar[],2,0)</f>
        <v>4. Despesas Operacionais</v>
      </c>
      <c r="E4356" t="str">
        <f>VLOOKUP(B4356,Tabela_Auxiliar[],4,0)</f>
        <v>Despesa com Pessoal</v>
      </c>
      <c r="F4356" t="str">
        <f>VLOOKUP(B4356,Tabela_Auxiliar[],3,0)</f>
        <v>Saída</v>
      </c>
      <c r="G4356" t="str">
        <f>UPPER(TEXT(Tabela_DB[[#This Row],[DATA]],"mmm"))</f>
        <v>OUT</v>
      </c>
      <c r="H4356" t="str">
        <f>UPPER(TEXT(Tabela_DB[[#This Row],[DATA]],"aaaa"))</f>
        <v>2021</v>
      </c>
    </row>
    <row r="4357" spans="1:8" x14ac:dyDescent="0.25">
      <c r="A4357" s="2">
        <v>44474</v>
      </c>
      <c r="B4357" t="s">
        <v>4</v>
      </c>
      <c r="C4357">
        <v>14394</v>
      </c>
      <c r="D4357" t="str">
        <f>VLOOKUP(B4357,Tabela_Auxiliar[],2,0)</f>
        <v>1. Receita Operacional Bruta</v>
      </c>
      <c r="E4357" t="str">
        <f>VLOOKUP(B4357,Tabela_Auxiliar[],4,0)</f>
        <v>Receita Bruta</v>
      </c>
      <c r="F4357" t="str">
        <f>VLOOKUP(B4357,Tabela_Auxiliar[],3,0)</f>
        <v>Entrada</v>
      </c>
      <c r="G4357" t="str">
        <f>UPPER(TEXT(Tabela_DB[[#This Row],[DATA]],"mmm"))</f>
        <v>OUT</v>
      </c>
      <c r="H4357" t="str">
        <f>UPPER(TEXT(Tabela_DB[[#This Row],[DATA]],"aaaa"))</f>
        <v>2021</v>
      </c>
    </row>
    <row r="4358" spans="1:8" x14ac:dyDescent="0.25">
      <c r="A4358" s="2">
        <v>44474</v>
      </c>
      <c r="B4358" t="s">
        <v>4</v>
      </c>
      <c r="C4358">
        <v>12370</v>
      </c>
      <c r="D4358" t="str">
        <f>VLOOKUP(B4358,Tabela_Auxiliar[],2,0)</f>
        <v>1. Receita Operacional Bruta</v>
      </c>
      <c r="E4358" t="str">
        <f>VLOOKUP(B4358,Tabela_Auxiliar[],4,0)</f>
        <v>Receita Bruta</v>
      </c>
      <c r="F4358" t="str">
        <f>VLOOKUP(B4358,Tabela_Auxiliar[],3,0)</f>
        <v>Entrada</v>
      </c>
      <c r="G4358" t="str">
        <f>UPPER(TEXT(Tabela_DB[[#This Row],[DATA]],"mmm"))</f>
        <v>OUT</v>
      </c>
      <c r="H4358" t="str">
        <f>UPPER(TEXT(Tabela_DB[[#This Row],[DATA]],"aaaa"))</f>
        <v>2021</v>
      </c>
    </row>
    <row r="4359" spans="1:8" x14ac:dyDescent="0.25">
      <c r="A4359" s="2">
        <v>44474</v>
      </c>
      <c r="B4359" t="s">
        <v>61</v>
      </c>
      <c r="C4359">
        <v>-2188</v>
      </c>
      <c r="D4359" t="str">
        <f>VLOOKUP(B4359,Tabela_Auxiliar[],2,0)</f>
        <v>4. Despesas Operacionais</v>
      </c>
      <c r="E4359" t="str">
        <f>VLOOKUP(B4359,Tabela_Auxiliar[],4,0)</f>
        <v>Despesa de Depreciação</v>
      </c>
      <c r="F4359" t="str">
        <f>VLOOKUP(B4359,Tabela_Auxiliar[],3,0)</f>
        <v>Saída</v>
      </c>
      <c r="G4359" t="str">
        <f>UPPER(TEXT(Tabela_DB[[#This Row],[DATA]],"mmm"))</f>
        <v>OUT</v>
      </c>
      <c r="H4359" t="str">
        <f>UPPER(TEXT(Tabela_DB[[#This Row],[DATA]],"aaaa"))</f>
        <v>2021</v>
      </c>
    </row>
    <row r="4360" spans="1:8" x14ac:dyDescent="0.25">
      <c r="A4360" s="2">
        <v>44474</v>
      </c>
      <c r="B4360" t="s">
        <v>49</v>
      </c>
      <c r="C4360">
        <v>-1011</v>
      </c>
      <c r="D4360" t="str">
        <f>VLOOKUP(B4360,Tabela_Auxiliar[],2,0)</f>
        <v>4. Despesas Operacionais</v>
      </c>
      <c r="E4360" t="str">
        <f>VLOOKUP(B4360,Tabela_Auxiliar[],4,0)</f>
        <v>Despesa com Pessoal</v>
      </c>
      <c r="F4360" t="str">
        <f>VLOOKUP(B4360,Tabela_Auxiliar[],3,0)</f>
        <v>Saída</v>
      </c>
      <c r="G4360" t="str">
        <f>UPPER(TEXT(Tabela_DB[[#This Row],[DATA]],"mmm"))</f>
        <v>OUT</v>
      </c>
      <c r="H4360" t="str">
        <f>UPPER(TEXT(Tabela_DB[[#This Row],[DATA]],"aaaa"))</f>
        <v>2021</v>
      </c>
    </row>
    <row r="4361" spans="1:8" x14ac:dyDescent="0.25">
      <c r="A4361" s="2">
        <v>44475</v>
      </c>
      <c r="B4361" t="s">
        <v>35</v>
      </c>
      <c r="C4361">
        <v>-2204</v>
      </c>
      <c r="D4361" t="str">
        <f>VLOOKUP(B4361,Tabela_Auxiliar[],2,0)</f>
        <v>2. Deduções da Receita</v>
      </c>
      <c r="E4361" t="str">
        <f>VLOOKUP(B4361,Tabela_Auxiliar[],4,0)</f>
        <v>Imposto</v>
      </c>
      <c r="F4361" t="str">
        <f>VLOOKUP(B4361,Tabela_Auxiliar[],3,0)</f>
        <v>Saída</v>
      </c>
      <c r="G4361" t="str">
        <f>UPPER(TEXT(Tabela_DB[[#This Row],[DATA]],"mmm"))</f>
        <v>OUT</v>
      </c>
      <c r="H4361" t="str">
        <f>UPPER(TEXT(Tabela_DB[[#This Row],[DATA]],"aaaa"))</f>
        <v>2021</v>
      </c>
    </row>
    <row r="4362" spans="1:8" x14ac:dyDescent="0.25">
      <c r="A4362" s="2">
        <v>44475</v>
      </c>
      <c r="B4362" t="s">
        <v>35</v>
      </c>
      <c r="C4362">
        <v>-1570</v>
      </c>
      <c r="D4362" t="str">
        <f>VLOOKUP(B4362,Tabela_Auxiliar[],2,0)</f>
        <v>2. Deduções da Receita</v>
      </c>
      <c r="E4362" t="str">
        <f>VLOOKUP(B4362,Tabela_Auxiliar[],4,0)</f>
        <v>Imposto</v>
      </c>
      <c r="F4362" t="str">
        <f>VLOOKUP(B4362,Tabela_Auxiliar[],3,0)</f>
        <v>Saída</v>
      </c>
      <c r="G4362" t="str">
        <f>UPPER(TEXT(Tabela_DB[[#This Row],[DATA]],"mmm"))</f>
        <v>OUT</v>
      </c>
      <c r="H4362" t="str">
        <f>UPPER(TEXT(Tabela_DB[[#This Row],[DATA]],"aaaa"))</f>
        <v>2021</v>
      </c>
    </row>
    <row r="4363" spans="1:8" x14ac:dyDescent="0.25">
      <c r="A4363" s="2">
        <v>44475</v>
      </c>
      <c r="B4363" t="s">
        <v>81</v>
      </c>
      <c r="C4363">
        <v>-1522</v>
      </c>
      <c r="D4363" t="str">
        <f>VLOOKUP(B4363,Tabela_Auxiliar[],2,0)</f>
        <v>4. Despesas Operacionais</v>
      </c>
      <c r="E4363" t="str">
        <f>VLOOKUP(B4363,Tabela_Auxiliar[],4,0)</f>
        <v>Serviços Contratados</v>
      </c>
      <c r="F4363" t="str">
        <f>VLOOKUP(B4363,Tabela_Auxiliar[],3,0)</f>
        <v>Saída</v>
      </c>
      <c r="G4363" t="str">
        <f>UPPER(TEXT(Tabela_DB[[#This Row],[DATA]],"mmm"))</f>
        <v>OUT</v>
      </c>
      <c r="H4363" t="str">
        <f>UPPER(TEXT(Tabela_DB[[#This Row],[DATA]],"aaaa"))</f>
        <v>2021</v>
      </c>
    </row>
    <row r="4364" spans="1:8" x14ac:dyDescent="0.25">
      <c r="A4364" s="2">
        <v>44475</v>
      </c>
      <c r="B4364" t="s">
        <v>8</v>
      </c>
      <c r="C4364">
        <v>-2467</v>
      </c>
      <c r="D4364" t="str">
        <f>VLOOKUP(B4364,Tabela_Auxiliar[],2,0)</f>
        <v>4. Despesas Operacionais</v>
      </c>
      <c r="E4364" t="str">
        <f>VLOOKUP(B4364,Tabela_Auxiliar[],4,0)</f>
        <v>Despesa com Pessoal</v>
      </c>
      <c r="F4364" t="str">
        <f>VLOOKUP(B4364,Tabela_Auxiliar[],3,0)</f>
        <v>Saída</v>
      </c>
      <c r="G4364" t="str">
        <f>UPPER(TEXT(Tabela_DB[[#This Row],[DATA]],"mmm"))</f>
        <v>OUT</v>
      </c>
      <c r="H4364" t="str">
        <f>UPPER(TEXT(Tabela_DB[[#This Row],[DATA]],"aaaa"))</f>
        <v>2021</v>
      </c>
    </row>
    <row r="4365" spans="1:8" x14ac:dyDescent="0.25">
      <c r="A4365" s="2">
        <v>44475</v>
      </c>
      <c r="B4365" t="s">
        <v>4</v>
      </c>
      <c r="C4365">
        <v>13197</v>
      </c>
      <c r="D4365" t="str">
        <f>VLOOKUP(B4365,Tabela_Auxiliar[],2,0)</f>
        <v>1. Receita Operacional Bruta</v>
      </c>
      <c r="E4365" t="str">
        <f>VLOOKUP(B4365,Tabela_Auxiliar[],4,0)</f>
        <v>Receita Bruta</v>
      </c>
      <c r="F4365" t="str">
        <f>VLOOKUP(B4365,Tabela_Auxiliar[],3,0)</f>
        <v>Entrada</v>
      </c>
      <c r="G4365" t="str">
        <f>UPPER(TEXT(Tabela_DB[[#This Row],[DATA]],"mmm"))</f>
        <v>OUT</v>
      </c>
      <c r="H4365" t="str">
        <f>UPPER(TEXT(Tabela_DB[[#This Row],[DATA]],"aaaa"))</f>
        <v>2021</v>
      </c>
    </row>
    <row r="4366" spans="1:8" x14ac:dyDescent="0.25">
      <c r="A4366" s="2">
        <v>44475</v>
      </c>
      <c r="B4366" t="s">
        <v>4</v>
      </c>
      <c r="C4366">
        <v>13967</v>
      </c>
      <c r="D4366" t="str">
        <f>VLOOKUP(B4366,Tabela_Auxiliar[],2,0)</f>
        <v>1. Receita Operacional Bruta</v>
      </c>
      <c r="E4366" t="str">
        <f>VLOOKUP(B4366,Tabela_Auxiliar[],4,0)</f>
        <v>Receita Bruta</v>
      </c>
      <c r="F4366" t="str">
        <f>VLOOKUP(B4366,Tabela_Auxiliar[],3,0)</f>
        <v>Entrada</v>
      </c>
      <c r="G4366" t="str">
        <f>UPPER(TEXT(Tabela_DB[[#This Row],[DATA]],"mmm"))</f>
        <v>OUT</v>
      </c>
      <c r="H4366" t="str">
        <f>UPPER(TEXT(Tabela_DB[[#This Row],[DATA]],"aaaa"))</f>
        <v>2021</v>
      </c>
    </row>
    <row r="4367" spans="1:8" x14ac:dyDescent="0.25">
      <c r="A4367" s="2">
        <v>44475</v>
      </c>
      <c r="B4367" t="s">
        <v>102</v>
      </c>
      <c r="C4367">
        <v>-2446</v>
      </c>
      <c r="D4367" t="str">
        <f>VLOOKUP(B4367,Tabela_Auxiliar[],2,0)</f>
        <v>6. Resultado após o Resultado Financeiro</v>
      </c>
      <c r="E4367" t="str">
        <f>VLOOKUP(B4367,Tabela_Auxiliar[],4,0)</f>
        <v>EBTIDA</v>
      </c>
      <c r="F4367" t="str">
        <f>VLOOKUP(B4367,Tabela_Auxiliar[],3,0)</f>
        <v>Saída</v>
      </c>
      <c r="G4367" t="str">
        <f>UPPER(TEXT(Tabela_DB[[#This Row],[DATA]],"mmm"))</f>
        <v>OUT</v>
      </c>
      <c r="H4367" t="str">
        <f>UPPER(TEXT(Tabela_DB[[#This Row],[DATA]],"aaaa"))</f>
        <v>2021</v>
      </c>
    </row>
    <row r="4368" spans="1:8" x14ac:dyDescent="0.25">
      <c r="A4368" s="2">
        <v>44476</v>
      </c>
      <c r="B4368" t="s">
        <v>4</v>
      </c>
      <c r="C4368">
        <v>11225</v>
      </c>
      <c r="D4368" t="str">
        <f>VLOOKUP(B4368,Tabela_Auxiliar[],2,0)</f>
        <v>1. Receita Operacional Bruta</v>
      </c>
      <c r="E4368" t="str">
        <f>VLOOKUP(B4368,Tabela_Auxiliar[],4,0)</f>
        <v>Receita Bruta</v>
      </c>
      <c r="F4368" t="str">
        <f>VLOOKUP(B4368,Tabela_Auxiliar[],3,0)</f>
        <v>Entrada</v>
      </c>
      <c r="G4368" t="str">
        <f>UPPER(TEXT(Tabela_DB[[#This Row],[DATA]],"mmm"))</f>
        <v>OUT</v>
      </c>
      <c r="H4368" t="str">
        <f>UPPER(TEXT(Tabela_DB[[#This Row],[DATA]],"aaaa"))</f>
        <v>2021</v>
      </c>
    </row>
    <row r="4369" spans="1:8" x14ac:dyDescent="0.25">
      <c r="A4369" s="2">
        <v>44476</v>
      </c>
      <c r="B4369" t="s">
        <v>37</v>
      </c>
      <c r="C4369">
        <v>-3471</v>
      </c>
      <c r="D4369" t="str">
        <f>VLOOKUP(B4369,Tabela_Auxiliar[],2,0)</f>
        <v>3. Custos do Produto/Mercadoria/Serviço</v>
      </c>
      <c r="E4369" t="str">
        <f>VLOOKUP(B4369,Tabela_Auxiliar[],4,0)</f>
        <v>Despesas c/ Produto</v>
      </c>
      <c r="F4369" t="str">
        <f>VLOOKUP(B4369,Tabela_Auxiliar[],3,0)</f>
        <v>Saída</v>
      </c>
      <c r="G4369" t="str">
        <f>UPPER(TEXT(Tabela_DB[[#This Row],[DATA]],"mmm"))</f>
        <v>OUT</v>
      </c>
      <c r="H4369" t="str">
        <f>UPPER(TEXT(Tabela_DB[[#This Row],[DATA]],"aaaa"))</f>
        <v>2021</v>
      </c>
    </row>
    <row r="4370" spans="1:8" x14ac:dyDescent="0.25">
      <c r="A4370" s="2">
        <v>44476</v>
      </c>
      <c r="B4370" t="s">
        <v>38</v>
      </c>
      <c r="C4370">
        <v>-1691</v>
      </c>
      <c r="D4370" t="str">
        <f>VLOOKUP(B4370,Tabela_Auxiliar[],2,0)</f>
        <v>2. Deduções da Receita</v>
      </c>
      <c r="E4370" t="str">
        <f>VLOOKUP(B4370,Tabela_Auxiliar[],4,0)</f>
        <v>Deduções</v>
      </c>
      <c r="F4370" t="str">
        <f>VLOOKUP(B4370,Tabela_Auxiliar[],3,0)</f>
        <v>Saída</v>
      </c>
      <c r="G4370" t="str">
        <f>UPPER(TEXT(Tabela_DB[[#This Row],[DATA]],"mmm"))</f>
        <v>OUT</v>
      </c>
      <c r="H4370" t="str">
        <f>UPPER(TEXT(Tabela_DB[[#This Row],[DATA]],"aaaa"))</f>
        <v>2021</v>
      </c>
    </row>
    <row r="4371" spans="1:8" x14ac:dyDescent="0.25">
      <c r="A4371" s="2">
        <v>44476</v>
      </c>
      <c r="B4371" t="s">
        <v>111</v>
      </c>
      <c r="C4371">
        <v>-2018</v>
      </c>
      <c r="D4371" t="str">
        <f>VLOOKUP(B4371,Tabela_Auxiliar[],2,0)</f>
        <v>2. Deduções da Receita</v>
      </c>
      <c r="E4371" t="str">
        <f>VLOOKUP(B4371,Tabela_Auxiliar[],4,0)</f>
        <v>Imposto</v>
      </c>
      <c r="F4371" t="str">
        <f>VLOOKUP(B4371,Tabela_Auxiliar[],3,0)</f>
        <v>Saída</v>
      </c>
      <c r="G4371" t="str">
        <f>UPPER(TEXT(Tabela_DB[[#This Row],[DATA]],"mmm"))</f>
        <v>OUT</v>
      </c>
      <c r="H4371" t="str">
        <f>UPPER(TEXT(Tabela_DB[[#This Row],[DATA]],"aaaa"))</f>
        <v>2021</v>
      </c>
    </row>
    <row r="4372" spans="1:8" x14ac:dyDescent="0.25">
      <c r="A4372" s="2">
        <v>44476</v>
      </c>
      <c r="B4372" t="s">
        <v>60</v>
      </c>
      <c r="C4372">
        <v>-2065</v>
      </c>
      <c r="D4372" t="str">
        <f>VLOOKUP(B4372,Tabela_Auxiliar[],2,0)</f>
        <v>4. Despesas Operacionais</v>
      </c>
      <c r="E4372" t="str">
        <f>VLOOKUP(B4372,Tabela_Auxiliar[],4,0)</f>
        <v>Despesa de Depreciação</v>
      </c>
      <c r="F4372" t="str">
        <f>VLOOKUP(B4372,Tabela_Auxiliar[],3,0)</f>
        <v>Saída</v>
      </c>
      <c r="G4372" t="str">
        <f>UPPER(TEXT(Tabela_DB[[#This Row],[DATA]],"mmm"))</f>
        <v>OUT</v>
      </c>
      <c r="H4372" t="str">
        <f>UPPER(TEXT(Tabela_DB[[#This Row],[DATA]],"aaaa"))</f>
        <v>2021</v>
      </c>
    </row>
    <row r="4373" spans="1:8" x14ac:dyDescent="0.25">
      <c r="A4373" s="2">
        <v>44476</v>
      </c>
      <c r="B4373" t="s">
        <v>37</v>
      </c>
      <c r="C4373">
        <v>-3000</v>
      </c>
      <c r="D4373" t="str">
        <f>VLOOKUP(B4373,Tabela_Auxiliar[],2,0)</f>
        <v>3. Custos do Produto/Mercadoria/Serviço</v>
      </c>
      <c r="E4373" t="str">
        <f>VLOOKUP(B4373,Tabela_Auxiliar[],4,0)</f>
        <v>Despesas c/ Produto</v>
      </c>
      <c r="F4373" t="str">
        <f>VLOOKUP(B4373,Tabela_Auxiliar[],3,0)</f>
        <v>Saída</v>
      </c>
      <c r="G4373" t="str">
        <f>UPPER(TEXT(Tabela_DB[[#This Row],[DATA]],"mmm"))</f>
        <v>OUT</v>
      </c>
      <c r="H4373" t="str">
        <f>UPPER(TEXT(Tabela_DB[[#This Row],[DATA]],"aaaa"))</f>
        <v>2021</v>
      </c>
    </row>
    <row r="4374" spans="1:8" x14ac:dyDescent="0.25">
      <c r="A4374" s="2">
        <v>44476</v>
      </c>
      <c r="B4374" t="s">
        <v>102</v>
      </c>
      <c r="C4374">
        <v>-2207</v>
      </c>
      <c r="D4374" t="str">
        <f>VLOOKUP(B4374,Tabela_Auxiliar[],2,0)</f>
        <v>6. Resultado após o Resultado Financeiro</v>
      </c>
      <c r="E4374" t="str">
        <f>VLOOKUP(B4374,Tabela_Auxiliar[],4,0)</f>
        <v>EBTIDA</v>
      </c>
      <c r="F4374" t="str">
        <f>VLOOKUP(B4374,Tabela_Auxiliar[],3,0)</f>
        <v>Saída</v>
      </c>
      <c r="G4374" t="str">
        <f>UPPER(TEXT(Tabela_DB[[#This Row],[DATA]],"mmm"))</f>
        <v>OUT</v>
      </c>
      <c r="H4374" t="str">
        <f>UPPER(TEXT(Tabela_DB[[#This Row],[DATA]],"aaaa"))</f>
        <v>2021</v>
      </c>
    </row>
    <row r="4375" spans="1:8" x14ac:dyDescent="0.25">
      <c r="A4375" s="2">
        <v>44476</v>
      </c>
      <c r="B4375" t="s">
        <v>4</v>
      </c>
      <c r="C4375">
        <v>11008</v>
      </c>
      <c r="D4375" t="str">
        <f>VLOOKUP(B4375,Tabela_Auxiliar[],2,0)</f>
        <v>1. Receita Operacional Bruta</v>
      </c>
      <c r="E4375" t="str">
        <f>VLOOKUP(B4375,Tabela_Auxiliar[],4,0)</f>
        <v>Receita Bruta</v>
      </c>
      <c r="F4375" t="str">
        <f>VLOOKUP(B4375,Tabela_Auxiliar[],3,0)</f>
        <v>Entrada</v>
      </c>
      <c r="G4375" t="str">
        <f>UPPER(TEXT(Tabela_DB[[#This Row],[DATA]],"mmm"))</f>
        <v>OUT</v>
      </c>
      <c r="H4375" t="str">
        <f>UPPER(TEXT(Tabela_DB[[#This Row],[DATA]],"aaaa"))</f>
        <v>2021</v>
      </c>
    </row>
    <row r="4376" spans="1:8" x14ac:dyDescent="0.25">
      <c r="A4376" s="2">
        <v>44476</v>
      </c>
      <c r="B4376" t="s">
        <v>38</v>
      </c>
      <c r="C4376">
        <v>-1332</v>
      </c>
      <c r="D4376" t="str">
        <f>VLOOKUP(B4376,Tabela_Auxiliar[],2,0)</f>
        <v>2. Deduções da Receita</v>
      </c>
      <c r="E4376" t="str">
        <f>VLOOKUP(B4376,Tabela_Auxiliar[],4,0)</f>
        <v>Deduções</v>
      </c>
      <c r="F4376" t="str">
        <f>VLOOKUP(B4376,Tabela_Auxiliar[],3,0)</f>
        <v>Saída</v>
      </c>
      <c r="G4376" t="str">
        <f>UPPER(TEXT(Tabela_DB[[#This Row],[DATA]],"mmm"))</f>
        <v>OUT</v>
      </c>
      <c r="H4376" t="str">
        <f>UPPER(TEXT(Tabela_DB[[#This Row],[DATA]],"aaaa"))</f>
        <v>2021</v>
      </c>
    </row>
    <row r="4377" spans="1:8" x14ac:dyDescent="0.25">
      <c r="A4377" s="2">
        <v>44476</v>
      </c>
      <c r="B4377" t="s">
        <v>37</v>
      </c>
      <c r="C4377">
        <v>-3414</v>
      </c>
      <c r="D4377" t="str">
        <f>VLOOKUP(B4377,Tabela_Auxiliar[],2,0)</f>
        <v>3. Custos do Produto/Mercadoria/Serviço</v>
      </c>
      <c r="E4377" t="str">
        <f>VLOOKUP(B4377,Tabela_Auxiliar[],4,0)</f>
        <v>Despesas c/ Produto</v>
      </c>
      <c r="F4377" t="str">
        <f>VLOOKUP(B4377,Tabela_Auxiliar[],3,0)</f>
        <v>Saída</v>
      </c>
      <c r="G4377" t="str">
        <f>UPPER(TEXT(Tabela_DB[[#This Row],[DATA]],"mmm"))</f>
        <v>OUT</v>
      </c>
      <c r="H4377" t="str">
        <f>UPPER(TEXT(Tabela_DB[[#This Row],[DATA]],"aaaa"))</f>
        <v>2021</v>
      </c>
    </row>
    <row r="4378" spans="1:8" x14ac:dyDescent="0.25">
      <c r="A4378" s="2">
        <v>44476</v>
      </c>
      <c r="B4378" t="s">
        <v>58</v>
      </c>
      <c r="C4378">
        <v>-1452</v>
      </c>
      <c r="D4378" t="str">
        <f>VLOOKUP(B4378,Tabela_Auxiliar[],2,0)</f>
        <v>4. Despesas Operacionais</v>
      </c>
      <c r="E4378" t="str">
        <f>VLOOKUP(B4378,Tabela_Auxiliar[],4,0)</f>
        <v>Despesa de Depreciação</v>
      </c>
      <c r="F4378" t="str">
        <f>VLOOKUP(B4378,Tabela_Auxiliar[],3,0)</f>
        <v>Saída</v>
      </c>
      <c r="G4378" t="str">
        <f>UPPER(TEXT(Tabela_DB[[#This Row],[DATA]],"mmm"))</f>
        <v>OUT</v>
      </c>
      <c r="H4378" t="str">
        <f>UPPER(TEXT(Tabela_DB[[#This Row],[DATA]],"aaaa"))</f>
        <v>2021</v>
      </c>
    </row>
    <row r="4379" spans="1:8" x14ac:dyDescent="0.25">
      <c r="A4379" s="2">
        <v>44476</v>
      </c>
      <c r="B4379" t="s">
        <v>34</v>
      </c>
      <c r="C4379">
        <v>-1066</v>
      </c>
      <c r="D4379" t="str">
        <f>VLOOKUP(B4379,Tabela_Auxiliar[],2,0)</f>
        <v>2. Deduções da Receita</v>
      </c>
      <c r="E4379" t="str">
        <f>VLOOKUP(B4379,Tabela_Auxiliar[],4,0)</f>
        <v>Imposto</v>
      </c>
      <c r="F4379" t="str">
        <f>VLOOKUP(B4379,Tabela_Auxiliar[],3,0)</f>
        <v>Saída</v>
      </c>
      <c r="G4379" t="str">
        <f>UPPER(TEXT(Tabela_DB[[#This Row],[DATA]],"mmm"))</f>
        <v>OUT</v>
      </c>
      <c r="H4379" t="str">
        <f>UPPER(TEXT(Tabela_DB[[#This Row],[DATA]],"aaaa"))</f>
        <v>2021</v>
      </c>
    </row>
    <row r="4380" spans="1:8" x14ac:dyDescent="0.25">
      <c r="A4380" s="2">
        <v>44477</v>
      </c>
      <c r="B4380" t="s">
        <v>111</v>
      </c>
      <c r="C4380">
        <v>-1727</v>
      </c>
      <c r="D4380" t="str">
        <f>VLOOKUP(B4380,Tabela_Auxiliar[],2,0)</f>
        <v>2. Deduções da Receita</v>
      </c>
      <c r="E4380" t="str">
        <f>VLOOKUP(B4380,Tabela_Auxiliar[],4,0)</f>
        <v>Imposto</v>
      </c>
      <c r="F4380" t="str">
        <f>VLOOKUP(B4380,Tabela_Auxiliar[],3,0)</f>
        <v>Saída</v>
      </c>
      <c r="G4380" t="str">
        <f>UPPER(TEXT(Tabela_DB[[#This Row],[DATA]],"mmm"))</f>
        <v>OUT</v>
      </c>
      <c r="H4380" t="str">
        <f>UPPER(TEXT(Tabela_DB[[#This Row],[DATA]],"aaaa"))</f>
        <v>2021</v>
      </c>
    </row>
    <row r="4381" spans="1:8" x14ac:dyDescent="0.25">
      <c r="A4381" s="2">
        <v>44477</v>
      </c>
      <c r="B4381" t="s">
        <v>78</v>
      </c>
      <c r="C4381">
        <v>-1177</v>
      </c>
      <c r="D4381" t="str">
        <f>VLOOKUP(B4381,Tabela_Auxiliar[],2,0)</f>
        <v>4. Despesas Operacionais</v>
      </c>
      <c r="E4381" t="str">
        <f>VLOOKUP(B4381,Tabela_Auxiliar[],4,0)</f>
        <v>Serviços Contratados</v>
      </c>
      <c r="F4381" t="str">
        <f>VLOOKUP(B4381,Tabela_Auxiliar[],3,0)</f>
        <v>Saída</v>
      </c>
      <c r="G4381" t="str">
        <f>UPPER(TEXT(Tabela_DB[[#This Row],[DATA]],"mmm"))</f>
        <v>OUT</v>
      </c>
      <c r="H4381" t="str">
        <f>UPPER(TEXT(Tabela_DB[[#This Row],[DATA]],"aaaa"))</f>
        <v>2021</v>
      </c>
    </row>
    <row r="4382" spans="1:8" x14ac:dyDescent="0.25">
      <c r="A4382" s="2">
        <v>44477</v>
      </c>
      <c r="B4382" t="s">
        <v>33</v>
      </c>
      <c r="C4382">
        <v>-1310</v>
      </c>
      <c r="D4382" t="str">
        <f>VLOOKUP(B4382,Tabela_Auxiliar[],2,0)</f>
        <v>4. Despesas Operacionais</v>
      </c>
      <c r="E4382" t="str">
        <f>VLOOKUP(B4382,Tabela_Auxiliar[],4,0)</f>
        <v>Despesa com Vendas</v>
      </c>
      <c r="F4382" t="str">
        <f>VLOOKUP(B4382,Tabela_Auxiliar[],3,0)</f>
        <v>Saída</v>
      </c>
      <c r="G4382" t="str">
        <f>UPPER(TEXT(Tabela_DB[[#This Row],[DATA]],"mmm"))</f>
        <v>OUT</v>
      </c>
      <c r="H4382" t="str">
        <f>UPPER(TEXT(Tabela_DB[[#This Row],[DATA]],"aaaa"))</f>
        <v>2021</v>
      </c>
    </row>
    <row r="4383" spans="1:8" x14ac:dyDescent="0.25">
      <c r="A4383" s="2">
        <v>44477</v>
      </c>
      <c r="B4383" t="s">
        <v>4</v>
      </c>
      <c r="C4383">
        <v>11307</v>
      </c>
      <c r="D4383" t="str">
        <f>VLOOKUP(B4383,Tabela_Auxiliar[],2,0)</f>
        <v>1. Receita Operacional Bruta</v>
      </c>
      <c r="E4383" t="str">
        <f>VLOOKUP(B4383,Tabela_Auxiliar[],4,0)</f>
        <v>Receita Bruta</v>
      </c>
      <c r="F4383" t="str">
        <f>VLOOKUP(B4383,Tabela_Auxiliar[],3,0)</f>
        <v>Entrada</v>
      </c>
      <c r="G4383" t="str">
        <f>UPPER(TEXT(Tabela_DB[[#This Row],[DATA]],"mmm"))</f>
        <v>OUT</v>
      </c>
      <c r="H4383" t="str">
        <f>UPPER(TEXT(Tabela_DB[[#This Row],[DATA]],"aaaa"))</f>
        <v>2021</v>
      </c>
    </row>
    <row r="4384" spans="1:8" x14ac:dyDescent="0.25">
      <c r="A4384" s="2">
        <v>44477</v>
      </c>
      <c r="B4384" t="s">
        <v>4</v>
      </c>
      <c r="C4384">
        <v>14327</v>
      </c>
      <c r="D4384" t="str">
        <f>VLOOKUP(B4384,Tabela_Auxiliar[],2,0)</f>
        <v>1. Receita Operacional Bruta</v>
      </c>
      <c r="E4384" t="str">
        <f>VLOOKUP(B4384,Tabela_Auxiliar[],4,0)</f>
        <v>Receita Bruta</v>
      </c>
      <c r="F4384" t="str">
        <f>VLOOKUP(B4384,Tabela_Auxiliar[],3,0)</f>
        <v>Entrada</v>
      </c>
      <c r="G4384" t="str">
        <f>UPPER(TEXT(Tabela_DB[[#This Row],[DATA]],"mmm"))</f>
        <v>OUT</v>
      </c>
      <c r="H4384" t="str">
        <f>UPPER(TEXT(Tabela_DB[[#This Row],[DATA]],"aaaa"))</f>
        <v>2021</v>
      </c>
    </row>
    <row r="4385" spans="1:8" x14ac:dyDescent="0.25">
      <c r="A4385" s="2">
        <v>44478</v>
      </c>
      <c r="B4385" t="s">
        <v>68</v>
      </c>
      <c r="C4385">
        <v>-1616</v>
      </c>
      <c r="D4385" t="str">
        <f>VLOOKUP(B4385,Tabela_Auxiliar[],2,0)</f>
        <v>4. Despesas Operacionais</v>
      </c>
      <c r="E4385" t="str">
        <f>VLOOKUP(B4385,Tabela_Auxiliar[],4,0)</f>
        <v>Despesa com Ocupação</v>
      </c>
      <c r="F4385" t="str">
        <f>VLOOKUP(B4385,Tabela_Auxiliar[],3,0)</f>
        <v>Saída</v>
      </c>
      <c r="G4385" t="str">
        <f>UPPER(TEXT(Tabela_DB[[#This Row],[DATA]],"mmm"))</f>
        <v>OUT</v>
      </c>
      <c r="H4385" t="str">
        <f>UPPER(TEXT(Tabela_DB[[#This Row],[DATA]],"aaaa"))</f>
        <v>2021</v>
      </c>
    </row>
    <row r="4386" spans="1:8" x14ac:dyDescent="0.25">
      <c r="A4386" s="2">
        <v>44478</v>
      </c>
      <c r="B4386" t="s">
        <v>62</v>
      </c>
      <c r="C4386">
        <v>-1116</v>
      </c>
      <c r="D4386" t="str">
        <f>VLOOKUP(B4386,Tabela_Auxiliar[],2,0)</f>
        <v>4. Despesas Operacionais</v>
      </c>
      <c r="E4386" t="str">
        <f>VLOOKUP(B4386,Tabela_Auxiliar[],4,0)</f>
        <v>Despesa Gerais</v>
      </c>
      <c r="F4386" t="str">
        <f>VLOOKUP(B4386,Tabela_Auxiliar[],3,0)</f>
        <v>Saída</v>
      </c>
      <c r="G4386" t="str">
        <f>UPPER(TEXT(Tabela_DB[[#This Row],[DATA]],"mmm"))</f>
        <v>OUT</v>
      </c>
      <c r="H4386" t="str">
        <f>UPPER(TEXT(Tabela_DB[[#This Row],[DATA]],"aaaa"))</f>
        <v>2021</v>
      </c>
    </row>
    <row r="4387" spans="1:8" x14ac:dyDescent="0.25">
      <c r="A4387" s="2">
        <v>44478</v>
      </c>
      <c r="B4387" t="s">
        <v>44</v>
      </c>
      <c r="C4387">
        <v>-2245</v>
      </c>
      <c r="D4387" t="str">
        <f>VLOOKUP(B4387,Tabela_Auxiliar[],2,0)</f>
        <v>4. Despesas Operacionais</v>
      </c>
      <c r="E4387" t="str">
        <f>VLOOKUP(B4387,Tabela_Auxiliar[],4,0)</f>
        <v>Despesa com Pessoal</v>
      </c>
      <c r="F4387" t="str">
        <f>VLOOKUP(B4387,Tabela_Auxiliar[],3,0)</f>
        <v>Saída</v>
      </c>
      <c r="G4387" t="str">
        <f>UPPER(TEXT(Tabela_DB[[#This Row],[DATA]],"mmm"))</f>
        <v>OUT</v>
      </c>
      <c r="H4387" t="str">
        <f>UPPER(TEXT(Tabela_DB[[#This Row],[DATA]],"aaaa"))</f>
        <v>2021</v>
      </c>
    </row>
    <row r="4388" spans="1:8" x14ac:dyDescent="0.25">
      <c r="A4388" s="2">
        <v>44478</v>
      </c>
      <c r="B4388" t="s">
        <v>87</v>
      </c>
      <c r="C4388">
        <v>-2365</v>
      </c>
      <c r="D4388" t="str">
        <f>VLOOKUP(B4388,Tabela_Auxiliar[],2,0)</f>
        <v>4. Despesas Operacionais</v>
      </c>
      <c r="E4388" t="str">
        <f>VLOOKUP(B4388,Tabela_Auxiliar[],4,0)</f>
        <v>Despesa Tributária</v>
      </c>
      <c r="F4388" t="str">
        <f>VLOOKUP(B4388,Tabela_Auxiliar[],3,0)</f>
        <v>Saída</v>
      </c>
      <c r="G4388" t="str">
        <f>UPPER(TEXT(Tabela_DB[[#This Row],[DATA]],"mmm"))</f>
        <v>OUT</v>
      </c>
      <c r="H4388" t="str">
        <f>UPPER(TEXT(Tabela_DB[[#This Row],[DATA]],"aaaa"))</f>
        <v>2021</v>
      </c>
    </row>
    <row r="4389" spans="1:8" x14ac:dyDescent="0.25">
      <c r="A4389" s="2">
        <v>44479</v>
      </c>
      <c r="B4389" t="s">
        <v>81</v>
      </c>
      <c r="C4389">
        <v>-1064</v>
      </c>
      <c r="D4389" t="str">
        <f>VLOOKUP(B4389,Tabela_Auxiliar[],2,0)</f>
        <v>4. Despesas Operacionais</v>
      </c>
      <c r="E4389" t="str">
        <f>VLOOKUP(B4389,Tabela_Auxiliar[],4,0)</f>
        <v>Serviços Contratados</v>
      </c>
      <c r="F4389" t="str">
        <f>VLOOKUP(B4389,Tabela_Auxiliar[],3,0)</f>
        <v>Saída</v>
      </c>
      <c r="G4389" t="str">
        <f>UPPER(TEXT(Tabela_DB[[#This Row],[DATA]],"mmm"))</f>
        <v>OUT</v>
      </c>
      <c r="H4389" t="str">
        <f>UPPER(TEXT(Tabela_DB[[#This Row],[DATA]],"aaaa"))</f>
        <v>2021</v>
      </c>
    </row>
    <row r="4390" spans="1:8" x14ac:dyDescent="0.25">
      <c r="A4390" s="2">
        <v>44479</v>
      </c>
      <c r="B4390" t="s">
        <v>35</v>
      </c>
      <c r="C4390">
        <v>-1333</v>
      </c>
      <c r="D4390" t="str">
        <f>VLOOKUP(B4390,Tabela_Auxiliar[],2,0)</f>
        <v>2. Deduções da Receita</v>
      </c>
      <c r="E4390" t="str">
        <f>VLOOKUP(B4390,Tabela_Auxiliar[],4,0)</f>
        <v>Imposto</v>
      </c>
      <c r="F4390" t="str">
        <f>VLOOKUP(B4390,Tabela_Auxiliar[],3,0)</f>
        <v>Saída</v>
      </c>
      <c r="G4390" t="str">
        <f>UPPER(TEXT(Tabela_DB[[#This Row],[DATA]],"mmm"))</f>
        <v>OUT</v>
      </c>
      <c r="H4390" t="str">
        <f>UPPER(TEXT(Tabela_DB[[#This Row],[DATA]],"aaaa"))</f>
        <v>2021</v>
      </c>
    </row>
    <row r="4391" spans="1:8" x14ac:dyDescent="0.25">
      <c r="A4391" s="2">
        <v>44479</v>
      </c>
      <c r="B4391" t="s">
        <v>38</v>
      </c>
      <c r="C4391">
        <v>-2114</v>
      </c>
      <c r="D4391" t="str">
        <f>VLOOKUP(B4391,Tabela_Auxiliar[],2,0)</f>
        <v>2. Deduções da Receita</v>
      </c>
      <c r="E4391" t="str">
        <f>VLOOKUP(B4391,Tabela_Auxiliar[],4,0)</f>
        <v>Deduções</v>
      </c>
      <c r="F4391" t="str">
        <f>VLOOKUP(B4391,Tabela_Auxiliar[],3,0)</f>
        <v>Saída</v>
      </c>
      <c r="G4391" t="str">
        <f>UPPER(TEXT(Tabela_DB[[#This Row],[DATA]],"mmm"))</f>
        <v>OUT</v>
      </c>
      <c r="H4391" t="str">
        <f>UPPER(TEXT(Tabela_DB[[#This Row],[DATA]],"aaaa"))</f>
        <v>2021</v>
      </c>
    </row>
    <row r="4392" spans="1:8" x14ac:dyDescent="0.25">
      <c r="A4392" s="2">
        <v>44479</v>
      </c>
      <c r="B4392" t="s">
        <v>38</v>
      </c>
      <c r="C4392">
        <v>-1924</v>
      </c>
      <c r="D4392" t="str">
        <f>VLOOKUP(B4392,Tabela_Auxiliar[],2,0)</f>
        <v>2. Deduções da Receita</v>
      </c>
      <c r="E4392" t="str">
        <f>VLOOKUP(B4392,Tabela_Auxiliar[],4,0)</f>
        <v>Deduções</v>
      </c>
      <c r="F4392" t="str">
        <f>VLOOKUP(B4392,Tabela_Auxiliar[],3,0)</f>
        <v>Saída</v>
      </c>
      <c r="G4392" t="str">
        <f>UPPER(TEXT(Tabela_DB[[#This Row],[DATA]],"mmm"))</f>
        <v>OUT</v>
      </c>
      <c r="H4392" t="str">
        <f>UPPER(TEXT(Tabela_DB[[#This Row],[DATA]],"aaaa"))</f>
        <v>2021</v>
      </c>
    </row>
    <row r="4393" spans="1:8" x14ac:dyDescent="0.25">
      <c r="A4393" s="2">
        <v>44479</v>
      </c>
      <c r="B4393" t="s">
        <v>44</v>
      </c>
      <c r="C4393">
        <v>-2328</v>
      </c>
      <c r="D4393" t="str">
        <f>VLOOKUP(B4393,Tabela_Auxiliar[],2,0)</f>
        <v>4. Despesas Operacionais</v>
      </c>
      <c r="E4393" t="str">
        <f>VLOOKUP(B4393,Tabela_Auxiliar[],4,0)</f>
        <v>Despesa com Pessoal</v>
      </c>
      <c r="F4393" t="str">
        <f>VLOOKUP(B4393,Tabela_Auxiliar[],3,0)</f>
        <v>Saída</v>
      </c>
      <c r="G4393" t="str">
        <f>UPPER(TEXT(Tabela_DB[[#This Row],[DATA]],"mmm"))</f>
        <v>OUT</v>
      </c>
      <c r="H4393" t="str">
        <f>UPPER(TEXT(Tabela_DB[[#This Row],[DATA]],"aaaa"))</f>
        <v>2021</v>
      </c>
    </row>
    <row r="4394" spans="1:8" x14ac:dyDescent="0.25">
      <c r="A4394" s="2">
        <v>44479</v>
      </c>
      <c r="B4394" t="s">
        <v>38</v>
      </c>
      <c r="C4394">
        <v>-1816</v>
      </c>
      <c r="D4394" t="str">
        <f>VLOOKUP(B4394,Tabela_Auxiliar[],2,0)</f>
        <v>2. Deduções da Receita</v>
      </c>
      <c r="E4394" t="str">
        <f>VLOOKUP(B4394,Tabela_Auxiliar[],4,0)</f>
        <v>Deduções</v>
      </c>
      <c r="F4394" t="str">
        <f>VLOOKUP(B4394,Tabela_Auxiliar[],3,0)</f>
        <v>Saída</v>
      </c>
      <c r="G4394" t="str">
        <f>UPPER(TEXT(Tabela_DB[[#This Row],[DATA]],"mmm"))</f>
        <v>OUT</v>
      </c>
      <c r="H4394" t="str">
        <f>UPPER(TEXT(Tabela_DB[[#This Row],[DATA]],"aaaa"))</f>
        <v>2021</v>
      </c>
    </row>
    <row r="4395" spans="1:8" x14ac:dyDescent="0.25">
      <c r="A4395" s="2">
        <v>44479</v>
      </c>
      <c r="B4395" t="s">
        <v>83</v>
      </c>
      <c r="C4395">
        <v>-1262</v>
      </c>
      <c r="D4395" t="str">
        <f>VLOOKUP(B4395,Tabela_Auxiliar[],2,0)</f>
        <v>4. Despesas Operacionais</v>
      </c>
      <c r="E4395" t="str">
        <f>VLOOKUP(B4395,Tabela_Auxiliar[],4,0)</f>
        <v>Despesa com Veículos</v>
      </c>
      <c r="F4395" t="str">
        <f>VLOOKUP(B4395,Tabela_Auxiliar[],3,0)</f>
        <v>Saída</v>
      </c>
      <c r="G4395" t="str">
        <f>UPPER(TEXT(Tabela_DB[[#This Row],[DATA]],"mmm"))</f>
        <v>OUT</v>
      </c>
      <c r="H4395" t="str">
        <f>UPPER(TEXT(Tabela_DB[[#This Row],[DATA]],"aaaa"))</f>
        <v>2021</v>
      </c>
    </row>
    <row r="4396" spans="1:8" x14ac:dyDescent="0.25">
      <c r="A4396" s="2">
        <v>44479</v>
      </c>
      <c r="B4396" t="s">
        <v>3</v>
      </c>
      <c r="C4396">
        <v>12349</v>
      </c>
      <c r="D4396" t="str">
        <f>VLOOKUP(B4396,Tabela_Auxiliar[],2,0)</f>
        <v>1. Receita Operacional Bruta</v>
      </c>
      <c r="E4396" t="str">
        <f>VLOOKUP(B4396,Tabela_Auxiliar[],4,0)</f>
        <v>Receita Bruta</v>
      </c>
      <c r="F4396" t="str">
        <f>VLOOKUP(B4396,Tabela_Auxiliar[],3,0)</f>
        <v>Entrada</v>
      </c>
      <c r="G4396" t="str">
        <f>UPPER(TEXT(Tabela_DB[[#This Row],[DATA]],"mmm"))</f>
        <v>OUT</v>
      </c>
      <c r="H4396" t="str">
        <f>UPPER(TEXT(Tabela_DB[[#This Row],[DATA]],"aaaa"))</f>
        <v>2021</v>
      </c>
    </row>
    <row r="4397" spans="1:8" x14ac:dyDescent="0.25">
      <c r="A4397" s="2">
        <v>44480</v>
      </c>
      <c r="B4397" t="s">
        <v>35</v>
      </c>
      <c r="C4397">
        <v>-1301</v>
      </c>
      <c r="D4397" t="str">
        <f>VLOOKUP(B4397,Tabela_Auxiliar[],2,0)</f>
        <v>2. Deduções da Receita</v>
      </c>
      <c r="E4397" t="str">
        <f>VLOOKUP(B4397,Tabela_Auxiliar[],4,0)</f>
        <v>Imposto</v>
      </c>
      <c r="F4397" t="str">
        <f>VLOOKUP(B4397,Tabela_Auxiliar[],3,0)</f>
        <v>Saída</v>
      </c>
      <c r="G4397" t="str">
        <f>UPPER(TEXT(Tabela_DB[[#This Row],[DATA]],"mmm"))</f>
        <v>OUT</v>
      </c>
      <c r="H4397" t="str">
        <f>UPPER(TEXT(Tabela_DB[[#This Row],[DATA]],"aaaa"))</f>
        <v>2021</v>
      </c>
    </row>
    <row r="4398" spans="1:8" x14ac:dyDescent="0.25">
      <c r="A4398" s="2">
        <v>44480</v>
      </c>
      <c r="B4398" t="s">
        <v>38</v>
      </c>
      <c r="C4398">
        <v>-1729</v>
      </c>
      <c r="D4398" t="str">
        <f>VLOOKUP(B4398,Tabela_Auxiliar[],2,0)</f>
        <v>2. Deduções da Receita</v>
      </c>
      <c r="E4398" t="str">
        <f>VLOOKUP(B4398,Tabela_Auxiliar[],4,0)</f>
        <v>Deduções</v>
      </c>
      <c r="F4398" t="str">
        <f>VLOOKUP(B4398,Tabela_Auxiliar[],3,0)</f>
        <v>Saída</v>
      </c>
      <c r="G4398" t="str">
        <f>UPPER(TEXT(Tabela_DB[[#This Row],[DATA]],"mmm"))</f>
        <v>OUT</v>
      </c>
      <c r="H4398" t="str">
        <f>UPPER(TEXT(Tabela_DB[[#This Row],[DATA]],"aaaa"))</f>
        <v>2021</v>
      </c>
    </row>
    <row r="4399" spans="1:8" x14ac:dyDescent="0.25">
      <c r="A4399" s="2">
        <v>44480</v>
      </c>
      <c r="B4399" t="s">
        <v>35</v>
      </c>
      <c r="C4399">
        <v>-1227</v>
      </c>
      <c r="D4399" t="str">
        <f>VLOOKUP(B4399,Tabela_Auxiliar[],2,0)</f>
        <v>2. Deduções da Receita</v>
      </c>
      <c r="E4399" t="str">
        <f>VLOOKUP(B4399,Tabela_Auxiliar[],4,0)</f>
        <v>Imposto</v>
      </c>
      <c r="F4399" t="str">
        <f>VLOOKUP(B4399,Tabela_Auxiliar[],3,0)</f>
        <v>Saída</v>
      </c>
      <c r="G4399" t="str">
        <f>UPPER(TEXT(Tabela_DB[[#This Row],[DATA]],"mmm"))</f>
        <v>OUT</v>
      </c>
      <c r="H4399" t="str">
        <f>UPPER(TEXT(Tabela_DB[[#This Row],[DATA]],"aaaa"))</f>
        <v>2021</v>
      </c>
    </row>
    <row r="4400" spans="1:8" x14ac:dyDescent="0.25">
      <c r="A4400" s="2">
        <v>44480</v>
      </c>
      <c r="B4400" t="s">
        <v>42</v>
      </c>
      <c r="C4400">
        <v>-1024</v>
      </c>
      <c r="D4400" t="str">
        <f>VLOOKUP(B4400,Tabela_Auxiliar[],2,0)</f>
        <v>4. Despesas Operacionais</v>
      </c>
      <c r="E4400" t="str">
        <f>VLOOKUP(B4400,Tabela_Auxiliar[],4,0)</f>
        <v>Despesa com Pessoal</v>
      </c>
      <c r="F4400" t="str">
        <f>VLOOKUP(B4400,Tabela_Auxiliar[],3,0)</f>
        <v>Saída</v>
      </c>
      <c r="G4400" t="str">
        <f>UPPER(TEXT(Tabela_DB[[#This Row],[DATA]],"mmm"))</f>
        <v>OUT</v>
      </c>
      <c r="H4400" t="str">
        <f>UPPER(TEXT(Tabela_DB[[#This Row],[DATA]],"aaaa"))</f>
        <v>2021</v>
      </c>
    </row>
    <row r="4401" spans="1:8" x14ac:dyDescent="0.25">
      <c r="A4401" s="2">
        <v>44480</v>
      </c>
      <c r="B4401" t="s">
        <v>102</v>
      </c>
      <c r="C4401">
        <v>-1842</v>
      </c>
      <c r="D4401" t="str">
        <f>VLOOKUP(B4401,Tabela_Auxiliar[],2,0)</f>
        <v>6. Resultado após o Resultado Financeiro</v>
      </c>
      <c r="E4401" t="str">
        <f>VLOOKUP(B4401,Tabela_Auxiliar[],4,0)</f>
        <v>EBTIDA</v>
      </c>
      <c r="F4401" t="str">
        <f>VLOOKUP(B4401,Tabela_Auxiliar[],3,0)</f>
        <v>Saída</v>
      </c>
      <c r="G4401" t="str">
        <f>UPPER(TEXT(Tabela_DB[[#This Row],[DATA]],"mmm"))</f>
        <v>OUT</v>
      </c>
      <c r="H4401" t="str">
        <f>UPPER(TEXT(Tabela_DB[[#This Row],[DATA]],"aaaa"))</f>
        <v>2021</v>
      </c>
    </row>
    <row r="4402" spans="1:8" x14ac:dyDescent="0.25">
      <c r="A4402" s="2">
        <v>44480</v>
      </c>
      <c r="B4402" t="s">
        <v>3</v>
      </c>
      <c r="C4402">
        <v>13567</v>
      </c>
      <c r="D4402" t="str">
        <f>VLOOKUP(B4402,Tabela_Auxiliar[],2,0)</f>
        <v>1. Receita Operacional Bruta</v>
      </c>
      <c r="E4402" t="str">
        <f>VLOOKUP(B4402,Tabela_Auxiliar[],4,0)</f>
        <v>Receita Bruta</v>
      </c>
      <c r="F4402" t="str">
        <f>VLOOKUP(B4402,Tabela_Auxiliar[],3,0)</f>
        <v>Entrada</v>
      </c>
      <c r="G4402" t="str">
        <f>UPPER(TEXT(Tabela_DB[[#This Row],[DATA]],"mmm"))</f>
        <v>OUT</v>
      </c>
      <c r="H4402" t="str">
        <f>UPPER(TEXT(Tabela_DB[[#This Row],[DATA]],"aaaa"))</f>
        <v>2021</v>
      </c>
    </row>
    <row r="4403" spans="1:8" x14ac:dyDescent="0.25">
      <c r="A4403" s="2">
        <v>44481</v>
      </c>
      <c r="B4403" t="s">
        <v>5</v>
      </c>
      <c r="C4403">
        <v>-2455</v>
      </c>
      <c r="D4403" t="str">
        <f>VLOOKUP(B4403,Tabela_Auxiliar[],2,0)</f>
        <v>4. Despesas Operacionais</v>
      </c>
      <c r="E4403" t="str">
        <f>VLOOKUP(B4403,Tabela_Auxiliar[],4,0)</f>
        <v>Despesa com Pessoal</v>
      </c>
      <c r="F4403" t="str">
        <f>VLOOKUP(B4403,Tabela_Auxiliar[],3,0)</f>
        <v>Saída</v>
      </c>
      <c r="G4403" t="str">
        <f>UPPER(TEXT(Tabela_DB[[#This Row],[DATA]],"mmm"))</f>
        <v>OUT</v>
      </c>
      <c r="H4403" t="str">
        <f>UPPER(TEXT(Tabela_DB[[#This Row],[DATA]],"aaaa"))</f>
        <v>2021</v>
      </c>
    </row>
    <row r="4404" spans="1:8" x14ac:dyDescent="0.25">
      <c r="A4404" s="2">
        <v>44481</v>
      </c>
      <c r="B4404" t="s">
        <v>4</v>
      </c>
      <c r="C4404">
        <v>10582</v>
      </c>
      <c r="D4404" t="str">
        <f>VLOOKUP(B4404,Tabela_Auxiliar[],2,0)</f>
        <v>1. Receita Operacional Bruta</v>
      </c>
      <c r="E4404" t="str">
        <f>VLOOKUP(B4404,Tabela_Auxiliar[],4,0)</f>
        <v>Receita Bruta</v>
      </c>
      <c r="F4404" t="str">
        <f>VLOOKUP(B4404,Tabela_Auxiliar[],3,0)</f>
        <v>Entrada</v>
      </c>
      <c r="G4404" t="str">
        <f>UPPER(TEXT(Tabela_DB[[#This Row],[DATA]],"mmm"))</f>
        <v>OUT</v>
      </c>
      <c r="H4404" t="str">
        <f>UPPER(TEXT(Tabela_DB[[#This Row],[DATA]],"aaaa"))</f>
        <v>2021</v>
      </c>
    </row>
    <row r="4405" spans="1:8" x14ac:dyDescent="0.25">
      <c r="A4405" s="2">
        <v>44481</v>
      </c>
      <c r="B4405" t="s">
        <v>3</v>
      </c>
      <c r="C4405">
        <v>10288</v>
      </c>
      <c r="D4405" t="str">
        <f>VLOOKUP(B4405,Tabela_Auxiliar[],2,0)</f>
        <v>1. Receita Operacional Bruta</v>
      </c>
      <c r="E4405" t="str">
        <f>VLOOKUP(B4405,Tabela_Auxiliar[],4,0)</f>
        <v>Receita Bruta</v>
      </c>
      <c r="F4405" t="str">
        <f>VLOOKUP(B4405,Tabela_Auxiliar[],3,0)</f>
        <v>Entrada</v>
      </c>
      <c r="G4405" t="str">
        <f>UPPER(TEXT(Tabela_DB[[#This Row],[DATA]],"mmm"))</f>
        <v>OUT</v>
      </c>
      <c r="H4405" t="str">
        <f>UPPER(TEXT(Tabela_DB[[#This Row],[DATA]],"aaaa"))</f>
        <v>2021</v>
      </c>
    </row>
    <row r="4406" spans="1:8" x14ac:dyDescent="0.25">
      <c r="A4406" s="2">
        <v>44481</v>
      </c>
      <c r="B4406" t="s">
        <v>38</v>
      </c>
      <c r="C4406">
        <v>-1232</v>
      </c>
      <c r="D4406" t="str">
        <f>VLOOKUP(B4406,Tabela_Auxiliar[],2,0)</f>
        <v>2. Deduções da Receita</v>
      </c>
      <c r="E4406" t="str">
        <f>VLOOKUP(B4406,Tabela_Auxiliar[],4,0)</f>
        <v>Deduções</v>
      </c>
      <c r="F4406" t="str">
        <f>VLOOKUP(B4406,Tabela_Auxiliar[],3,0)</f>
        <v>Saída</v>
      </c>
      <c r="G4406" t="str">
        <f>UPPER(TEXT(Tabela_DB[[#This Row],[DATA]],"mmm"))</f>
        <v>OUT</v>
      </c>
      <c r="H4406" t="str">
        <f>UPPER(TEXT(Tabela_DB[[#This Row],[DATA]],"aaaa"))</f>
        <v>2021</v>
      </c>
    </row>
    <row r="4407" spans="1:8" x14ac:dyDescent="0.25">
      <c r="A4407" s="2">
        <v>44481</v>
      </c>
      <c r="B4407" t="s">
        <v>68</v>
      </c>
      <c r="C4407">
        <v>-2208</v>
      </c>
      <c r="D4407" t="str">
        <f>VLOOKUP(B4407,Tabela_Auxiliar[],2,0)</f>
        <v>4. Despesas Operacionais</v>
      </c>
      <c r="E4407" t="str">
        <f>VLOOKUP(B4407,Tabela_Auxiliar[],4,0)</f>
        <v>Despesa com Ocupação</v>
      </c>
      <c r="F4407" t="str">
        <f>VLOOKUP(B4407,Tabela_Auxiliar[],3,0)</f>
        <v>Saída</v>
      </c>
      <c r="G4407" t="str">
        <f>UPPER(TEXT(Tabela_DB[[#This Row],[DATA]],"mmm"))</f>
        <v>OUT</v>
      </c>
      <c r="H4407" t="str">
        <f>UPPER(TEXT(Tabela_DB[[#This Row],[DATA]],"aaaa"))</f>
        <v>2021</v>
      </c>
    </row>
    <row r="4408" spans="1:8" x14ac:dyDescent="0.25">
      <c r="A4408" s="2">
        <v>44481</v>
      </c>
      <c r="B4408" t="s">
        <v>44</v>
      </c>
      <c r="C4408">
        <v>-1646</v>
      </c>
      <c r="D4408" t="str">
        <f>VLOOKUP(B4408,Tabela_Auxiliar[],2,0)</f>
        <v>4. Despesas Operacionais</v>
      </c>
      <c r="E4408" t="str">
        <f>VLOOKUP(B4408,Tabela_Auxiliar[],4,0)</f>
        <v>Despesa com Pessoal</v>
      </c>
      <c r="F4408" t="str">
        <f>VLOOKUP(B4408,Tabela_Auxiliar[],3,0)</f>
        <v>Saída</v>
      </c>
      <c r="G4408" t="str">
        <f>UPPER(TEXT(Tabela_DB[[#This Row],[DATA]],"mmm"))</f>
        <v>OUT</v>
      </c>
      <c r="H4408" t="str">
        <f>UPPER(TEXT(Tabela_DB[[#This Row],[DATA]],"aaaa"))</f>
        <v>2021</v>
      </c>
    </row>
    <row r="4409" spans="1:8" x14ac:dyDescent="0.25">
      <c r="A4409" s="2">
        <v>44481</v>
      </c>
      <c r="B4409" t="s">
        <v>84</v>
      </c>
      <c r="C4409">
        <v>-2449</v>
      </c>
      <c r="D4409" t="str">
        <f>VLOOKUP(B4409,Tabela_Auxiliar[],2,0)</f>
        <v>4. Despesas Operacionais</v>
      </c>
      <c r="E4409" t="str">
        <f>VLOOKUP(B4409,Tabela_Auxiliar[],4,0)</f>
        <v>Despesa com Veículos</v>
      </c>
      <c r="F4409" t="str">
        <f>VLOOKUP(B4409,Tabela_Auxiliar[],3,0)</f>
        <v>Saída</v>
      </c>
      <c r="G4409" t="str">
        <f>UPPER(TEXT(Tabela_DB[[#This Row],[DATA]],"mmm"))</f>
        <v>OUT</v>
      </c>
      <c r="H4409" t="str">
        <f>UPPER(TEXT(Tabela_DB[[#This Row],[DATA]],"aaaa"))</f>
        <v>2021</v>
      </c>
    </row>
    <row r="4410" spans="1:8" x14ac:dyDescent="0.25">
      <c r="A4410" s="2">
        <v>44482</v>
      </c>
      <c r="B4410" t="s">
        <v>4</v>
      </c>
      <c r="C4410">
        <v>11547</v>
      </c>
      <c r="D4410" t="str">
        <f>VLOOKUP(B4410,Tabela_Auxiliar[],2,0)</f>
        <v>1. Receita Operacional Bruta</v>
      </c>
      <c r="E4410" t="str">
        <f>VLOOKUP(B4410,Tabela_Auxiliar[],4,0)</f>
        <v>Receita Bruta</v>
      </c>
      <c r="F4410" t="str">
        <f>VLOOKUP(B4410,Tabela_Auxiliar[],3,0)</f>
        <v>Entrada</v>
      </c>
      <c r="G4410" t="str">
        <f>UPPER(TEXT(Tabela_DB[[#This Row],[DATA]],"mmm"))</f>
        <v>OUT</v>
      </c>
      <c r="H4410" t="str">
        <f>UPPER(TEXT(Tabela_DB[[#This Row],[DATA]],"aaaa"))</f>
        <v>2021</v>
      </c>
    </row>
    <row r="4411" spans="1:8" x14ac:dyDescent="0.25">
      <c r="A4411" s="2">
        <v>44482</v>
      </c>
      <c r="B4411" t="s">
        <v>38</v>
      </c>
      <c r="C4411">
        <v>-1620</v>
      </c>
      <c r="D4411" t="str">
        <f>VLOOKUP(B4411,Tabela_Auxiliar[],2,0)</f>
        <v>2. Deduções da Receita</v>
      </c>
      <c r="E4411" t="str">
        <f>VLOOKUP(B4411,Tabela_Auxiliar[],4,0)</f>
        <v>Deduções</v>
      </c>
      <c r="F4411" t="str">
        <f>VLOOKUP(B4411,Tabela_Auxiliar[],3,0)</f>
        <v>Saída</v>
      </c>
      <c r="G4411" t="str">
        <f>UPPER(TEXT(Tabela_DB[[#This Row],[DATA]],"mmm"))</f>
        <v>OUT</v>
      </c>
      <c r="H4411" t="str">
        <f>UPPER(TEXT(Tabela_DB[[#This Row],[DATA]],"aaaa"))</f>
        <v>2021</v>
      </c>
    </row>
    <row r="4412" spans="1:8" x14ac:dyDescent="0.25">
      <c r="A4412" s="2">
        <v>44482</v>
      </c>
      <c r="B4412" t="s">
        <v>38</v>
      </c>
      <c r="C4412">
        <v>-2412</v>
      </c>
      <c r="D4412" t="str">
        <f>VLOOKUP(B4412,Tabela_Auxiliar[],2,0)</f>
        <v>2. Deduções da Receita</v>
      </c>
      <c r="E4412" t="str">
        <f>VLOOKUP(B4412,Tabela_Auxiliar[],4,0)</f>
        <v>Deduções</v>
      </c>
      <c r="F4412" t="str">
        <f>VLOOKUP(B4412,Tabela_Auxiliar[],3,0)</f>
        <v>Saída</v>
      </c>
      <c r="G4412" t="str">
        <f>UPPER(TEXT(Tabela_DB[[#This Row],[DATA]],"mmm"))</f>
        <v>OUT</v>
      </c>
      <c r="H4412" t="str">
        <f>UPPER(TEXT(Tabela_DB[[#This Row],[DATA]],"aaaa"))</f>
        <v>2021</v>
      </c>
    </row>
    <row r="4413" spans="1:8" x14ac:dyDescent="0.25">
      <c r="A4413" s="2">
        <v>44482</v>
      </c>
      <c r="B4413" t="s">
        <v>63</v>
      </c>
      <c r="C4413">
        <v>-1559</v>
      </c>
      <c r="D4413" t="str">
        <f>VLOOKUP(B4413,Tabela_Auxiliar[],2,0)</f>
        <v>4. Despesas Operacionais</v>
      </c>
      <c r="E4413" t="str">
        <f>VLOOKUP(B4413,Tabela_Auxiliar[],4,0)</f>
        <v>Despesa Gerais</v>
      </c>
      <c r="F4413" t="str">
        <f>VLOOKUP(B4413,Tabela_Auxiliar[],3,0)</f>
        <v>Saída</v>
      </c>
      <c r="G4413" t="str">
        <f>UPPER(TEXT(Tabela_DB[[#This Row],[DATA]],"mmm"))</f>
        <v>OUT</v>
      </c>
      <c r="H4413" t="str">
        <f>UPPER(TEXT(Tabela_DB[[#This Row],[DATA]],"aaaa"))</f>
        <v>2021</v>
      </c>
    </row>
    <row r="4414" spans="1:8" x14ac:dyDescent="0.25">
      <c r="A4414" s="2">
        <v>44482</v>
      </c>
      <c r="B4414" t="s">
        <v>37</v>
      </c>
      <c r="C4414">
        <v>-4418</v>
      </c>
      <c r="D4414" t="str">
        <f>VLOOKUP(B4414,Tabela_Auxiliar[],2,0)</f>
        <v>3. Custos do Produto/Mercadoria/Serviço</v>
      </c>
      <c r="E4414" t="str">
        <f>VLOOKUP(B4414,Tabela_Auxiliar[],4,0)</f>
        <v>Despesas c/ Produto</v>
      </c>
      <c r="F4414" t="str">
        <f>VLOOKUP(B4414,Tabela_Auxiliar[],3,0)</f>
        <v>Saída</v>
      </c>
      <c r="G4414" t="str">
        <f>UPPER(TEXT(Tabela_DB[[#This Row],[DATA]],"mmm"))</f>
        <v>OUT</v>
      </c>
      <c r="H4414" t="str">
        <f>UPPER(TEXT(Tabela_DB[[#This Row],[DATA]],"aaaa"))</f>
        <v>2021</v>
      </c>
    </row>
    <row r="4415" spans="1:8" x14ac:dyDescent="0.25">
      <c r="A4415" s="2">
        <v>44482</v>
      </c>
      <c r="B4415" t="s">
        <v>84</v>
      </c>
      <c r="C4415">
        <v>-1678</v>
      </c>
      <c r="D4415" t="str">
        <f>VLOOKUP(B4415,Tabela_Auxiliar[],2,0)</f>
        <v>4. Despesas Operacionais</v>
      </c>
      <c r="E4415" t="str">
        <f>VLOOKUP(B4415,Tabela_Auxiliar[],4,0)</f>
        <v>Despesa com Veículos</v>
      </c>
      <c r="F4415" t="str">
        <f>VLOOKUP(B4415,Tabela_Auxiliar[],3,0)</f>
        <v>Saída</v>
      </c>
      <c r="G4415" t="str">
        <f>UPPER(TEXT(Tabela_DB[[#This Row],[DATA]],"mmm"))</f>
        <v>OUT</v>
      </c>
      <c r="H4415" t="str">
        <f>UPPER(TEXT(Tabela_DB[[#This Row],[DATA]],"aaaa"))</f>
        <v>2021</v>
      </c>
    </row>
    <row r="4416" spans="1:8" x14ac:dyDescent="0.25">
      <c r="A4416" s="2">
        <v>44482</v>
      </c>
      <c r="B4416" t="s">
        <v>59</v>
      </c>
      <c r="C4416">
        <v>-1383</v>
      </c>
      <c r="D4416" t="str">
        <f>VLOOKUP(B4416,Tabela_Auxiliar[],2,0)</f>
        <v>4. Despesas Operacionais</v>
      </c>
      <c r="E4416" t="str">
        <f>VLOOKUP(B4416,Tabela_Auxiliar[],4,0)</f>
        <v>Despesa de Depreciação</v>
      </c>
      <c r="F4416" t="str">
        <f>VLOOKUP(B4416,Tabela_Auxiliar[],3,0)</f>
        <v>Saída</v>
      </c>
      <c r="G4416" t="str">
        <f>UPPER(TEXT(Tabela_DB[[#This Row],[DATA]],"mmm"))</f>
        <v>OUT</v>
      </c>
      <c r="H4416" t="str">
        <f>UPPER(TEXT(Tabela_DB[[#This Row],[DATA]],"aaaa"))</f>
        <v>2021</v>
      </c>
    </row>
    <row r="4417" spans="1:8" x14ac:dyDescent="0.25">
      <c r="A4417" s="2">
        <v>44483</v>
      </c>
      <c r="B4417" t="s">
        <v>4</v>
      </c>
      <c r="C4417">
        <v>14227</v>
      </c>
      <c r="D4417" t="str">
        <f>VLOOKUP(B4417,Tabela_Auxiliar[],2,0)</f>
        <v>1. Receita Operacional Bruta</v>
      </c>
      <c r="E4417" t="str">
        <f>VLOOKUP(B4417,Tabela_Auxiliar[],4,0)</f>
        <v>Receita Bruta</v>
      </c>
      <c r="F4417" t="str">
        <f>VLOOKUP(B4417,Tabela_Auxiliar[],3,0)</f>
        <v>Entrada</v>
      </c>
      <c r="G4417" t="str">
        <f>UPPER(TEXT(Tabela_DB[[#This Row],[DATA]],"mmm"))</f>
        <v>OUT</v>
      </c>
      <c r="H4417" t="str">
        <f>UPPER(TEXT(Tabela_DB[[#This Row],[DATA]],"aaaa"))</f>
        <v>2021</v>
      </c>
    </row>
    <row r="4418" spans="1:8" x14ac:dyDescent="0.25">
      <c r="A4418" s="2">
        <v>44483</v>
      </c>
      <c r="B4418" t="s">
        <v>76</v>
      </c>
      <c r="C4418">
        <v>-1487</v>
      </c>
      <c r="D4418" t="str">
        <f>VLOOKUP(B4418,Tabela_Auxiliar[],2,0)</f>
        <v>4. Despesas Operacionais</v>
      </c>
      <c r="E4418" t="str">
        <f>VLOOKUP(B4418,Tabela_Auxiliar[],4,0)</f>
        <v>Serviços Contratados</v>
      </c>
      <c r="F4418" t="str">
        <f>VLOOKUP(B4418,Tabela_Auxiliar[],3,0)</f>
        <v>Saída</v>
      </c>
      <c r="G4418" t="str">
        <f>UPPER(TEXT(Tabela_DB[[#This Row],[DATA]],"mmm"))</f>
        <v>OUT</v>
      </c>
      <c r="H4418" t="str">
        <f>UPPER(TEXT(Tabela_DB[[#This Row],[DATA]],"aaaa"))</f>
        <v>2021</v>
      </c>
    </row>
    <row r="4419" spans="1:8" x14ac:dyDescent="0.25">
      <c r="A4419" s="2">
        <v>44483</v>
      </c>
      <c r="B4419" t="s">
        <v>38</v>
      </c>
      <c r="C4419">
        <v>-2108</v>
      </c>
      <c r="D4419" t="str">
        <f>VLOOKUP(B4419,Tabela_Auxiliar[],2,0)</f>
        <v>2. Deduções da Receita</v>
      </c>
      <c r="E4419" t="str">
        <f>VLOOKUP(B4419,Tabela_Auxiliar[],4,0)</f>
        <v>Deduções</v>
      </c>
      <c r="F4419" t="str">
        <f>VLOOKUP(B4419,Tabela_Auxiliar[],3,0)</f>
        <v>Saída</v>
      </c>
      <c r="G4419" t="str">
        <f>UPPER(TEXT(Tabela_DB[[#This Row],[DATA]],"mmm"))</f>
        <v>OUT</v>
      </c>
      <c r="H4419" t="str">
        <f>UPPER(TEXT(Tabela_DB[[#This Row],[DATA]],"aaaa"))</f>
        <v>2021</v>
      </c>
    </row>
    <row r="4420" spans="1:8" x14ac:dyDescent="0.25">
      <c r="A4420" s="2">
        <v>44483</v>
      </c>
      <c r="B4420" t="s">
        <v>35</v>
      </c>
      <c r="C4420">
        <v>-2054</v>
      </c>
      <c r="D4420" t="str">
        <f>VLOOKUP(B4420,Tabela_Auxiliar[],2,0)</f>
        <v>2. Deduções da Receita</v>
      </c>
      <c r="E4420" t="str">
        <f>VLOOKUP(B4420,Tabela_Auxiliar[],4,0)</f>
        <v>Imposto</v>
      </c>
      <c r="F4420" t="str">
        <f>VLOOKUP(B4420,Tabela_Auxiliar[],3,0)</f>
        <v>Saída</v>
      </c>
      <c r="G4420" t="str">
        <f>UPPER(TEXT(Tabela_DB[[#This Row],[DATA]],"mmm"))</f>
        <v>OUT</v>
      </c>
      <c r="H4420" t="str">
        <f>UPPER(TEXT(Tabela_DB[[#This Row],[DATA]],"aaaa"))</f>
        <v>2021</v>
      </c>
    </row>
    <row r="4421" spans="1:8" x14ac:dyDescent="0.25">
      <c r="A4421" s="2">
        <v>44483</v>
      </c>
      <c r="B4421" t="s">
        <v>34</v>
      </c>
      <c r="C4421">
        <v>-1545</v>
      </c>
      <c r="D4421" t="str">
        <f>VLOOKUP(B4421,Tabela_Auxiliar[],2,0)</f>
        <v>2. Deduções da Receita</v>
      </c>
      <c r="E4421" t="str">
        <f>VLOOKUP(B4421,Tabela_Auxiliar[],4,0)</f>
        <v>Imposto</v>
      </c>
      <c r="F4421" t="str">
        <f>VLOOKUP(B4421,Tabela_Auxiliar[],3,0)</f>
        <v>Saída</v>
      </c>
      <c r="G4421" t="str">
        <f>UPPER(TEXT(Tabela_DB[[#This Row],[DATA]],"mmm"))</f>
        <v>OUT</v>
      </c>
      <c r="H4421" t="str">
        <f>UPPER(TEXT(Tabela_DB[[#This Row],[DATA]],"aaaa"))</f>
        <v>2021</v>
      </c>
    </row>
    <row r="4422" spans="1:8" x14ac:dyDescent="0.25">
      <c r="A4422" s="2">
        <v>44484</v>
      </c>
      <c r="B4422" t="s">
        <v>71</v>
      </c>
      <c r="C4422">
        <v>-2313</v>
      </c>
      <c r="D4422" t="str">
        <f>VLOOKUP(B4422,Tabela_Auxiliar[],2,0)</f>
        <v>4. Despesas Operacionais</v>
      </c>
      <c r="E4422" t="str">
        <f>VLOOKUP(B4422,Tabela_Auxiliar[],4,0)</f>
        <v>Despesa com Ocupação</v>
      </c>
      <c r="F4422" t="str">
        <f>VLOOKUP(B4422,Tabela_Auxiliar[],3,0)</f>
        <v>Saída</v>
      </c>
      <c r="G4422" t="str">
        <f>UPPER(TEXT(Tabela_DB[[#This Row],[DATA]],"mmm"))</f>
        <v>OUT</v>
      </c>
      <c r="H4422" t="str">
        <f>UPPER(TEXT(Tabela_DB[[#This Row],[DATA]],"aaaa"))</f>
        <v>2021</v>
      </c>
    </row>
    <row r="4423" spans="1:8" x14ac:dyDescent="0.25">
      <c r="A4423" s="2">
        <v>44484</v>
      </c>
      <c r="B4423" t="s">
        <v>71</v>
      </c>
      <c r="C4423">
        <v>-1507</v>
      </c>
      <c r="D4423" t="str">
        <f>VLOOKUP(B4423,Tabela_Auxiliar[],2,0)</f>
        <v>4. Despesas Operacionais</v>
      </c>
      <c r="E4423" t="str">
        <f>VLOOKUP(B4423,Tabela_Auxiliar[],4,0)</f>
        <v>Despesa com Ocupação</v>
      </c>
      <c r="F4423" t="str">
        <f>VLOOKUP(B4423,Tabela_Auxiliar[],3,0)</f>
        <v>Saída</v>
      </c>
      <c r="G4423" t="str">
        <f>UPPER(TEXT(Tabela_DB[[#This Row],[DATA]],"mmm"))</f>
        <v>OUT</v>
      </c>
      <c r="H4423" t="str">
        <f>UPPER(TEXT(Tabela_DB[[#This Row],[DATA]],"aaaa"))</f>
        <v>2021</v>
      </c>
    </row>
    <row r="4424" spans="1:8" x14ac:dyDescent="0.25">
      <c r="A4424" s="2">
        <v>44484</v>
      </c>
      <c r="B4424" t="s">
        <v>83</v>
      </c>
      <c r="C4424">
        <v>-1631</v>
      </c>
      <c r="D4424" t="str">
        <f>VLOOKUP(B4424,Tabela_Auxiliar[],2,0)</f>
        <v>4. Despesas Operacionais</v>
      </c>
      <c r="E4424" t="str">
        <f>VLOOKUP(B4424,Tabela_Auxiliar[],4,0)</f>
        <v>Despesa com Veículos</v>
      </c>
      <c r="F4424" t="str">
        <f>VLOOKUP(B4424,Tabela_Auxiliar[],3,0)</f>
        <v>Saída</v>
      </c>
      <c r="G4424" t="str">
        <f>UPPER(TEXT(Tabela_DB[[#This Row],[DATA]],"mmm"))</f>
        <v>OUT</v>
      </c>
      <c r="H4424" t="str">
        <f>UPPER(TEXT(Tabela_DB[[#This Row],[DATA]],"aaaa"))</f>
        <v>2021</v>
      </c>
    </row>
    <row r="4425" spans="1:8" x14ac:dyDescent="0.25">
      <c r="A4425" s="2">
        <v>44484</v>
      </c>
      <c r="B4425" t="s">
        <v>3</v>
      </c>
      <c r="C4425">
        <v>10670</v>
      </c>
      <c r="D4425" t="str">
        <f>VLOOKUP(B4425,Tabela_Auxiliar[],2,0)</f>
        <v>1. Receita Operacional Bruta</v>
      </c>
      <c r="E4425" t="str">
        <f>VLOOKUP(B4425,Tabela_Auxiliar[],4,0)</f>
        <v>Receita Bruta</v>
      </c>
      <c r="F4425" t="str">
        <f>VLOOKUP(B4425,Tabela_Auxiliar[],3,0)</f>
        <v>Entrada</v>
      </c>
      <c r="G4425" t="str">
        <f>UPPER(TEXT(Tabela_DB[[#This Row],[DATA]],"mmm"))</f>
        <v>OUT</v>
      </c>
      <c r="H4425" t="str">
        <f>UPPER(TEXT(Tabela_DB[[#This Row],[DATA]],"aaaa"))</f>
        <v>2021</v>
      </c>
    </row>
    <row r="4426" spans="1:8" x14ac:dyDescent="0.25">
      <c r="A4426" s="2">
        <v>44484</v>
      </c>
      <c r="B4426" t="s">
        <v>35</v>
      </c>
      <c r="C4426">
        <v>-1741</v>
      </c>
      <c r="D4426" t="str">
        <f>VLOOKUP(B4426,Tabela_Auxiliar[],2,0)</f>
        <v>2. Deduções da Receita</v>
      </c>
      <c r="E4426" t="str">
        <f>VLOOKUP(B4426,Tabela_Auxiliar[],4,0)</f>
        <v>Imposto</v>
      </c>
      <c r="F4426" t="str">
        <f>VLOOKUP(B4426,Tabela_Auxiliar[],3,0)</f>
        <v>Saída</v>
      </c>
      <c r="G4426" t="str">
        <f>UPPER(TEXT(Tabela_DB[[#This Row],[DATA]],"mmm"))</f>
        <v>OUT</v>
      </c>
      <c r="H4426" t="str">
        <f>UPPER(TEXT(Tabela_DB[[#This Row],[DATA]],"aaaa"))</f>
        <v>2021</v>
      </c>
    </row>
    <row r="4427" spans="1:8" x14ac:dyDescent="0.25">
      <c r="A4427" s="2">
        <v>44484</v>
      </c>
      <c r="B4427" t="s">
        <v>38</v>
      </c>
      <c r="C4427">
        <v>-1257</v>
      </c>
      <c r="D4427" t="str">
        <f>VLOOKUP(B4427,Tabela_Auxiliar[],2,0)</f>
        <v>2. Deduções da Receita</v>
      </c>
      <c r="E4427" t="str">
        <f>VLOOKUP(B4427,Tabela_Auxiliar[],4,0)</f>
        <v>Deduções</v>
      </c>
      <c r="F4427" t="str">
        <f>VLOOKUP(B4427,Tabela_Auxiliar[],3,0)</f>
        <v>Saída</v>
      </c>
      <c r="G4427" t="str">
        <f>UPPER(TEXT(Tabela_DB[[#This Row],[DATA]],"mmm"))</f>
        <v>OUT</v>
      </c>
      <c r="H4427" t="str">
        <f>UPPER(TEXT(Tabela_DB[[#This Row],[DATA]],"aaaa"))</f>
        <v>2021</v>
      </c>
    </row>
    <row r="4428" spans="1:8" x14ac:dyDescent="0.25">
      <c r="A4428" s="2">
        <v>44484</v>
      </c>
      <c r="B4428" t="s">
        <v>38</v>
      </c>
      <c r="C4428">
        <v>-2487</v>
      </c>
      <c r="D4428" t="str">
        <f>VLOOKUP(B4428,Tabela_Auxiliar[],2,0)</f>
        <v>2. Deduções da Receita</v>
      </c>
      <c r="E4428" t="str">
        <f>VLOOKUP(B4428,Tabela_Auxiliar[],4,0)</f>
        <v>Deduções</v>
      </c>
      <c r="F4428" t="str">
        <f>VLOOKUP(B4428,Tabela_Auxiliar[],3,0)</f>
        <v>Saída</v>
      </c>
      <c r="G4428" t="str">
        <f>UPPER(TEXT(Tabela_DB[[#This Row],[DATA]],"mmm"))</f>
        <v>OUT</v>
      </c>
      <c r="H4428" t="str">
        <f>UPPER(TEXT(Tabela_DB[[#This Row],[DATA]],"aaaa"))</f>
        <v>2021</v>
      </c>
    </row>
    <row r="4429" spans="1:8" x14ac:dyDescent="0.25">
      <c r="A4429" s="2">
        <v>44484</v>
      </c>
      <c r="B4429" t="s">
        <v>54</v>
      </c>
      <c r="C4429">
        <v>-2225</v>
      </c>
      <c r="D4429" t="str">
        <f>VLOOKUP(B4429,Tabela_Auxiliar[],2,0)</f>
        <v>4. Despesas Operacionais</v>
      </c>
      <c r="E4429" t="str">
        <f>VLOOKUP(B4429,Tabela_Auxiliar[],4,0)</f>
        <v>Despesa com Pessoal</v>
      </c>
      <c r="F4429" t="str">
        <f>VLOOKUP(B4429,Tabela_Auxiliar[],3,0)</f>
        <v>Saída</v>
      </c>
      <c r="G4429" t="str">
        <f>UPPER(TEXT(Tabela_DB[[#This Row],[DATA]],"mmm"))</f>
        <v>OUT</v>
      </c>
      <c r="H4429" t="str">
        <f>UPPER(TEXT(Tabela_DB[[#This Row],[DATA]],"aaaa"))</f>
        <v>2021</v>
      </c>
    </row>
    <row r="4430" spans="1:8" x14ac:dyDescent="0.25">
      <c r="A4430" s="2">
        <v>44484</v>
      </c>
      <c r="B4430" t="s">
        <v>4</v>
      </c>
      <c r="C4430">
        <v>10844</v>
      </c>
      <c r="D4430" t="str">
        <f>VLOOKUP(B4430,Tabela_Auxiliar[],2,0)</f>
        <v>1. Receita Operacional Bruta</v>
      </c>
      <c r="E4430" t="str">
        <f>VLOOKUP(B4430,Tabela_Auxiliar[],4,0)</f>
        <v>Receita Bruta</v>
      </c>
      <c r="F4430" t="str">
        <f>VLOOKUP(B4430,Tabela_Auxiliar[],3,0)</f>
        <v>Entrada</v>
      </c>
      <c r="G4430" t="str">
        <f>UPPER(TEXT(Tabela_DB[[#This Row],[DATA]],"mmm"))</f>
        <v>OUT</v>
      </c>
      <c r="H4430" t="str">
        <f>UPPER(TEXT(Tabela_DB[[#This Row],[DATA]],"aaaa"))</f>
        <v>2021</v>
      </c>
    </row>
    <row r="4431" spans="1:8" x14ac:dyDescent="0.25">
      <c r="A4431" s="2">
        <v>44484</v>
      </c>
      <c r="B4431" t="s">
        <v>34</v>
      </c>
      <c r="C4431">
        <v>-2148</v>
      </c>
      <c r="D4431" t="str">
        <f>VLOOKUP(B4431,Tabela_Auxiliar[],2,0)</f>
        <v>2. Deduções da Receita</v>
      </c>
      <c r="E4431" t="str">
        <f>VLOOKUP(B4431,Tabela_Auxiliar[],4,0)</f>
        <v>Imposto</v>
      </c>
      <c r="F4431" t="str">
        <f>VLOOKUP(B4431,Tabela_Auxiliar[],3,0)</f>
        <v>Saída</v>
      </c>
      <c r="G4431" t="str">
        <f>UPPER(TEXT(Tabela_DB[[#This Row],[DATA]],"mmm"))</f>
        <v>OUT</v>
      </c>
      <c r="H4431" t="str">
        <f>UPPER(TEXT(Tabela_DB[[#This Row],[DATA]],"aaaa"))</f>
        <v>2021</v>
      </c>
    </row>
    <row r="4432" spans="1:8" x14ac:dyDescent="0.25">
      <c r="A4432" s="2">
        <v>44485</v>
      </c>
      <c r="B4432" t="s">
        <v>5</v>
      </c>
      <c r="C4432">
        <v>-1578</v>
      </c>
      <c r="D4432" t="str">
        <f>VLOOKUP(B4432,Tabela_Auxiliar[],2,0)</f>
        <v>4. Despesas Operacionais</v>
      </c>
      <c r="E4432" t="str">
        <f>VLOOKUP(B4432,Tabela_Auxiliar[],4,0)</f>
        <v>Despesa com Pessoal</v>
      </c>
      <c r="F4432" t="str">
        <f>VLOOKUP(B4432,Tabela_Auxiliar[],3,0)</f>
        <v>Saída</v>
      </c>
      <c r="G4432" t="str">
        <f>UPPER(TEXT(Tabela_DB[[#This Row],[DATA]],"mmm"))</f>
        <v>OUT</v>
      </c>
      <c r="H4432" t="str">
        <f>UPPER(TEXT(Tabela_DB[[#This Row],[DATA]],"aaaa"))</f>
        <v>2021</v>
      </c>
    </row>
    <row r="4433" spans="1:8" x14ac:dyDescent="0.25">
      <c r="A4433" s="2">
        <v>44485</v>
      </c>
      <c r="B4433" t="s">
        <v>43</v>
      </c>
      <c r="C4433">
        <v>-2361</v>
      </c>
      <c r="D4433" t="str">
        <f>VLOOKUP(B4433,Tabela_Auxiliar[],2,0)</f>
        <v>4. Despesas Operacionais</v>
      </c>
      <c r="E4433" t="str">
        <f>VLOOKUP(B4433,Tabela_Auxiliar[],4,0)</f>
        <v>Despesa com Pessoal</v>
      </c>
      <c r="F4433" t="str">
        <f>VLOOKUP(B4433,Tabela_Auxiliar[],3,0)</f>
        <v>Saída</v>
      </c>
      <c r="G4433" t="str">
        <f>UPPER(TEXT(Tabela_DB[[#This Row],[DATA]],"mmm"))</f>
        <v>OUT</v>
      </c>
      <c r="H4433" t="str">
        <f>UPPER(TEXT(Tabela_DB[[#This Row],[DATA]],"aaaa"))</f>
        <v>2021</v>
      </c>
    </row>
    <row r="4434" spans="1:8" x14ac:dyDescent="0.25">
      <c r="A4434" s="2">
        <v>44485</v>
      </c>
      <c r="B4434" t="s">
        <v>5</v>
      </c>
      <c r="C4434">
        <v>-2149</v>
      </c>
      <c r="D4434" t="str">
        <f>VLOOKUP(B4434,Tabela_Auxiliar[],2,0)</f>
        <v>4. Despesas Operacionais</v>
      </c>
      <c r="E4434" t="str">
        <f>VLOOKUP(B4434,Tabela_Auxiliar[],4,0)</f>
        <v>Despesa com Pessoal</v>
      </c>
      <c r="F4434" t="str">
        <f>VLOOKUP(B4434,Tabela_Auxiliar[],3,0)</f>
        <v>Saída</v>
      </c>
      <c r="G4434" t="str">
        <f>UPPER(TEXT(Tabela_DB[[#This Row],[DATA]],"mmm"))</f>
        <v>OUT</v>
      </c>
      <c r="H4434" t="str">
        <f>UPPER(TEXT(Tabela_DB[[#This Row],[DATA]],"aaaa"))</f>
        <v>2021</v>
      </c>
    </row>
    <row r="4435" spans="1:8" x14ac:dyDescent="0.25">
      <c r="A4435" s="2">
        <v>44485</v>
      </c>
      <c r="B4435" t="s">
        <v>37</v>
      </c>
      <c r="C4435">
        <v>-4203</v>
      </c>
      <c r="D4435" t="str">
        <f>VLOOKUP(B4435,Tabela_Auxiliar[],2,0)</f>
        <v>3. Custos do Produto/Mercadoria/Serviço</v>
      </c>
      <c r="E4435" t="str">
        <f>VLOOKUP(B4435,Tabela_Auxiliar[],4,0)</f>
        <v>Despesas c/ Produto</v>
      </c>
      <c r="F4435" t="str">
        <f>VLOOKUP(B4435,Tabela_Auxiliar[],3,0)</f>
        <v>Saída</v>
      </c>
      <c r="G4435" t="str">
        <f>UPPER(TEXT(Tabela_DB[[#This Row],[DATA]],"mmm"))</f>
        <v>OUT</v>
      </c>
      <c r="H4435" t="str">
        <f>UPPER(TEXT(Tabela_DB[[#This Row],[DATA]],"aaaa"))</f>
        <v>2021</v>
      </c>
    </row>
    <row r="4436" spans="1:8" x14ac:dyDescent="0.25">
      <c r="A4436" s="2">
        <v>44485</v>
      </c>
      <c r="B4436" t="s">
        <v>38</v>
      </c>
      <c r="C4436">
        <v>-1573</v>
      </c>
      <c r="D4436" t="str">
        <f>VLOOKUP(B4436,Tabela_Auxiliar[],2,0)</f>
        <v>2. Deduções da Receita</v>
      </c>
      <c r="E4436" t="str">
        <f>VLOOKUP(B4436,Tabela_Auxiliar[],4,0)</f>
        <v>Deduções</v>
      </c>
      <c r="F4436" t="str">
        <f>VLOOKUP(B4436,Tabela_Auxiliar[],3,0)</f>
        <v>Saída</v>
      </c>
      <c r="G4436" t="str">
        <f>UPPER(TEXT(Tabela_DB[[#This Row],[DATA]],"mmm"))</f>
        <v>OUT</v>
      </c>
      <c r="H4436" t="str">
        <f>UPPER(TEXT(Tabela_DB[[#This Row],[DATA]],"aaaa"))</f>
        <v>2021</v>
      </c>
    </row>
    <row r="4437" spans="1:8" x14ac:dyDescent="0.25">
      <c r="A4437" s="2">
        <v>44485</v>
      </c>
      <c r="B4437" t="s">
        <v>31</v>
      </c>
      <c r="C4437">
        <v>-2407</v>
      </c>
      <c r="D4437" t="str">
        <f>VLOOKUP(B4437,Tabela_Auxiliar[],2,0)</f>
        <v>5. Resultado Financeiro</v>
      </c>
      <c r="E4437" t="str">
        <f>VLOOKUP(B4437,Tabela_Auxiliar[],4,0)</f>
        <v>Participação nos resultados</v>
      </c>
      <c r="F4437" t="str">
        <f>VLOOKUP(B4437,Tabela_Auxiliar[],3,0)</f>
        <v>Saída</v>
      </c>
      <c r="G4437" t="str">
        <f>UPPER(TEXT(Tabela_DB[[#This Row],[DATA]],"mmm"))</f>
        <v>OUT</v>
      </c>
      <c r="H4437" t="str">
        <f>UPPER(TEXT(Tabela_DB[[#This Row],[DATA]],"aaaa"))</f>
        <v>2021</v>
      </c>
    </row>
    <row r="4438" spans="1:8" x14ac:dyDescent="0.25">
      <c r="A4438" s="2">
        <v>44485</v>
      </c>
      <c r="B4438" t="s">
        <v>3</v>
      </c>
      <c r="C4438">
        <v>11947</v>
      </c>
      <c r="D4438" t="str">
        <f>VLOOKUP(B4438,Tabela_Auxiliar[],2,0)</f>
        <v>1. Receita Operacional Bruta</v>
      </c>
      <c r="E4438" t="str">
        <f>VLOOKUP(B4438,Tabela_Auxiliar[],4,0)</f>
        <v>Receita Bruta</v>
      </c>
      <c r="F4438" t="str">
        <f>VLOOKUP(B4438,Tabela_Auxiliar[],3,0)</f>
        <v>Entrada</v>
      </c>
      <c r="G4438" t="str">
        <f>UPPER(TEXT(Tabela_DB[[#This Row],[DATA]],"mmm"))</f>
        <v>OUT</v>
      </c>
      <c r="H4438" t="str">
        <f>UPPER(TEXT(Tabela_DB[[#This Row],[DATA]],"aaaa"))</f>
        <v>2021</v>
      </c>
    </row>
    <row r="4439" spans="1:8" x14ac:dyDescent="0.25">
      <c r="A4439" s="2">
        <v>44485</v>
      </c>
      <c r="B4439" t="s">
        <v>38</v>
      </c>
      <c r="C4439">
        <v>-2429</v>
      </c>
      <c r="D4439" t="str">
        <f>VLOOKUP(B4439,Tabela_Auxiliar[],2,0)</f>
        <v>2. Deduções da Receita</v>
      </c>
      <c r="E4439" t="str">
        <f>VLOOKUP(B4439,Tabela_Auxiliar[],4,0)</f>
        <v>Deduções</v>
      </c>
      <c r="F4439" t="str">
        <f>VLOOKUP(B4439,Tabela_Auxiliar[],3,0)</f>
        <v>Saída</v>
      </c>
      <c r="G4439" t="str">
        <f>UPPER(TEXT(Tabela_DB[[#This Row],[DATA]],"mmm"))</f>
        <v>OUT</v>
      </c>
      <c r="H4439" t="str">
        <f>UPPER(TEXT(Tabela_DB[[#This Row],[DATA]],"aaaa"))</f>
        <v>2021</v>
      </c>
    </row>
    <row r="4440" spans="1:8" x14ac:dyDescent="0.25">
      <c r="A4440" s="2">
        <v>44486</v>
      </c>
      <c r="B4440" t="s">
        <v>37</v>
      </c>
      <c r="C4440">
        <v>-4120</v>
      </c>
      <c r="D4440" t="str">
        <f>VLOOKUP(B4440,Tabela_Auxiliar[],2,0)</f>
        <v>3. Custos do Produto/Mercadoria/Serviço</v>
      </c>
      <c r="E4440" t="str">
        <f>VLOOKUP(B4440,Tabela_Auxiliar[],4,0)</f>
        <v>Despesas c/ Produto</v>
      </c>
      <c r="F4440" t="str">
        <f>VLOOKUP(B4440,Tabela_Auxiliar[],3,0)</f>
        <v>Saída</v>
      </c>
      <c r="G4440" t="str">
        <f>UPPER(TEXT(Tabela_DB[[#This Row],[DATA]],"mmm"))</f>
        <v>OUT</v>
      </c>
      <c r="H4440" t="str">
        <f>UPPER(TEXT(Tabela_DB[[#This Row],[DATA]],"aaaa"))</f>
        <v>2021</v>
      </c>
    </row>
    <row r="4441" spans="1:8" x14ac:dyDescent="0.25">
      <c r="A4441" s="2">
        <v>44486</v>
      </c>
      <c r="B4441" t="s">
        <v>111</v>
      </c>
      <c r="C4441">
        <v>-2346</v>
      </c>
      <c r="D4441" t="str">
        <f>VLOOKUP(B4441,Tabela_Auxiliar[],2,0)</f>
        <v>2. Deduções da Receita</v>
      </c>
      <c r="E4441" t="str">
        <f>VLOOKUP(B4441,Tabela_Auxiliar[],4,0)</f>
        <v>Imposto</v>
      </c>
      <c r="F4441" t="str">
        <f>VLOOKUP(B4441,Tabela_Auxiliar[],3,0)</f>
        <v>Saída</v>
      </c>
      <c r="G4441" t="str">
        <f>UPPER(TEXT(Tabela_DB[[#This Row],[DATA]],"mmm"))</f>
        <v>OUT</v>
      </c>
      <c r="H4441" t="str">
        <f>UPPER(TEXT(Tabela_DB[[#This Row],[DATA]],"aaaa"))</f>
        <v>2021</v>
      </c>
    </row>
    <row r="4442" spans="1:8" x14ac:dyDescent="0.25">
      <c r="A4442" s="2">
        <v>44486</v>
      </c>
      <c r="B4442" t="s">
        <v>58</v>
      </c>
      <c r="C4442">
        <v>-2018</v>
      </c>
      <c r="D4442" t="str">
        <f>VLOOKUP(B4442,Tabela_Auxiliar[],2,0)</f>
        <v>4. Despesas Operacionais</v>
      </c>
      <c r="E4442" t="str">
        <f>VLOOKUP(B4442,Tabela_Auxiliar[],4,0)</f>
        <v>Despesa de Depreciação</v>
      </c>
      <c r="F4442" t="str">
        <f>VLOOKUP(B4442,Tabela_Auxiliar[],3,0)</f>
        <v>Saída</v>
      </c>
      <c r="G4442" t="str">
        <f>UPPER(TEXT(Tabela_DB[[#This Row],[DATA]],"mmm"))</f>
        <v>OUT</v>
      </c>
      <c r="H4442" t="str">
        <f>UPPER(TEXT(Tabela_DB[[#This Row],[DATA]],"aaaa"))</f>
        <v>2021</v>
      </c>
    </row>
    <row r="4443" spans="1:8" x14ac:dyDescent="0.25">
      <c r="A4443" s="2">
        <v>44486</v>
      </c>
      <c r="B4443" t="s">
        <v>4</v>
      </c>
      <c r="C4443">
        <v>12846</v>
      </c>
      <c r="D4443" t="str">
        <f>VLOOKUP(B4443,Tabela_Auxiliar[],2,0)</f>
        <v>1. Receita Operacional Bruta</v>
      </c>
      <c r="E4443" t="str">
        <f>VLOOKUP(B4443,Tabela_Auxiliar[],4,0)</f>
        <v>Receita Bruta</v>
      </c>
      <c r="F4443" t="str">
        <f>VLOOKUP(B4443,Tabela_Auxiliar[],3,0)</f>
        <v>Entrada</v>
      </c>
      <c r="G4443" t="str">
        <f>UPPER(TEXT(Tabela_DB[[#This Row],[DATA]],"mmm"))</f>
        <v>OUT</v>
      </c>
      <c r="H4443" t="str">
        <f>UPPER(TEXT(Tabela_DB[[#This Row],[DATA]],"aaaa"))</f>
        <v>2021</v>
      </c>
    </row>
    <row r="4444" spans="1:8" x14ac:dyDescent="0.25">
      <c r="A4444" s="2">
        <v>44486</v>
      </c>
      <c r="B4444" t="s">
        <v>46</v>
      </c>
      <c r="C4444">
        <v>-1077</v>
      </c>
      <c r="D4444" t="str">
        <f>VLOOKUP(B4444,Tabela_Auxiliar[],2,0)</f>
        <v>4. Despesas Operacionais</v>
      </c>
      <c r="E4444" t="str">
        <f>VLOOKUP(B4444,Tabela_Auxiliar[],4,0)</f>
        <v>Despesa com Pessoal</v>
      </c>
      <c r="F4444" t="str">
        <f>VLOOKUP(B4444,Tabela_Auxiliar[],3,0)</f>
        <v>Saída</v>
      </c>
      <c r="G4444" t="str">
        <f>UPPER(TEXT(Tabela_DB[[#This Row],[DATA]],"mmm"))</f>
        <v>OUT</v>
      </c>
      <c r="H4444" t="str">
        <f>UPPER(TEXT(Tabela_DB[[#This Row],[DATA]],"aaaa"))</f>
        <v>2021</v>
      </c>
    </row>
    <row r="4445" spans="1:8" x14ac:dyDescent="0.25">
      <c r="A4445" s="2">
        <v>44486</v>
      </c>
      <c r="B4445" t="s">
        <v>3</v>
      </c>
      <c r="C4445">
        <v>14542</v>
      </c>
      <c r="D4445" t="str">
        <f>VLOOKUP(B4445,Tabela_Auxiliar[],2,0)</f>
        <v>1. Receita Operacional Bruta</v>
      </c>
      <c r="E4445" t="str">
        <f>VLOOKUP(B4445,Tabela_Auxiliar[],4,0)</f>
        <v>Receita Bruta</v>
      </c>
      <c r="F4445" t="str">
        <f>VLOOKUP(B4445,Tabela_Auxiliar[],3,0)</f>
        <v>Entrada</v>
      </c>
      <c r="G4445" t="str">
        <f>UPPER(TEXT(Tabela_DB[[#This Row],[DATA]],"mmm"))</f>
        <v>OUT</v>
      </c>
      <c r="H4445" t="str">
        <f>UPPER(TEXT(Tabela_DB[[#This Row],[DATA]],"aaaa"))</f>
        <v>2021</v>
      </c>
    </row>
    <row r="4446" spans="1:8" x14ac:dyDescent="0.25">
      <c r="A4446" s="2">
        <v>44486</v>
      </c>
      <c r="B4446" t="s">
        <v>3</v>
      </c>
      <c r="C4446">
        <v>10325</v>
      </c>
      <c r="D4446" t="str">
        <f>VLOOKUP(B4446,Tabela_Auxiliar[],2,0)</f>
        <v>1. Receita Operacional Bruta</v>
      </c>
      <c r="E4446" t="str">
        <f>VLOOKUP(B4446,Tabela_Auxiliar[],4,0)</f>
        <v>Receita Bruta</v>
      </c>
      <c r="F4446" t="str">
        <f>VLOOKUP(B4446,Tabela_Auxiliar[],3,0)</f>
        <v>Entrada</v>
      </c>
      <c r="G4446" t="str">
        <f>UPPER(TEXT(Tabela_DB[[#This Row],[DATA]],"mmm"))</f>
        <v>OUT</v>
      </c>
      <c r="H4446" t="str">
        <f>UPPER(TEXT(Tabela_DB[[#This Row],[DATA]],"aaaa"))</f>
        <v>2021</v>
      </c>
    </row>
    <row r="4447" spans="1:8" x14ac:dyDescent="0.25">
      <c r="A4447" s="2">
        <v>44486</v>
      </c>
      <c r="B4447" t="s">
        <v>38</v>
      </c>
      <c r="C4447">
        <v>-1736</v>
      </c>
      <c r="D4447" t="str">
        <f>VLOOKUP(B4447,Tabela_Auxiliar[],2,0)</f>
        <v>2. Deduções da Receita</v>
      </c>
      <c r="E4447" t="str">
        <f>VLOOKUP(B4447,Tabela_Auxiliar[],4,0)</f>
        <v>Deduções</v>
      </c>
      <c r="F4447" t="str">
        <f>VLOOKUP(B4447,Tabela_Auxiliar[],3,0)</f>
        <v>Saída</v>
      </c>
      <c r="G4447" t="str">
        <f>UPPER(TEXT(Tabela_DB[[#This Row],[DATA]],"mmm"))</f>
        <v>OUT</v>
      </c>
      <c r="H4447" t="str">
        <f>UPPER(TEXT(Tabela_DB[[#This Row],[DATA]],"aaaa"))</f>
        <v>2021</v>
      </c>
    </row>
    <row r="4448" spans="1:8" x14ac:dyDescent="0.25">
      <c r="A4448" s="2">
        <v>44486</v>
      </c>
      <c r="B4448" t="s">
        <v>52</v>
      </c>
      <c r="C4448">
        <v>-2390</v>
      </c>
      <c r="D4448" t="str">
        <f>VLOOKUP(B4448,Tabela_Auxiliar[],2,0)</f>
        <v>4. Despesas Operacionais</v>
      </c>
      <c r="E4448" t="str">
        <f>VLOOKUP(B4448,Tabela_Auxiliar[],4,0)</f>
        <v>Despesa com Pessoal</v>
      </c>
      <c r="F4448" t="str">
        <f>VLOOKUP(B4448,Tabela_Auxiliar[],3,0)</f>
        <v>Saída</v>
      </c>
      <c r="G4448" t="str">
        <f>UPPER(TEXT(Tabela_DB[[#This Row],[DATA]],"mmm"))</f>
        <v>OUT</v>
      </c>
      <c r="H4448" t="str">
        <f>UPPER(TEXT(Tabela_DB[[#This Row],[DATA]],"aaaa"))</f>
        <v>2021</v>
      </c>
    </row>
    <row r="4449" spans="1:8" x14ac:dyDescent="0.25">
      <c r="A4449" s="2">
        <v>44486</v>
      </c>
      <c r="B4449" t="s">
        <v>37</v>
      </c>
      <c r="C4449">
        <v>-2907</v>
      </c>
      <c r="D4449" t="str">
        <f>VLOOKUP(B4449,Tabela_Auxiliar[],2,0)</f>
        <v>3. Custos do Produto/Mercadoria/Serviço</v>
      </c>
      <c r="E4449" t="str">
        <f>VLOOKUP(B4449,Tabela_Auxiliar[],4,0)</f>
        <v>Despesas c/ Produto</v>
      </c>
      <c r="F4449" t="str">
        <f>VLOOKUP(B4449,Tabela_Auxiliar[],3,0)</f>
        <v>Saída</v>
      </c>
      <c r="G4449" t="str">
        <f>UPPER(TEXT(Tabela_DB[[#This Row],[DATA]],"mmm"))</f>
        <v>OUT</v>
      </c>
      <c r="H4449" t="str">
        <f>UPPER(TEXT(Tabela_DB[[#This Row],[DATA]],"aaaa"))</f>
        <v>2021</v>
      </c>
    </row>
    <row r="4450" spans="1:8" x14ac:dyDescent="0.25">
      <c r="A4450" s="2">
        <v>44486</v>
      </c>
      <c r="B4450" t="s">
        <v>4</v>
      </c>
      <c r="C4450">
        <v>11232</v>
      </c>
      <c r="D4450" t="str">
        <f>VLOOKUP(B4450,Tabela_Auxiliar[],2,0)</f>
        <v>1. Receita Operacional Bruta</v>
      </c>
      <c r="E4450" t="str">
        <f>VLOOKUP(B4450,Tabela_Auxiliar[],4,0)</f>
        <v>Receita Bruta</v>
      </c>
      <c r="F4450" t="str">
        <f>VLOOKUP(B4450,Tabela_Auxiliar[],3,0)</f>
        <v>Entrada</v>
      </c>
      <c r="G4450" t="str">
        <f>UPPER(TEXT(Tabela_DB[[#This Row],[DATA]],"mmm"))</f>
        <v>OUT</v>
      </c>
      <c r="H4450" t="str">
        <f>UPPER(TEXT(Tabela_DB[[#This Row],[DATA]],"aaaa"))</f>
        <v>2021</v>
      </c>
    </row>
    <row r="4451" spans="1:8" x14ac:dyDescent="0.25">
      <c r="A4451" s="2">
        <v>44486</v>
      </c>
      <c r="B4451" t="s">
        <v>34</v>
      </c>
      <c r="C4451">
        <v>-1064</v>
      </c>
      <c r="D4451" t="str">
        <f>VLOOKUP(B4451,Tabela_Auxiliar[],2,0)</f>
        <v>2. Deduções da Receita</v>
      </c>
      <c r="E4451" t="str">
        <f>VLOOKUP(B4451,Tabela_Auxiliar[],4,0)</f>
        <v>Imposto</v>
      </c>
      <c r="F4451" t="str">
        <f>VLOOKUP(B4451,Tabela_Auxiliar[],3,0)</f>
        <v>Saída</v>
      </c>
      <c r="G4451" t="str">
        <f>UPPER(TEXT(Tabela_DB[[#This Row],[DATA]],"mmm"))</f>
        <v>OUT</v>
      </c>
      <c r="H4451" t="str">
        <f>UPPER(TEXT(Tabela_DB[[#This Row],[DATA]],"aaaa"))</f>
        <v>2021</v>
      </c>
    </row>
    <row r="4452" spans="1:8" x14ac:dyDescent="0.25">
      <c r="A4452" s="2">
        <v>44487</v>
      </c>
      <c r="B4452" t="s">
        <v>37</v>
      </c>
      <c r="C4452">
        <v>-4665</v>
      </c>
      <c r="D4452" t="str">
        <f>VLOOKUP(B4452,Tabela_Auxiliar[],2,0)</f>
        <v>3. Custos do Produto/Mercadoria/Serviço</v>
      </c>
      <c r="E4452" t="str">
        <f>VLOOKUP(B4452,Tabela_Auxiliar[],4,0)</f>
        <v>Despesas c/ Produto</v>
      </c>
      <c r="F4452" t="str">
        <f>VLOOKUP(B4452,Tabela_Auxiliar[],3,0)</f>
        <v>Saída</v>
      </c>
      <c r="G4452" t="str">
        <f>UPPER(TEXT(Tabela_DB[[#This Row],[DATA]],"mmm"))</f>
        <v>OUT</v>
      </c>
      <c r="H4452" t="str">
        <f>UPPER(TEXT(Tabela_DB[[#This Row],[DATA]],"aaaa"))</f>
        <v>2021</v>
      </c>
    </row>
    <row r="4453" spans="1:8" x14ac:dyDescent="0.25">
      <c r="A4453" s="2">
        <v>44487</v>
      </c>
      <c r="B4453" t="s">
        <v>79</v>
      </c>
      <c r="C4453">
        <v>-1267</v>
      </c>
      <c r="D4453" t="str">
        <f>VLOOKUP(B4453,Tabela_Auxiliar[],2,0)</f>
        <v>4. Despesas Operacionais</v>
      </c>
      <c r="E4453" t="str">
        <f>VLOOKUP(B4453,Tabela_Auxiliar[],4,0)</f>
        <v>Serviços Contratados</v>
      </c>
      <c r="F4453" t="str">
        <f>VLOOKUP(B4453,Tabela_Auxiliar[],3,0)</f>
        <v>Saída</v>
      </c>
      <c r="G4453" t="str">
        <f>UPPER(TEXT(Tabela_DB[[#This Row],[DATA]],"mmm"))</f>
        <v>OUT</v>
      </c>
      <c r="H4453" t="str">
        <f>UPPER(TEXT(Tabela_DB[[#This Row],[DATA]],"aaaa"))</f>
        <v>2021</v>
      </c>
    </row>
    <row r="4454" spans="1:8" x14ac:dyDescent="0.25">
      <c r="A4454" s="2">
        <v>44487</v>
      </c>
      <c r="B4454" t="s">
        <v>3</v>
      </c>
      <c r="C4454">
        <v>11529</v>
      </c>
      <c r="D4454" t="str">
        <f>VLOOKUP(B4454,Tabela_Auxiliar[],2,0)</f>
        <v>1. Receita Operacional Bruta</v>
      </c>
      <c r="E4454" t="str">
        <f>VLOOKUP(B4454,Tabela_Auxiliar[],4,0)</f>
        <v>Receita Bruta</v>
      </c>
      <c r="F4454" t="str">
        <f>VLOOKUP(B4454,Tabela_Auxiliar[],3,0)</f>
        <v>Entrada</v>
      </c>
      <c r="G4454" t="str">
        <f>UPPER(TEXT(Tabela_DB[[#This Row],[DATA]],"mmm"))</f>
        <v>OUT</v>
      </c>
      <c r="H4454" t="str">
        <f>UPPER(TEXT(Tabela_DB[[#This Row],[DATA]],"aaaa"))</f>
        <v>2021</v>
      </c>
    </row>
    <row r="4455" spans="1:8" x14ac:dyDescent="0.25">
      <c r="A4455" s="2">
        <v>44488</v>
      </c>
      <c r="B4455" t="s">
        <v>34</v>
      </c>
      <c r="C4455">
        <v>-2484</v>
      </c>
      <c r="D4455" t="str">
        <f>VLOOKUP(B4455,Tabela_Auxiliar[],2,0)</f>
        <v>2. Deduções da Receita</v>
      </c>
      <c r="E4455" t="str">
        <f>VLOOKUP(B4455,Tabela_Auxiliar[],4,0)</f>
        <v>Imposto</v>
      </c>
      <c r="F4455" t="str">
        <f>VLOOKUP(B4455,Tabela_Auxiliar[],3,0)</f>
        <v>Saída</v>
      </c>
      <c r="G4455" t="str">
        <f>UPPER(TEXT(Tabela_DB[[#This Row],[DATA]],"mmm"))</f>
        <v>OUT</v>
      </c>
      <c r="H4455" t="str">
        <f>UPPER(TEXT(Tabela_DB[[#This Row],[DATA]],"aaaa"))</f>
        <v>2021</v>
      </c>
    </row>
    <row r="4456" spans="1:8" x14ac:dyDescent="0.25">
      <c r="A4456" s="2">
        <v>44488</v>
      </c>
      <c r="B4456" t="s">
        <v>3</v>
      </c>
      <c r="C4456">
        <v>14198</v>
      </c>
      <c r="D4456" t="str">
        <f>VLOOKUP(B4456,Tabela_Auxiliar[],2,0)</f>
        <v>1. Receita Operacional Bruta</v>
      </c>
      <c r="E4456" t="str">
        <f>VLOOKUP(B4456,Tabela_Auxiliar[],4,0)</f>
        <v>Receita Bruta</v>
      </c>
      <c r="F4456" t="str">
        <f>VLOOKUP(B4456,Tabela_Auxiliar[],3,0)</f>
        <v>Entrada</v>
      </c>
      <c r="G4456" t="str">
        <f>UPPER(TEXT(Tabela_DB[[#This Row],[DATA]],"mmm"))</f>
        <v>OUT</v>
      </c>
      <c r="H4456" t="str">
        <f>UPPER(TEXT(Tabela_DB[[#This Row],[DATA]],"aaaa"))</f>
        <v>2021</v>
      </c>
    </row>
    <row r="4457" spans="1:8" x14ac:dyDescent="0.25">
      <c r="A4457" s="2">
        <v>44488</v>
      </c>
      <c r="B4457" t="s">
        <v>60</v>
      </c>
      <c r="C4457">
        <v>-2455</v>
      </c>
      <c r="D4457" t="str">
        <f>VLOOKUP(B4457,Tabela_Auxiliar[],2,0)</f>
        <v>4. Despesas Operacionais</v>
      </c>
      <c r="E4457" t="str">
        <f>VLOOKUP(B4457,Tabela_Auxiliar[],4,0)</f>
        <v>Despesa de Depreciação</v>
      </c>
      <c r="F4457" t="str">
        <f>VLOOKUP(B4457,Tabela_Auxiliar[],3,0)</f>
        <v>Saída</v>
      </c>
      <c r="G4457" t="str">
        <f>UPPER(TEXT(Tabela_DB[[#This Row],[DATA]],"mmm"))</f>
        <v>OUT</v>
      </c>
      <c r="H4457" t="str">
        <f>UPPER(TEXT(Tabela_DB[[#This Row],[DATA]],"aaaa"))</f>
        <v>2021</v>
      </c>
    </row>
    <row r="4458" spans="1:8" x14ac:dyDescent="0.25">
      <c r="A4458" s="2">
        <v>44488</v>
      </c>
      <c r="B4458" t="s">
        <v>35</v>
      </c>
      <c r="C4458">
        <v>-2425</v>
      </c>
      <c r="D4458" t="str">
        <f>VLOOKUP(B4458,Tabela_Auxiliar[],2,0)</f>
        <v>2. Deduções da Receita</v>
      </c>
      <c r="E4458" t="str">
        <f>VLOOKUP(B4458,Tabela_Auxiliar[],4,0)</f>
        <v>Imposto</v>
      </c>
      <c r="F4458" t="str">
        <f>VLOOKUP(B4458,Tabela_Auxiliar[],3,0)</f>
        <v>Saída</v>
      </c>
      <c r="G4458" t="str">
        <f>UPPER(TEXT(Tabela_DB[[#This Row],[DATA]],"mmm"))</f>
        <v>OUT</v>
      </c>
      <c r="H4458" t="str">
        <f>UPPER(TEXT(Tabela_DB[[#This Row],[DATA]],"aaaa"))</f>
        <v>2021</v>
      </c>
    </row>
    <row r="4459" spans="1:8" x14ac:dyDescent="0.25">
      <c r="A4459" s="2">
        <v>44488</v>
      </c>
      <c r="B4459" t="s">
        <v>50</v>
      </c>
      <c r="C4459">
        <v>-1541</v>
      </c>
      <c r="D4459" t="str">
        <f>VLOOKUP(B4459,Tabela_Auxiliar[],2,0)</f>
        <v>4. Despesas Operacionais</v>
      </c>
      <c r="E4459" t="str">
        <f>VLOOKUP(B4459,Tabela_Auxiliar[],4,0)</f>
        <v>Despesa com Pessoal</v>
      </c>
      <c r="F4459" t="str">
        <f>VLOOKUP(B4459,Tabela_Auxiliar[],3,0)</f>
        <v>Saída</v>
      </c>
      <c r="G4459" t="str">
        <f>UPPER(TEXT(Tabela_DB[[#This Row],[DATA]],"mmm"))</f>
        <v>OUT</v>
      </c>
      <c r="H4459" t="str">
        <f>UPPER(TEXT(Tabela_DB[[#This Row],[DATA]],"aaaa"))</f>
        <v>2021</v>
      </c>
    </row>
    <row r="4460" spans="1:8" x14ac:dyDescent="0.25">
      <c r="A4460" s="2">
        <v>44488</v>
      </c>
      <c r="B4460" t="s">
        <v>4</v>
      </c>
      <c r="C4460">
        <v>12918</v>
      </c>
      <c r="D4460" t="str">
        <f>VLOOKUP(B4460,Tabela_Auxiliar[],2,0)</f>
        <v>1. Receita Operacional Bruta</v>
      </c>
      <c r="E4460" t="str">
        <f>VLOOKUP(B4460,Tabela_Auxiliar[],4,0)</f>
        <v>Receita Bruta</v>
      </c>
      <c r="F4460" t="str">
        <f>VLOOKUP(B4460,Tabela_Auxiliar[],3,0)</f>
        <v>Entrada</v>
      </c>
      <c r="G4460" t="str">
        <f>UPPER(TEXT(Tabela_DB[[#This Row],[DATA]],"mmm"))</f>
        <v>OUT</v>
      </c>
      <c r="H4460" t="str">
        <f>UPPER(TEXT(Tabela_DB[[#This Row],[DATA]],"aaaa"))</f>
        <v>2021</v>
      </c>
    </row>
    <row r="4461" spans="1:8" x14ac:dyDescent="0.25">
      <c r="A4461" s="2">
        <v>44488</v>
      </c>
      <c r="B4461" t="s">
        <v>35</v>
      </c>
      <c r="C4461">
        <v>-1674</v>
      </c>
      <c r="D4461" t="str">
        <f>VLOOKUP(B4461,Tabela_Auxiliar[],2,0)</f>
        <v>2. Deduções da Receita</v>
      </c>
      <c r="E4461" t="str">
        <f>VLOOKUP(B4461,Tabela_Auxiliar[],4,0)</f>
        <v>Imposto</v>
      </c>
      <c r="F4461" t="str">
        <f>VLOOKUP(B4461,Tabela_Auxiliar[],3,0)</f>
        <v>Saída</v>
      </c>
      <c r="G4461" t="str">
        <f>UPPER(TEXT(Tabela_DB[[#This Row],[DATA]],"mmm"))</f>
        <v>OUT</v>
      </c>
      <c r="H4461" t="str">
        <f>UPPER(TEXT(Tabela_DB[[#This Row],[DATA]],"aaaa"))</f>
        <v>2021</v>
      </c>
    </row>
    <row r="4462" spans="1:8" x14ac:dyDescent="0.25">
      <c r="A4462" s="2">
        <v>44488</v>
      </c>
      <c r="B4462" t="s">
        <v>62</v>
      </c>
      <c r="C4462">
        <v>-2401</v>
      </c>
      <c r="D4462" t="str">
        <f>VLOOKUP(B4462,Tabela_Auxiliar[],2,0)</f>
        <v>4. Despesas Operacionais</v>
      </c>
      <c r="E4462" t="str">
        <f>VLOOKUP(B4462,Tabela_Auxiliar[],4,0)</f>
        <v>Despesa Gerais</v>
      </c>
      <c r="F4462" t="str">
        <f>VLOOKUP(B4462,Tabela_Auxiliar[],3,0)</f>
        <v>Saída</v>
      </c>
      <c r="G4462" t="str">
        <f>UPPER(TEXT(Tabela_DB[[#This Row],[DATA]],"mmm"))</f>
        <v>OUT</v>
      </c>
      <c r="H4462" t="str">
        <f>UPPER(TEXT(Tabela_DB[[#This Row],[DATA]],"aaaa"))</f>
        <v>2021</v>
      </c>
    </row>
    <row r="4463" spans="1:8" x14ac:dyDescent="0.25">
      <c r="A4463" s="2">
        <v>44489</v>
      </c>
      <c r="B4463" t="s">
        <v>38</v>
      </c>
      <c r="C4463">
        <v>-1442</v>
      </c>
      <c r="D4463" t="str">
        <f>VLOOKUP(B4463,Tabela_Auxiliar[],2,0)</f>
        <v>2. Deduções da Receita</v>
      </c>
      <c r="E4463" t="str">
        <f>VLOOKUP(B4463,Tabela_Auxiliar[],4,0)</f>
        <v>Deduções</v>
      </c>
      <c r="F4463" t="str">
        <f>VLOOKUP(B4463,Tabela_Auxiliar[],3,0)</f>
        <v>Saída</v>
      </c>
      <c r="G4463" t="str">
        <f>UPPER(TEXT(Tabela_DB[[#This Row],[DATA]],"mmm"))</f>
        <v>OUT</v>
      </c>
      <c r="H4463" t="str">
        <f>UPPER(TEXT(Tabela_DB[[#This Row],[DATA]],"aaaa"))</f>
        <v>2021</v>
      </c>
    </row>
    <row r="4464" spans="1:8" x14ac:dyDescent="0.25">
      <c r="A4464" s="2">
        <v>44489</v>
      </c>
      <c r="B4464" t="s">
        <v>74</v>
      </c>
      <c r="C4464">
        <v>-1121</v>
      </c>
      <c r="D4464" t="str">
        <f>VLOOKUP(B4464,Tabela_Auxiliar[],2,0)</f>
        <v>4. Despesas Operacionais</v>
      </c>
      <c r="E4464" t="str">
        <f>VLOOKUP(B4464,Tabela_Auxiliar[],4,0)</f>
        <v>Serviços Contratados</v>
      </c>
      <c r="F4464" t="str">
        <f>VLOOKUP(B4464,Tabela_Auxiliar[],3,0)</f>
        <v>Saída</v>
      </c>
      <c r="G4464" t="str">
        <f>UPPER(TEXT(Tabela_DB[[#This Row],[DATA]],"mmm"))</f>
        <v>OUT</v>
      </c>
      <c r="H4464" t="str">
        <f>UPPER(TEXT(Tabela_DB[[#This Row],[DATA]],"aaaa"))</f>
        <v>2021</v>
      </c>
    </row>
    <row r="4465" spans="1:8" x14ac:dyDescent="0.25">
      <c r="A4465" s="2">
        <v>44489</v>
      </c>
      <c r="B4465" t="s">
        <v>51</v>
      </c>
      <c r="C4465">
        <v>-1022</v>
      </c>
      <c r="D4465" t="str">
        <f>VLOOKUP(B4465,Tabela_Auxiliar[],2,0)</f>
        <v>4. Despesas Operacionais</v>
      </c>
      <c r="E4465" t="str">
        <f>VLOOKUP(B4465,Tabela_Auxiliar[],4,0)</f>
        <v>Despesa com Pessoal</v>
      </c>
      <c r="F4465" t="str">
        <f>VLOOKUP(B4465,Tabela_Auxiliar[],3,0)</f>
        <v>Saída</v>
      </c>
      <c r="G4465" t="str">
        <f>UPPER(TEXT(Tabela_DB[[#This Row],[DATA]],"mmm"))</f>
        <v>OUT</v>
      </c>
      <c r="H4465" t="str">
        <f>UPPER(TEXT(Tabela_DB[[#This Row],[DATA]],"aaaa"))</f>
        <v>2021</v>
      </c>
    </row>
    <row r="4466" spans="1:8" x14ac:dyDescent="0.25">
      <c r="A4466" s="2">
        <v>44489</v>
      </c>
      <c r="B4466" t="s">
        <v>37</v>
      </c>
      <c r="C4466">
        <v>-4202</v>
      </c>
      <c r="D4466" t="str">
        <f>VLOOKUP(B4466,Tabela_Auxiliar[],2,0)</f>
        <v>3. Custos do Produto/Mercadoria/Serviço</v>
      </c>
      <c r="E4466" t="str">
        <f>VLOOKUP(B4466,Tabela_Auxiliar[],4,0)</f>
        <v>Despesas c/ Produto</v>
      </c>
      <c r="F4466" t="str">
        <f>VLOOKUP(B4466,Tabela_Auxiliar[],3,0)</f>
        <v>Saída</v>
      </c>
      <c r="G4466" t="str">
        <f>UPPER(TEXT(Tabela_DB[[#This Row],[DATA]],"mmm"))</f>
        <v>OUT</v>
      </c>
      <c r="H4466" t="str">
        <f>UPPER(TEXT(Tabela_DB[[#This Row],[DATA]],"aaaa"))</f>
        <v>2021</v>
      </c>
    </row>
    <row r="4467" spans="1:8" x14ac:dyDescent="0.25">
      <c r="A4467" s="2">
        <v>44489</v>
      </c>
      <c r="B4467" t="s">
        <v>34</v>
      </c>
      <c r="C4467">
        <v>-1051</v>
      </c>
      <c r="D4467" t="str">
        <f>VLOOKUP(B4467,Tabela_Auxiliar[],2,0)</f>
        <v>2. Deduções da Receita</v>
      </c>
      <c r="E4467" t="str">
        <f>VLOOKUP(B4467,Tabela_Auxiliar[],4,0)</f>
        <v>Imposto</v>
      </c>
      <c r="F4467" t="str">
        <f>VLOOKUP(B4467,Tabela_Auxiliar[],3,0)</f>
        <v>Saída</v>
      </c>
      <c r="G4467" t="str">
        <f>UPPER(TEXT(Tabela_DB[[#This Row],[DATA]],"mmm"))</f>
        <v>OUT</v>
      </c>
      <c r="H4467" t="str">
        <f>UPPER(TEXT(Tabela_DB[[#This Row],[DATA]],"aaaa"))</f>
        <v>2021</v>
      </c>
    </row>
    <row r="4468" spans="1:8" x14ac:dyDescent="0.25">
      <c r="A4468" s="2">
        <v>44489</v>
      </c>
      <c r="B4468" t="s">
        <v>3</v>
      </c>
      <c r="C4468">
        <v>13905</v>
      </c>
      <c r="D4468" t="str">
        <f>VLOOKUP(B4468,Tabela_Auxiliar[],2,0)</f>
        <v>1. Receita Operacional Bruta</v>
      </c>
      <c r="E4468" t="str">
        <f>VLOOKUP(B4468,Tabela_Auxiliar[],4,0)</f>
        <v>Receita Bruta</v>
      </c>
      <c r="F4468" t="str">
        <f>VLOOKUP(B4468,Tabela_Auxiliar[],3,0)</f>
        <v>Entrada</v>
      </c>
      <c r="G4468" t="str">
        <f>UPPER(TEXT(Tabela_DB[[#This Row],[DATA]],"mmm"))</f>
        <v>OUT</v>
      </c>
      <c r="H4468" t="str">
        <f>UPPER(TEXT(Tabela_DB[[#This Row],[DATA]],"aaaa"))</f>
        <v>2021</v>
      </c>
    </row>
    <row r="4469" spans="1:8" x14ac:dyDescent="0.25">
      <c r="A4469" s="2">
        <v>44490</v>
      </c>
      <c r="B4469" t="s">
        <v>37</v>
      </c>
      <c r="C4469">
        <v>-2791</v>
      </c>
      <c r="D4469" t="str">
        <f>VLOOKUP(B4469,Tabela_Auxiliar[],2,0)</f>
        <v>3. Custos do Produto/Mercadoria/Serviço</v>
      </c>
      <c r="E4469" t="str">
        <f>VLOOKUP(B4469,Tabela_Auxiliar[],4,0)</f>
        <v>Despesas c/ Produto</v>
      </c>
      <c r="F4469" t="str">
        <f>VLOOKUP(B4469,Tabela_Auxiliar[],3,0)</f>
        <v>Saída</v>
      </c>
      <c r="G4469" t="str">
        <f>UPPER(TEXT(Tabela_DB[[#This Row],[DATA]],"mmm"))</f>
        <v>OUT</v>
      </c>
      <c r="H4469" t="str">
        <f>UPPER(TEXT(Tabela_DB[[#This Row],[DATA]],"aaaa"))</f>
        <v>2021</v>
      </c>
    </row>
    <row r="4470" spans="1:8" x14ac:dyDescent="0.25">
      <c r="A4470" s="2">
        <v>44490</v>
      </c>
      <c r="B4470" t="s">
        <v>4</v>
      </c>
      <c r="C4470">
        <v>12239</v>
      </c>
      <c r="D4470" t="str">
        <f>VLOOKUP(B4470,Tabela_Auxiliar[],2,0)</f>
        <v>1. Receita Operacional Bruta</v>
      </c>
      <c r="E4470" t="str">
        <f>VLOOKUP(B4470,Tabela_Auxiliar[],4,0)</f>
        <v>Receita Bruta</v>
      </c>
      <c r="F4470" t="str">
        <f>VLOOKUP(B4470,Tabela_Auxiliar[],3,0)</f>
        <v>Entrada</v>
      </c>
      <c r="G4470" t="str">
        <f>UPPER(TEXT(Tabela_DB[[#This Row],[DATA]],"mmm"))</f>
        <v>OUT</v>
      </c>
      <c r="H4470" t="str">
        <f>UPPER(TEXT(Tabela_DB[[#This Row],[DATA]],"aaaa"))</f>
        <v>2021</v>
      </c>
    </row>
    <row r="4471" spans="1:8" x14ac:dyDescent="0.25">
      <c r="A4471" s="2">
        <v>44490</v>
      </c>
      <c r="B4471" t="s">
        <v>34</v>
      </c>
      <c r="C4471">
        <v>-1067</v>
      </c>
      <c r="D4471" t="str">
        <f>VLOOKUP(B4471,Tabela_Auxiliar[],2,0)</f>
        <v>2. Deduções da Receita</v>
      </c>
      <c r="E4471" t="str">
        <f>VLOOKUP(B4471,Tabela_Auxiliar[],4,0)</f>
        <v>Imposto</v>
      </c>
      <c r="F4471" t="str">
        <f>VLOOKUP(B4471,Tabela_Auxiliar[],3,0)</f>
        <v>Saída</v>
      </c>
      <c r="G4471" t="str">
        <f>UPPER(TEXT(Tabela_DB[[#This Row],[DATA]],"mmm"))</f>
        <v>OUT</v>
      </c>
      <c r="H4471" t="str">
        <f>UPPER(TEXT(Tabela_DB[[#This Row],[DATA]],"aaaa"))</f>
        <v>2021</v>
      </c>
    </row>
    <row r="4472" spans="1:8" x14ac:dyDescent="0.25">
      <c r="A4472" s="2">
        <v>44490</v>
      </c>
      <c r="B4472" t="s">
        <v>34</v>
      </c>
      <c r="C4472">
        <v>-1730</v>
      </c>
      <c r="D4472" t="str">
        <f>VLOOKUP(B4472,Tabela_Auxiliar[],2,0)</f>
        <v>2. Deduções da Receita</v>
      </c>
      <c r="E4472" t="str">
        <f>VLOOKUP(B4472,Tabela_Auxiliar[],4,0)</f>
        <v>Imposto</v>
      </c>
      <c r="F4472" t="str">
        <f>VLOOKUP(B4472,Tabela_Auxiliar[],3,0)</f>
        <v>Saída</v>
      </c>
      <c r="G4472" t="str">
        <f>UPPER(TEXT(Tabela_DB[[#This Row],[DATA]],"mmm"))</f>
        <v>OUT</v>
      </c>
      <c r="H4472" t="str">
        <f>UPPER(TEXT(Tabela_DB[[#This Row],[DATA]],"aaaa"))</f>
        <v>2021</v>
      </c>
    </row>
    <row r="4473" spans="1:8" x14ac:dyDescent="0.25">
      <c r="A4473" s="2">
        <v>44490</v>
      </c>
      <c r="B4473" t="s">
        <v>3</v>
      </c>
      <c r="C4473">
        <v>11132</v>
      </c>
      <c r="D4473" t="str">
        <f>VLOOKUP(B4473,Tabela_Auxiliar[],2,0)</f>
        <v>1. Receita Operacional Bruta</v>
      </c>
      <c r="E4473" t="str">
        <f>VLOOKUP(B4473,Tabela_Auxiliar[],4,0)</f>
        <v>Receita Bruta</v>
      </c>
      <c r="F4473" t="str">
        <f>VLOOKUP(B4473,Tabela_Auxiliar[],3,0)</f>
        <v>Entrada</v>
      </c>
      <c r="G4473" t="str">
        <f>UPPER(TEXT(Tabela_DB[[#This Row],[DATA]],"mmm"))</f>
        <v>OUT</v>
      </c>
      <c r="H4473" t="str">
        <f>UPPER(TEXT(Tabela_DB[[#This Row],[DATA]],"aaaa"))</f>
        <v>2021</v>
      </c>
    </row>
    <row r="4474" spans="1:8" x14ac:dyDescent="0.25">
      <c r="A4474" s="2">
        <v>44491</v>
      </c>
      <c r="B4474" t="s">
        <v>62</v>
      </c>
      <c r="C4474">
        <v>-2152</v>
      </c>
      <c r="D4474" t="str">
        <f>VLOOKUP(B4474,Tabela_Auxiliar[],2,0)</f>
        <v>4. Despesas Operacionais</v>
      </c>
      <c r="E4474" t="str">
        <f>VLOOKUP(B4474,Tabela_Auxiliar[],4,0)</f>
        <v>Despesa Gerais</v>
      </c>
      <c r="F4474" t="str">
        <f>VLOOKUP(B4474,Tabela_Auxiliar[],3,0)</f>
        <v>Saída</v>
      </c>
      <c r="G4474" t="str">
        <f>UPPER(TEXT(Tabela_DB[[#This Row],[DATA]],"mmm"))</f>
        <v>OUT</v>
      </c>
      <c r="H4474" t="str">
        <f>UPPER(TEXT(Tabela_DB[[#This Row],[DATA]],"aaaa"))</f>
        <v>2021</v>
      </c>
    </row>
    <row r="4475" spans="1:8" x14ac:dyDescent="0.25">
      <c r="A4475" s="2">
        <v>44491</v>
      </c>
      <c r="B4475" t="s">
        <v>37</v>
      </c>
      <c r="C4475">
        <v>-3984</v>
      </c>
      <c r="D4475" t="str">
        <f>VLOOKUP(B4475,Tabela_Auxiliar[],2,0)</f>
        <v>3. Custos do Produto/Mercadoria/Serviço</v>
      </c>
      <c r="E4475" t="str">
        <f>VLOOKUP(B4475,Tabela_Auxiliar[],4,0)</f>
        <v>Despesas c/ Produto</v>
      </c>
      <c r="F4475" t="str">
        <f>VLOOKUP(B4475,Tabela_Auxiliar[],3,0)</f>
        <v>Saída</v>
      </c>
      <c r="G4475" t="str">
        <f>UPPER(TEXT(Tabela_DB[[#This Row],[DATA]],"mmm"))</f>
        <v>OUT</v>
      </c>
      <c r="H4475" t="str">
        <f>UPPER(TEXT(Tabela_DB[[#This Row],[DATA]],"aaaa"))</f>
        <v>2021</v>
      </c>
    </row>
    <row r="4476" spans="1:8" x14ac:dyDescent="0.25">
      <c r="A4476" s="2">
        <v>44491</v>
      </c>
      <c r="B4476" t="s">
        <v>111</v>
      </c>
      <c r="C4476">
        <v>-2367</v>
      </c>
      <c r="D4476" t="str">
        <f>VLOOKUP(B4476,Tabela_Auxiliar[],2,0)</f>
        <v>2. Deduções da Receita</v>
      </c>
      <c r="E4476" t="str">
        <f>VLOOKUP(B4476,Tabela_Auxiliar[],4,0)</f>
        <v>Imposto</v>
      </c>
      <c r="F4476" t="str">
        <f>VLOOKUP(B4476,Tabela_Auxiliar[],3,0)</f>
        <v>Saída</v>
      </c>
      <c r="G4476" t="str">
        <f>UPPER(TEXT(Tabela_DB[[#This Row],[DATA]],"mmm"))</f>
        <v>OUT</v>
      </c>
      <c r="H4476" t="str">
        <f>UPPER(TEXT(Tabela_DB[[#This Row],[DATA]],"aaaa"))</f>
        <v>2021</v>
      </c>
    </row>
    <row r="4477" spans="1:8" x14ac:dyDescent="0.25">
      <c r="A4477" s="2">
        <v>44491</v>
      </c>
      <c r="B4477" t="s">
        <v>37</v>
      </c>
      <c r="C4477">
        <v>-3917</v>
      </c>
      <c r="D4477" t="str">
        <f>VLOOKUP(B4477,Tabela_Auxiliar[],2,0)</f>
        <v>3. Custos do Produto/Mercadoria/Serviço</v>
      </c>
      <c r="E4477" t="str">
        <f>VLOOKUP(B4477,Tabela_Auxiliar[],4,0)</f>
        <v>Despesas c/ Produto</v>
      </c>
      <c r="F4477" t="str">
        <f>VLOOKUP(B4477,Tabela_Auxiliar[],3,0)</f>
        <v>Saída</v>
      </c>
      <c r="G4477" t="str">
        <f>UPPER(TEXT(Tabela_DB[[#This Row],[DATA]],"mmm"))</f>
        <v>OUT</v>
      </c>
      <c r="H4477" t="str">
        <f>UPPER(TEXT(Tabela_DB[[#This Row],[DATA]],"aaaa"))</f>
        <v>2021</v>
      </c>
    </row>
    <row r="4478" spans="1:8" x14ac:dyDescent="0.25">
      <c r="A4478" s="2">
        <v>44492</v>
      </c>
      <c r="B4478" t="s">
        <v>34</v>
      </c>
      <c r="C4478">
        <v>-1695</v>
      </c>
      <c r="D4478" t="str">
        <f>VLOOKUP(B4478,Tabela_Auxiliar[],2,0)</f>
        <v>2. Deduções da Receita</v>
      </c>
      <c r="E4478" t="str">
        <f>VLOOKUP(B4478,Tabela_Auxiliar[],4,0)</f>
        <v>Imposto</v>
      </c>
      <c r="F4478" t="str">
        <f>VLOOKUP(B4478,Tabela_Auxiliar[],3,0)</f>
        <v>Saída</v>
      </c>
      <c r="G4478" t="str">
        <f>UPPER(TEXT(Tabela_DB[[#This Row],[DATA]],"mmm"))</f>
        <v>OUT</v>
      </c>
      <c r="H4478" t="str">
        <f>UPPER(TEXT(Tabela_DB[[#This Row],[DATA]],"aaaa"))</f>
        <v>2021</v>
      </c>
    </row>
    <row r="4479" spans="1:8" x14ac:dyDescent="0.25">
      <c r="A4479" s="2">
        <v>44492</v>
      </c>
      <c r="B4479" t="s">
        <v>5</v>
      </c>
      <c r="C4479">
        <v>-1749</v>
      </c>
      <c r="D4479" t="str">
        <f>VLOOKUP(B4479,Tabela_Auxiliar[],2,0)</f>
        <v>4. Despesas Operacionais</v>
      </c>
      <c r="E4479" t="str">
        <f>VLOOKUP(B4479,Tabela_Auxiliar[],4,0)</f>
        <v>Despesa com Pessoal</v>
      </c>
      <c r="F4479" t="str">
        <f>VLOOKUP(B4479,Tabela_Auxiliar[],3,0)</f>
        <v>Saída</v>
      </c>
      <c r="G4479" t="str">
        <f>UPPER(TEXT(Tabela_DB[[#This Row],[DATA]],"mmm"))</f>
        <v>OUT</v>
      </c>
      <c r="H4479" t="str">
        <f>UPPER(TEXT(Tabela_DB[[#This Row],[DATA]],"aaaa"))</f>
        <v>2021</v>
      </c>
    </row>
    <row r="4480" spans="1:8" x14ac:dyDescent="0.25">
      <c r="A4480" s="2">
        <v>44492</v>
      </c>
      <c r="B4480" t="s">
        <v>4</v>
      </c>
      <c r="C4480">
        <v>10445</v>
      </c>
      <c r="D4480" t="str">
        <f>VLOOKUP(B4480,Tabela_Auxiliar[],2,0)</f>
        <v>1. Receita Operacional Bruta</v>
      </c>
      <c r="E4480" t="str">
        <f>VLOOKUP(B4480,Tabela_Auxiliar[],4,0)</f>
        <v>Receita Bruta</v>
      </c>
      <c r="F4480" t="str">
        <f>VLOOKUP(B4480,Tabela_Auxiliar[],3,0)</f>
        <v>Entrada</v>
      </c>
      <c r="G4480" t="str">
        <f>UPPER(TEXT(Tabela_DB[[#This Row],[DATA]],"mmm"))</f>
        <v>OUT</v>
      </c>
      <c r="H4480" t="str">
        <f>UPPER(TEXT(Tabela_DB[[#This Row],[DATA]],"aaaa"))</f>
        <v>2021</v>
      </c>
    </row>
    <row r="4481" spans="1:8" x14ac:dyDescent="0.25">
      <c r="A4481" s="2">
        <v>44492</v>
      </c>
      <c r="B4481" t="s">
        <v>34</v>
      </c>
      <c r="C4481">
        <v>-1412</v>
      </c>
      <c r="D4481" t="str">
        <f>VLOOKUP(B4481,Tabela_Auxiliar[],2,0)</f>
        <v>2. Deduções da Receita</v>
      </c>
      <c r="E4481" t="str">
        <f>VLOOKUP(B4481,Tabela_Auxiliar[],4,0)</f>
        <v>Imposto</v>
      </c>
      <c r="F4481" t="str">
        <f>VLOOKUP(B4481,Tabela_Auxiliar[],3,0)</f>
        <v>Saída</v>
      </c>
      <c r="G4481" t="str">
        <f>UPPER(TEXT(Tabela_DB[[#This Row],[DATA]],"mmm"))</f>
        <v>OUT</v>
      </c>
      <c r="H4481" t="str">
        <f>UPPER(TEXT(Tabela_DB[[#This Row],[DATA]],"aaaa"))</f>
        <v>2021</v>
      </c>
    </row>
    <row r="4482" spans="1:8" x14ac:dyDescent="0.25">
      <c r="A4482" s="2">
        <v>44492</v>
      </c>
      <c r="B4482" t="s">
        <v>43</v>
      </c>
      <c r="C4482">
        <v>-2306</v>
      </c>
      <c r="D4482" t="str">
        <f>VLOOKUP(B4482,Tabela_Auxiliar[],2,0)</f>
        <v>4. Despesas Operacionais</v>
      </c>
      <c r="E4482" t="str">
        <f>VLOOKUP(B4482,Tabela_Auxiliar[],4,0)</f>
        <v>Despesa com Pessoal</v>
      </c>
      <c r="F4482" t="str">
        <f>VLOOKUP(B4482,Tabela_Auxiliar[],3,0)</f>
        <v>Saída</v>
      </c>
      <c r="G4482" t="str">
        <f>UPPER(TEXT(Tabela_DB[[#This Row],[DATA]],"mmm"))</f>
        <v>OUT</v>
      </c>
      <c r="H4482" t="str">
        <f>UPPER(TEXT(Tabela_DB[[#This Row],[DATA]],"aaaa"))</f>
        <v>2021</v>
      </c>
    </row>
    <row r="4483" spans="1:8" x14ac:dyDescent="0.25">
      <c r="A4483" s="2">
        <v>44492</v>
      </c>
      <c r="B4483" t="s">
        <v>63</v>
      </c>
      <c r="C4483">
        <v>-1989</v>
      </c>
      <c r="D4483" t="str">
        <f>VLOOKUP(B4483,Tabela_Auxiliar[],2,0)</f>
        <v>4. Despesas Operacionais</v>
      </c>
      <c r="E4483" t="str">
        <f>VLOOKUP(B4483,Tabela_Auxiliar[],4,0)</f>
        <v>Despesa Gerais</v>
      </c>
      <c r="F4483" t="str">
        <f>VLOOKUP(B4483,Tabela_Auxiliar[],3,0)</f>
        <v>Saída</v>
      </c>
      <c r="G4483" t="str">
        <f>UPPER(TEXT(Tabela_DB[[#This Row],[DATA]],"mmm"))</f>
        <v>OUT</v>
      </c>
      <c r="H4483" t="str">
        <f>UPPER(TEXT(Tabela_DB[[#This Row],[DATA]],"aaaa"))</f>
        <v>2021</v>
      </c>
    </row>
    <row r="4484" spans="1:8" x14ac:dyDescent="0.25">
      <c r="A4484" s="2">
        <v>44492</v>
      </c>
      <c r="B4484" t="s">
        <v>35</v>
      </c>
      <c r="C4484">
        <v>-2138</v>
      </c>
      <c r="D4484" t="str">
        <f>VLOOKUP(B4484,Tabela_Auxiliar[],2,0)</f>
        <v>2. Deduções da Receita</v>
      </c>
      <c r="E4484" t="str">
        <f>VLOOKUP(B4484,Tabela_Auxiliar[],4,0)</f>
        <v>Imposto</v>
      </c>
      <c r="F4484" t="str">
        <f>VLOOKUP(B4484,Tabela_Auxiliar[],3,0)</f>
        <v>Saída</v>
      </c>
      <c r="G4484" t="str">
        <f>UPPER(TEXT(Tabela_DB[[#This Row],[DATA]],"mmm"))</f>
        <v>OUT</v>
      </c>
      <c r="H4484" t="str">
        <f>UPPER(TEXT(Tabela_DB[[#This Row],[DATA]],"aaaa"))</f>
        <v>2021</v>
      </c>
    </row>
    <row r="4485" spans="1:8" x14ac:dyDescent="0.25">
      <c r="A4485" s="2">
        <v>44492</v>
      </c>
      <c r="B4485" t="s">
        <v>35</v>
      </c>
      <c r="C4485">
        <v>-1515</v>
      </c>
      <c r="D4485" t="str">
        <f>VLOOKUP(B4485,Tabela_Auxiliar[],2,0)</f>
        <v>2. Deduções da Receita</v>
      </c>
      <c r="E4485" t="str">
        <f>VLOOKUP(B4485,Tabela_Auxiliar[],4,0)</f>
        <v>Imposto</v>
      </c>
      <c r="F4485" t="str">
        <f>VLOOKUP(B4485,Tabela_Auxiliar[],3,0)</f>
        <v>Saída</v>
      </c>
      <c r="G4485" t="str">
        <f>UPPER(TEXT(Tabela_DB[[#This Row],[DATA]],"mmm"))</f>
        <v>OUT</v>
      </c>
      <c r="H4485" t="str">
        <f>UPPER(TEXT(Tabela_DB[[#This Row],[DATA]],"aaaa"))</f>
        <v>2021</v>
      </c>
    </row>
    <row r="4486" spans="1:8" x14ac:dyDescent="0.25">
      <c r="A4486" s="2">
        <v>44493</v>
      </c>
      <c r="B4486" t="s">
        <v>49</v>
      </c>
      <c r="C4486">
        <v>-1374</v>
      </c>
      <c r="D4486" t="str">
        <f>VLOOKUP(B4486,Tabela_Auxiliar[],2,0)</f>
        <v>4. Despesas Operacionais</v>
      </c>
      <c r="E4486" t="str">
        <f>VLOOKUP(B4486,Tabela_Auxiliar[],4,0)</f>
        <v>Despesa com Pessoal</v>
      </c>
      <c r="F4486" t="str">
        <f>VLOOKUP(B4486,Tabela_Auxiliar[],3,0)</f>
        <v>Saída</v>
      </c>
      <c r="G4486" t="str">
        <f>UPPER(TEXT(Tabela_DB[[#This Row],[DATA]],"mmm"))</f>
        <v>OUT</v>
      </c>
      <c r="H4486" t="str">
        <f>UPPER(TEXT(Tabela_DB[[#This Row],[DATA]],"aaaa"))</f>
        <v>2021</v>
      </c>
    </row>
    <row r="4487" spans="1:8" x14ac:dyDescent="0.25">
      <c r="A4487" s="2">
        <v>44493</v>
      </c>
      <c r="B4487" t="s">
        <v>83</v>
      </c>
      <c r="C4487">
        <v>-2176</v>
      </c>
      <c r="D4487" t="str">
        <f>VLOOKUP(B4487,Tabela_Auxiliar[],2,0)</f>
        <v>4. Despesas Operacionais</v>
      </c>
      <c r="E4487" t="str">
        <f>VLOOKUP(B4487,Tabela_Auxiliar[],4,0)</f>
        <v>Despesa com Veículos</v>
      </c>
      <c r="F4487" t="str">
        <f>VLOOKUP(B4487,Tabela_Auxiliar[],3,0)</f>
        <v>Saída</v>
      </c>
      <c r="G4487" t="str">
        <f>UPPER(TEXT(Tabela_DB[[#This Row],[DATA]],"mmm"))</f>
        <v>OUT</v>
      </c>
      <c r="H4487" t="str">
        <f>UPPER(TEXT(Tabela_DB[[#This Row],[DATA]],"aaaa"))</f>
        <v>2021</v>
      </c>
    </row>
    <row r="4488" spans="1:8" x14ac:dyDescent="0.25">
      <c r="A4488" s="2">
        <v>44493</v>
      </c>
      <c r="B4488" t="s">
        <v>37</v>
      </c>
      <c r="C4488">
        <v>-2547</v>
      </c>
      <c r="D4488" t="str">
        <f>VLOOKUP(B4488,Tabela_Auxiliar[],2,0)</f>
        <v>3. Custos do Produto/Mercadoria/Serviço</v>
      </c>
      <c r="E4488" t="str">
        <f>VLOOKUP(B4488,Tabela_Auxiliar[],4,0)</f>
        <v>Despesas c/ Produto</v>
      </c>
      <c r="F4488" t="str">
        <f>VLOOKUP(B4488,Tabela_Auxiliar[],3,0)</f>
        <v>Saída</v>
      </c>
      <c r="G4488" t="str">
        <f>UPPER(TEXT(Tabela_DB[[#This Row],[DATA]],"mmm"))</f>
        <v>OUT</v>
      </c>
      <c r="H4488" t="str">
        <f>UPPER(TEXT(Tabela_DB[[#This Row],[DATA]],"aaaa"))</f>
        <v>2021</v>
      </c>
    </row>
    <row r="4489" spans="1:8" x14ac:dyDescent="0.25">
      <c r="A4489" s="2">
        <v>44493</v>
      </c>
      <c r="B4489" t="s">
        <v>37</v>
      </c>
      <c r="C4489">
        <v>-3951</v>
      </c>
      <c r="D4489" t="str">
        <f>VLOOKUP(B4489,Tabela_Auxiliar[],2,0)</f>
        <v>3. Custos do Produto/Mercadoria/Serviço</v>
      </c>
      <c r="E4489" t="str">
        <f>VLOOKUP(B4489,Tabela_Auxiliar[],4,0)</f>
        <v>Despesas c/ Produto</v>
      </c>
      <c r="F4489" t="str">
        <f>VLOOKUP(B4489,Tabela_Auxiliar[],3,0)</f>
        <v>Saída</v>
      </c>
      <c r="G4489" t="str">
        <f>UPPER(TEXT(Tabela_DB[[#This Row],[DATA]],"mmm"))</f>
        <v>OUT</v>
      </c>
      <c r="H4489" t="str">
        <f>UPPER(TEXT(Tabela_DB[[#This Row],[DATA]],"aaaa"))</f>
        <v>2021</v>
      </c>
    </row>
    <row r="4490" spans="1:8" x14ac:dyDescent="0.25">
      <c r="A4490" s="2">
        <v>44493</v>
      </c>
      <c r="B4490" t="s">
        <v>3</v>
      </c>
      <c r="C4490">
        <v>13460</v>
      </c>
      <c r="D4490" t="str">
        <f>VLOOKUP(B4490,Tabela_Auxiliar[],2,0)</f>
        <v>1. Receita Operacional Bruta</v>
      </c>
      <c r="E4490" t="str">
        <f>VLOOKUP(B4490,Tabela_Auxiliar[],4,0)</f>
        <v>Receita Bruta</v>
      </c>
      <c r="F4490" t="str">
        <f>VLOOKUP(B4490,Tabela_Auxiliar[],3,0)</f>
        <v>Entrada</v>
      </c>
      <c r="G4490" t="str">
        <f>UPPER(TEXT(Tabela_DB[[#This Row],[DATA]],"mmm"))</f>
        <v>OUT</v>
      </c>
      <c r="H4490" t="str">
        <f>UPPER(TEXT(Tabela_DB[[#This Row],[DATA]],"aaaa"))</f>
        <v>2021</v>
      </c>
    </row>
    <row r="4491" spans="1:8" x14ac:dyDescent="0.25">
      <c r="A4491" s="2">
        <v>44493</v>
      </c>
      <c r="B4491" t="s">
        <v>37</v>
      </c>
      <c r="C4491">
        <v>-4790</v>
      </c>
      <c r="D4491" t="str">
        <f>VLOOKUP(B4491,Tabela_Auxiliar[],2,0)</f>
        <v>3. Custos do Produto/Mercadoria/Serviço</v>
      </c>
      <c r="E4491" t="str">
        <f>VLOOKUP(B4491,Tabela_Auxiliar[],4,0)</f>
        <v>Despesas c/ Produto</v>
      </c>
      <c r="F4491" t="str">
        <f>VLOOKUP(B4491,Tabela_Auxiliar[],3,0)</f>
        <v>Saída</v>
      </c>
      <c r="G4491" t="str">
        <f>UPPER(TEXT(Tabela_DB[[#This Row],[DATA]],"mmm"))</f>
        <v>OUT</v>
      </c>
      <c r="H4491" t="str">
        <f>UPPER(TEXT(Tabela_DB[[#This Row],[DATA]],"aaaa"))</f>
        <v>2021</v>
      </c>
    </row>
    <row r="4492" spans="1:8" x14ac:dyDescent="0.25">
      <c r="A4492" s="2">
        <v>44493</v>
      </c>
      <c r="B4492" t="s">
        <v>34</v>
      </c>
      <c r="C4492">
        <v>-1803</v>
      </c>
      <c r="D4492" t="str">
        <f>VLOOKUP(B4492,Tabela_Auxiliar[],2,0)</f>
        <v>2. Deduções da Receita</v>
      </c>
      <c r="E4492" t="str">
        <f>VLOOKUP(B4492,Tabela_Auxiliar[],4,0)</f>
        <v>Imposto</v>
      </c>
      <c r="F4492" t="str">
        <f>VLOOKUP(B4492,Tabela_Auxiliar[],3,0)</f>
        <v>Saída</v>
      </c>
      <c r="G4492" t="str">
        <f>UPPER(TEXT(Tabela_DB[[#This Row],[DATA]],"mmm"))</f>
        <v>OUT</v>
      </c>
      <c r="H4492" t="str">
        <f>UPPER(TEXT(Tabela_DB[[#This Row],[DATA]],"aaaa"))</f>
        <v>2021</v>
      </c>
    </row>
    <row r="4493" spans="1:8" x14ac:dyDescent="0.25">
      <c r="A4493" s="2">
        <v>44494</v>
      </c>
      <c r="B4493" t="s">
        <v>4</v>
      </c>
      <c r="C4493">
        <v>10589</v>
      </c>
      <c r="D4493" t="str">
        <f>VLOOKUP(B4493,Tabela_Auxiliar[],2,0)</f>
        <v>1. Receita Operacional Bruta</v>
      </c>
      <c r="E4493" t="str">
        <f>VLOOKUP(B4493,Tabela_Auxiliar[],4,0)</f>
        <v>Receita Bruta</v>
      </c>
      <c r="F4493" t="str">
        <f>VLOOKUP(B4493,Tabela_Auxiliar[],3,0)</f>
        <v>Entrada</v>
      </c>
      <c r="G4493" t="str">
        <f>UPPER(TEXT(Tabela_DB[[#This Row],[DATA]],"mmm"))</f>
        <v>OUT</v>
      </c>
      <c r="H4493" t="str">
        <f>UPPER(TEXT(Tabela_DB[[#This Row],[DATA]],"aaaa"))</f>
        <v>2021</v>
      </c>
    </row>
    <row r="4494" spans="1:8" x14ac:dyDescent="0.25">
      <c r="A4494" s="2">
        <v>44494</v>
      </c>
      <c r="B4494" t="s">
        <v>3</v>
      </c>
      <c r="C4494">
        <v>12001</v>
      </c>
      <c r="D4494" t="str">
        <f>VLOOKUP(B4494,Tabela_Auxiliar[],2,0)</f>
        <v>1. Receita Operacional Bruta</v>
      </c>
      <c r="E4494" t="str">
        <f>VLOOKUP(B4494,Tabela_Auxiliar[],4,0)</f>
        <v>Receita Bruta</v>
      </c>
      <c r="F4494" t="str">
        <f>VLOOKUP(B4494,Tabela_Auxiliar[],3,0)</f>
        <v>Entrada</v>
      </c>
      <c r="G4494" t="str">
        <f>UPPER(TEXT(Tabela_DB[[#This Row],[DATA]],"mmm"))</f>
        <v>OUT</v>
      </c>
      <c r="H4494" t="str">
        <f>UPPER(TEXT(Tabela_DB[[#This Row],[DATA]],"aaaa"))</f>
        <v>2021</v>
      </c>
    </row>
    <row r="4495" spans="1:8" x14ac:dyDescent="0.25">
      <c r="A4495" s="2">
        <v>44494</v>
      </c>
      <c r="B4495" t="s">
        <v>37</v>
      </c>
      <c r="C4495">
        <v>-4495</v>
      </c>
      <c r="D4495" t="str">
        <f>VLOOKUP(B4495,Tabela_Auxiliar[],2,0)</f>
        <v>3. Custos do Produto/Mercadoria/Serviço</v>
      </c>
      <c r="E4495" t="str">
        <f>VLOOKUP(B4495,Tabela_Auxiliar[],4,0)</f>
        <v>Despesas c/ Produto</v>
      </c>
      <c r="F4495" t="str">
        <f>VLOOKUP(B4495,Tabela_Auxiliar[],3,0)</f>
        <v>Saída</v>
      </c>
      <c r="G4495" t="str">
        <f>UPPER(TEXT(Tabela_DB[[#This Row],[DATA]],"mmm"))</f>
        <v>OUT</v>
      </c>
      <c r="H4495" t="str">
        <f>UPPER(TEXT(Tabela_DB[[#This Row],[DATA]],"aaaa"))</f>
        <v>2021</v>
      </c>
    </row>
    <row r="4496" spans="1:8" x14ac:dyDescent="0.25">
      <c r="A4496" s="2">
        <v>44494</v>
      </c>
      <c r="B4496" t="s">
        <v>3</v>
      </c>
      <c r="C4496">
        <v>10109</v>
      </c>
      <c r="D4496" t="str">
        <f>VLOOKUP(B4496,Tabela_Auxiliar[],2,0)</f>
        <v>1. Receita Operacional Bruta</v>
      </c>
      <c r="E4496" t="str">
        <f>VLOOKUP(B4496,Tabela_Auxiliar[],4,0)</f>
        <v>Receita Bruta</v>
      </c>
      <c r="F4496" t="str">
        <f>VLOOKUP(B4496,Tabela_Auxiliar[],3,0)</f>
        <v>Entrada</v>
      </c>
      <c r="G4496" t="str">
        <f>UPPER(TEXT(Tabela_DB[[#This Row],[DATA]],"mmm"))</f>
        <v>OUT</v>
      </c>
      <c r="H4496" t="str">
        <f>UPPER(TEXT(Tabela_DB[[#This Row],[DATA]],"aaaa"))</f>
        <v>2021</v>
      </c>
    </row>
    <row r="4497" spans="1:8" x14ac:dyDescent="0.25">
      <c r="A4497" s="2">
        <v>44494</v>
      </c>
      <c r="B4497" t="s">
        <v>38</v>
      </c>
      <c r="C4497">
        <v>-1798</v>
      </c>
      <c r="D4497" t="str">
        <f>VLOOKUP(B4497,Tabela_Auxiliar[],2,0)</f>
        <v>2. Deduções da Receita</v>
      </c>
      <c r="E4497" t="str">
        <f>VLOOKUP(B4497,Tabela_Auxiliar[],4,0)</f>
        <v>Deduções</v>
      </c>
      <c r="F4497" t="str">
        <f>VLOOKUP(B4497,Tabela_Auxiliar[],3,0)</f>
        <v>Saída</v>
      </c>
      <c r="G4497" t="str">
        <f>UPPER(TEXT(Tabela_DB[[#This Row],[DATA]],"mmm"))</f>
        <v>OUT</v>
      </c>
      <c r="H4497" t="str">
        <f>UPPER(TEXT(Tabela_DB[[#This Row],[DATA]],"aaaa"))</f>
        <v>2021</v>
      </c>
    </row>
    <row r="4498" spans="1:8" x14ac:dyDescent="0.25">
      <c r="A4498" s="2">
        <v>44494</v>
      </c>
      <c r="B4498" t="s">
        <v>35</v>
      </c>
      <c r="C4498">
        <v>-1539</v>
      </c>
      <c r="D4498" t="str">
        <f>VLOOKUP(B4498,Tabela_Auxiliar[],2,0)</f>
        <v>2. Deduções da Receita</v>
      </c>
      <c r="E4498" t="str">
        <f>VLOOKUP(B4498,Tabela_Auxiliar[],4,0)</f>
        <v>Imposto</v>
      </c>
      <c r="F4498" t="str">
        <f>VLOOKUP(B4498,Tabela_Auxiliar[],3,0)</f>
        <v>Saída</v>
      </c>
      <c r="G4498" t="str">
        <f>UPPER(TEXT(Tabela_DB[[#This Row],[DATA]],"mmm"))</f>
        <v>OUT</v>
      </c>
      <c r="H4498" t="str">
        <f>UPPER(TEXT(Tabela_DB[[#This Row],[DATA]],"aaaa"))</f>
        <v>2021</v>
      </c>
    </row>
    <row r="4499" spans="1:8" x14ac:dyDescent="0.25">
      <c r="A4499" s="2">
        <v>44494</v>
      </c>
      <c r="B4499" t="s">
        <v>37</v>
      </c>
      <c r="C4499">
        <v>-3100</v>
      </c>
      <c r="D4499" t="str">
        <f>VLOOKUP(B4499,Tabela_Auxiliar[],2,0)</f>
        <v>3. Custos do Produto/Mercadoria/Serviço</v>
      </c>
      <c r="E4499" t="str">
        <f>VLOOKUP(B4499,Tabela_Auxiliar[],4,0)</f>
        <v>Despesas c/ Produto</v>
      </c>
      <c r="F4499" t="str">
        <f>VLOOKUP(B4499,Tabela_Auxiliar[],3,0)</f>
        <v>Saída</v>
      </c>
      <c r="G4499" t="str">
        <f>UPPER(TEXT(Tabela_DB[[#This Row],[DATA]],"mmm"))</f>
        <v>OUT</v>
      </c>
      <c r="H4499" t="str">
        <f>UPPER(TEXT(Tabela_DB[[#This Row],[DATA]],"aaaa"))</f>
        <v>2021</v>
      </c>
    </row>
    <row r="4500" spans="1:8" x14ac:dyDescent="0.25">
      <c r="A4500" s="2">
        <v>44495</v>
      </c>
      <c r="B4500" t="s">
        <v>3</v>
      </c>
      <c r="C4500">
        <v>10949</v>
      </c>
      <c r="D4500" t="str">
        <f>VLOOKUP(B4500,Tabela_Auxiliar[],2,0)</f>
        <v>1. Receita Operacional Bruta</v>
      </c>
      <c r="E4500" t="str">
        <f>VLOOKUP(B4500,Tabela_Auxiliar[],4,0)</f>
        <v>Receita Bruta</v>
      </c>
      <c r="F4500" t="str">
        <f>VLOOKUP(B4500,Tabela_Auxiliar[],3,0)</f>
        <v>Entrada</v>
      </c>
      <c r="G4500" t="str">
        <f>UPPER(TEXT(Tabela_DB[[#This Row],[DATA]],"mmm"))</f>
        <v>OUT</v>
      </c>
      <c r="H4500" t="str">
        <f>UPPER(TEXT(Tabela_DB[[#This Row],[DATA]],"aaaa"))</f>
        <v>2021</v>
      </c>
    </row>
    <row r="4501" spans="1:8" x14ac:dyDescent="0.25">
      <c r="A4501" s="2">
        <v>44495</v>
      </c>
      <c r="B4501" t="s">
        <v>59</v>
      </c>
      <c r="C4501">
        <v>-2014</v>
      </c>
      <c r="D4501" t="str">
        <f>VLOOKUP(B4501,Tabela_Auxiliar[],2,0)</f>
        <v>4. Despesas Operacionais</v>
      </c>
      <c r="E4501" t="str">
        <f>VLOOKUP(B4501,Tabela_Auxiliar[],4,0)</f>
        <v>Despesa de Depreciação</v>
      </c>
      <c r="F4501" t="str">
        <f>VLOOKUP(B4501,Tabela_Auxiliar[],3,0)</f>
        <v>Saída</v>
      </c>
      <c r="G4501" t="str">
        <f>UPPER(TEXT(Tabela_DB[[#This Row],[DATA]],"mmm"))</f>
        <v>OUT</v>
      </c>
      <c r="H4501" t="str">
        <f>UPPER(TEXT(Tabela_DB[[#This Row],[DATA]],"aaaa"))</f>
        <v>2021</v>
      </c>
    </row>
    <row r="4502" spans="1:8" x14ac:dyDescent="0.25">
      <c r="A4502" s="2">
        <v>44495</v>
      </c>
      <c r="B4502" t="s">
        <v>35</v>
      </c>
      <c r="C4502">
        <v>-1895</v>
      </c>
      <c r="D4502" t="str">
        <f>VLOOKUP(B4502,Tabela_Auxiliar[],2,0)</f>
        <v>2. Deduções da Receita</v>
      </c>
      <c r="E4502" t="str">
        <f>VLOOKUP(B4502,Tabela_Auxiliar[],4,0)</f>
        <v>Imposto</v>
      </c>
      <c r="F4502" t="str">
        <f>VLOOKUP(B4502,Tabela_Auxiliar[],3,0)</f>
        <v>Saída</v>
      </c>
      <c r="G4502" t="str">
        <f>UPPER(TEXT(Tabela_DB[[#This Row],[DATA]],"mmm"))</f>
        <v>OUT</v>
      </c>
      <c r="H4502" t="str">
        <f>UPPER(TEXT(Tabela_DB[[#This Row],[DATA]],"aaaa"))</f>
        <v>2021</v>
      </c>
    </row>
    <row r="4503" spans="1:8" x14ac:dyDescent="0.25">
      <c r="A4503" s="2">
        <v>44495</v>
      </c>
      <c r="B4503" t="s">
        <v>34</v>
      </c>
      <c r="C4503">
        <v>-2434</v>
      </c>
      <c r="D4503" t="str">
        <f>VLOOKUP(B4503,Tabela_Auxiliar[],2,0)</f>
        <v>2. Deduções da Receita</v>
      </c>
      <c r="E4503" t="str">
        <f>VLOOKUP(B4503,Tabela_Auxiliar[],4,0)</f>
        <v>Imposto</v>
      </c>
      <c r="F4503" t="str">
        <f>VLOOKUP(B4503,Tabela_Auxiliar[],3,0)</f>
        <v>Saída</v>
      </c>
      <c r="G4503" t="str">
        <f>UPPER(TEXT(Tabela_DB[[#This Row],[DATA]],"mmm"))</f>
        <v>OUT</v>
      </c>
      <c r="H4503" t="str">
        <f>UPPER(TEXT(Tabela_DB[[#This Row],[DATA]],"aaaa"))</f>
        <v>2021</v>
      </c>
    </row>
    <row r="4504" spans="1:8" x14ac:dyDescent="0.25">
      <c r="A4504" s="2">
        <v>44495</v>
      </c>
      <c r="B4504" t="s">
        <v>3</v>
      </c>
      <c r="C4504">
        <v>12799</v>
      </c>
      <c r="D4504" t="str">
        <f>VLOOKUP(B4504,Tabela_Auxiliar[],2,0)</f>
        <v>1. Receita Operacional Bruta</v>
      </c>
      <c r="E4504" t="str">
        <f>VLOOKUP(B4504,Tabela_Auxiliar[],4,0)</f>
        <v>Receita Bruta</v>
      </c>
      <c r="F4504" t="str">
        <f>VLOOKUP(B4504,Tabela_Auxiliar[],3,0)</f>
        <v>Entrada</v>
      </c>
      <c r="G4504" t="str">
        <f>UPPER(TEXT(Tabela_DB[[#This Row],[DATA]],"mmm"))</f>
        <v>OUT</v>
      </c>
      <c r="H4504" t="str">
        <f>UPPER(TEXT(Tabela_DB[[#This Row],[DATA]],"aaaa"))</f>
        <v>2021</v>
      </c>
    </row>
    <row r="4505" spans="1:8" x14ac:dyDescent="0.25">
      <c r="A4505" s="2">
        <v>44495</v>
      </c>
      <c r="B4505" t="s">
        <v>111</v>
      </c>
      <c r="C4505">
        <v>-1262</v>
      </c>
      <c r="D4505" t="str">
        <f>VLOOKUP(B4505,Tabela_Auxiliar[],2,0)</f>
        <v>2. Deduções da Receita</v>
      </c>
      <c r="E4505" t="str">
        <f>VLOOKUP(B4505,Tabela_Auxiliar[],4,0)</f>
        <v>Imposto</v>
      </c>
      <c r="F4505" t="str">
        <f>VLOOKUP(B4505,Tabela_Auxiliar[],3,0)</f>
        <v>Saída</v>
      </c>
      <c r="G4505" t="str">
        <f>UPPER(TEXT(Tabela_DB[[#This Row],[DATA]],"mmm"))</f>
        <v>OUT</v>
      </c>
      <c r="H4505" t="str">
        <f>UPPER(TEXT(Tabela_DB[[#This Row],[DATA]],"aaaa"))</f>
        <v>2021</v>
      </c>
    </row>
    <row r="4506" spans="1:8" x14ac:dyDescent="0.25">
      <c r="A4506" s="2">
        <v>44495</v>
      </c>
      <c r="B4506" t="s">
        <v>35</v>
      </c>
      <c r="C4506">
        <v>-1445</v>
      </c>
      <c r="D4506" t="str">
        <f>VLOOKUP(B4506,Tabela_Auxiliar[],2,0)</f>
        <v>2. Deduções da Receita</v>
      </c>
      <c r="E4506" t="str">
        <f>VLOOKUP(B4506,Tabela_Auxiliar[],4,0)</f>
        <v>Imposto</v>
      </c>
      <c r="F4506" t="str">
        <f>VLOOKUP(B4506,Tabela_Auxiliar[],3,0)</f>
        <v>Saída</v>
      </c>
      <c r="G4506" t="str">
        <f>UPPER(TEXT(Tabela_DB[[#This Row],[DATA]],"mmm"))</f>
        <v>OUT</v>
      </c>
      <c r="H4506" t="str">
        <f>UPPER(TEXT(Tabela_DB[[#This Row],[DATA]],"aaaa"))</f>
        <v>2021</v>
      </c>
    </row>
    <row r="4507" spans="1:8" x14ac:dyDescent="0.25">
      <c r="A4507" s="2">
        <v>44495</v>
      </c>
      <c r="B4507" t="s">
        <v>34</v>
      </c>
      <c r="C4507">
        <v>-2299</v>
      </c>
      <c r="D4507" t="str">
        <f>VLOOKUP(B4507,Tabela_Auxiliar[],2,0)</f>
        <v>2. Deduções da Receita</v>
      </c>
      <c r="E4507" t="str">
        <f>VLOOKUP(B4507,Tabela_Auxiliar[],4,0)</f>
        <v>Imposto</v>
      </c>
      <c r="F4507" t="str">
        <f>VLOOKUP(B4507,Tabela_Auxiliar[],3,0)</f>
        <v>Saída</v>
      </c>
      <c r="G4507" t="str">
        <f>UPPER(TEXT(Tabela_DB[[#This Row],[DATA]],"mmm"))</f>
        <v>OUT</v>
      </c>
      <c r="H4507" t="str">
        <f>UPPER(TEXT(Tabela_DB[[#This Row],[DATA]],"aaaa"))</f>
        <v>2021</v>
      </c>
    </row>
    <row r="4508" spans="1:8" x14ac:dyDescent="0.25">
      <c r="A4508" s="2">
        <v>44495</v>
      </c>
      <c r="B4508" t="s">
        <v>4</v>
      </c>
      <c r="C4508">
        <v>10035</v>
      </c>
      <c r="D4508" t="str">
        <f>VLOOKUP(B4508,Tabela_Auxiliar[],2,0)</f>
        <v>1. Receita Operacional Bruta</v>
      </c>
      <c r="E4508" t="str">
        <f>VLOOKUP(B4508,Tabela_Auxiliar[],4,0)</f>
        <v>Receita Bruta</v>
      </c>
      <c r="F4508" t="str">
        <f>VLOOKUP(B4508,Tabela_Auxiliar[],3,0)</f>
        <v>Entrada</v>
      </c>
      <c r="G4508" t="str">
        <f>UPPER(TEXT(Tabela_DB[[#This Row],[DATA]],"mmm"))</f>
        <v>OUT</v>
      </c>
      <c r="H4508" t="str">
        <f>UPPER(TEXT(Tabela_DB[[#This Row],[DATA]],"aaaa"))</f>
        <v>2021</v>
      </c>
    </row>
    <row r="4509" spans="1:8" x14ac:dyDescent="0.25">
      <c r="A4509" s="2">
        <v>44495</v>
      </c>
      <c r="B4509" t="s">
        <v>89</v>
      </c>
      <c r="C4509">
        <v>-1126</v>
      </c>
      <c r="D4509" t="str">
        <f>VLOOKUP(B4509,Tabela_Auxiliar[],2,0)</f>
        <v>4. Despesas Operacionais</v>
      </c>
      <c r="E4509" t="str">
        <f>VLOOKUP(B4509,Tabela_Auxiliar[],4,0)</f>
        <v>Despesa Tributária</v>
      </c>
      <c r="F4509" t="str">
        <f>VLOOKUP(B4509,Tabela_Auxiliar[],3,0)</f>
        <v>Saída</v>
      </c>
      <c r="G4509" t="str">
        <f>UPPER(TEXT(Tabela_DB[[#This Row],[DATA]],"mmm"))</f>
        <v>OUT</v>
      </c>
      <c r="H4509" t="str">
        <f>UPPER(TEXT(Tabela_DB[[#This Row],[DATA]],"aaaa"))</f>
        <v>2021</v>
      </c>
    </row>
    <row r="4510" spans="1:8" x14ac:dyDescent="0.25">
      <c r="A4510" s="2">
        <v>44495</v>
      </c>
      <c r="B4510" t="s">
        <v>34</v>
      </c>
      <c r="C4510">
        <v>-1987</v>
      </c>
      <c r="D4510" t="str">
        <f>VLOOKUP(B4510,Tabela_Auxiliar[],2,0)</f>
        <v>2. Deduções da Receita</v>
      </c>
      <c r="E4510" t="str">
        <f>VLOOKUP(B4510,Tabela_Auxiliar[],4,0)</f>
        <v>Imposto</v>
      </c>
      <c r="F4510" t="str">
        <f>VLOOKUP(B4510,Tabela_Auxiliar[],3,0)</f>
        <v>Saída</v>
      </c>
      <c r="G4510" t="str">
        <f>UPPER(TEXT(Tabela_DB[[#This Row],[DATA]],"mmm"))</f>
        <v>OUT</v>
      </c>
      <c r="H4510" t="str">
        <f>UPPER(TEXT(Tabela_DB[[#This Row],[DATA]],"aaaa"))</f>
        <v>2021</v>
      </c>
    </row>
    <row r="4511" spans="1:8" x14ac:dyDescent="0.25">
      <c r="A4511" s="2">
        <v>44495</v>
      </c>
      <c r="B4511" t="s">
        <v>35</v>
      </c>
      <c r="C4511">
        <v>-1844</v>
      </c>
      <c r="D4511" t="str">
        <f>VLOOKUP(B4511,Tabela_Auxiliar[],2,0)</f>
        <v>2. Deduções da Receita</v>
      </c>
      <c r="E4511" t="str">
        <f>VLOOKUP(B4511,Tabela_Auxiliar[],4,0)</f>
        <v>Imposto</v>
      </c>
      <c r="F4511" t="str">
        <f>VLOOKUP(B4511,Tabela_Auxiliar[],3,0)</f>
        <v>Saída</v>
      </c>
      <c r="G4511" t="str">
        <f>UPPER(TEXT(Tabela_DB[[#This Row],[DATA]],"mmm"))</f>
        <v>OUT</v>
      </c>
      <c r="H4511" t="str">
        <f>UPPER(TEXT(Tabela_DB[[#This Row],[DATA]],"aaaa"))</f>
        <v>2021</v>
      </c>
    </row>
    <row r="4512" spans="1:8" x14ac:dyDescent="0.25">
      <c r="A4512" s="2">
        <v>44496</v>
      </c>
      <c r="B4512" t="s">
        <v>35</v>
      </c>
      <c r="C4512">
        <v>-1754</v>
      </c>
      <c r="D4512" t="str">
        <f>VLOOKUP(B4512,Tabela_Auxiliar[],2,0)</f>
        <v>2. Deduções da Receita</v>
      </c>
      <c r="E4512" t="str">
        <f>VLOOKUP(B4512,Tabela_Auxiliar[],4,0)</f>
        <v>Imposto</v>
      </c>
      <c r="F4512" t="str">
        <f>VLOOKUP(B4512,Tabela_Auxiliar[],3,0)</f>
        <v>Saída</v>
      </c>
      <c r="G4512" t="str">
        <f>UPPER(TEXT(Tabela_DB[[#This Row],[DATA]],"mmm"))</f>
        <v>OUT</v>
      </c>
      <c r="H4512" t="str">
        <f>UPPER(TEXT(Tabela_DB[[#This Row],[DATA]],"aaaa"))</f>
        <v>2021</v>
      </c>
    </row>
    <row r="4513" spans="1:8" x14ac:dyDescent="0.25">
      <c r="A4513" s="2">
        <v>44496</v>
      </c>
      <c r="B4513" t="s">
        <v>4</v>
      </c>
      <c r="C4513">
        <v>14194</v>
      </c>
      <c r="D4513" t="str">
        <f>VLOOKUP(B4513,Tabela_Auxiliar[],2,0)</f>
        <v>1. Receita Operacional Bruta</v>
      </c>
      <c r="E4513" t="str">
        <f>VLOOKUP(B4513,Tabela_Auxiliar[],4,0)</f>
        <v>Receita Bruta</v>
      </c>
      <c r="F4513" t="str">
        <f>VLOOKUP(B4513,Tabela_Auxiliar[],3,0)</f>
        <v>Entrada</v>
      </c>
      <c r="G4513" t="str">
        <f>UPPER(TEXT(Tabela_DB[[#This Row],[DATA]],"mmm"))</f>
        <v>OUT</v>
      </c>
      <c r="H4513" t="str">
        <f>UPPER(TEXT(Tabela_DB[[#This Row],[DATA]],"aaaa"))</f>
        <v>2021</v>
      </c>
    </row>
    <row r="4514" spans="1:8" x14ac:dyDescent="0.25">
      <c r="A4514" s="2">
        <v>44496</v>
      </c>
      <c r="B4514" t="s">
        <v>111</v>
      </c>
      <c r="C4514">
        <v>-1018</v>
      </c>
      <c r="D4514" t="str">
        <f>VLOOKUP(B4514,Tabela_Auxiliar[],2,0)</f>
        <v>2. Deduções da Receita</v>
      </c>
      <c r="E4514" t="str">
        <f>VLOOKUP(B4514,Tabela_Auxiliar[],4,0)</f>
        <v>Imposto</v>
      </c>
      <c r="F4514" t="str">
        <f>VLOOKUP(B4514,Tabela_Auxiliar[],3,0)</f>
        <v>Saída</v>
      </c>
      <c r="G4514" t="str">
        <f>UPPER(TEXT(Tabela_DB[[#This Row],[DATA]],"mmm"))</f>
        <v>OUT</v>
      </c>
      <c r="H4514" t="str">
        <f>UPPER(TEXT(Tabela_DB[[#This Row],[DATA]],"aaaa"))</f>
        <v>2021</v>
      </c>
    </row>
    <row r="4515" spans="1:8" x14ac:dyDescent="0.25">
      <c r="A4515" s="2">
        <v>44496</v>
      </c>
      <c r="B4515" t="s">
        <v>34</v>
      </c>
      <c r="C4515">
        <v>-1062</v>
      </c>
      <c r="D4515" t="str">
        <f>VLOOKUP(B4515,Tabela_Auxiliar[],2,0)</f>
        <v>2. Deduções da Receita</v>
      </c>
      <c r="E4515" t="str">
        <f>VLOOKUP(B4515,Tabela_Auxiliar[],4,0)</f>
        <v>Imposto</v>
      </c>
      <c r="F4515" t="str">
        <f>VLOOKUP(B4515,Tabela_Auxiliar[],3,0)</f>
        <v>Saída</v>
      </c>
      <c r="G4515" t="str">
        <f>UPPER(TEXT(Tabela_DB[[#This Row],[DATA]],"mmm"))</f>
        <v>OUT</v>
      </c>
      <c r="H4515" t="str">
        <f>UPPER(TEXT(Tabela_DB[[#This Row],[DATA]],"aaaa"))</f>
        <v>2021</v>
      </c>
    </row>
    <row r="4516" spans="1:8" x14ac:dyDescent="0.25">
      <c r="A4516" s="2">
        <v>44497</v>
      </c>
      <c r="B4516" t="s">
        <v>35</v>
      </c>
      <c r="C4516">
        <v>-1578</v>
      </c>
      <c r="D4516" t="str">
        <f>VLOOKUP(B4516,Tabela_Auxiliar[],2,0)</f>
        <v>2. Deduções da Receita</v>
      </c>
      <c r="E4516" t="str">
        <f>VLOOKUP(B4516,Tabela_Auxiliar[],4,0)</f>
        <v>Imposto</v>
      </c>
      <c r="F4516" t="str">
        <f>VLOOKUP(B4516,Tabela_Auxiliar[],3,0)</f>
        <v>Saída</v>
      </c>
      <c r="G4516" t="str">
        <f>UPPER(TEXT(Tabela_DB[[#This Row],[DATA]],"mmm"))</f>
        <v>OUT</v>
      </c>
      <c r="H4516" t="str">
        <f>UPPER(TEXT(Tabela_DB[[#This Row],[DATA]],"aaaa"))</f>
        <v>2021</v>
      </c>
    </row>
    <row r="4517" spans="1:8" x14ac:dyDescent="0.25">
      <c r="A4517" s="2">
        <v>44497</v>
      </c>
      <c r="B4517" t="s">
        <v>4</v>
      </c>
      <c r="C4517">
        <v>14762</v>
      </c>
      <c r="D4517" t="str">
        <f>VLOOKUP(B4517,Tabela_Auxiliar[],2,0)</f>
        <v>1. Receita Operacional Bruta</v>
      </c>
      <c r="E4517" t="str">
        <f>VLOOKUP(B4517,Tabela_Auxiliar[],4,0)</f>
        <v>Receita Bruta</v>
      </c>
      <c r="F4517" t="str">
        <f>VLOOKUP(B4517,Tabela_Auxiliar[],3,0)</f>
        <v>Entrada</v>
      </c>
      <c r="G4517" t="str">
        <f>UPPER(TEXT(Tabela_DB[[#This Row],[DATA]],"mmm"))</f>
        <v>OUT</v>
      </c>
      <c r="H4517" t="str">
        <f>UPPER(TEXT(Tabela_DB[[#This Row],[DATA]],"aaaa"))</f>
        <v>2021</v>
      </c>
    </row>
    <row r="4518" spans="1:8" x14ac:dyDescent="0.25">
      <c r="A4518" s="2">
        <v>44497</v>
      </c>
      <c r="B4518" t="s">
        <v>111</v>
      </c>
      <c r="C4518">
        <v>-1164</v>
      </c>
      <c r="D4518" t="str">
        <f>VLOOKUP(B4518,Tabela_Auxiliar[],2,0)</f>
        <v>2. Deduções da Receita</v>
      </c>
      <c r="E4518" t="str">
        <f>VLOOKUP(B4518,Tabela_Auxiliar[],4,0)</f>
        <v>Imposto</v>
      </c>
      <c r="F4518" t="str">
        <f>VLOOKUP(B4518,Tabela_Auxiliar[],3,0)</f>
        <v>Saída</v>
      </c>
      <c r="G4518" t="str">
        <f>UPPER(TEXT(Tabela_DB[[#This Row],[DATA]],"mmm"))</f>
        <v>OUT</v>
      </c>
      <c r="H4518" t="str">
        <f>UPPER(TEXT(Tabela_DB[[#This Row],[DATA]],"aaaa"))</f>
        <v>2021</v>
      </c>
    </row>
    <row r="4519" spans="1:8" x14ac:dyDescent="0.25">
      <c r="A4519" s="2">
        <v>44497</v>
      </c>
      <c r="B4519" t="s">
        <v>4</v>
      </c>
      <c r="C4519">
        <v>10964</v>
      </c>
      <c r="D4519" t="str">
        <f>VLOOKUP(B4519,Tabela_Auxiliar[],2,0)</f>
        <v>1. Receita Operacional Bruta</v>
      </c>
      <c r="E4519" t="str">
        <f>VLOOKUP(B4519,Tabela_Auxiliar[],4,0)</f>
        <v>Receita Bruta</v>
      </c>
      <c r="F4519" t="str">
        <f>VLOOKUP(B4519,Tabela_Auxiliar[],3,0)</f>
        <v>Entrada</v>
      </c>
      <c r="G4519" t="str">
        <f>UPPER(TEXT(Tabela_DB[[#This Row],[DATA]],"mmm"))</f>
        <v>OUT</v>
      </c>
      <c r="H4519" t="str">
        <f>UPPER(TEXT(Tabela_DB[[#This Row],[DATA]],"aaaa"))</f>
        <v>2021</v>
      </c>
    </row>
    <row r="4520" spans="1:8" x14ac:dyDescent="0.25">
      <c r="A4520" s="2">
        <v>44497</v>
      </c>
      <c r="B4520" t="s">
        <v>57</v>
      </c>
      <c r="C4520">
        <v>-1208</v>
      </c>
      <c r="D4520" t="str">
        <f>VLOOKUP(B4520,Tabela_Auxiliar[],2,0)</f>
        <v>4. Despesas Operacionais</v>
      </c>
      <c r="E4520" t="str">
        <f>VLOOKUP(B4520,Tabela_Auxiliar[],4,0)</f>
        <v>Despesa com Pessoal</v>
      </c>
      <c r="F4520" t="str">
        <f>VLOOKUP(B4520,Tabela_Auxiliar[],3,0)</f>
        <v>Saída</v>
      </c>
      <c r="G4520" t="str">
        <f>UPPER(TEXT(Tabela_DB[[#This Row],[DATA]],"mmm"))</f>
        <v>OUT</v>
      </c>
      <c r="H4520" t="str">
        <f>UPPER(TEXT(Tabela_DB[[#This Row],[DATA]],"aaaa"))</f>
        <v>2021</v>
      </c>
    </row>
    <row r="4521" spans="1:8" x14ac:dyDescent="0.25">
      <c r="A4521" s="2">
        <v>44497</v>
      </c>
      <c r="B4521" t="s">
        <v>35</v>
      </c>
      <c r="C4521">
        <v>-1057</v>
      </c>
      <c r="D4521" t="str">
        <f>VLOOKUP(B4521,Tabela_Auxiliar[],2,0)</f>
        <v>2. Deduções da Receita</v>
      </c>
      <c r="E4521" t="str">
        <f>VLOOKUP(B4521,Tabela_Auxiliar[],4,0)</f>
        <v>Imposto</v>
      </c>
      <c r="F4521" t="str">
        <f>VLOOKUP(B4521,Tabela_Auxiliar[],3,0)</f>
        <v>Saída</v>
      </c>
      <c r="G4521" t="str">
        <f>UPPER(TEXT(Tabela_DB[[#This Row],[DATA]],"mmm"))</f>
        <v>OUT</v>
      </c>
      <c r="H4521" t="str">
        <f>UPPER(TEXT(Tabela_DB[[#This Row],[DATA]],"aaaa"))</f>
        <v>2021</v>
      </c>
    </row>
    <row r="4522" spans="1:8" x14ac:dyDescent="0.25">
      <c r="A4522" s="2">
        <v>44497</v>
      </c>
      <c r="B4522" t="s">
        <v>80</v>
      </c>
      <c r="C4522">
        <v>-1261</v>
      </c>
      <c r="D4522" t="str">
        <f>VLOOKUP(B4522,Tabela_Auxiliar[],2,0)</f>
        <v>4. Despesas Operacionais</v>
      </c>
      <c r="E4522" t="str">
        <f>VLOOKUP(B4522,Tabela_Auxiliar[],4,0)</f>
        <v>Serviços Contratados</v>
      </c>
      <c r="F4522" t="str">
        <f>VLOOKUP(B4522,Tabela_Auxiliar[],3,0)</f>
        <v>Saída</v>
      </c>
      <c r="G4522" t="str">
        <f>UPPER(TEXT(Tabela_DB[[#This Row],[DATA]],"mmm"))</f>
        <v>OUT</v>
      </c>
      <c r="H4522" t="str">
        <f>UPPER(TEXT(Tabela_DB[[#This Row],[DATA]],"aaaa"))</f>
        <v>2021</v>
      </c>
    </row>
    <row r="4523" spans="1:8" x14ac:dyDescent="0.25">
      <c r="A4523" s="2">
        <v>44497</v>
      </c>
      <c r="B4523" t="s">
        <v>3</v>
      </c>
      <c r="C4523">
        <v>13553</v>
      </c>
      <c r="D4523" t="str">
        <f>VLOOKUP(B4523,Tabela_Auxiliar[],2,0)</f>
        <v>1. Receita Operacional Bruta</v>
      </c>
      <c r="E4523" t="str">
        <f>VLOOKUP(B4523,Tabela_Auxiliar[],4,0)</f>
        <v>Receita Bruta</v>
      </c>
      <c r="F4523" t="str">
        <f>VLOOKUP(B4523,Tabela_Auxiliar[],3,0)</f>
        <v>Entrada</v>
      </c>
      <c r="G4523" t="str">
        <f>UPPER(TEXT(Tabela_DB[[#This Row],[DATA]],"mmm"))</f>
        <v>OUT</v>
      </c>
      <c r="H4523" t="str">
        <f>UPPER(TEXT(Tabela_DB[[#This Row],[DATA]],"aaaa"))</f>
        <v>2021</v>
      </c>
    </row>
    <row r="4524" spans="1:8" x14ac:dyDescent="0.25">
      <c r="A4524" s="2">
        <v>44497</v>
      </c>
      <c r="B4524" t="s">
        <v>111</v>
      </c>
      <c r="C4524">
        <v>-2266</v>
      </c>
      <c r="D4524" t="str">
        <f>VLOOKUP(B4524,Tabela_Auxiliar[],2,0)</f>
        <v>2. Deduções da Receita</v>
      </c>
      <c r="E4524" t="str">
        <f>VLOOKUP(B4524,Tabela_Auxiliar[],4,0)</f>
        <v>Imposto</v>
      </c>
      <c r="F4524" t="str">
        <f>VLOOKUP(B4524,Tabela_Auxiliar[],3,0)</f>
        <v>Saída</v>
      </c>
      <c r="G4524" t="str">
        <f>UPPER(TEXT(Tabela_DB[[#This Row],[DATA]],"mmm"))</f>
        <v>OUT</v>
      </c>
      <c r="H4524" t="str">
        <f>UPPER(TEXT(Tabela_DB[[#This Row],[DATA]],"aaaa"))</f>
        <v>2021</v>
      </c>
    </row>
    <row r="4525" spans="1:8" x14ac:dyDescent="0.25">
      <c r="A4525" s="2">
        <v>44497</v>
      </c>
      <c r="B4525" t="s">
        <v>37</v>
      </c>
      <c r="C4525">
        <v>-4997</v>
      </c>
      <c r="D4525" t="str">
        <f>VLOOKUP(B4525,Tabela_Auxiliar[],2,0)</f>
        <v>3. Custos do Produto/Mercadoria/Serviço</v>
      </c>
      <c r="E4525" t="str">
        <f>VLOOKUP(B4525,Tabela_Auxiliar[],4,0)</f>
        <v>Despesas c/ Produto</v>
      </c>
      <c r="F4525" t="str">
        <f>VLOOKUP(B4525,Tabela_Auxiliar[],3,0)</f>
        <v>Saída</v>
      </c>
      <c r="G4525" t="str">
        <f>UPPER(TEXT(Tabela_DB[[#This Row],[DATA]],"mmm"))</f>
        <v>OUT</v>
      </c>
      <c r="H4525" t="str">
        <f>UPPER(TEXT(Tabela_DB[[#This Row],[DATA]],"aaaa"))</f>
        <v>2021</v>
      </c>
    </row>
    <row r="4526" spans="1:8" x14ac:dyDescent="0.25">
      <c r="A4526" s="2">
        <v>44498</v>
      </c>
      <c r="B4526" t="s">
        <v>85</v>
      </c>
      <c r="C4526">
        <v>-2013</v>
      </c>
      <c r="D4526" t="str">
        <f>VLOOKUP(B4526,Tabela_Auxiliar[],2,0)</f>
        <v>4. Despesas Operacionais</v>
      </c>
      <c r="E4526" t="str">
        <f>VLOOKUP(B4526,Tabela_Auxiliar[],4,0)</f>
        <v>Despesa com Veículos</v>
      </c>
      <c r="F4526" t="str">
        <f>VLOOKUP(B4526,Tabela_Auxiliar[],3,0)</f>
        <v>Saída</v>
      </c>
      <c r="G4526" t="str">
        <f>UPPER(TEXT(Tabela_DB[[#This Row],[DATA]],"mmm"))</f>
        <v>OUT</v>
      </c>
      <c r="H4526" t="str">
        <f>UPPER(TEXT(Tabela_DB[[#This Row],[DATA]],"aaaa"))</f>
        <v>2021</v>
      </c>
    </row>
    <row r="4527" spans="1:8" x14ac:dyDescent="0.25">
      <c r="A4527" s="2">
        <v>44498</v>
      </c>
      <c r="B4527" t="s">
        <v>35</v>
      </c>
      <c r="C4527">
        <v>-1854</v>
      </c>
      <c r="D4527" t="str">
        <f>VLOOKUP(B4527,Tabela_Auxiliar[],2,0)</f>
        <v>2. Deduções da Receita</v>
      </c>
      <c r="E4527" t="str">
        <f>VLOOKUP(B4527,Tabela_Auxiliar[],4,0)</f>
        <v>Imposto</v>
      </c>
      <c r="F4527" t="str">
        <f>VLOOKUP(B4527,Tabela_Auxiliar[],3,0)</f>
        <v>Saída</v>
      </c>
      <c r="G4527" t="str">
        <f>UPPER(TEXT(Tabela_DB[[#This Row],[DATA]],"mmm"))</f>
        <v>OUT</v>
      </c>
      <c r="H4527" t="str">
        <f>UPPER(TEXT(Tabela_DB[[#This Row],[DATA]],"aaaa"))</f>
        <v>2021</v>
      </c>
    </row>
    <row r="4528" spans="1:8" x14ac:dyDescent="0.25">
      <c r="A4528" s="2">
        <v>44498</v>
      </c>
      <c r="B4528" t="s">
        <v>56</v>
      </c>
      <c r="C4528">
        <v>-1819</v>
      </c>
      <c r="D4528" t="str">
        <f>VLOOKUP(B4528,Tabela_Auxiliar[],2,0)</f>
        <v>4. Despesas Operacionais</v>
      </c>
      <c r="E4528" t="str">
        <f>VLOOKUP(B4528,Tabela_Auxiliar[],4,0)</f>
        <v>Despesa com Pessoal</v>
      </c>
      <c r="F4528" t="str">
        <f>VLOOKUP(B4528,Tabela_Auxiliar[],3,0)</f>
        <v>Saída</v>
      </c>
      <c r="G4528" t="str">
        <f>UPPER(TEXT(Tabela_DB[[#This Row],[DATA]],"mmm"))</f>
        <v>OUT</v>
      </c>
      <c r="H4528" t="str">
        <f>UPPER(TEXT(Tabela_DB[[#This Row],[DATA]],"aaaa"))</f>
        <v>2021</v>
      </c>
    </row>
    <row r="4529" spans="1:8" x14ac:dyDescent="0.25">
      <c r="A4529" s="2">
        <v>44498</v>
      </c>
      <c r="B4529" t="s">
        <v>58</v>
      </c>
      <c r="C4529">
        <v>-1158</v>
      </c>
      <c r="D4529" t="str">
        <f>VLOOKUP(B4529,Tabela_Auxiliar[],2,0)</f>
        <v>4. Despesas Operacionais</v>
      </c>
      <c r="E4529" t="str">
        <f>VLOOKUP(B4529,Tabela_Auxiliar[],4,0)</f>
        <v>Despesa de Depreciação</v>
      </c>
      <c r="F4529" t="str">
        <f>VLOOKUP(B4529,Tabela_Auxiliar[],3,0)</f>
        <v>Saída</v>
      </c>
      <c r="G4529" t="str">
        <f>UPPER(TEXT(Tabela_DB[[#This Row],[DATA]],"mmm"))</f>
        <v>OUT</v>
      </c>
      <c r="H4529" t="str">
        <f>UPPER(TEXT(Tabela_DB[[#This Row],[DATA]],"aaaa"))</f>
        <v>2021</v>
      </c>
    </row>
    <row r="4530" spans="1:8" x14ac:dyDescent="0.25">
      <c r="A4530" s="2">
        <v>44498</v>
      </c>
      <c r="B4530" t="s">
        <v>34</v>
      </c>
      <c r="C4530">
        <v>-1134</v>
      </c>
      <c r="D4530" t="str">
        <f>VLOOKUP(B4530,Tabela_Auxiliar[],2,0)</f>
        <v>2. Deduções da Receita</v>
      </c>
      <c r="E4530" t="str">
        <f>VLOOKUP(B4530,Tabela_Auxiliar[],4,0)</f>
        <v>Imposto</v>
      </c>
      <c r="F4530" t="str">
        <f>VLOOKUP(B4530,Tabela_Auxiliar[],3,0)</f>
        <v>Saída</v>
      </c>
      <c r="G4530" t="str">
        <f>UPPER(TEXT(Tabela_DB[[#This Row],[DATA]],"mmm"))</f>
        <v>OUT</v>
      </c>
      <c r="H4530" t="str">
        <f>UPPER(TEXT(Tabela_DB[[#This Row],[DATA]],"aaaa"))</f>
        <v>2021</v>
      </c>
    </row>
    <row r="4531" spans="1:8" x14ac:dyDescent="0.25">
      <c r="A4531" s="2">
        <v>44499</v>
      </c>
      <c r="B4531" t="s">
        <v>37</v>
      </c>
      <c r="C4531">
        <v>-4924</v>
      </c>
      <c r="D4531" t="str">
        <f>VLOOKUP(B4531,Tabela_Auxiliar[],2,0)</f>
        <v>3. Custos do Produto/Mercadoria/Serviço</v>
      </c>
      <c r="E4531" t="str">
        <f>VLOOKUP(B4531,Tabela_Auxiliar[],4,0)</f>
        <v>Despesas c/ Produto</v>
      </c>
      <c r="F4531" t="str">
        <f>VLOOKUP(B4531,Tabela_Auxiliar[],3,0)</f>
        <v>Saída</v>
      </c>
      <c r="G4531" t="str">
        <f>UPPER(TEXT(Tabela_DB[[#This Row],[DATA]],"mmm"))</f>
        <v>OUT</v>
      </c>
      <c r="H4531" t="str">
        <f>UPPER(TEXT(Tabela_DB[[#This Row],[DATA]],"aaaa"))</f>
        <v>2021</v>
      </c>
    </row>
    <row r="4532" spans="1:8" x14ac:dyDescent="0.25">
      <c r="A4532" s="2">
        <v>44499</v>
      </c>
      <c r="B4532" t="s">
        <v>34</v>
      </c>
      <c r="C4532">
        <v>-1992</v>
      </c>
      <c r="D4532" t="str">
        <f>VLOOKUP(B4532,Tabela_Auxiliar[],2,0)</f>
        <v>2. Deduções da Receita</v>
      </c>
      <c r="E4532" t="str">
        <f>VLOOKUP(B4532,Tabela_Auxiliar[],4,0)</f>
        <v>Imposto</v>
      </c>
      <c r="F4532" t="str">
        <f>VLOOKUP(B4532,Tabela_Auxiliar[],3,0)</f>
        <v>Saída</v>
      </c>
      <c r="G4532" t="str">
        <f>UPPER(TEXT(Tabela_DB[[#This Row],[DATA]],"mmm"))</f>
        <v>OUT</v>
      </c>
      <c r="H4532" t="str">
        <f>UPPER(TEXT(Tabela_DB[[#This Row],[DATA]],"aaaa"))</f>
        <v>2021</v>
      </c>
    </row>
    <row r="4533" spans="1:8" x14ac:dyDescent="0.25">
      <c r="A4533" s="2">
        <v>44499</v>
      </c>
      <c r="B4533" t="s">
        <v>87</v>
      </c>
      <c r="C4533">
        <v>-1814</v>
      </c>
      <c r="D4533" t="str">
        <f>VLOOKUP(B4533,Tabela_Auxiliar[],2,0)</f>
        <v>4. Despesas Operacionais</v>
      </c>
      <c r="E4533" t="str">
        <f>VLOOKUP(B4533,Tabela_Auxiliar[],4,0)</f>
        <v>Despesa Tributária</v>
      </c>
      <c r="F4533" t="str">
        <f>VLOOKUP(B4533,Tabela_Auxiliar[],3,0)</f>
        <v>Saída</v>
      </c>
      <c r="G4533" t="str">
        <f>UPPER(TEXT(Tabela_DB[[#This Row],[DATA]],"mmm"))</f>
        <v>OUT</v>
      </c>
      <c r="H4533" t="str">
        <f>UPPER(TEXT(Tabela_DB[[#This Row],[DATA]],"aaaa"))</f>
        <v>2021</v>
      </c>
    </row>
    <row r="4534" spans="1:8" x14ac:dyDescent="0.25">
      <c r="A4534" s="2">
        <v>44499</v>
      </c>
      <c r="B4534" t="s">
        <v>84</v>
      </c>
      <c r="C4534">
        <v>-2197</v>
      </c>
      <c r="D4534" t="str">
        <f>VLOOKUP(B4534,Tabela_Auxiliar[],2,0)</f>
        <v>4. Despesas Operacionais</v>
      </c>
      <c r="E4534" t="str">
        <f>VLOOKUP(B4534,Tabela_Auxiliar[],4,0)</f>
        <v>Despesa com Veículos</v>
      </c>
      <c r="F4534" t="str">
        <f>VLOOKUP(B4534,Tabela_Auxiliar[],3,0)</f>
        <v>Saída</v>
      </c>
      <c r="G4534" t="str">
        <f>UPPER(TEXT(Tabela_DB[[#This Row],[DATA]],"mmm"))</f>
        <v>OUT</v>
      </c>
      <c r="H4534" t="str">
        <f>UPPER(TEXT(Tabela_DB[[#This Row],[DATA]],"aaaa"))</f>
        <v>2021</v>
      </c>
    </row>
    <row r="4535" spans="1:8" x14ac:dyDescent="0.25">
      <c r="A4535" s="2">
        <v>44499</v>
      </c>
      <c r="B4535" t="s">
        <v>75</v>
      </c>
      <c r="C4535">
        <v>-1327</v>
      </c>
      <c r="D4535" t="str">
        <f>VLOOKUP(B4535,Tabela_Auxiliar[],2,0)</f>
        <v>4. Despesas Operacionais</v>
      </c>
      <c r="E4535" t="str">
        <f>VLOOKUP(B4535,Tabela_Auxiliar[],4,0)</f>
        <v>Serviços Contratados</v>
      </c>
      <c r="F4535" t="str">
        <f>VLOOKUP(B4535,Tabela_Auxiliar[],3,0)</f>
        <v>Saída</v>
      </c>
      <c r="G4535" t="str">
        <f>UPPER(TEXT(Tabela_DB[[#This Row],[DATA]],"mmm"))</f>
        <v>OUT</v>
      </c>
      <c r="H4535" t="str">
        <f>UPPER(TEXT(Tabela_DB[[#This Row],[DATA]],"aaaa"))</f>
        <v>2021</v>
      </c>
    </row>
    <row r="4536" spans="1:8" x14ac:dyDescent="0.25">
      <c r="A4536" s="2">
        <v>44499</v>
      </c>
      <c r="B4536" t="s">
        <v>35</v>
      </c>
      <c r="C4536">
        <v>-1928</v>
      </c>
      <c r="D4536" t="str">
        <f>VLOOKUP(B4536,Tabela_Auxiliar[],2,0)</f>
        <v>2. Deduções da Receita</v>
      </c>
      <c r="E4536" t="str">
        <f>VLOOKUP(B4536,Tabela_Auxiliar[],4,0)</f>
        <v>Imposto</v>
      </c>
      <c r="F4536" t="str">
        <f>VLOOKUP(B4536,Tabela_Auxiliar[],3,0)</f>
        <v>Saída</v>
      </c>
      <c r="G4536" t="str">
        <f>UPPER(TEXT(Tabela_DB[[#This Row],[DATA]],"mmm"))</f>
        <v>OUT</v>
      </c>
      <c r="H4536" t="str">
        <f>UPPER(TEXT(Tabela_DB[[#This Row],[DATA]],"aaaa"))</f>
        <v>2021</v>
      </c>
    </row>
    <row r="4537" spans="1:8" x14ac:dyDescent="0.25">
      <c r="A4537" s="2">
        <v>44500</v>
      </c>
      <c r="B4537" t="s">
        <v>40</v>
      </c>
      <c r="C4537">
        <v>-2162</v>
      </c>
      <c r="D4537" t="str">
        <f>VLOOKUP(B4537,Tabela_Auxiliar[],2,0)</f>
        <v>4. Despesas Operacionais</v>
      </c>
      <c r="E4537" t="str">
        <f>VLOOKUP(B4537,Tabela_Auxiliar[],4,0)</f>
        <v>Despesa com Pessoal</v>
      </c>
      <c r="F4537" t="str">
        <f>VLOOKUP(B4537,Tabela_Auxiliar[],3,0)</f>
        <v>Saída</v>
      </c>
      <c r="G4537" t="str">
        <f>UPPER(TEXT(Tabela_DB[[#This Row],[DATA]],"mmm"))</f>
        <v>OUT</v>
      </c>
      <c r="H4537" t="str">
        <f>UPPER(TEXT(Tabela_DB[[#This Row],[DATA]],"aaaa"))</f>
        <v>2021</v>
      </c>
    </row>
    <row r="4538" spans="1:8" x14ac:dyDescent="0.25">
      <c r="A4538" s="2">
        <v>44500</v>
      </c>
      <c r="B4538" t="s">
        <v>3</v>
      </c>
      <c r="C4538">
        <v>11992</v>
      </c>
      <c r="D4538" t="str">
        <f>VLOOKUP(B4538,Tabela_Auxiliar[],2,0)</f>
        <v>1. Receita Operacional Bruta</v>
      </c>
      <c r="E4538" t="str">
        <f>VLOOKUP(B4538,Tabela_Auxiliar[],4,0)</f>
        <v>Receita Bruta</v>
      </c>
      <c r="F4538" t="str">
        <f>VLOOKUP(B4538,Tabela_Auxiliar[],3,0)</f>
        <v>Entrada</v>
      </c>
      <c r="G4538" t="str">
        <f>UPPER(TEXT(Tabela_DB[[#This Row],[DATA]],"mmm"))</f>
        <v>OUT</v>
      </c>
      <c r="H4538" t="str">
        <f>UPPER(TEXT(Tabela_DB[[#This Row],[DATA]],"aaaa"))</f>
        <v>2021</v>
      </c>
    </row>
    <row r="4539" spans="1:8" x14ac:dyDescent="0.25">
      <c r="A4539" s="2">
        <v>44500</v>
      </c>
      <c r="B4539" t="s">
        <v>49</v>
      </c>
      <c r="C4539">
        <v>-1058</v>
      </c>
      <c r="D4539" t="str">
        <f>VLOOKUP(B4539,Tabela_Auxiliar[],2,0)</f>
        <v>4. Despesas Operacionais</v>
      </c>
      <c r="E4539" t="str">
        <f>VLOOKUP(B4539,Tabela_Auxiliar[],4,0)</f>
        <v>Despesa com Pessoal</v>
      </c>
      <c r="F4539" t="str">
        <f>VLOOKUP(B4539,Tabela_Auxiliar[],3,0)</f>
        <v>Saída</v>
      </c>
      <c r="G4539" t="str">
        <f>UPPER(TEXT(Tabela_DB[[#This Row],[DATA]],"mmm"))</f>
        <v>OUT</v>
      </c>
      <c r="H4539" t="str">
        <f>UPPER(TEXT(Tabela_DB[[#This Row],[DATA]],"aaaa"))</f>
        <v>2021</v>
      </c>
    </row>
    <row r="4540" spans="1:8" x14ac:dyDescent="0.25">
      <c r="A4540" s="2">
        <v>44500</v>
      </c>
      <c r="B4540" t="s">
        <v>37</v>
      </c>
      <c r="C4540">
        <v>-3262</v>
      </c>
      <c r="D4540" t="str">
        <f>VLOOKUP(B4540,Tabela_Auxiliar[],2,0)</f>
        <v>3. Custos do Produto/Mercadoria/Serviço</v>
      </c>
      <c r="E4540" t="str">
        <f>VLOOKUP(B4540,Tabela_Auxiliar[],4,0)</f>
        <v>Despesas c/ Produto</v>
      </c>
      <c r="F4540" t="str">
        <f>VLOOKUP(B4540,Tabela_Auxiliar[],3,0)</f>
        <v>Saída</v>
      </c>
      <c r="G4540" t="str">
        <f>UPPER(TEXT(Tabela_DB[[#This Row],[DATA]],"mmm"))</f>
        <v>OUT</v>
      </c>
      <c r="H4540" t="str">
        <f>UPPER(TEXT(Tabela_DB[[#This Row],[DATA]],"aaaa"))</f>
        <v>2021</v>
      </c>
    </row>
    <row r="4541" spans="1:8" x14ac:dyDescent="0.25">
      <c r="A4541" s="2">
        <v>44500</v>
      </c>
      <c r="B4541" t="s">
        <v>34</v>
      </c>
      <c r="C4541">
        <v>-1058</v>
      </c>
      <c r="D4541" t="str">
        <f>VLOOKUP(B4541,Tabela_Auxiliar[],2,0)</f>
        <v>2. Deduções da Receita</v>
      </c>
      <c r="E4541" t="str">
        <f>VLOOKUP(B4541,Tabela_Auxiliar[],4,0)</f>
        <v>Imposto</v>
      </c>
      <c r="F4541" t="str">
        <f>VLOOKUP(B4541,Tabela_Auxiliar[],3,0)</f>
        <v>Saída</v>
      </c>
      <c r="G4541" t="str">
        <f>UPPER(TEXT(Tabela_DB[[#This Row],[DATA]],"mmm"))</f>
        <v>OUT</v>
      </c>
      <c r="H4541" t="str">
        <f>UPPER(TEXT(Tabela_DB[[#This Row],[DATA]],"aaaa"))</f>
        <v>2021</v>
      </c>
    </row>
    <row r="4542" spans="1:8" x14ac:dyDescent="0.25">
      <c r="A4542" s="2">
        <v>44500</v>
      </c>
      <c r="B4542" t="s">
        <v>3</v>
      </c>
      <c r="C4542">
        <v>11863</v>
      </c>
      <c r="D4542" t="str">
        <f>VLOOKUP(B4542,Tabela_Auxiliar[],2,0)</f>
        <v>1. Receita Operacional Bruta</v>
      </c>
      <c r="E4542" t="str">
        <f>VLOOKUP(B4542,Tabela_Auxiliar[],4,0)</f>
        <v>Receita Bruta</v>
      </c>
      <c r="F4542" t="str">
        <f>VLOOKUP(B4542,Tabela_Auxiliar[],3,0)</f>
        <v>Entrada</v>
      </c>
      <c r="G4542" t="str">
        <f>UPPER(TEXT(Tabela_DB[[#This Row],[DATA]],"mmm"))</f>
        <v>OUT</v>
      </c>
      <c r="H4542" t="str">
        <f>UPPER(TEXT(Tabela_DB[[#This Row],[DATA]],"aaaa"))</f>
        <v>2021</v>
      </c>
    </row>
    <row r="4543" spans="1:8" x14ac:dyDescent="0.25">
      <c r="A4543" s="2">
        <v>44500</v>
      </c>
      <c r="B4543" t="s">
        <v>4</v>
      </c>
      <c r="C4543">
        <v>11431</v>
      </c>
      <c r="D4543" t="str">
        <f>VLOOKUP(B4543,Tabela_Auxiliar[],2,0)</f>
        <v>1. Receita Operacional Bruta</v>
      </c>
      <c r="E4543" t="str">
        <f>VLOOKUP(B4543,Tabela_Auxiliar[],4,0)</f>
        <v>Receita Bruta</v>
      </c>
      <c r="F4543" t="str">
        <f>VLOOKUP(B4543,Tabela_Auxiliar[],3,0)</f>
        <v>Entrada</v>
      </c>
      <c r="G4543" t="str">
        <f>UPPER(TEXT(Tabela_DB[[#This Row],[DATA]],"mmm"))</f>
        <v>OUT</v>
      </c>
      <c r="H4543" t="str">
        <f>UPPER(TEXT(Tabela_DB[[#This Row],[DATA]],"aaaa"))</f>
        <v>2021</v>
      </c>
    </row>
    <row r="4544" spans="1:8" x14ac:dyDescent="0.25">
      <c r="A4544" s="2">
        <v>44500</v>
      </c>
      <c r="B4544" t="s">
        <v>34</v>
      </c>
      <c r="C4544">
        <v>-1386</v>
      </c>
      <c r="D4544" t="str">
        <f>VLOOKUP(B4544,Tabela_Auxiliar[],2,0)</f>
        <v>2. Deduções da Receita</v>
      </c>
      <c r="E4544" t="str">
        <f>VLOOKUP(B4544,Tabela_Auxiliar[],4,0)</f>
        <v>Imposto</v>
      </c>
      <c r="F4544" t="str">
        <f>VLOOKUP(B4544,Tabela_Auxiliar[],3,0)</f>
        <v>Saída</v>
      </c>
      <c r="G4544" t="str">
        <f>UPPER(TEXT(Tabela_DB[[#This Row],[DATA]],"mmm"))</f>
        <v>OUT</v>
      </c>
      <c r="H4544" t="str">
        <f>UPPER(TEXT(Tabela_DB[[#This Row],[DATA]],"aaaa"))</f>
        <v>2021</v>
      </c>
    </row>
    <row r="4545" spans="1:8" x14ac:dyDescent="0.25">
      <c r="A4545" s="2">
        <v>44501</v>
      </c>
      <c r="B4545" t="s">
        <v>69</v>
      </c>
      <c r="C4545">
        <v>-1564</v>
      </c>
      <c r="D4545" t="str">
        <f>VLOOKUP(B4545,Tabela_Auxiliar[],2,0)</f>
        <v>4. Despesas Operacionais</v>
      </c>
      <c r="E4545" t="str">
        <f>VLOOKUP(B4545,Tabela_Auxiliar[],4,0)</f>
        <v>Despesa com Ocupação</v>
      </c>
      <c r="F4545" t="str">
        <f>VLOOKUP(B4545,Tabela_Auxiliar[],3,0)</f>
        <v>Saída</v>
      </c>
      <c r="G4545" t="str">
        <f>UPPER(TEXT(Tabela_DB[[#This Row],[DATA]],"mmm"))</f>
        <v>NOV</v>
      </c>
      <c r="H4545" t="str">
        <f>UPPER(TEXT(Tabela_DB[[#This Row],[DATA]],"aaaa"))</f>
        <v>2021</v>
      </c>
    </row>
    <row r="4546" spans="1:8" x14ac:dyDescent="0.25">
      <c r="A4546" s="2">
        <v>44501</v>
      </c>
      <c r="B4546" t="s">
        <v>38</v>
      </c>
      <c r="C4546">
        <v>-1735</v>
      </c>
      <c r="D4546" t="str">
        <f>VLOOKUP(B4546,Tabela_Auxiliar[],2,0)</f>
        <v>2. Deduções da Receita</v>
      </c>
      <c r="E4546" t="str">
        <f>VLOOKUP(B4546,Tabela_Auxiliar[],4,0)</f>
        <v>Deduções</v>
      </c>
      <c r="F4546" t="str">
        <f>VLOOKUP(B4546,Tabela_Auxiliar[],3,0)</f>
        <v>Saída</v>
      </c>
      <c r="G4546" t="str">
        <f>UPPER(TEXT(Tabela_DB[[#This Row],[DATA]],"mmm"))</f>
        <v>NOV</v>
      </c>
      <c r="H4546" t="str">
        <f>UPPER(TEXT(Tabela_DB[[#This Row],[DATA]],"aaaa"))</f>
        <v>2021</v>
      </c>
    </row>
    <row r="4547" spans="1:8" x14ac:dyDescent="0.25">
      <c r="A4547" s="2">
        <v>44501</v>
      </c>
      <c r="B4547" t="s">
        <v>35</v>
      </c>
      <c r="C4547">
        <v>-1809</v>
      </c>
      <c r="D4547" t="str">
        <f>VLOOKUP(B4547,Tabela_Auxiliar[],2,0)</f>
        <v>2. Deduções da Receita</v>
      </c>
      <c r="E4547" t="str">
        <f>VLOOKUP(B4547,Tabela_Auxiliar[],4,0)</f>
        <v>Imposto</v>
      </c>
      <c r="F4547" t="str">
        <f>VLOOKUP(B4547,Tabela_Auxiliar[],3,0)</f>
        <v>Saída</v>
      </c>
      <c r="G4547" t="str">
        <f>UPPER(TEXT(Tabela_DB[[#This Row],[DATA]],"mmm"))</f>
        <v>NOV</v>
      </c>
      <c r="H4547" t="str">
        <f>UPPER(TEXT(Tabela_DB[[#This Row],[DATA]],"aaaa"))</f>
        <v>2021</v>
      </c>
    </row>
    <row r="4548" spans="1:8" x14ac:dyDescent="0.25">
      <c r="A4548" s="2">
        <v>44501</v>
      </c>
      <c r="B4548" t="s">
        <v>82</v>
      </c>
      <c r="C4548">
        <v>-1381</v>
      </c>
      <c r="D4548" t="str">
        <f>VLOOKUP(B4548,Tabela_Auxiliar[],2,0)</f>
        <v>4. Despesas Operacionais</v>
      </c>
      <c r="E4548" t="str">
        <f>VLOOKUP(B4548,Tabela_Auxiliar[],4,0)</f>
        <v>Despesa com Veículos</v>
      </c>
      <c r="F4548" t="str">
        <f>VLOOKUP(B4548,Tabela_Auxiliar[],3,0)</f>
        <v>Saída</v>
      </c>
      <c r="G4548" t="str">
        <f>UPPER(TEXT(Tabela_DB[[#This Row],[DATA]],"mmm"))</f>
        <v>NOV</v>
      </c>
      <c r="H4548" t="str">
        <f>UPPER(TEXT(Tabela_DB[[#This Row],[DATA]],"aaaa"))</f>
        <v>2021</v>
      </c>
    </row>
    <row r="4549" spans="1:8" x14ac:dyDescent="0.25">
      <c r="A4549" s="2">
        <v>44501</v>
      </c>
      <c r="B4549" t="s">
        <v>66</v>
      </c>
      <c r="C4549">
        <v>-1192</v>
      </c>
      <c r="D4549" t="str">
        <f>VLOOKUP(B4549,Tabela_Auxiliar[],2,0)</f>
        <v>4. Despesas Operacionais</v>
      </c>
      <c r="E4549" t="str">
        <f>VLOOKUP(B4549,Tabela_Auxiliar[],4,0)</f>
        <v>Despesa com Vendas</v>
      </c>
      <c r="F4549" t="str">
        <f>VLOOKUP(B4549,Tabela_Auxiliar[],3,0)</f>
        <v>Saída</v>
      </c>
      <c r="G4549" t="str">
        <f>UPPER(TEXT(Tabela_DB[[#This Row],[DATA]],"mmm"))</f>
        <v>NOV</v>
      </c>
      <c r="H4549" t="str">
        <f>UPPER(TEXT(Tabela_DB[[#This Row],[DATA]],"aaaa"))</f>
        <v>2021</v>
      </c>
    </row>
    <row r="4550" spans="1:8" x14ac:dyDescent="0.25">
      <c r="A4550" s="2">
        <v>44501</v>
      </c>
      <c r="B4550" t="s">
        <v>35</v>
      </c>
      <c r="C4550">
        <v>-1233</v>
      </c>
      <c r="D4550" t="str">
        <f>VLOOKUP(B4550,Tabela_Auxiliar[],2,0)</f>
        <v>2. Deduções da Receita</v>
      </c>
      <c r="E4550" t="str">
        <f>VLOOKUP(B4550,Tabela_Auxiliar[],4,0)</f>
        <v>Imposto</v>
      </c>
      <c r="F4550" t="str">
        <f>VLOOKUP(B4550,Tabela_Auxiliar[],3,0)</f>
        <v>Saída</v>
      </c>
      <c r="G4550" t="str">
        <f>UPPER(TEXT(Tabela_DB[[#This Row],[DATA]],"mmm"))</f>
        <v>NOV</v>
      </c>
      <c r="H4550" t="str">
        <f>UPPER(TEXT(Tabela_DB[[#This Row],[DATA]],"aaaa"))</f>
        <v>2021</v>
      </c>
    </row>
    <row r="4551" spans="1:8" x14ac:dyDescent="0.25">
      <c r="A4551" s="2">
        <v>44501</v>
      </c>
      <c r="B4551" t="s">
        <v>73</v>
      </c>
      <c r="C4551">
        <v>-1811</v>
      </c>
      <c r="D4551" t="str">
        <f>VLOOKUP(B4551,Tabela_Auxiliar[],2,0)</f>
        <v>4. Despesas Operacionais</v>
      </c>
      <c r="E4551" t="str">
        <f>VLOOKUP(B4551,Tabela_Auxiliar[],4,0)</f>
        <v>Despesa com Ocupação</v>
      </c>
      <c r="F4551" t="str">
        <f>VLOOKUP(B4551,Tabela_Auxiliar[],3,0)</f>
        <v>Saída</v>
      </c>
      <c r="G4551" t="str">
        <f>UPPER(TEXT(Tabela_DB[[#This Row],[DATA]],"mmm"))</f>
        <v>NOV</v>
      </c>
      <c r="H4551" t="str">
        <f>UPPER(TEXT(Tabela_DB[[#This Row],[DATA]],"aaaa"))</f>
        <v>2021</v>
      </c>
    </row>
    <row r="4552" spans="1:8" x14ac:dyDescent="0.25">
      <c r="A4552" s="2">
        <v>44502</v>
      </c>
      <c r="B4552" t="s">
        <v>35</v>
      </c>
      <c r="C4552">
        <v>-2368</v>
      </c>
      <c r="D4552" t="str">
        <f>VLOOKUP(B4552,Tabela_Auxiliar[],2,0)</f>
        <v>2. Deduções da Receita</v>
      </c>
      <c r="E4552" t="str">
        <f>VLOOKUP(B4552,Tabela_Auxiliar[],4,0)</f>
        <v>Imposto</v>
      </c>
      <c r="F4552" t="str">
        <f>VLOOKUP(B4552,Tabela_Auxiliar[],3,0)</f>
        <v>Saída</v>
      </c>
      <c r="G4552" t="str">
        <f>UPPER(TEXT(Tabela_DB[[#This Row],[DATA]],"mmm"))</f>
        <v>NOV</v>
      </c>
      <c r="H4552" t="str">
        <f>UPPER(TEXT(Tabela_DB[[#This Row],[DATA]],"aaaa"))</f>
        <v>2021</v>
      </c>
    </row>
    <row r="4553" spans="1:8" x14ac:dyDescent="0.25">
      <c r="A4553" s="2">
        <v>44502</v>
      </c>
      <c r="B4553" t="s">
        <v>46</v>
      </c>
      <c r="C4553">
        <v>-2139</v>
      </c>
      <c r="D4553" t="str">
        <f>VLOOKUP(B4553,Tabela_Auxiliar[],2,0)</f>
        <v>4. Despesas Operacionais</v>
      </c>
      <c r="E4553" t="str">
        <f>VLOOKUP(B4553,Tabela_Auxiliar[],4,0)</f>
        <v>Despesa com Pessoal</v>
      </c>
      <c r="F4553" t="str">
        <f>VLOOKUP(B4553,Tabela_Auxiliar[],3,0)</f>
        <v>Saída</v>
      </c>
      <c r="G4553" t="str">
        <f>UPPER(TEXT(Tabela_DB[[#This Row],[DATA]],"mmm"))</f>
        <v>NOV</v>
      </c>
      <c r="H4553" t="str">
        <f>UPPER(TEXT(Tabela_DB[[#This Row],[DATA]],"aaaa"))</f>
        <v>2021</v>
      </c>
    </row>
    <row r="4554" spans="1:8" x14ac:dyDescent="0.25">
      <c r="A4554" s="2">
        <v>44502</v>
      </c>
      <c r="B4554" t="s">
        <v>34</v>
      </c>
      <c r="C4554">
        <v>-1871</v>
      </c>
      <c r="D4554" t="str">
        <f>VLOOKUP(B4554,Tabela_Auxiliar[],2,0)</f>
        <v>2. Deduções da Receita</v>
      </c>
      <c r="E4554" t="str">
        <f>VLOOKUP(B4554,Tabela_Auxiliar[],4,0)</f>
        <v>Imposto</v>
      </c>
      <c r="F4554" t="str">
        <f>VLOOKUP(B4554,Tabela_Auxiliar[],3,0)</f>
        <v>Saída</v>
      </c>
      <c r="G4554" t="str">
        <f>UPPER(TEXT(Tabela_DB[[#This Row],[DATA]],"mmm"))</f>
        <v>NOV</v>
      </c>
      <c r="H4554" t="str">
        <f>UPPER(TEXT(Tabela_DB[[#This Row],[DATA]],"aaaa"))</f>
        <v>2021</v>
      </c>
    </row>
    <row r="4555" spans="1:8" x14ac:dyDescent="0.25">
      <c r="A4555" s="2">
        <v>44502</v>
      </c>
      <c r="B4555" t="s">
        <v>38</v>
      </c>
      <c r="C4555">
        <v>-2413</v>
      </c>
      <c r="D4555" t="str">
        <f>VLOOKUP(B4555,Tabela_Auxiliar[],2,0)</f>
        <v>2. Deduções da Receita</v>
      </c>
      <c r="E4555" t="str">
        <f>VLOOKUP(B4555,Tabela_Auxiliar[],4,0)</f>
        <v>Deduções</v>
      </c>
      <c r="F4555" t="str">
        <f>VLOOKUP(B4555,Tabela_Auxiliar[],3,0)</f>
        <v>Saída</v>
      </c>
      <c r="G4555" t="str">
        <f>UPPER(TEXT(Tabela_DB[[#This Row],[DATA]],"mmm"))</f>
        <v>NOV</v>
      </c>
      <c r="H4555" t="str">
        <f>UPPER(TEXT(Tabela_DB[[#This Row],[DATA]],"aaaa"))</f>
        <v>2021</v>
      </c>
    </row>
    <row r="4556" spans="1:8" x14ac:dyDescent="0.25">
      <c r="A4556" s="2">
        <v>44502</v>
      </c>
      <c r="B4556" t="s">
        <v>53</v>
      </c>
      <c r="C4556">
        <v>-1723</v>
      </c>
      <c r="D4556" t="str">
        <f>VLOOKUP(B4556,Tabela_Auxiliar[],2,0)</f>
        <v>4. Despesas Operacionais</v>
      </c>
      <c r="E4556" t="str">
        <f>VLOOKUP(B4556,Tabela_Auxiliar[],4,0)</f>
        <v>Despesa com Pessoal</v>
      </c>
      <c r="F4556" t="str">
        <f>VLOOKUP(B4556,Tabela_Auxiliar[],3,0)</f>
        <v>Saída</v>
      </c>
      <c r="G4556" t="str">
        <f>UPPER(TEXT(Tabela_DB[[#This Row],[DATA]],"mmm"))</f>
        <v>NOV</v>
      </c>
      <c r="H4556" t="str">
        <f>UPPER(TEXT(Tabela_DB[[#This Row],[DATA]],"aaaa"))</f>
        <v>2021</v>
      </c>
    </row>
    <row r="4557" spans="1:8" x14ac:dyDescent="0.25">
      <c r="A4557" s="2">
        <v>44502</v>
      </c>
      <c r="B4557" t="s">
        <v>111</v>
      </c>
      <c r="C4557">
        <v>-1576</v>
      </c>
      <c r="D4557" t="str">
        <f>VLOOKUP(B4557,Tabela_Auxiliar[],2,0)</f>
        <v>2. Deduções da Receita</v>
      </c>
      <c r="E4557" t="str">
        <f>VLOOKUP(B4557,Tabela_Auxiliar[],4,0)</f>
        <v>Imposto</v>
      </c>
      <c r="F4557" t="str">
        <f>VLOOKUP(B4557,Tabela_Auxiliar[],3,0)</f>
        <v>Saída</v>
      </c>
      <c r="G4557" t="str">
        <f>UPPER(TEXT(Tabela_DB[[#This Row],[DATA]],"mmm"))</f>
        <v>NOV</v>
      </c>
      <c r="H4557" t="str">
        <f>UPPER(TEXT(Tabela_DB[[#This Row],[DATA]],"aaaa"))</f>
        <v>2021</v>
      </c>
    </row>
    <row r="4558" spans="1:8" x14ac:dyDescent="0.25">
      <c r="A4558" s="2">
        <v>44502</v>
      </c>
      <c r="B4558" t="s">
        <v>3</v>
      </c>
      <c r="C4558">
        <v>14222</v>
      </c>
      <c r="D4558" t="str">
        <f>VLOOKUP(B4558,Tabela_Auxiliar[],2,0)</f>
        <v>1. Receita Operacional Bruta</v>
      </c>
      <c r="E4558" t="str">
        <f>VLOOKUP(B4558,Tabela_Auxiliar[],4,0)</f>
        <v>Receita Bruta</v>
      </c>
      <c r="F4558" t="str">
        <f>VLOOKUP(B4558,Tabela_Auxiliar[],3,0)</f>
        <v>Entrada</v>
      </c>
      <c r="G4558" t="str">
        <f>UPPER(TEXT(Tabela_DB[[#This Row],[DATA]],"mmm"))</f>
        <v>NOV</v>
      </c>
      <c r="H4558" t="str">
        <f>UPPER(TEXT(Tabela_DB[[#This Row],[DATA]],"aaaa"))</f>
        <v>2021</v>
      </c>
    </row>
    <row r="4559" spans="1:8" x14ac:dyDescent="0.25">
      <c r="A4559" s="2">
        <v>44502</v>
      </c>
      <c r="B4559" t="s">
        <v>37</v>
      </c>
      <c r="C4559">
        <v>-4212</v>
      </c>
      <c r="D4559" t="str">
        <f>VLOOKUP(B4559,Tabela_Auxiliar[],2,0)</f>
        <v>3. Custos do Produto/Mercadoria/Serviço</v>
      </c>
      <c r="E4559" t="str">
        <f>VLOOKUP(B4559,Tabela_Auxiliar[],4,0)</f>
        <v>Despesas c/ Produto</v>
      </c>
      <c r="F4559" t="str">
        <f>VLOOKUP(B4559,Tabela_Auxiliar[],3,0)</f>
        <v>Saída</v>
      </c>
      <c r="G4559" t="str">
        <f>UPPER(TEXT(Tabela_DB[[#This Row],[DATA]],"mmm"))</f>
        <v>NOV</v>
      </c>
      <c r="H4559" t="str">
        <f>UPPER(TEXT(Tabela_DB[[#This Row],[DATA]],"aaaa"))</f>
        <v>2021</v>
      </c>
    </row>
    <row r="4560" spans="1:8" x14ac:dyDescent="0.25">
      <c r="A4560" s="2">
        <v>44502</v>
      </c>
      <c r="B4560" t="s">
        <v>4</v>
      </c>
      <c r="C4560">
        <v>13978</v>
      </c>
      <c r="D4560" t="str">
        <f>VLOOKUP(B4560,Tabela_Auxiliar[],2,0)</f>
        <v>1. Receita Operacional Bruta</v>
      </c>
      <c r="E4560" t="str">
        <f>VLOOKUP(B4560,Tabela_Auxiliar[],4,0)</f>
        <v>Receita Bruta</v>
      </c>
      <c r="F4560" t="str">
        <f>VLOOKUP(B4560,Tabela_Auxiliar[],3,0)</f>
        <v>Entrada</v>
      </c>
      <c r="G4560" t="str">
        <f>UPPER(TEXT(Tabela_DB[[#This Row],[DATA]],"mmm"))</f>
        <v>NOV</v>
      </c>
      <c r="H4560" t="str">
        <f>UPPER(TEXT(Tabela_DB[[#This Row],[DATA]],"aaaa"))</f>
        <v>2021</v>
      </c>
    </row>
    <row r="4561" spans="1:8" x14ac:dyDescent="0.25">
      <c r="A4561" s="2">
        <v>44502</v>
      </c>
      <c r="B4561" t="s">
        <v>111</v>
      </c>
      <c r="C4561">
        <v>-1060</v>
      </c>
      <c r="D4561" t="str">
        <f>VLOOKUP(B4561,Tabela_Auxiliar[],2,0)</f>
        <v>2. Deduções da Receita</v>
      </c>
      <c r="E4561" t="str">
        <f>VLOOKUP(B4561,Tabela_Auxiliar[],4,0)</f>
        <v>Imposto</v>
      </c>
      <c r="F4561" t="str">
        <f>VLOOKUP(B4561,Tabela_Auxiliar[],3,0)</f>
        <v>Saída</v>
      </c>
      <c r="G4561" t="str">
        <f>UPPER(TEXT(Tabela_DB[[#This Row],[DATA]],"mmm"))</f>
        <v>NOV</v>
      </c>
      <c r="H4561" t="str">
        <f>UPPER(TEXT(Tabela_DB[[#This Row],[DATA]],"aaaa"))</f>
        <v>2021</v>
      </c>
    </row>
    <row r="4562" spans="1:8" x14ac:dyDescent="0.25">
      <c r="A4562" s="2">
        <v>44503</v>
      </c>
      <c r="B4562" t="s">
        <v>34</v>
      </c>
      <c r="C4562">
        <v>-1412</v>
      </c>
      <c r="D4562" t="str">
        <f>VLOOKUP(B4562,Tabela_Auxiliar[],2,0)</f>
        <v>2. Deduções da Receita</v>
      </c>
      <c r="E4562" t="str">
        <f>VLOOKUP(B4562,Tabela_Auxiliar[],4,0)</f>
        <v>Imposto</v>
      </c>
      <c r="F4562" t="str">
        <f>VLOOKUP(B4562,Tabela_Auxiliar[],3,0)</f>
        <v>Saída</v>
      </c>
      <c r="G4562" t="str">
        <f>UPPER(TEXT(Tabela_DB[[#This Row],[DATA]],"mmm"))</f>
        <v>NOV</v>
      </c>
      <c r="H4562" t="str">
        <f>UPPER(TEXT(Tabela_DB[[#This Row],[DATA]],"aaaa"))</f>
        <v>2021</v>
      </c>
    </row>
    <row r="4563" spans="1:8" x14ac:dyDescent="0.25">
      <c r="A4563" s="2">
        <v>44503</v>
      </c>
      <c r="B4563" t="s">
        <v>3</v>
      </c>
      <c r="C4563">
        <v>14881</v>
      </c>
      <c r="D4563" t="str">
        <f>VLOOKUP(B4563,Tabela_Auxiliar[],2,0)</f>
        <v>1. Receita Operacional Bruta</v>
      </c>
      <c r="E4563" t="str">
        <f>VLOOKUP(B4563,Tabela_Auxiliar[],4,0)</f>
        <v>Receita Bruta</v>
      </c>
      <c r="F4563" t="str">
        <f>VLOOKUP(B4563,Tabela_Auxiliar[],3,0)</f>
        <v>Entrada</v>
      </c>
      <c r="G4563" t="str">
        <f>UPPER(TEXT(Tabela_DB[[#This Row],[DATA]],"mmm"))</f>
        <v>NOV</v>
      </c>
      <c r="H4563" t="str">
        <f>UPPER(TEXT(Tabela_DB[[#This Row],[DATA]],"aaaa"))</f>
        <v>2021</v>
      </c>
    </row>
    <row r="4564" spans="1:8" x14ac:dyDescent="0.25">
      <c r="A4564" s="2">
        <v>44503</v>
      </c>
      <c r="B4564" t="s">
        <v>111</v>
      </c>
      <c r="C4564">
        <v>-1799</v>
      </c>
      <c r="D4564" t="str">
        <f>VLOOKUP(B4564,Tabela_Auxiliar[],2,0)</f>
        <v>2. Deduções da Receita</v>
      </c>
      <c r="E4564" t="str">
        <f>VLOOKUP(B4564,Tabela_Auxiliar[],4,0)</f>
        <v>Imposto</v>
      </c>
      <c r="F4564" t="str">
        <f>VLOOKUP(B4564,Tabela_Auxiliar[],3,0)</f>
        <v>Saída</v>
      </c>
      <c r="G4564" t="str">
        <f>UPPER(TEXT(Tabela_DB[[#This Row],[DATA]],"mmm"))</f>
        <v>NOV</v>
      </c>
      <c r="H4564" t="str">
        <f>UPPER(TEXT(Tabela_DB[[#This Row],[DATA]],"aaaa"))</f>
        <v>2021</v>
      </c>
    </row>
    <row r="4565" spans="1:8" x14ac:dyDescent="0.25">
      <c r="A4565" s="2">
        <v>44503</v>
      </c>
      <c r="B4565" t="s">
        <v>100</v>
      </c>
      <c r="C4565">
        <v>206800</v>
      </c>
      <c r="D4565" t="str">
        <f>VLOOKUP(B4565,Tabela_Auxiliar[],2,0)</f>
        <v>5. Resultado Financeiro</v>
      </c>
      <c r="E4565" t="str">
        <f>VLOOKUP(B4565,Tabela_Auxiliar[],4,0)</f>
        <v>Receita Financeira</v>
      </c>
      <c r="F4565" t="str">
        <f>VLOOKUP(B4565,Tabela_Auxiliar[],3,0)</f>
        <v>Saída</v>
      </c>
      <c r="G4565" t="str">
        <f>UPPER(TEXT(Tabela_DB[[#This Row],[DATA]],"mmm"))</f>
        <v>NOV</v>
      </c>
      <c r="H4565" t="str">
        <f>UPPER(TEXT(Tabela_DB[[#This Row],[DATA]],"aaaa"))</f>
        <v>2021</v>
      </c>
    </row>
    <row r="4566" spans="1:8" x14ac:dyDescent="0.25">
      <c r="A4566" s="2">
        <v>44503</v>
      </c>
      <c r="B4566" t="s">
        <v>3</v>
      </c>
      <c r="C4566">
        <v>13956</v>
      </c>
      <c r="D4566" t="str">
        <f>VLOOKUP(B4566,Tabela_Auxiliar[],2,0)</f>
        <v>1. Receita Operacional Bruta</v>
      </c>
      <c r="E4566" t="str">
        <f>VLOOKUP(B4566,Tabela_Auxiliar[],4,0)</f>
        <v>Receita Bruta</v>
      </c>
      <c r="F4566" t="str">
        <f>VLOOKUP(B4566,Tabela_Auxiliar[],3,0)</f>
        <v>Entrada</v>
      </c>
      <c r="G4566" t="str">
        <f>UPPER(TEXT(Tabela_DB[[#This Row],[DATA]],"mmm"))</f>
        <v>NOV</v>
      </c>
      <c r="H4566" t="str">
        <f>UPPER(TEXT(Tabela_DB[[#This Row],[DATA]],"aaaa"))</f>
        <v>2021</v>
      </c>
    </row>
    <row r="4567" spans="1:8" x14ac:dyDescent="0.25">
      <c r="A4567" s="2">
        <v>44503</v>
      </c>
      <c r="B4567" t="s">
        <v>3</v>
      </c>
      <c r="C4567">
        <v>14667</v>
      </c>
      <c r="D4567" t="str">
        <f>VLOOKUP(B4567,Tabela_Auxiliar[],2,0)</f>
        <v>1. Receita Operacional Bruta</v>
      </c>
      <c r="E4567" t="str">
        <f>VLOOKUP(B4567,Tabela_Auxiliar[],4,0)</f>
        <v>Receita Bruta</v>
      </c>
      <c r="F4567" t="str">
        <f>VLOOKUP(B4567,Tabela_Auxiliar[],3,0)</f>
        <v>Entrada</v>
      </c>
      <c r="G4567" t="str">
        <f>UPPER(TEXT(Tabela_DB[[#This Row],[DATA]],"mmm"))</f>
        <v>NOV</v>
      </c>
      <c r="H4567" t="str">
        <f>UPPER(TEXT(Tabela_DB[[#This Row],[DATA]],"aaaa"))</f>
        <v>2021</v>
      </c>
    </row>
    <row r="4568" spans="1:8" x14ac:dyDescent="0.25">
      <c r="A4568" s="2">
        <v>44503</v>
      </c>
      <c r="B4568" t="s">
        <v>5</v>
      </c>
      <c r="C4568">
        <v>-2047</v>
      </c>
      <c r="D4568" t="str">
        <f>VLOOKUP(B4568,Tabela_Auxiliar[],2,0)</f>
        <v>4. Despesas Operacionais</v>
      </c>
      <c r="E4568" t="str">
        <f>VLOOKUP(B4568,Tabela_Auxiliar[],4,0)</f>
        <v>Despesa com Pessoal</v>
      </c>
      <c r="F4568" t="str">
        <f>VLOOKUP(B4568,Tabela_Auxiliar[],3,0)</f>
        <v>Saída</v>
      </c>
      <c r="G4568" t="str">
        <f>UPPER(TEXT(Tabela_DB[[#This Row],[DATA]],"mmm"))</f>
        <v>NOV</v>
      </c>
      <c r="H4568" t="str">
        <f>UPPER(TEXT(Tabela_DB[[#This Row],[DATA]],"aaaa"))</f>
        <v>2021</v>
      </c>
    </row>
    <row r="4569" spans="1:8" x14ac:dyDescent="0.25">
      <c r="A4569" s="2">
        <v>44503</v>
      </c>
      <c r="B4569" t="s">
        <v>111</v>
      </c>
      <c r="C4569">
        <v>-1157</v>
      </c>
      <c r="D4569" t="str">
        <f>VLOOKUP(B4569,Tabela_Auxiliar[],2,0)</f>
        <v>2. Deduções da Receita</v>
      </c>
      <c r="E4569" t="str">
        <f>VLOOKUP(B4569,Tabela_Auxiliar[],4,0)</f>
        <v>Imposto</v>
      </c>
      <c r="F4569" t="str">
        <f>VLOOKUP(B4569,Tabela_Auxiliar[],3,0)</f>
        <v>Saída</v>
      </c>
      <c r="G4569" t="str">
        <f>UPPER(TEXT(Tabela_DB[[#This Row],[DATA]],"mmm"))</f>
        <v>NOV</v>
      </c>
      <c r="H4569" t="str">
        <f>UPPER(TEXT(Tabela_DB[[#This Row],[DATA]],"aaaa"))</f>
        <v>2021</v>
      </c>
    </row>
    <row r="4570" spans="1:8" x14ac:dyDescent="0.25">
      <c r="A4570" s="2">
        <v>44503</v>
      </c>
      <c r="B4570" t="s">
        <v>38</v>
      </c>
      <c r="C4570">
        <v>-1310</v>
      </c>
      <c r="D4570" t="str">
        <f>VLOOKUP(B4570,Tabela_Auxiliar[],2,0)</f>
        <v>2. Deduções da Receita</v>
      </c>
      <c r="E4570" t="str">
        <f>VLOOKUP(B4570,Tabela_Auxiliar[],4,0)</f>
        <v>Deduções</v>
      </c>
      <c r="F4570" t="str">
        <f>VLOOKUP(B4570,Tabela_Auxiliar[],3,0)</f>
        <v>Saída</v>
      </c>
      <c r="G4570" t="str">
        <f>UPPER(TEXT(Tabela_DB[[#This Row],[DATA]],"mmm"))</f>
        <v>NOV</v>
      </c>
      <c r="H4570" t="str">
        <f>UPPER(TEXT(Tabela_DB[[#This Row],[DATA]],"aaaa"))</f>
        <v>2021</v>
      </c>
    </row>
    <row r="4571" spans="1:8" x14ac:dyDescent="0.25">
      <c r="A4571" s="2">
        <v>44504</v>
      </c>
      <c r="B4571" t="s">
        <v>40</v>
      </c>
      <c r="C4571">
        <v>-1103</v>
      </c>
      <c r="D4571" t="str">
        <f>VLOOKUP(B4571,Tabela_Auxiliar[],2,0)</f>
        <v>4. Despesas Operacionais</v>
      </c>
      <c r="E4571" t="str">
        <f>VLOOKUP(B4571,Tabela_Auxiliar[],4,0)</f>
        <v>Despesa com Pessoal</v>
      </c>
      <c r="F4571" t="str">
        <f>VLOOKUP(B4571,Tabela_Auxiliar[],3,0)</f>
        <v>Saída</v>
      </c>
      <c r="G4571" t="str">
        <f>UPPER(TEXT(Tabela_DB[[#This Row],[DATA]],"mmm"))</f>
        <v>NOV</v>
      </c>
      <c r="H4571" t="str">
        <f>UPPER(TEXT(Tabela_DB[[#This Row],[DATA]],"aaaa"))</f>
        <v>2021</v>
      </c>
    </row>
    <row r="4572" spans="1:8" x14ac:dyDescent="0.25">
      <c r="A4572" s="2">
        <v>44504</v>
      </c>
      <c r="B4572" t="s">
        <v>56</v>
      </c>
      <c r="C4572">
        <v>-2040</v>
      </c>
      <c r="D4572" t="str">
        <f>VLOOKUP(B4572,Tabela_Auxiliar[],2,0)</f>
        <v>4. Despesas Operacionais</v>
      </c>
      <c r="E4572" t="str">
        <f>VLOOKUP(B4572,Tabela_Auxiliar[],4,0)</f>
        <v>Despesa com Pessoal</v>
      </c>
      <c r="F4572" t="str">
        <f>VLOOKUP(B4572,Tabela_Auxiliar[],3,0)</f>
        <v>Saída</v>
      </c>
      <c r="G4572" t="str">
        <f>UPPER(TEXT(Tabela_DB[[#This Row],[DATA]],"mmm"))</f>
        <v>NOV</v>
      </c>
      <c r="H4572" t="str">
        <f>UPPER(TEXT(Tabela_DB[[#This Row],[DATA]],"aaaa"))</f>
        <v>2021</v>
      </c>
    </row>
    <row r="4573" spans="1:8" x14ac:dyDescent="0.25">
      <c r="A4573" s="2">
        <v>44504</v>
      </c>
      <c r="B4573" t="s">
        <v>3</v>
      </c>
      <c r="C4573">
        <v>12263</v>
      </c>
      <c r="D4573" t="str">
        <f>VLOOKUP(B4573,Tabela_Auxiliar[],2,0)</f>
        <v>1. Receita Operacional Bruta</v>
      </c>
      <c r="E4573" t="str">
        <f>VLOOKUP(B4573,Tabela_Auxiliar[],4,0)</f>
        <v>Receita Bruta</v>
      </c>
      <c r="F4573" t="str">
        <f>VLOOKUP(B4573,Tabela_Auxiliar[],3,0)</f>
        <v>Entrada</v>
      </c>
      <c r="G4573" t="str">
        <f>UPPER(TEXT(Tabela_DB[[#This Row],[DATA]],"mmm"))</f>
        <v>NOV</v>
      </c>
      <c r="H4573" t="str">
        <f>UPPER(TEXT(Tabela_DB[[#This Row],[DATA]],"aaaa"))</f>
        <v>2021</v>
      </c>
    </row>
    <row r="4574" spans="1:8" x14ac:dyDescent="0.25">
      <c r="A4574" s="2">
        <v>44504</v>
      </c>
      <c r="B4574" t="s">
        <v>37</v>
      </c>
      <c r="C4574">
        <v>-3675</v>
      </c>
      <c r="D4574" t="str">
        <f>VLOOKUP(B4574,Tabela_Auxiliar[],2,0)</f>
        <v>3. Custos do Produto/Mercadoria/Serviço</v>
      </c>
      <c r="E4574" t="str">
        <f>VLOOKUP(B4574,Tabela_Auxiliar[],4,0)</f>
        <v>Despesas c/ Produto</v>
      </c>
      <c r="F4574" t="str">
        <f>VLOOKUP(B4574,Tabela_Auxiliar[],3,0)</f>
        <v>Saída</v>
      </c>
      <c r="G4574" t="str">
        <f>UPPER(TEXT(Tabela_DB[[#This Row],[DATA]],"mmm"))</f>
        <v>NOV</v>
      </c>
      <c r="H4574" t="str">
        <f>UPPER(TEXT(Tabela_DB[[#This Row],[DATA]],"aaaa"))</f>
        <v>2021</v>
      </c>
    </row>
    <row r="4575" spans="1:8" x14ac:dyDescent="0.25">
      <c r="A4575" s="2">
        <v>44504</v>
      </c>
      <c r="B4575" t="s">
        <v>71</v>
      </c>
      <c r="C4575">
        <v>-1470</v>
      </c>
      <c r="D4575" t="str">
        <f>VLOOKUP(B4575,Tabela_Auxiliar[],2,0)</f>
        <v>4. Despesas Operacionais</v>
      </c>
      <c r="E4575" t="str">
        <f>VLOOKUP(B4575,Tabela_Auxiliar[],4,0)</f>
        <v>Despesa com Ocupação</v>
      </c>
      <c r="F4575" t="str">
        <f>VLOOKUP(B4575,Tabela_Auxiliar[],3,0)</f>
        <v>Saída</v>
      </c>
      <c r="G4575" t="str">
        <f>UPPER(TEXT(Tabela_DB[[#This Row],[DATA]],"mmm"))</f>
        <v>NOV</v>
      </c>
      <c r="H4575" t="str">
        <f>UPPER(TEXT(Tabela_DB[[#This Row],[DATA]],"aaaa"))</f>
        <v>2021</v>
      </c>
    </row>
    <row r="4576" spans="1:8" x14ac:dyDescent="0.25">
      <c r="A4576" s="2">
        <v>44504</v>
      </c>
      <c r="B4576" t="s">
        <v>34</v>
      </c>
      <c r="C4576">
        <v>-1529</v>
      </c>
      <c r="D4576" t="str">
        <f>VLOOKUP(B4576,Tabela_Auxiliar[],2,0)</f>
        <v>2. Deduções da Receita</v>
      </c>
      <c r="E4576" t="str">
        <f>VLOOKUP(B4576,Tabela_Auxiliar[],4,0)</f>
        <v>Imposto</v>
      </c>
      <c r="F4576" t="str">
        <f>VLOOKUP(B4576,Tabela_Auxiliar[],3,0)</f>
        <v>Saída</v>
      </c>
      <c r="G4576" t="str">
        <f>UPPER(TEXT(Tabela_DB[[#This Row],[DATA]],"mmm"))</f>
        <v>NOV</v>
      </c>
      <c r="H4576" t="str">
        <f>UPPER(TEXT(Tabela_DB[[#This Row],[DATA]],"aaaa"))</f>
        <v>2021</v>
      </c>
    </row>
    <row r="4577" spans="1:8" x14ac:dyDescent="0.25">
      <c r="A4577" s="2">
        <v>44504</v>
      </c>
      <c r="B4577" t="s">
        <v>40</v>
      </c>
      <c r="C4577">
        <v>-1120</v>
      </c>
      <c r="D4577" t="str">
        <f>VLOOKUP(B4577,Tabela_Auxiliar[],2,0)</f>
        <v>4. Despesas Operacionais</v>
      </c>
      <c r="E4577" t="str">
        <f>VLOOKUP(B4577,Tabela_Auxiliar[],4,0)</f>
        <v>Despesa com Pessoal</v>
      </c>
      <c r="F4577" t="str">
        <f>VLOOKUP(B4577,Tabela_Auxiliar[],3,0)</f>
        <v>Saída</v>
      </c>
      <c r="G4577" t="str">
        <f>UPPER(TEXT(Tabela_DB[[#This Row],[DATA]],"mmm"))</f>
        <v>NOV</v>
      </c>
      <c r="H4577" t="str">
        <f>UPPER(TEXT(Tabela_DB[[#This Row],[DATA]],"aaaa"))</f>
        <v>2021</v>
      </c>
    </row>
    <row r="4578" spans="1:8" x14ac:dyDescent="0.25">
      <c r="A4578" s="2">
        <v>44504</v>
      </c>
      <c r="B4578" t="s">
        <v>4</v>
      </c>
      <c r="C4578">
        <v>13993</v>
      </c>
      <c r="D4578" t="str">
        <f>VLOOKUP(B4578,Tabela_Auxiliar[],2,0)</f>
        <v>1. Receita Operacional Bruta</v>
      </c>
      <c r="E4578" t="str">
        <f>VLOOKUP(B4578,Tabela_Auxiliar[],4,0)</f>
        <v>Receita Bruta</v>
      </c>
      <c r="F4578" t="str">
        <f>VLOOKUP(B4578,Tabela_Auxiliar[],3,0)</f>
        <v>Entrada</v>
      </c>
      <c r="G4578" t="str">
        <f>UPPER(TEXT(Tabela_DB[[#This Row],[DATA]],"mmm"))</f>
        <v>NOV</v>
      </c>
      <c r="H4578" t="str">
        <f>UPPER(TEXT(Tabela_DB[[#This Row],[DATA]],"aaaa"))</f>
        <v>2021</v>
      </c>
    </row>
    <row r="4579" spans="1:8" x14ac:dyDescent="0.25">
      <c r="A4579" s="2">
        <v>44504</v>
      </c>
      <c r="B4579" t="s">
        <v>3</v>
      </c>
      <c r="C4579">
        <v>10949</v>
      </c>
      <c r="D4579" t="str">
        <f>VLOOKUP(B4579,Tabela_Auxiliar[],2,0)</f>
        <v>1. Receita Operacional Bruta</v>
      </c>
      <c r="E4579" t="str">
        <f>VLOOKUP(B4579,Tabela_Auxiliar[],4,0)</f>
        <v>Receita Bruta</v>
      </c>
      <c r="F4579" t="str">
        <f>VLOOKUP(B4579,Tabela_Auxiliar[],3,0)</f>
        <v>Entrada</v>
      </c>
      <c r="G4579" t="str">
        <f>UPPER(TEXT(Tabela_DB[[#This Row],[DATA]],"mmm"))</f>
        <v>NOV</v>
      </c>
      <c r="H4579" t="str">
        <f>UPPER(TEXT(Tabela_DB[[#This Row],[DATA]],"aaaa"))</f>
        <v>2021</v>
      </c>
    </row>
    <row r="4580" spans="1:8" x14ac:dyDescent="0.25">
      <c r="A4580" s="2">
        <v>44504</v>
      </c>
      <c r="B4580" t="s">
        <v>38</v>
      </c>
      <c r="C4580">
        <v>-2039</v>
      </c>
      <c r="D4580" t="str">
        <f>VLOOKUP(B4580,Tabela_Auxiliar[],2,0)</f>
        <v>2. Deduções da Receita</v>
      </c>
      <c r="E4580" t="str">
        <f>VLOOKUP(B4580,Tabela_Auxiliar[],4,0)</f>
        <v>Deduções</v>
      </c>
      <c r="F4580" t="str">
        <f>VLOOKUP(B4580,Tabela_Auxiliar[],3,0)</f>
        <v>Saída</v>
      </c>
      <c r="G4580" t="str">
        <f>UPPER(TEXT(Tabela_DB[[#This Row],[DATA]],"mmm"))</f>
        <v>NOV</v>
      </c>
      <c r="H4580" t="str">
        <f>UPPER(TEXT(Tabela_DB[[#This Row],[DATA]],"aaaa"))</f>
        <v>2021</v>
      </c>
    </row>
    <row r="4581" spans="1:8" x14ac:dyDescent="0.25">
      <c r="A4581" s="2">
        <v>44504</v>
      </c>
      <c r="B4581" t="s">
        <v>35</v>
      </c>
      <c r="C4581">
        <v>-1782</v>
      </c>
      <c r="D4581" t="str">
        <f>VLOOKUP(B4581,Tabela_Auxiliar[],2,0)</f>
        <v>2. Deduções da Receita</v>
      </c>
      <c r="E4581" t="str">
        <f>VLOOKUP(B4581,Tabela_Auxiliar[],4,0)</f>
        <v>Imposto</v>
      </c>
      <c r="F4581" t="str">
        <f>VLOOKUP(B4581,Tabela_Auxiliar[],3,0)</f>
        <v>Saída</v>
      </c>
      <c r="G4581" t="str">
        <f>UPPER(TEXT(Tabela_DB[[#This Row],[DATA]],"mmm"))</f>
        <v>NOV</v>
      </c>
      <c r="H4581" t="str">
        <f>UPPER(TEXT(Tabela_DB[[#This Row],[DATA]],"aaaa"))</f>
        <v>2021</v>
      </c>
    </row>
    <row r="4582" spans="1:8" x14ac:dyDescent="0.25">
      <c r="A4582" s="2">
        <v>44505</v>
      </c>
      <c r="B4582" t="s">
        <v>86</v>
      </c>
      <c r="C4582">
        <v>-1638</v>
      </c>
      <c r="D4582" t="str">
        <f>VLOOKUP(B4582,Tabela_Auxiliar[],2,0)</f>
        <v>4. Despesas Operacionais</v>
      </c>
      <c r="E4582" t="str">
        <f>VLOOKUP(B4582,Tabela_Auxiliar[],4,0)</f>
        <v>Despesa com Veículos</v>
      </c>
      <c r="F4582" t="str">
        <f>VLOOKUP(B4582,Tabela_Auxiliar[],3,0)</f>
        <v>Saída</v>
      </c>
      <c r="G4582" t="str">
        <f>UPPER(TEXT(Tabela_DB[[#This Row],[DATA]],"mmm"))</f>
        <v>NOV</v>
      </c>
      <c r="H4582" t="str">
        <f>UPPER(TEXT(Tabela_DB[[#This Row],[DATA]],"aaaa"))</f>
        <v>2021</v>
      </c>
    </row>
    <row r="4583" spans="1:8" x14ac:dyDescent="0.25">
      <c r="A4583" s="2">
        <v>44505</v>
      </c>
      <c r="B4583" t="s">
        <v>68</v>
      </c>
      <c r="C4583">
        <v>-1775</v>
      </c>
      <c r="D4583" t="str">
        <f>VLOOKUP(B4583,Tabela_Auxiliar[],2,0)</f>
        <v>4. Despesas Operacionais</v>
      </c>
      <c r="E4583" t="str">
        <f>VLOOKUP(B4583,Tabela_Auxiliar[],4,0)</f>
        <v>Despesa com Ocupação</v>
      </c>
      <c r="F4583" t="str">
        <f>VLOOKUP(B4583,Tabela_Auxiliar[],3,0)</f>
        <v>Saída</v>
      </c>
      <c r="G4583" t="str">
        <f>UPPER(TEXT(Tabela_DB[[#This Row],[DATA]],"mmm"))</f>
        <v>NOV</v>
      </c>
      <c r="H4583" t="str">
        <f>UPPER(TEXT(Tabela_DB[[#This Row],[DATA]],"aaaa"))</f>
        <v>2021</v>
      </c>
    </row>
    <row r="4584" spans="1:8" x14ac:dyDescent="0.25">
      <c r="A4584" s="2">
        <v>44505</v>
      </c>
      <c r="B4584" t="s">
        <v>4</v>
      </c>
      <c r="C4584">
        <v>11274</v>
      </c>
      <c r="D4584" t="str">
        <f>VLOOKUP(B4584,Tabela_Auxiliar[],2,0)</f>
        <v>1. Receita Operacional Bruta</v>
      </c>
      <c r="E4584" t="str">
        <f>VLOOKUP(B4584,Tabela_Auxiliar[],4,0)</f>
        <v>Receita Bruta</v>
      </c>
      <c r="F4584" t="str">
        <f>VLOOKUP(B4584,Tabela_Auxiliar[],3,0)</f>
        <v>Entrada</v>
      </c>
      <c r="G4584" t="str">
        <f>UPPER(TEXT(Tabela_DB[[#This Row],[DATA]],"mmm"))</f>
        <v>NOV</v>
      </c>
      <c r="H4584" t="str">
        <f>UPPER(TEXT(Tabela_DB[[#This Row],[DATA]],"aaaa"))</f>
        <v>2021</v>
      </c>
    </row>
    <row r="4585" spans="1:8" x14ac:dyDescent="0.25">
      <c r="A4585" s="2">
        <v>44505</v>
      </c>
      <c r="B4585" t="s">
        <v>4</v>
      </c>
      <c r="C4585">
        <v>12985</v>
      </c>
      <c r="D4585" t="str">
        <f>VLOOKUP(B4585,Tabela_Auxiliar[],2,0)</f>
        <v>1. Receita Operacional Bruta</v>
      </c>
      <c r="E4585" t="str">
        <f>VLOOKUP(B4585,Tabela_Auxiliar[],4,0)</f>
        <v>Receita Bruta</v>
      </c>
      <c r="F4585" t="str">
        <f>VLOOKUP(B4585,Tabela_Auxiliar[],3,0)</f>
        <v>Entrada</v>
      </c>
      <c r="G4585" t="str">
        <f>UPPER(TEXT(Tabela_DB[[#This Row],[DATA]],"mmm"))</f>
        <v>NOV</v>
      </c>
      <c r="H4585" t="str">
        <f>UPPER(TEXT(Tabela_DB[[#This Row],[DATA]],"aaaa"))</f>
        <v>2021</v>
      </c>
    </row>
    <row r="4586" spans="1:8" x14ac:dyDescent="0.25">
      <c r="A4586" s="2">
        <v>44505</v>
      </c>
      <c r="B4586" t="s">
        <v>58</v>
      </c>
      <c r="C4586">
        <v>-2127</v>
      </c>
      <c r="D4586" t="str">
        <f>VLOOKUP(B4586,Tabela_Auxiliar[],2,0)</f>
        <v>4. Despesas Operacionais</v>
      </c>
      <c r="E4586" t="str">
        <f>VLOOKUP(B4586,Tabela_Auxiliar[],4,0)</f>
        <v>Despesa de Depreciação</v>
      </c>
      <c r="F4586" t="str">
        <f>VLOOKUP(B4586,Tabela_Auxiliar[],3,0)</f>
        <v>Saída</v>
      </c>
      <c r="G4586" t="str">
        <f>UPPER(TEXT(Tabela_DB[[#This Row],[DATA]],"mmm"))</f>
        <v>NOV</v>
      </c>
      <c r="H4586" t="str">
        <f>UPPER(TEXT(Tabela_DB[[#This Row],[DATA]],"aaaa"))</f>
        <v>2021</v>
      </c>
    </row>
    <row r="4587" spans="1:8" x14ac:dyDescent="0.25">
      <c r="A4587" s="2">
        <v>44505</v>
      </c>
      <c r="B4587" t="s">
        <v>111</v>
      </c>
      <c r="C4587">
        <v>-1705</v>
      </c>
      <c r="D4587" t="str">
        <f>VLOOKUP(B4587,Tabela_Auxiliar[],2,0)</f>
        <v>2. Deduções da Receita</v>
      </c>
      <c r="E4587" t="str">
        <f>VLOOKUP(B4587,Tabela_Auxiliar[],4,0)</f>
        <v>Imposto</v>
      </c>
      <c r="F4587" t="str">
        <f>VLOOKUP(B4587,Tabela_Auxiliar[],3,0)</f>
        <v>Saída</v>
      </c>
      <c r="G4587" t="str">
        <f>UPPER(TEXT(Tabela_DB[[#This Row],[DATA]],"mmm"))</f>
        <v>NOV</v>
      </c>
      <c r="H4587" t="str">
        <f>UPPER(TEXT(Tabela_DB[[#This Row],[DATA]],"aaaa"))</f>
        <v>2021</v>
      </c>
    </row>
    <row r="4588" spans="1:8" x14ac:dyDescent="0.25">
      <c r="A4588" s="2">
        <v>44505</v>
      </c>
      <c r="B4588" t="s">
        <v>49</v>
      </c>
      <c r="C4588">
        <v>-2412</v>
      </c>
      <c r="D4588" t="str">
        <f>VLOOKUP(B4588,Tabela_Auxiliar[],2,0)</f>
        <v>4. Despesas Operacionais</v>
      </c>
      <c r="E4588" t="str">
        <f>VLOOKUP(B4588,Tabela_Auxiliar[],4,0)</f>
        <v>Despesa com Pessoal</v>
      </c>
      <c r="F4588" t="str">
        <f>VLOOKUP(B4588,Tabela_Auxiliar[],3,0)</f>
        <v>Saída</v>
      </c>
      <c r="G4588" t="str">
        <f>UPPER(TEXT(Tabela_DB[[#This Row],[DATA]],"mmm"))</f>
        <v>NOV</v>
      </c>
      <c r="H4588" t="str">
        <f>UPPER(TEXT(Tabela_DB[[#This Row],[DATA]],"aaaa"))</f>
        <v>2021</v>
      </c>
    </row>
    <row r="4589" spans="1:8" x14ac:dyDescent="0.25">
      <c r="A4589" s="2">
        <v>44505</v>
      </c>
      <c r="B4589" t="s">
        <v>4</v>
      </c>
      <c r="C4589">
        <v>11762</v>
      </c>
      <c r="D4589" t="str">
        <f>VLOOKUP(B4589,Tabela_Auxiliar[],2,0)</f>
        <v>1. Receita Operacional Bruta</v>
      </c>
      <c r="E4589" t="str">
        <f>VLOOKUP(B4589,Tabela_Auxiliar[],4,0)</f>
        <v>Receita Bruta</v>
      </c>
      <c r="F4589" t="str">
        <f>VLOOKUP(B4589,Tabela_Auxiliar[],3,0)</f>
        <v>Entrada</v>
      </c>
      <c r="G4589" t="str">
        <f>UPPER(TEXT(Tabela_DB[[#This Row],[DATA]],"mmm"))</f>
        <v>NOV</v>
      </c>
      <c r="H4589" t="str">
        <f>UPPER(TEXT(Tabela_DB[[#This Row],[DATA]],"aaaa"))</f>
        <v>2021</v>
      </c>
    </row>
    <row r="4590" spans="1:8" x14ac:dyDescent="0.25">
      <c r="A4590" s="2">
        <v>44505</v>
      </c>
      <c r="B4590" t="s">
        <v>38</v>
      </c>
      <c r="C4590">
        <v>-1999</v>
      </c>
      <c r="D4590" t="str">
        <f>VLOOKUP(B4590,Tabela_Auxiliar[],2,0)</f>
        <v>2. Deduções da Receita</v>
      </c>
      <c r="E4590" t="str">
        <f>VLOOKUP(B4590,Tabela_Auxiliar[],4,0)</f>
        <v>Deduções</v>
      </c>
      <c r="F4590" t="str">
        <f>VLOOKUP(B4590,Tabela_Auxiliar[],3,0)</f>
        <v>Saída</v>
      </c>
      <c r="G4590" t="str">
        <f>UPPER(TEXT(Tabela_DB[[#This Row],[DATA]],"mmm"))</f>
        <v>NOV</v>
      </c>
      <c r="H4590" t="str">
        <f>UPPER(TEXT(Tabela_DB[[#This Row],[DATA]],"aaaa"))</f>
        <v>2021</v>
      </c>
    </row>
    <row r="4591" spans="1:8" x14ac:dyDescent="0.25">
      <c r="A4591" s="2">
        <v>44506</v>
      </c>
      <c r="B4591" t="s">
        <v>3</v>
      </c>
      <c r="C4591">
        <v>14222</v>
      </c>
      <c r="D4591" t="str">
        <f>VLOOKUP(B4591,Tabela_Auxiliar[],2,0)</f>
        <v>1. Receita Operacional Bruta</v>
      </c>
      <c r="E4591" t="str">
        <f>VLOOKUP(B4591,Tabela_Auxiliar[],4,0)</f>
        <v>Receita Bruta</v>
      </c>
      <c r="F4591" t="str">
        <f>VLOOKUP(B4591,Tabela_Auxiliar[],3,0)</f>
        <v>Entrada</v>
      </c>
      <c r="G4591" t="str">
        <f>UPPER(TEXT(Tabela_DB[[#This Row],[DATA]],"mmm"))</f>
        <v>NOV</v>
      </c>
      <c r="H4591" t="str">
        <f>UPPER(TEXT(Tabela_DB[[#This Row],[DATA]],"aaaa"))</f>
        <v>2021</v>
      </c>
    </row>
    <row r="4592" spans="1:8" x14ac:dyDescent="0.25">
      <c r="A4592" s="2">
        <v>44506</v>
      </c>
      <c r="B4592" t="s">
        <v>88</v>
      </c>
      <c r="C4592">
        <v>-1106</v>
      </c>
      <c r="D4592" t="str">
        <f>VLOOKUP(B4592,Tabela_Auxiliar[],2,0)</f>
        <v>4. Despesas Operacionais</v>
      </c>
      <c r="E4592" t="str">
        <f>VLOOKUP(B4592,Tabela_Auxiliar[],4,0)</f>
        <v>Despesa Tributária</v>
      </c>
      <c r="F4592" t="str">
        <f>VLOOKUP(B4592,Tabela_Auxiliar[],3,0)</f>
        <v>Saída</v>
      </c>
      <c r="G4592" t="str">
        <f>UPPER(TEXT(Tabela_DB[[#This Row],[DATA]],"mmm"))</f>
        <v>NOV</v>
      </c>
      <c r="H4592" t="str">
        <f>UPPER(TEXT(Tabela_DB[[#This Row],[DATA]],"aaaa"))</f>
        <v>2021</v>
      </c>
    </row>
    <row r="4593" spans="1:8" x14ac:dyDescent="0.25">
      <c r="A4593" s="2">
        <v>44506</v>
      </c>
      <c r="B4593" t="s">
        <v>111</v>
      </c>
      <c r="C4593">
        <v>-2120</v>
      </c>
      <c r="D4593" t="str">
        <f>VLOOKUP(B4593,Tabela_Auxiliar[],2,0)</f>
        <v>2. Deduções da Receita</v>
      </c>
      <c r="E4593" t="str">
        <f>VLOOKUP(B4593,Tabela_Auxiliar[],4,0)</f>
        <v>Imposto</v>
      </c>
      <c r="F4593" t="str">
        <f>VLOOKUP(B4593,Tabela_Auxiliar[],3,0)</f>
        <v>Saída</v>
      </c>
      <c r="G4593" t="str">
        <f>UPPER(TEXT(Tabela_DB[[#This Row],[DATA]],"mmm"))</f>
        <v>NOV</v>
      </c>
      <c r="H4593" t="str">
        <f>UPPER(TEXT(Tabela_DB[[#This Row],[DATA]],"aaaa"))</f>
        <v>2021</v>
      </c>
    </row>
    <row r="4594" spans="1:8" x14ac:dyDescent="0.25">
      <c r="A4594" s="2">
        <v>44506</v>
      </c>
      <c r="B4594" t="s">
        <v>66</v>
      </c>
      <c r="C4594">
        <v>-2420</v>
      </c>
      <c r="D4594" t="str">
        <f>VLOOKUP(B4594,Tabela_Auxiliar[],2,0)</f>
        <v>4. Despesas Operacionais</v>
      </c>
      <c r="E4594" t="str">
        <f>VLOOKUP(B4594,Tabela_Auxiliar[],4,0)</f>
        <v>Despesa com Vendas</v>
      </c>
      <c r="F4594" t="str">
        <f>VLOOKUP(B4594,Tabela_Auxiliar[],3,0)</f>
        <v>Saída</v>
      </c>
      <c r="G4594" t="str">
        <f>UPPER(TEXT(Tabela_DB[[#This Row],[DATA]],"mmm"))</f>
        <v>NOV</v>
      </c>
      <c r="H4594" t="str">
        <f>UPPER(TEXT(Tabela_DB[[#This Row],[DATA]],"aaaa"))</f>
        <v>2021</v>
      </c>
    </row>
    <row r="4595" spans="1:8" x14ac:dyDescent="0.25">
      <c r="A4595" s="2">
        <v>44506</v>
      </c>
      <c r="B4595" t="s">
        <v>51</v>
      </c>
      <c r="C4595">
        <v>-1675</v>
      </c>
      <c r="D4595" t="str">
        <f>VLOOKUP(B4595,Tabela_Auxiliar[],2,0)</f>
        <v>4. Despesas Operacionais</v>
      </c>
      <c r="E4595" t="str">
        <f>VLOOKUP(B4595,Tabela_Auxiliar[],4,0)</f>
        <v>Despesa com Pessoal</v>
      </c>
      <c r="F4595" t="str">
        <f>VLOOKUP(B4595,Tabela_Auxiliar[],3,0)</f>
        <v>Saída</v>
      </c>
      <c r="G4595" t="str">
        <f>UPPER(TEXT(Tabela_DB[[#This Row],[DATA]],"mmm"))</f>
        <v>NOV</v>
      </c>
      <c r="H4595" t="str">
        <f>UPPER(TEXT(Tabela_DB[[#This Row],[DATA]],"aaaa"))</f>
        <v>2021</v>
      </c>
    </row>
    <row r="4596" spans="1:8" x14ac:dyDescent="0.25">
      <c r="A4596" s="2">
        <v>44507</v>
      </c>
      <c r="B4596" t="s">
        <v>84</v>
      </c>
      <c r="C4596">
        <v>-1410</v>
      </c>
      <c r="D4596" t="str">
        <f>VLOOKUP(B4596,Tabela_Auxiliar[],2,0)</f>
        <v>4. Despesas Operacionais</v>
      </c>
      <c r="E4596" t="str">
        <f>VLOOKUP(B4596,Tabela_Auxiliar[],4,0)</f>
        <v>Despesa com Veículos</v>
      </c>
      <c r="F4596" t="str">
        <f>VLOOKUP(B4596,Tabela_Auxiliar[],3,0)</f>
        <v>Saída</v>
      </c>
      <c r="G4596" t="str">
        <f>UPPER(TEXT(Tabela_DB[[#This Row],[DATA]],"mmm"))</f>
        <v>NOV</v>
      </c>
      <c r="H4596" t="str">
        <f>UPPER(TEXT(Tabela_DB[[#This Row],[DATA]],"aaaa"))</f>
        <v>2021</v>
      </c>
    </row>
    <row r="4597" spans="1:8" x14ac:dyDescent="0.25">
      <c r="A4597" s="2">
        <v>44507</v>
      </c>
      <c r="B4597" t="s">
        <v>4</v>
      </c>
      <c r="C4597">
        <v>13360</v>
      </c>
      <c r="D4597" t="str">
        <f>VLOOKUP(B4597,Tabela_Auxiliar[],2,0)</f>
        <v>1. Receita Operacional Bruta</v>
      </c>
      <c r="E4597" t="str">
        <f>VLOOKUP(B4597,Tabela_Auxiliar[],4,0)</f>
        <v>Receita Bruta</v>
      </c>
      <c r="F4597" t="str">
        <f>VLOOKUP(B4597,Tabela_Auxiliar[],3,0)</f>
        <v>Entrada</v>
      </c>
      <c r="G4597" t="str">
        <f>UPPER(TEXT(Tabela_DB[[#This Row],[DATA]],"mmm"))</f>
        <v>NOV</v>
      </c>
      <c r="H4597" t="str">
        <f>UPPER(TEXT(Tabela_DB[[#This Row],[DATA]],"aaaa"))</f>
        <v>2021</v>
      </c>
    </row>
    <row r="4598" spans="1:8" x14ac:dyDescent="0.25">
      <c r="A4598" s="2">
        <v>44507</v>
      </c>
      <c r="B4598" t="s">
        <v>47</v>
      </c>
      <c r="C4598">
        <v>-1601</v>
      </c>
      <c r="D4598" t="str">
        <f>VLOOKUP(B4598,Tabela_Auxiliar[],2,0)</f>
        <v>4. Despesas Operacionais</v>
      </c>
      <c r="E4598" t="str">
        <f>VLOOKUP(B4598,Tabela_Auxiliar[],4,0)</f>
        <v>Despesa com Pessoal</v>
      </c>
      <c r="F4598" t="str">
        <f>VLOOKUP(B4598,Tabela_Auxiliar[],3,0)</f>
        <v>Saída</v>
      </c>
      <c r="G4598" t="str">
        <f>UPPER(TEXT(Tabela_DB[[#This Row],[DATA]],"mmm"))</f>
        <v>NOV</v>
      </c>
      <c r="H4598" t="str">
        <f>UPPER(TEXT(Tabela_DB[[#This Row],[DATA]],"aaaa"))</f>
        <v>2021</v>
      </c>
    </row>
    <row r="4599" spans="1:8" x14ac:dyDescent="0.25">
      <c r="A4599" s="2">
        <v>44507</v>
      </c>
      <c r="B4599" t="s">
        <v>38</v>
      </c>
      <c r="C4599">
        <v>-2419</v>
      </c>
      <c r="D4599" t="str">
        <f>VLOOKUP(B4599,Tabela_Auxiliar[],2,0)</f>
        <v>2. Deduções da Receita</v>
      </c>
      <c r="E4599" t="str">
        <f>VLOOKUP(B4599,Tabela_Auxiliar[],4,0)</f>
        <v>Deduções</v>
      </c>
      <c r="F4599" t="str">
        <f>VLOOKUP(B4599,Tabela_Auxiliar[],3,0)</f>
        <v>Saída</v>
      </c>
      <c r="G4599" t="str">
        <f>UPPER(TEXT(Tabela_DB[[#This Row],[DATA]],"mmm"))</f>
        <v>NOV</v>
      </c>
      <c r="H4599" t="str">
        <f>UPPER(TEXT(Tabela_DB[[#This Row],[DATA]],"aaaa"))</f>
        <v>2021</v>
      </c>
    </row>
    <row r="4600" spans="1:8" x14ac:dyDescent="0.25">
      <c r="A4600" s="2">
        <v>44507</v>
      </c>
      <c r="B4600" t="s">
        <v>102</v>
      </c>
      <c r="C4600">
        <v>-2138</v>
      </c>
      <c r="D4600" t="str">
        <f>VLOOKUP(B4600,Tabela_Auxiliar[],2,0)</f>
        <v>6. Resultado após o Resultado Financeiro</v>
      </c>
      <c r="E4600" t="str">
        <f>VLOOKUP(B4600,Tabela_Auxiliar[],4,0)</f>
        <v>EBTIDA</v>
      </c>
      <c r="F4600" t="str">
        <f>VLOOKUP(B4600,Tabela_Auxiliar[],3,0)</f>
        <v>Saída</v>
      </c>
      <c r="G4600" t="str">
        <f>UPPER(TEXT(Tabela_DB[[#This Row],[DATA]],"mmm"))</f>
        <v>NOV</v>
      </c>
      <c r="H4600" t="str">
        <f>UPPER(TEXT(Tabela_DB[[#This Row],[DATA]],"aaaa"))</f>
        <v>2021</v>
      </c>
    </row>
    <row r="4601" spans="1:8" x14ac:dyDescent="0.25">
      <c r="A4601" s="2">
        <v>44507</v>
      </c>
      <c r="B4601" t="s">
        <v>5</v>
      </c>
      <c r="C4601">
        <v>-1800</v>
      </c>
      <c r="D4601" t="str">
        <f>VLOOKUP(B4601,Tabela_Auxiliar[],2,0)</f>
        <v>4. Despesas Operacionais</v>
      </c>
      <c r="E4601" t="str">
        <f>VLOOKUP(B4601,Tabela_Auxiliar[],4,0)</f>
        <v>Despesa com Pessoal</v>
      </c>
      <c r="F4601" t="str">
        <f>VLOOKUP(B4601,Tabela_Auxiliar[],3,0)</f>
        <v>Saída</v>
      </c>
      <c r="G4601" t="str">
        <f>UPPER(TEXT(Tabela_DB[[#This Row],[DATA]],"mmm"))</f>
        <v>NOV</v>
      </c>
      <c r="H4601" t="str">
        <f>UPPER(TEXT(Tabela_DB[[#This Row],[DATA]],"aaaa"))</f>
        <v>2021</v>
      </c>
    </row>
    <row r="4602" spans="1:8" x14ac:dyDescent="0.25">
      <c r="A4602" s="2">
        <v>44507</v>
      </c>
      <c r="B4602" t="s">
        <v>74</v>
      </c>
      <c r="C4602">
        <v>-1286</v>
      </c>
      <c r="D4602" t="str">
        <f>VLOOKUP(B4602,Tabela_Auxiliar[],2,0)</f>
        <v>4. Despesas Operacionais</v>
      </c>
      <c r="E4602" t="str">
        <f>VLOOKUP(B4602,Tabela_Auxiliar[],4,0)</f>
        <v>Serviços Contratados</v>
      </c>
      <c r="F4602" t="str">
        <f>VLOOKUP(B4602,Tabela_Auxiliar[],3,0)</f>
        <v>Saída</v>
      </c>
      <c r="G4602" t="str">
        <f>UPPER(TEXT(Tabela_DB[[#This Row],[DATA]],"mmm"))</f>
        <v>NOV</v>
      </c>
      <c r="H4602" t="str">
        <f>UPPER(TEXT(Tabela_DB[[#This Row],[DATA]],"aaaa"))</f>
        <v>2021</v>
      </c>
    </row>
    <row r="4603" spans="1:8" x14ac:dyDescent="0.25">
      <c r="A4603" s="2">
        <v>44507</v>
      </c>
      <c r="B4603" t="s">
        <v>55</v>
      </c>
      <c r="C4603">
        <v>-1435</v>
      </c>
      <c r="D4603" t="str">
        <f>VLOOKUP(B4603,Tabela_Auxiliar[],2,0)</f>
        <v>4. Despesas Operacionais</v>
      </c>
      <c r="E4603" t="str">
        <f>VLOOKUP(B4603,Tabela_Auxiliar[],4,0)</f>
        <v>Despesa com Pessoal</v>
      </c>
      <c r="F4603" t="str">
        <f>VLOOKUP(B4603,Tabela_Auxiliar[],3,0)</f>
        <v>Saída</v>
      </c>
      <c r="G4603" t="str">
        <f>UPPER(TEXT(Tabela_DB[[#This Row],[DATA]],"mmm"))</f>
        <v>NOV</v>
      </c>
      <c r="H4603" t="str">
        <f>UPPER(TEXT(Tabela_DB[[#This Row],[DATA]],"aaaa"))</f>
        <v>2021</v>
      </c>
    </row>
    <row r="4604" spans="1:8" x14ac:dyDescent="0.25">
      <c r="A4604" s="2">
        <v>44508</v>
      </c>
      <c r="B4604" t="s">
        <v>35</v>
      </c>
      <c r="C4604">
        <v>-1105</v>
      </c>
      <c r="D4604" t="str">
        <f>VLOOKUP(B4604,Tabela_Auxiliar[],2,0)</f>
        <v>2. Deduções da Receita</v>
      </c>
      <c r="E4604" t="str">
        <f>VLOOKUP(B4604,Tabela_Auxiliar[],4,0)</f>
        <v>Imposto</v>
      </c>
      <c r="F4604" t="str">
        <f>VLOOKUP(B4604,Tabela_Auxiliar[],3,0)</f>
        <v>Saída</v>
      </c>
      <c r="G4604" t="str">
        <f>UPPER(TEXT(Tabela_DB[[#This Row],[DATA]],"mmm"))</f>
        <v>NOV</v>
      </c>
      <c r="H4604" t="str">
        <f>UPPER(TEXT(Tabela_DB[[#This Row],[DATA]],"aaaa"))</f>
        <v>2021</v>
      </c>
    </row>
    <row r="4605" spans="1:8" x14ac:dyDescent="0.25">
      <c r="A4605" s="2">
        <v>44508</v>
      </c>
      <c r="B4605" t="s">
        <v>38</v>
      </c>
      <c r="C4605">
        <v>-1721</v>
      </c>
      <c r="D4605" t="str">
        <f>VLOOKUP(B4605,Tabela_Auxiliar[],2,0)</f>
        <v>2. Deduções da Receita</v>
      </c>
      <c r="E4605" t="str">
        <f>VLOOKUP(B4605,Tabela_Auxiliar[],4,0)</f>
        <v>Deduções</v>
      </c>
      <c r="F4605" t="str">
        <f>VLOOKUP(B4605,Tabela_Auxiliar[],3,0)</f>
        <v>Saída</v>
      </c>
      <c r="G4605" t="str">
        <f>UPPER(TEXT(Tabela_DB[[#This Row],[DATA]],"mmm"))</f>
        <v>NOV</v>
      </c>
      <c r="H4605" t="str">
        <f>UPPER(TEXT(Tabela_DB[[#This Row],[DATA]],"aaaa"))</f>
        <v>2021</v>
      </c>
    </row>
    <row r="4606" spans="1:8" x14ac:dyDescent="0.25">
      <c r="A4606" s="2">
        <v>44508</v>
      </c>
      <c r="B4606" t="s">
        <v>111</v>
      </c>
      <c r="C4606">
        <v>-2404</v>
      </c>
      <c r="D4606" t="str">
        <f>VLOOKUP(B4606,Tabela_Auxiliar[],2,0)</f>
        <v>2. Deduções da Receita</v>
      </c>
      <c r="E4606" t="str">
        <f>VLOOKUP(B4606,Tabela_Auxiliar[],4,0)</f>
        <v>Imposto</v>
      </c>
      <c r="F4606" t="str">
        <f>VLOOKUP(B4606,Tabela_Auxiliar[],3,0)</f>
        <v>Saída</v>
      </c>
      <c r="G4606" t="str">
        <f>UPPER(TEXT(Tabela_DB[[#This Row],[DATA]],"mmm"))</f>
        <v>NOV</v>
      </c>
      <c r="H4606" t="str">
        <f>UPPER(TEXT(Tabela_DB[[#This Row],[DATA]],"aaaa"))</f>
        <v>2021</v>
      </c>
    </row>
    <row r="4607" spans="1:8" x14ac:dyDescent="0.25">
      <c r="A4607" s="2">
        <v>44508</v>
      </c>
      <c r="B4607" t="s">
        <v>69</v>
      </c>
      <c r="C4607">
        <v>-2396</v>
      </c>
      <c r="D4607" t="str">
        <f>VLOOKUP(B4607,Tabela_Auxiliar[],2,0)</f>
        <v>4. Despesas Operacionais</v>
      </c>
      <c r="E4607" t="str">
        <f>VLOOKUP(B4607,Tabela_Auxiliar[],4,0)</f>
        <v>Despesa com Ocupação</v>
      </c>
      <c r="F4607" t="str">
        <f>VLOOKUP(B4607,Tabela_Auxiliar[],3,0)</f>
        <v>Saída</v>
      </c>
      <c r="G4607" t="str">
        <f>UPPER(TEXT(Tabela_DB[[#This Row],[DATA]],"mmm"))</f>
        <v>NOV</v>
      </c>
      <c r="H4607" t="str">
        <f>UPPER(TEXT(Tabela_DB[[#This Row],[DATA]],"aaaa"))</f>
        <v>2021</v>
      </c>
    </row>
    <row r="4608" spans="1:8" x14ac:dyDescent="0.25">
      <c r="A4608" s="2">
        <v>44508</v>
      </c>
      <c r="B4608" t="s">
        <v>89</v>
      </c>
      <c r="C4608">
        <v>-1475</v>
      </c>
      <c r="D4608" t="str">
        <f>VLOOKUP(B4608,Tabela_Auxiliar[],2,0)</f>
        <v>4. Despesas Operacionais</v>
      </c>
      <c r="E4608" t="str">
        <f>VLOOKUP(B4608,Tabela_Auxiliar[],4,0)</f>
        <v>Despesa Tributária</v>
      </c>
      <c r="F4608" t="str">
        <f>VLOOKUP(B4608,Tabela_Auxiliar[],3,0)</f>
        <v>Saída</v>
      </c>
      <c r="G4608" t="str">
        <f>UPPER(TEXT(Tabela_DB[[#This Row],[DATA]],"mmm"))</f>
        <v>NOV</v>
      </c>
      <c r="H4608" t="str">
        <f>UPPER(TEXT(Tabela_DB[[#This Row],[DATA]],"aaaa"))</f>
        <v>2021</v>
      </c>
    </row>
    <row r="4609" spans="1:8" x14ac:dyDescent="0.25">
      <c r="A4609" s="2">
        <v>44508</v>
      </c>
      <c r="B4609" t="s">
        <v>66</v>
      </c>
      <c r="C4609">
        <v>-2236</v>
      </c>
      <c r="D4609" t="str">
        <f>VLOOKUP(B4609,Tabela_Auxiliar[],2,0)</f>
        <v>4. Despesas Operacionais</v>
      </c>
      <c r="E4609" t="str">
        <f>VLOOKUP(B4609,Tabela_Auxiliar[],4,0)</f>
        <v>Despesa com Vendas</v>
      </c>
      <c r="F4609" t="str">
        <f>VLOOKUP(B4609,Tabela_Auxiliar[],3,0)</f>
        <v>Saída</v>
      </c>
      <c r="G4609" t="str">
        <f>UPPER(TEXT(Tabela_DB[[#This Row],[DATA]],"mmm"))</f>
        <v>NOV</v>
      </c>
      <c r="H4609" t="str">
        <f>UPPER(TEXT(Tabela_DB[[#This Row],[DATA]],"aaaa"))</f>
        <v>2021</v>
      </c>
    </row>
    <row r="4610" spans="1:8" x14ac:dyDescent="0.25">
      <c r="A4610" s="2">
        <v>44508</v>
      </c>
      <c r="B4610" t="s">
        <v>4</v>
      </c>
      <c r="C4610">
        <v>13657</v>
      </c>
      <c r="D4610" t="str">
        <f>VLOOKUP(B4610,Tabela_Auxiliar[],2,0)</f>
        <v>1. Receita Operacional Bruta</v>
      </c>
      <c r="E4610" t="str">
        <f>VLOOKUP(B4610,Tabela_Auxiliar[],4,0)</f>
        <v>Receita Bruta</v>
      </c>
      <c r="F4610" t="str">
        <f>VLOOKUP(B4610,Tabela_Auxiliar[],3,0)</f>
        <v>Entrada</v>
      </c>
      <c r="G4610" t="str">
        <f>UPPER(TEXT(Tabela_DB[[#This Row],[DATA]],"mmm"))</f>
        <v>NOV</v>
      </c>
      <c r="H4610" t="str">
        <f>UPPER(TEXT(Tabela_DB[[#This Row],[DATA]],"aaaa"))</f>
        <v>2021</v>
      </c>
    </row>
    <row r="4611" spans="1:8" x14ac:dyDescent="0.25">
      <c r="A4611" s="2">
        <v>44509</v>
      </c>
      <c r="B4611" t="s">
        <v>4</v>
      </c>
      <c r="C4611">
        <v>10132</v>
      </c>
      <c r="D4611" t="str">
        <f>VLOOKUP(B4611,Tabela_Auxiliar[],2,0)</f>
        <v>1. Receita Operacional Bruta</v>
      </c>
      <c r="E4611" t="str">
        <f>VLOOKUP(B4611,Tabela_Auxiliar[],4,0)</f>
        <v>Receita Bruta</v>
      </c>
      <c r="F4611" t="str">
        <f>VLOOKUP(B4611,Tabela_Auxiliar[],3,0)</f>
        <v>Entrada</v>
      </c>
      <c r="G4611" t="str">
        <f>UPPER(TEXT(Tabela_DB[[#This Row],[DATA]],"mmm"))</f>
        <v>NOV</v>
      </c>
      <c r="H4611" t="str">
        <f>UPPER(TEXT(Tabela_DB[[#This Row],[DATA]],"aaaa"))</f>
        <v>2021</v>
      </c>
    </row>
    <row r="4612" spans="1:8" x14ac:dyDescent="0.25">
      <c r="A4612" s="2">
        <v>44509</v>
      </c>
      <c r="B4612" t="s">
        <v>35</v>
      </c>
      <c r="C4612">
        <v>-2248</v>
      </c>
      <c r="D4612" t="str">
        <f>VLOOKUP(B4612,Tabela_Auxiliar[],2,0)</f>
        <v>2. Deduções da Receita</v>
      </c>
      <c r="E4612" t="str">
        <f>VLOOKUP(B4612,Tabela_Auxiliar[],4,0)</f>
        <v>Imposto</v>
      </c>
      <c r="F4612" t="str">
        <f>VLOOKUP(B4612,Tabela_Auxiliar[],3,0)</f>
        <v>Saída</v>
      </c>
      <c r="G4612" t="str">
        <f>UPPER(TEXT(Tabela_DB[[#This Row],[DATA]],"mmm"))</f>
        <v>NOV</v>
      </c>
      <c r="H4612" t="str">
        <f>UPPER(TEXT(Tabela_DB[[#This Row],[DATA]],"aaaa"))</f>
        <v>2021</v>
      </c>
    </row>
    <row r="4613" spans="1:8" x14ac:dyDescent="0.25">
      <c r="A4613" s="2">
        <v>44509</v>
      </c>
      <c r="B4613" t="s">
        <v>111</v>
      </c>
      <c r="C4613">
        <v>-1500</v>
      </c>
      <c r="D4613" t="str">
        <f>VLOOKUP(B4613,Tabela_Auxiliar[],2,0)</f>
        <v>2. Deduções da Receita</v>
      </c>
      <c r="E4613" t="str">
        <f>VLOOKUP(B4613,Tabela_Auxiliar[],4,0)</f>
        <v>Imposto</v>
      </c>
      <c r="F4613" t="str">
        <f>VLOOKUP(B4613,Tabela_Auxiliar[],3,0)</f>
        <v>Saída</v>
      </c>
      <c r="G4613" t="str">
        <f>UPPER(TEXT(Tabela_DB[[#This Row],[DATA]],"mmm"))</f>
        <v>NOV</v>
      </c>
      <c r="H4613" t="str">
        <f>UPPER(TEXT(Tabela_DB[[#This Row],[DATA]],"aaaa"))</f>
        <v>2021</v>
      </c>
    </row>
    <row r="4614" spans="1:8" x14ac:dyDescent="0.25">
      <c r="A4614" s="2">
        <v>44509</v>
      </c>
      <c r="B4614" t="s">
        <v>46</v>
      </c>
      <c r="C4614">
        <v>-1820</v>
      </c>
      <c r="D4614" t="str">
        <f>VLOOKUP(B4614,Tabela_Auxiliar[],2,0)</f>
        <v>4. Despesas Operacionais</v>
      </c>
      <c r="E4614" t="str">
        <f>VLOOKUP(B4614,Tabela_Auxiliar[],4,0)</f>
        <v>Despesa com Pessoal</v>
      </c>
      <c r="F4614" t="str">
        <f>VLOOKUP(B4614,Tabela_Auxiliar[],3,0)</f>
        <v>Saída</v>
      </c>
      <c r="G4614" t="str">
        <f>UPPER(TEXT(Tabela_DB[[#This Row],[DATA]],"mmm"))</f>
        <v>NOV</v>
      </c>
      <c r="H4614" t="str">
        <f>UPPER(TEXT(Tabela_DB[[#This Row],[DATA]],"aaaa"))</f>
        <v>2021</v>
      </c>
    </row>
    <row r="4615" spans="1:8" x14ac:dyDescent="0.25">
      <c r="A4615" s="2">
        <v>44509</v>
      </c>
      <c r="B4615" t="s">
        <v>3</v>
      </c>
      <c r="C4615">
        <v>11499</v>
      </c>
      <c r="D4615" t="str">
        <f>VLOOKUP(B4615,Tabela_Auxiliar[],2,0)</f>
        <v>1. Receita Operacional Bruta</v>
      </c>
      <c r="E4615" t="str">
        <f>VLOOKUP(B4615,Tabela_Auxiliar[],4,0)</f>
        <v>Receita Bruta</v>
      </c>
      <c r="F4615" t="str">
        <f>VLOOKUP(B4615,Tabela_Auxiliar[],3,0)</f>
        <v>Entrada</v>
      </c>
      <c r="G4615" t="str">
        <f>UPPER(TEXT(Tabela_DB[[#This Row],[DATA]],"mmm"))</f>
        <v>NOV</v>
      </c>
      <c r="H4615" t="str">
        <f>UPPER(TEXT(Tabela_DB[[#This Row],[DATA]],"aaaa"))</f>
        <v>2021</v>
      </c>
    </row>
    <row r="4616" spans="1:8" x14ac:dyDescent="0.25">
      <c r="A4616" s="2">
        <v>44509</v>
      </c>
      <c r="B4616" t="s">
        <v>37</v>
      </c>
      <c r="C4616">
        <v>-3966</v>
      </c>
      <c r="D4616" t="str">
        <f>VLOOKUP(B4616,Tabela_Auxiliar[],2,0)</f>
        <v>3. Custos do Produto/Mercadoria/Serviço</v>
      </c>
      <c r="E4616" t="str">
        <f>VLOOKUP(B4616,Tabela_Auxiliar[],4,0)</f>
        <v>Despesas c/ Produto</v>
      </c>
      <c r="F4616" t="str">
        <f>VLOOKUP(B4616,Tabela_Auxiliar[],3,0)</f>
        <v>Saída</v>
      </c>
      <c r="G4616" t="str">
        <f>UPPER(TEXT(Tabela_DB[[#This Row],[DATA]],"mmm"))</f>
        <v>NOV</v>
      </c>
      <c r="H4616" t="str">
        <f>UPPER(TEXT(Tabela_DB[[#This Row],[DATA]],"aaaa"))</f>
        <v>2021</v>
      </c>
    </row>
    <row r="4617" spans="1:8" x14ac:dyDescent="0.25">
      <c r="A4617" s="2">
        <v>44509</v>
      </c>
      <c r="B4617" t="s">
        <v>37</v>
      </c>
      <c r="C4617">
        <v>-4966</v>
      </c>
      <c r="D4617" t="str">
        <f>VLOOKUP(B4617,Tabela_Auxiliar[],2,0)</f>
        <v>3. Custos do Produto/Mercadoria/Serviço</v>
      </c>
      <c r="E4617" t="str">
        <f>VLOOKUP(B4617,Tabela_Auxiliar[],4,0)</f>
        <v>Despesas c/ Produto</v>
      </c>
      <c r="F4617" t="str">
        <f>VLOOKUP(B4617,Tabela_Auxiliar[],3,0)</f>
        <v>Saída</v>
      </c>
      <c r="G4617" t="str">
        <f>UPPER(TEXT(Tabela_DB[[#This Row],[DATA]],"mmm"))</f>
        <v>NOV</v>
      </c>
      <c r="H4617" t="str">
        <f>UPPER(TEXT(Tabela_DB[[#This Row],[DATA]],"aaaa"))</f>
        <v>2021</v>
      </c>
    </row>
    <row r="4618" spans="1:8" x14ac:dyDescent="0.25">
      <c r="A4618" s="2">
        <v>44509</v>
      </c>
      <c r="B4618" t="s">
        <v>37</v>
      </c>
      <c r="C4618">
        <v>-2956</v>
      </c>
      <c r="D4618" t="str">
        <f>VLOOKUP(B4618,Tabela_Auxiliar[],2,0)</f>
        <v>3. Custos do Produto/Mercadoria/Serviço</v>
      </c>
      <c r="E4618" t="str">
        <f>VLOOKUP(B4618,Tabela_Auxiliar[],4,0)</f>
        <v>Despesas c/ Produto</v>
      </c>
      <c r="F4618" t="str">
        <f>VLOOKUP(B4618,Tabela_Auxiliar[],3,0)</f>
        <v>Saída</v>
      </c>
      <c r="G4618" t="str">
        <f>UPPER(TEXT(Tabela_DB[[#This Row],[DATA]],"mmm"))</f>
        <v>NOV</v>
      </c>
      <c r="H4618" t="str">
        <f>UPPER(TEXT(Tabela_DB[[#This Row],[DATA]],"aaaa"))</f>
        <v>2021</v>
      </c>
    </row>
    <row r="4619" spans="1:8" x14ac:dyDescent="0.25">
      <c r="A4619" s="2">
        <v>44510</v>
      </c>
      <c r="B4619" t="s">
        <v>111</v>
      </c>
      <c r="C4619">
        <v>-1853</v>
      </c>
      <c r="D4619" t="str">
        <f>VLOOKUP(B4619,Tabela_Auxiliar[],2,0)</f>
        <v>2. Deduções da Receita</v>
      </c>
      <c r="E4619" t="str">
        <f>VLOOKUP(B4619,Tabela_Auxiliar[],4,0)</f>
        <v>Imposto</v>
      </c>
      <c r="F4619" t="str">
        <f>VLOOKUP(B4619,Tabela_Auxiliar[],3,0)</f>
        <v>Saída</v>
      </c>
      <c r="G4619" t="str">
        <f>UPPER(TEXT(Tabela_DB[[#This Row],[DATA]],"mmm"))</f>
        <v>NOV</v>
      </c>
      <c r="H4619" t="str">
        <f>UPPER(TEXT(Tabela_DB[[#This Row],[DATA]],"aaaa"))</f>
        <v>2021</v>
      </c>
    </row>
    <row r="4620" spans="1:8" x14ac:dyDescent="0.25">
      <c r="A4620" s="2">
        <v>44510</v>
      </c>
      <c r="B4620" t="s">
        <v>34</v>
      </c>
      <c r="C4620">
        <v>-2078</v>
      </c>
      <c r="D4620" t="str">
        <f>VLOOKUP(B4620,Tabela_Auxiliar[],2,0)</f>
        <v>2. Deduções da Receita</v>
      </c>
      <c r="E4620" t="str">
        <f>VLOOKUP(B4620,Tabela_Auxiliar[],4,0)</f>
        <v>Imposto</v>
      </c>
      <c r="F4620" t="str">
        <f>VLOOKUP(B4620,Tabela_Auxiliar[],3,0)</f>
        <v>Saída</v>
      </c>
      <c r="G4620" t="str">
        <f>UPPER(TEXT(Tabela_DB[[#This Row],[DATA]],"mmm"))</f>
        <v>NOV</v>
      </c>
      <c r="H4620" t="str">
        <f>UPPER(TEXT(Tabela_DB[[#This Row],[DATA]],"aaaa"))</f>
        <v>2021</v>
      </c>
    </row>
    <row r="4621" spans="1:8" x14ac:dyDescent="0.25">
      <c r="A4621" s="2">
        <v>44510</v>
      </c>
      <c r="B4621" t="s">
        <v>38</v>
      </c>
      <c r="C4621">
        <v>-1494</v>
      </c>
      <c r="D4621" t="str">
        <f>VLOOKUP(B4621,Tabela_Auxiliar[],2,0)</f>
        <v>2. Deduções da Receita</v>
      </c>
      <c r="E4621" t="str">
        <f>VLOOKUP(B4621,Tabela_Auxiliar[],4,0)</f>
        <v>Deduções</v>
      </c>
      <c r="F4621" t="str">
        <f>VLOOKUP(B4621,Tabela_Auxiliar[],3,0)</f>
        <v>Saída</v>
      </c>
      <c r="G4621" t="str">
        <f>UPPER(TEXT(Tabela_DB[[#This Row],[DATA]],"mmm"))</f>
        <v>NOV</v>
      </c>
      <c r="H4621" t="str">
        <f>UPPER(TEXT(Tabela_DB[[#This Row],[DATA]],"aaaa"))</f>
        <v>2021</v>
      </c>
    </row>
    <row r="4622" spans="1:8" x14ac:dyDescent="0.25">
      <c r="A4622" s="2">
        <v>44510</v>
      </c>
      <c r="B4622" t="s">
        <v>4</v>
      </c>
      <c r="C4622">
        <v>11620</v>
      </c>
      <c r="D4622" t="str">
        <f>VLOOKUP(B4622,Tabela_Auxiliar[],2,0)</f>
        <v>1. Receita Operacional Bruta</v>
      </c>
      <c r="E4622" t="str">
        <f>VLOOKUP(B4622,Tabela_Auxiliar[],4,0)</f>
        <v>Receita Bruta</v>
      </c>
      <c r="F4622" t="str">
        <f>VLOOKUP(B4622,Tabela_Auxiliar[],3,0)</f>
        <v>Entrada</v>
      </c>
      <c r="G4622" t="str">
        <f>UPPER(TEXT(Tabela_DB[[#This Row],[DATA]],"mmm"))</f>
        <v>NOV</v>
      </c>
      <c r="H4622" t="str">
        <f>UPPER(TEXT(Tabela_DB[[#This Row],[DATA]],"aaaa"))</f>
        <v>2021</v>
      </c>
    </row>
    <row r="4623" spans="1:8" x14ac:dyDescent="0.25">
      <c r="A4623" s="2">
        <v>44510</v>
      </c>
      <c r="B4623" t="s">
        <v>55</v>
      </c>
      <c r="C4623">
        <v>-1593</v>
      </c>
      <c r="D4623" t="str">
        <f>VLOOKUP(B4623,Tabela_Auxiliar[],2,0)</f>
        <v>4. Despesas Operacionais</v>
      </c>
      <c r="E4623" t="str">
        <f>VLOOKUP(B4623,Tabela_Auxiliar[],4,0)</f>
        <v>Despesa com Pessoal</v>
      </c>
      <c r="F4623" t="str">
        <f>VLOOKUP(B4623,Tabela_Auxiliar[],3,0)</f>
        <v>Saída</v>
      </c>
      <c r="G4623" t="str">
        <f>UPPER(TEXT(Tabela_DB[[#This Row],[DATA]],"mmm"))</f>
        <v>NOV</v>
      </c>
      <c r="H4623" t="str">
        <f>UPPER(TEXT(Tabela_DB[[#This Row],[DATA]],"aaaa"))</f>
        <v>2021</v>
      </c>
    </row>
    <row r="4624" spans="1:8" x14ac:dyDescent="0.25">
      <c r="A4624" s="2">
        <v>44510</v>
      </c>
      <c r="B4624" t="s">
        <v>62</v>
      </c>
      <c r="C4624">
        <v>-1510</v>
      </c>
      <c r="D4624" t="str">
        <f>VLOOKUP(B4624,Tabela_Auxiliar[],2,0)</f>
        <v>4. Despesas Operacionais</v>
      </c>
      <c r="E4624" t="str">
        <f>VLOOKUP(B4624,Tabela_Auxiliar[],4,0)</f>
        <v>Despesa Gerais</v>
      </c>
      <c r="F4624" t="str">
        <f>VLOOKUP(B4624,Tabela_Auxiliar[],3,0)</f>
        <v>Saída</v>
      </c>
      <c r="G4624" t="str">
        <f>UPPER(TEXT(Tabela_DB[[#This Row],[DATA]],"mmm"))</f>
        <v>NOV</v>
      </c>
      <c r="H4624" t="str">
        <f>UPPER(TEXT(Tabela_DB[[#This Row],[DATA]],"aaaa"))</f>
        <v>2021</v>
      </c>
    </row>
    <row r="4625" spans="1:8" x14ac:dyDescent="0.25">
      <c r="A4625" s="2">
        <v>44510</v>
      </c>
      <c r="B4625" t="s">
        <v>37</v>
      </c>
      <c r="C4625">
        <v>-2896</v>
      </c>
      <c r="D4625" t="str">
        <f>VLOOKUP(B4625,Tabela_Auxiliar[],2,0)</f>
        <v>3. Custos do Produto/Mercadoria/Serviço</v>
      </c>
      <c r="E4625" t="str">
        <f>VLOOKUP(B4625,Tabela_Auxiliar[],4,0)</f>
        <v>Despesas c/ Produto</v>
      </c>
      <c r="F4625" t="str">
        <f>VLOOKUP(B4625,Tabela_Auxiliar[],3,0)</f>
        <v>Saída</v>
      </c>
      <c r="G4625" t="str">
        <f>UPPER(TEXT(Tabela_DB[[#This Row],[DATA]],"mmm"))</f>
        <v>NOV</v>
      </c>
      <c r="H4625" t="str">
        <f>UPPER(TEXT(Tabela_DB[[#This Row],[DATA]],"aaaa"))</f>
        <v>2021</v>
      </c>
    </row>
    <row r="4626" spans="1:8" x14ac:dyDescent="0.25">
      <c r="A4626" s="2">
        <v>44510</v>
      </c>
      <c r="B4626" t="s">
        <v>111</v>
      </c>
      <c r="C4626">
        <v>-1635</v>
      </c>
      <c r="D4626" t="str">
        <f>VLOOKUP(B4626,Tabela_Auxiliar[],2,0)</f>
        <v>2. Deduções da Receita</v>
      </c>
      <c r="E4626" t="str">
        <f>VLOOKUP(B4626,Tabela_Auxiliar[],4,0)</f>
        <v>Imposto</v>
      </c>
      <c r="F4626" t="str">
        <f>VLOOKUP(B4626,Tabela_Auxiliar[],3,0)</f>
        <v>Saída</v>
      </c>
      <c r="G4626" t="str">
        <f>UPPER(TEXT(Tabela_DB[[#This Row],[DATA]],"mmm"))</f>
        <v>NOV</v>
      </c>
      <c r="H4626" t="str">
        <f>UPPER(TEXT(Tabela_DB[[#This Row],[DATA]],"aaaa"))</f>
        <v>2021</v>
      </c>
    </row>
    <row r="4627" spans="1:8" x14ac:dyDescent="0.25">
      <c r="A4627" s="2">
        <v>44510</v>
      </c>
      <c r="B4627" t="s">
        <v>3</v>
      </c>
      <c r="C4627">
        <v>10559</v>
      </c>
      <c r="D4627" t="str">
        <f>VLOOKUP(B4627,Tabela_Auxiliar[],2,0)</f>
        <v>1. Receita Operacional Bruta</v>
      </c>
      <c r="E4627" t="str">
        <f>VLOOKUP(B4627,Tabela_Auxiliar[],4,0)</f>
        <v>Receita Bruta</v>
      </c>
      <c r="F4627" t="str">
        <f>VLOOKUP(B4627,Tabela_Auxiliar[],3,0)</f>
        <v>Entrada</v>
      </c>
      <c r="G4627" t="str">
        <f>UPPER(TEXT(Tabela_DB[[#This Row],[DATA]],"mmm"))</f>
        <v>NOV</v>
      </c>
      <c r="H4627" t="str">
        <f>UPPER(TEXT(Tabela_DB[[#This Row],[DATA]],"aaaa"))</f>
        <v>2021</v>
      </c>
    </row>
    <row r="4628" spans="1:8" x14ac:dyDescent="0.25">
      <c r="A4628" s="2">
        <v>44510</v>
      </c>
      <c r="B4628" t="s">
        <v>85</v>
      </c>
      <c r="C4628">
        <v>-1725</v>
      </c>
      <c r="D4628" t="str">
        <f>VLOOKUP(B4628,Tabela_Auxiliar[],2,0)</f>
        <v>4. Despesas Operacionais</v>
      </c>
      <c r="E4628" t="str">
        <f>VLOOKUP(B4628,Tabela_Auxiliar[],4,0)</f>
        <v>Despesa com Veículos</v>
      </c>
      <c r="F4628" t="str">
        <f>VLOOKUP(B4628,Tabela_Auxiliar[],3,0)</f>
        <v>Saída</v>
      </c>
      <c r="G4628" t="str">
        <f>UPPER(TEXT(Tabela_DB[[#This Row],[DATA]],"mmm"))</f>
        <v>NOV</v>
      </c>
      <c r="H4628" t="str">
        <f>UPPER(TEXT(Tabela_DB[[#This Row],[DATA]],"aaaa"))</f>
        <v>2021</v>
      </c>
    </row>
    <row r="4629" spans="1:8" x14ac:dyDescent="0.25">
      <c r="A4629" s="2">
        <v>44510</v>
      </c>
      <c r="B4629" t="s">
        <v>38</v>
      </c>
      <c r="C4629">
        <v>-1214</v>
      </c>
      <c r="D4629" t="str">
        <f>VLOOKUP(B4629,Tabela_Auxiliar[],2,0)</f>
        <v>2. Deduções da Receita</v>
      </c>
      <c r="E4629" t="str">
        <f>VLOOKUP(B4629,Tabela_Auxiliar[],4,0)</f>
        <v>Deduções</v>
      </c>
      <c r="F4629" t="str">
        <f>VLOOKUP(B4629,Tabela_Auxiliar[],3,0)</f>
        <v>Saída</v>
      </c>
      <c r="G4629" t="str">
        <f>UPPER(TEXT(Tabela_DB[[#This Row],[DATA]],"mmm"))</f>
        <v>NOV</v>
      </c>
      <c r="H4629" t="str">
        <f>UPPER(TEXT(Tabela_DB[[#This Row],[DATA]],"aaaa"))</f>
        <v>2021</v>
      </c>
    </row>
    <row r="4630" spans="1:8" x14ac:dyDescent="0.25">
      <c r="A4630" s="2">
        <v>44510</v>
      </c>
      <c r="B4630" t="s">
        <v>111</v>
      </c>
      <c r="C4630">
        <v>-1901</v>
      </c>
      <c r="D4630" t="str">
        <f>VLOOKUP(B4630,Tabela_Auxiliar[],2,0)</f>
        <v>2. Deduções da Receita</v>
      </c>
      <c r="E4630" t="str">
        <f>VLOOKUP(B4630,Tabela_Auxiliar[],4,0)</f>
        <v>Imposto</v>
      </c>
      <c r="F4630" t="str">
        <f>VLOOKUP(B4630,Tabela_Auxiliar[],3,0)</f>
        <v>Saída</v>
      </c>
      <c r="G4630" t="str">
        <f>UPPER(TEXT(Tabela_DB[[#This Row],[DATA]],"mmm"))</f>
        <v>NOV</v>
      </c>
      <c r="H4630" t="str">
        <f>UPPER(TEXT(Tabela_DB[[#This Row],[DATA]],"aaaa"))</f>
        <v>2021</v>
      </c>
    </row>
    <row r="4631" spans="1:8" x14ac:dyDescent="0.25">
      <c r="A4631" s="2">
        <v>44511</v>
      </c>
      <c r="B4631" t="s">
        <v>3</v>
      </c>
      <c r="C4631">
        <v>12717</v>
      </c>
      <c r="D4631" t="str">
        <f>VLOOKUP(B4631,Tabela_Auxiliar[],2,0)</f>
        <v>1. Receita Operacional Bruta</v>
      </c>
      <c r="E4631" t="str">
        <f>VLOOKUP(B4631,Tabela_Auxiliar[],4,0)</f>
        <v>Receita Bruta</v>
      </c>
      <c r="F4631" t="str">
        <f>VLOOKUP(B4631,Tabela_Auxiliar[],3,0)</f>
        <v>Entrada</v>
      </c>
      <c r="G4631" t="str">
        <f>UPPER(TEXT(Tabela_DB[[#This Row],[DATA]],"mmm"))</f>
        <v>NOV</v>
      </c>
      <c r="H4631" t="str">
        <f>UPPER(TEXT(Tabela_DB[[#This Row],[DATA]],"aaaa"))</f>
        <v>2021</v>
      </c>
    </row>
    <row r="4632" spans="1:8" x14ac:dyDescent="0.25">
      <c r="A4632" s="2">
        <v>44511</v>
      </c>
      <c r="B4632" t="s">
        <v>35</v>
      </c>
      <c r="C4632">
        <v>-1445</v>
      </c>
      <c r="D4632" t="str">
        <f>VLOOKUP(B4632,Tabela_Auxiliar[],2,0)</f>
        <v>2. Deduções da Receita</v>
      </c>
      <c r="E4632" t="str">
        <f>VLOOKUP(B4632,Tabela_Auxiliar[],4,0)</f>
        <v>Imposto</v>
      </c>
      <c r="F4632" t="str">
        <f>VLOOKUP(B4632,Tabela_Auxiliar[],3,0)</f>
        <v>Saída</v>
      </c>
      <c r="G4632" t="str">
        <f>UPPER(TEXT(Tabela_DB[[#This Row],[DATA]],"mmm"))</f>
        <v>NOV</v>
      </c>
      <c r="H4632" t="str">
        <f>UPPER(TEXT(Tabela_DB[[#This Row],[DATA]],"aaaa"))</f>
        <v>2021</v>
      </c>
    </row>
    <row r="4633" spans="1:8" x14ac:dyDescent="0.25">
      <c r="A4633" s="2">
        <v>44511</v>
      </c>
      <c r="B4633" t="s">
        <v>38</v>
      </c>
      <c r="C4633">
        <v>-1706</v>
      </c>
      <c r="D4633" t="str">
        <f>VLOOKUP(B4633,Tabela_Auxiliar[],2,0)</f>
        <v>2. Deduções da Receita</v>
      </c>
      <c r="E4633" t="str">
        <f>VLOOKUP(B4633,Tabela_Auxiliar[],4,0)</f>
        <v>Deduções</v>
      </c>
      <c r="F4633" t="str">
        <f>VLOOKUP(B4633,Tabela_Auxiliar[],3,0)</f>
        <v>Saída</v>
      </c>
      <c r="G4633" t="str">
        <f>UPPER(TEXT(Tabela_DB[[#This Row],[DATA]],"mmm"))</f>
        <v>NOV</v>
      </c>
      <c r="H4633" t="str">
        <f>UPPER(TEXT(Tabela_DB[[#This Row],[DATA]],"aaaa"))</f>
        <v>2021</v>
      </c>
    </row>
    <row r="4634" spans="1:8" x14ac:dyDescent="0.25">
      <c r="A4634" s="2">
        <v>44511</v>
      </c>
      <c r="B4634" t="s">
        <v>34</v>
      </c>
      <c r="C4634">
        <v>-1515</v>
      </c>
      <c r="D4634" t="str">
        <f>VLOOKUP(B4634,Tabela_Auxiliar[],2,0)</f>
        <v>2. Deduções da Receita</v>
      </c>
      <c r="E4634" t="str">
        <f>VLOOKUP(B4634,Tabela_Auxiliar[],4,0)</f>
        <v>Imposto</v>
      </c>
      <c r="F4634" t="str">
        <f>VLOOKUP(B4634,Tabela_Auxiliar[],3,0)</f>
        <v>Saída</v>
      </c>
      <c r="G4634" t="str">
        <f>UPPER(TEXT(Tabela_DB[[#This Row],[DATA]],"mmm"))</f>
        <v>NOV</v>
      </c>
      <c r="H4634" t="str">
        <f>UPPER(TEXT(Tabela_DB[[#This Row],[DATA]],"aaaa"))</f>
        <v>2021</v>
      </c>
    </row>
    <row r="4635" spans="1:8" x14ac:dyDescent="0.25">
      <c r="A4635" s="2">
        <v>44511</v>
      </c>
      <c r="B4635" t="s">
        <v>37</v>
      </c>
      <c r="C4635">
        <v>-4422</v>
      </c>
      <c r="D4635" t="str">
        <f>VLOOKUP(B4635,Tabela_Auxiliar[],2,0)</f>
        <v>3. Custos do Produto/Mercadoria/Serviço</v>
      </c>
      <c r="E4635" t="str">
        <f>VLOOKUP(B4635,Tabela_Auxiliar[],4,0)</f>
        <v>Despesas c/ Produto</v>
      </c>
      <c r="F4635" t="str">
        <f>VLOOKUP(B4635,Tabela_Auxiliar[],3,0)</f>
        <v>Saída</v>
      </c>
      <c r="G4635" t="str">
        <f>UPPER(TEXT(Tabela_DB[[#This Row],[DATA]],"mmm"))</f>
        <v>NOV</v>
      </c>
      <c r="H4635" t="str">
        <f>UPPER(TEXT(Tabela_DB[[#This Row],[DATA]],"aaaa"))</f>
        <v>2021</v>
      </c>
    </row>
    <row r="4636" spans="1:8" x14ac:dyDescent="0.25">
      <c r="A4636" s="2">
        <v>44511</v>
      </c>
      <c r="B4636" t="s">
        <v>4</v>
      </c>
      <c r="C4636">
        <v>12213</v>
      </c>
      <c r="D4636" t="str">
        <f>VLOOKUP(B4636,Tabela_Auxiliar[],2,0)</f>
        <v>1. Receita Operacional Bruta</v>
      </c>
      <c r="E4636" t="str">
        <f>VLOOKUP(B4636,Tabela_Auxiliar[],4,0)</f>
        <v>Receita Bruta</v>
      </c>
      <c r="F4636" t="str">
        <f>VLOOKUP(B4636,Tabela_Auxiliar[],3,0)</f>
        <v>Entrada</v>
      </c>
      <c r="G4636" t="str">
        <f>UPPER(TEXT(Tabela_DB[[#This Row],[DATA]],"mmm"))</f>
        <v>NOV</v>
      </c>
      <c r="H4636" t="str">
        <f>UPPER(TEXT(Tabela_DB[[#This Row],[DATA]],"aaaa"))</f>
        <v>2021</v>
      </c>
    </row>
    <row r="4637" spans="1:8" x14ac:dyDescent="0.25">
      <c r="A4637" s="2">
        <v>44511</v>
      </c>
      <c r="B4637" t="s">
        <v>35</v>
      </c>
      <c r="C4637">
        <v>-2255</v>
      </c>
      <c r="D4637" t="str">
        <f>VLOOKUP(B4637,Tabela_Auxiliar[],2,0)</f>
        <v>2. Deduções da Receita</v>
      </c>
      <c r="E4637" t="str">
        <f>VLOOKUP(B4637,Tabela_Auxiliar[],4,0)</f>
        <v>Imposto</v>
      </c>
      <c r="F4637" t="str">
        <f>VLOOKUP(B4637,Tabela_Auxiliar[],3,0)</f>
        <v>Saída</v>
      </c>
      <c r="G4637" t="str">
        <f>UPPER(TEXT(Tabela_DB[[#This Row],[DATA]],"mmm"))</f>
        <v>NOV</v>
      </c>
      <c r="H4637" t="str">
        <f>UPPER(TEXT(Tabela_DB[[#This Row],[DATA]],"aaaa"))</f>
        <v>2021</v>
      </c>
    </row>
    <row r="4638" spans="1:8" x14ac:dyDescent="0.25">
      <c r="A4638" s="2">
        <v>44511</v>
      </c>
      <c r="B4638" t="s">
        <v>34</v>
      </c>
      <c r="C4638">
        <v>-2373</v>
      </c>
      <c r="D4638" t="str">
        <f>VLOOKUP(B4638,Tabela_Auxiliar[],2,0)</f>
        <v>2. Deduções da Receita</v>
      </c>
      <c r="E4638" t="str">
        <f>VLOOKUP(B4638,Tabela_Auxiliar[],4,0)</f>
        <v>Imposto</v>
      </c>
      <c r="F4638" t="str">
        <f>VLOOKUP(B4638,Tabela_Auxiliar[],3,0)</f>
        <v>Saída</v>
      </c>
      <c r="G4638" t="str">
        <f>UPPER(TEXT(Tabela_DB[[#This Row],[DATA]],"mmm"))</f>
        <v>NOV</v>
      </c>
      <c r="H4638" t="str">
        <f>UPPER(TEXT(Tabela_DB[[#This Row],[DATA]],"aaaa"))</f>
        <v>2021</v>
      </c>
    </row>
    <row r="4639" spans="1:8" x14ac:dyDescent="0.25">
      <c r="A4639" s="2">
        <v>44511</v>
      </c>
      <c r="B4639" t="s">
        <v>37</v>
      </c>
      <c r="C4639">
        <v>-3594</v>
      </c>
      <c r="D4639" t="str">
        <f>VLOOKUP(B4639,Tabela_Auxiliar[],2,0)</f>
        <v>3. Custos do Produto/Mercadoria/Serviço</v>
      </c>
      <c r="E4639" t="str">
        <f>VLOOKUP(B4639,Tabela_Auxiliar[],4,0)</f>
        <v>Despesas c/ Produto</v>
      </c>
      <c r="F4639" t="str">
        <f>VLOOKUP(B4639,Tabela_Auxiliar[],3,0)</f>
        <v>Saída</v>
      </c>
      <c r="G4639" t="str">
        <f>UPPER(TEXT(Tabela_DB[[#This Row],[DATA]],"mmm"))</f>
        <v>NOV</v>
      </c>
      <c r="H4639" t="str">
        <f>UPPER(TEXT(Tabela_DB[[#This Row],[DATA]],"aaaa"))</f>
        <v>2021</v>
      </c>
    </row>
    <row r="4640" spans="1:8" x14ac:dyDescent="0.25">
      <c r="A4640" s="2">
        <v>44511</v>
      </c>
      <c r="B4640" t="s">
        <v>102</v>
      </c>
      <c r="C4640">
        <v>-2250</v>
      </c>
      <c r="D4640" t="str">
        <f>VLOOKUP(B4640,Tabela_Auxiliar[],2,0)</f>
        <v>6. Resultado após o Resultado Financeiro</v>
      </c>
      <c r="E4640" t="str">
        <f>VLOOKUP(B4640,Tabela_Auxiliar[],4,0)</f>
        <v>EBTIDA</v>
      </c>
      <c r="F4640" t="str">
        <f>VLOOKUP(B4640,Tabela_Auxiliar[],3,0)</f>
        <v>Saída</v>
      </c>
      <c r="G4640" t="str">
        <f>UPPER(TEXT(Tabela_DB[[#This Row],[DATA]],"mmm"))</f>
        <v>NOV</v>
      </c>
      <c r="H4640" t="str">
        <f>UPPER(TEXT(Tabela_DB[[#This Row],[DATA]],"aaaa"))</f>
        <v>2021</v>
      </c>
    </row>
    <row r="4641" spans="1:8" x14ac:dyDescent="0.25">
      <c r="A4641" s="2">
        <v>44512</v>
      </c>
      <c r="B4641" t="s">
        <v>3</v>
      </c>
      <c r="C4641">
        <v>10769</v>
      </c>
      <c r="D4641" t="str">
        <f>VLOOKUP(B4641,Tabela_Auxiliar[],2,0)</f>
        <v>1. Receita Operacional Bruta</v>
      </c>
      <c r="E4641" t="str">
        <f>VLOOKUP(B4641,Tabela_Auxiliar[],4,0)</f>
        <v>Receita Bruta</v>
      </c>
      <c r="F4641" t="str">
        <f>VLOOKUP(B4641,Tabela_Auxiliar[],3,0)</f>
        <v>Entrada</v>
      </c>
      <c r="G4641" t="str">
        <f>UPPER(TEXT(Tabela_DB[[#This Row],[DATA]],"mmm"))</f>
        <v>NOV</v>
      </c>
      <c r="H4641" t="str">
        <f>UPPER(TEXT(Tabela_DB[[#This Row],[DATA]],"aaaa"))</f>
        <v>2021</v>
      </c>
    </row>
    <row r="4642" spans="1:8" x14ac:dyDescent="0.25">
      <c r="A4642" s="2">
        <v>44512</v>
      </c>
      <c r="B4642" t="s">
        <v>38</v>
      </c>
      <c r="C4642">
        <v>-1941</v>
      </c>
      <c r="D4642" t="str">
        <f>VLOOKUP(B4642,Tabela_Auxiliar[],2,0)</f>
        <v>2. Deduções da Receita</v>
      </c>
      <c r="E4642" t="str">
        <f>VLOOKUP(B4642,Tabela_Auxiliar[],4,0)</f>
        <v>Deduções</v>
      </c>
      <c r="F4642" t="str">
        <f>VLOOKUP(B4642,Tabela_Auxiliar[],3,0)</f>
        <v>Saída</v>
      </c>
      <c r="G4642" t="str">
        <f>UPPER(TEXT(Tabela_DB[[#This Row],[DATA]],"mmm"))</f>
        <v>NOV</v>
      </c>
      <c r="H4642" t="str">
        <f>UPPER(TEXT(Tabela_DB[[#This Row],[DATA]],"aaaa"))</f>
        <v>2021</v>
      </c>
    </row>
    <row r="4643" spans="1:8" x14ac:dyDescent="0.25">
      <c r="A4643" s="2">
        <v>44512</v>
      </c>
      <c r="B4643" t="s">
        <v>3</v>
      </c>
      <c r="C4643">
        <v>11711</v>
      </c>
      <c r="D4643" t="str">
        <f>VLOOKUP(B4643,Tabela_Auxiliar[],2,0)</f>
        <v>1. Receita Operacional Bruta</v>
      </c>
      <c r="E4643" t="str">
        <f>VLOOKUP(B4643,Tabela_Auxiliar[],4,0)</f>
        <v>Receita Bruta</v>
      </c>
      <c r="F4643" t="str">
        <f>VLOOKUP(B4643,Tabela_Auxiliar[],3,0)</f>
        <v>Entrada</v>
      </c>
      <c r="G4643" t="str">
        <f>UPPER(TEXT(Tabela_DB[[#This Row],[DATA]],"mmm"))</f>
        <v>NOV</v>
      </c>
      <c r="H4643" t="str">
        <f>UPPER(TEXT(Tabela_DB[[#This Row],[DATA]],"aaaa"))</f>
        <v>2021</v>
      </c>
    </row>
    <row r="4644" spans="1:8" x14ac:dyDescent="0.25">
      <c r="A4644" s="2">
        <v>44512</v>
      </c>
      <c r="B4644" t="s">
        <v>73</v>
      </c>
      <c r="C4644">
        <v>-2004</v>
      </c>
      <c r="D4644" t="str">
        <f>VLOOKUP(B4644,Tabela_Auxiliar[],2,0)</f>
        <v>4. Despesas Operacionais</v>
      </c>
      <c r="E4644" t="str">
        <f>VLOOKUP(B4644,Tabela_Auxiliar[],4,0)</f>
        <v>Despesa com Ocupação</v>
      </c>
      <c r="F4644" t="str">
        <f>VLOOKUP(B4644,Tabela_Auxiliar[],3,0)</f>
        <v>Saída</v>
      </c>
      <c r="G4644" t="str">
        <f>UPPER(TEXT(Tabela_DB[[#This Row],[DATA]],"mmm"))</f>
        <v>NOV</v>
      </c>
      <c r="H4644" t="str">
        <f>UPPER(TEXT(Tabela_DB[[#This Row],[DATA]],"aaaa"))</f>
        <v>2021</v>
      </c>
    </row>
    <row r="4645" spans="1:8" x14ac:dyDescent="0.25">
      <c r="A4645" s="2">
        <v>44512</v>
      </c>
      <c r="B4645" t="s">
        <v>53</v>
      </c>
      <c r="C4645">
        <v>-1877</v>
      </c>
      <c r="D4645" t="str">
        <f>VLOOKUP(B4645,Tabela_Auxiliar[],2,0)</f>
        <v>4. Despesas Operacionais</v>
      </c>
      <c r="E4645" t="str">
        <f>VLOOKUP(B4645,Tabela_Auxiliar[],4,0)</f>
        <v>Despesa com Pessoal</v>
      </c>
      <c r="F4645" t="str">
        <f>VLOOKUP(B4645,Tabela_Auxiliar[],3,0)</f>
        <v>Saída</v>
      </c>
      <c r="G4645" t="str">
        <f>UPPER(TEXT(Tabela_DB[[#This Row],[DATA]],"mmm"))</f>
        <v>NOV</v>
      </c>
      <c r="H4645" t="str">
        <f>UPPER(TEXT(Tabela_DB[[#This Row],[DATA]],"aaaa"))</f>
        <v>2021</v>
      </c>
    </row>
    <row r="4646" spans="1:8" x14ac:dyDescent="0.25">
      <c r="A4646" s="2">
        <v>44512</v>
      </c>
      <c r="B4646" t="s">
        <v>72</v>
      </c>
      <c r="C4646">
        <v>-1757</v>
      </c>
      <c r="D4646" t="str">
        <f>VLOOKUP(B4646,Tabela_Auxiliar[],2,0)</f>
        <v>4. Despesas Operacionais</v>
      </c>
      <c r="E4646" t="str">
        <f>VLOOKUP(B4646,Tabela_Auxiliar[],4,0)</f>
        <v>Despesa com Ocupação</v>
      </c>
      <c r="F4646" t="str">
        <f>VLOOKUP(B4646,Tabela_Auxiliar[],3,0)</f>
        <v>Saída</v>
      </c>
      <c r="G4646" t="str">
        <f>UPPER(TEXT(Tabela_DB[[#This Row],[DATA]],"mmm"))</f>
        <v>NOV</v>
      </c>
      <c r="H4646" t="str">
        <f>UPPER(TEXT(Tabela_DB[[#This Row],[DATA]],"aaaa"))</f>
        <v>2021</v>
      </c>
    </row>
    <row r="4647" spans="1:8" x14ac:dyDescent="0.25">
      <c r="A4647" s="2">
        <v>44512</v>
      </c>
      <c r="B4647" t="s">
        <v>34</v>
      </c>
      <c r="C4647">
        <v>-1961</v>
      </c>
      <c r="D4647" t="str">
        <f>VLOOKUP(B4647,Tabela_Auxiliar[],2,0)</f>
        <v>2. Deduções da Receita</v>
      </c>
      <c r="E4647" t="str">
        <f>VLOOKUP(B4647,Tabela_Auxiliar[],4,0)</f>
        <v>Imposto</v>
      </c>
      <c r="F4647" t="str">
        <f>VLOOKUP(B4647,Tabela_Auxiliar[],3,0)</f>
        <v>Saída</v>
      </c>
      <c r="G4647" t="str">
        <f>UPPER(TEXT(Tabela_DB[[#This Row],[DATA]],"mmm"))</f>
        <v>NOV</v>
      </c>
      <c r="H4647" t="str">
        <f>UPPER(TEXT(Tabela_DB[[#This Row],[DATA]],"aaaa"))</f>
        <v>2021</v>
      </c>
    </row>
    <row r="4648" spans="1:8" x14ac:dyDescent="0.25">
      <c r="A4648" s="2">
        <v>44512</v>
      </c>
      <c r="B4648" t="s">
        <v>111</v>
      </c>
      <c r="C4648">
        <v>-1191</v>
      </c>
      <c r="D4648" t="str">
        <f>VLOOKUP(B4648,Tabela_Auxiliar[],2,0)</f>
        <v>2. Deduções da Receita</v>
      </c>
      <c r="E4648" t="str">
        <f>VLOOKUP(B4648,Tabela_Auxiliar[],4,0)</f>
        <v>Imposto</v>
      </c>
      <c r="F4648" t="str">
        <f>VLOOKUP(B4648,Tabela_Auxiliar[],3,0)</f>
        <v>Saída</v>
      </c>
      <c r="G4648" t="str">
        <f>UPPER(TEXT(Tabela_DB[[#This Row],[DATA]],"mmm"))</f>
        <v>NOV</v>
      </c>
      <c r="H4648" t="str">
        <f>UPPER(TEXT(Tabela_DB[[#This Row],[DATA]],"aaaa"))</f>
        <v>2021</v>
      </c>
    </row>
    <row r="4649" spans="1:8" x14ac:dyDescent="0.25">
      <c r="A4649" s="2">
        <v>44513</v>
      </c>
      <c r="B4649" t="s">
        <v>88</v>
      </c>
      <c r="C4649">
        <v>-1859</v>
      </c>
      <c r="D4649" t="str">
        <f>VLOOKUP(B4649,Tabela_Auxiliar[],2,0)</f>
        <v>4. Despesas Operacionais</v>
      </c>
      <c r="E4649" t="str">
        <f>VLOOKUP(B4649,Tabela_Auxiliar[],4,0)</f>
        <v>Despesa Tributária</v>
      </c>
      <c r="F4649" t="str">
        <f>VLOOKUP(B4649,Tabela_Auxiliar[],3,0)</f>
        <v>Saída</v>
      </c>
      <c r="G4649" t="str">
        <f>UPPER(TEXT(Tabela_DB[[#This Row],[DATA]],"mmm"))</f>
        <v>NOV</v>
      </c>
      <c r="H4649" t="str">
        <f>UPPER(TEXT(Tabela_DB[[#This Row],[DATA]],"aaaa"))</f>
        <v>2021</v>
      </c>
    </row>
    <row r="4650" spans="1:8" x14ac:dyDescent="0.25">
      <c r="A4650" s="2">
        <v>44513</v>
      </c>
      <c r="B4650" t="s">
        <v>37</v>
      </c>
      <c r="C4650">
        <v>-2894</v>
      </c>
      <c r="D4650" t="str">
        <f>VLOOKUP(B4650,Tabela_Auxiliar[],2,0)</f>
        <v>3. Custos do Produto/Mercadoria/Serviço</v>
      </c>
      <c r="E4650" t="str">
        <f>VLOOKUP(B4650,Tabela_Auxiliar[],4,0)</f>
        <v>Despesas c/ Produto</v>
      </c>
      <c r="F4650" t="str">
        <f>VLOOKUP(B4650,Tabela_Auxiliar[],3,0)</f>
        <v>Saída</v>
      </c>
      <c r="G4650" t="str">
        <f>UPPER(TEXT(Tabela_DB[[#This Row],[DATA]],"mmm"))</f>
        <v>NOV</v>
      </c>
      <c r="H4650" t="str">
        <f>UPPER(TEXT(Tabela_DB[[#This Row],[DATA]],"aaaa"))</f>
        <v>2021</v>
      </c>
    </row>
    <row r="4651" spans="1:8" x14ac:dyDescent="0.25">
      <c r="A4651" s="2">
        <v>44513</v>
      </c>
      <c r="B4651" t="s">
        <v>34</v>
      </c>
      <c r="C4651">
        <v>-1011</v>
      </c>
      <c r="D4651" t="str">
        <f>VLOOKUP(B4651,Tabela_Auxiliar[],2,0)</f>
        <v>2. Deduções da Receita</v>
      </c>
      <c r="E4651" t="str">
        <f>VLOOKUP(B4651,Tabela_Auxiliar[],4,0)</f>
        <v>Imposto</v>
      </c>
      <c r="F4651" t="str">
        <f>VLOOKUP(B4651,Tabela_Auxiliar[],3,0)</f>
        <v>Saída</v>
      </c>
      <c r="G4651" t="str">
        <f>UPPER(TEXT(Tabela_DB[[#This Row],[DATA]],"mmm"))</f>
        <v>NOV</v>
      </c>
      <c r="H4651" t="str">
        <f>UPPER(TEXT(Tabela_DB[[#This Row],[DATA]],"aaaa"))</f>
        <v>2021</v>
      </c>
    </row>
    <row r="4652" spans="1:8" x14ac:dyDescent="0.25">
      <c r="A4652" s="2">
        <v>44513</v>
      </c>
      <c r="B4652" t="s">
        <v>8</v>
      </c>
      <c r="C4652">
        <v>-1009</v>
      </c>
      <c r="D4652" t="str">
        <f>VLOOKUP(B4652,Tabela_Auxiliar[],2,0)</f>
        <v>4. Despesas Operacionais</v>
      </c>
      <c r="E4652" t="str">
        <f>VLOOKUP(B4652,Tabela_Auxiliar[],4,0)</f>
        <v>Despesa com Pessoal</v>
      </c>
      <c r="F4652" t="str">
        <f>VLOOKUP(B4652,Tabela_Auxiliar[],3,0)</f>
        <v>Saída</v>
      </c>
      <c r="G4652" t="str">
        <f>UPPER(TEXT(Tabela_DB[[#This Row],[DATA]],"mmm"))</f>
        <v>NOV</v>
      </c>
      <c r="H4652" t="str">
        <f>UPPER(TEXT(Tabela_DB[[#This Row],[DATA]],"aaaa"))</f>
        <v>2021</v>
      </c>
    </row>
    <row r="4653" spans="1:8" x14ac:dyDescent="0.25">
      <c r="A4653" s="2">
        <v>44513</v>
      </c>
      <c r="B4653" t="s">
        <v>38</v>
      </c>
      <c r="C4653">
        <v>-2136</v>
      </c>
      <c r="D4653" t="str">
        <f>VLOOKUP(B4653,Tabela_Auxiliar[],2,0)</f>
        <v>2. Deduções da Receita</v>
      </c>
      <c r="E4653" t="str">
        <f>VLOOKUP(B4653,Tabela_Auxiliar[],4,0)</f>
        <v>Deduções</v>
      </c>
      <c r="F4653" t="str">
        <f>VLOOKUP(B4653,Tabela_Auxiliar[],3,0)</f>
        <v>Saída</v>
      </c>
      <c r="G4653" t="str">
        <f>UPPER(TEXT(Tabela_DB[[#This Row],[DATA]],"mmm"))</f>
        <v>NOV</v>
      </c>
      <c r="H4653" t="str">
        <f>UPPER(TEXT(Tabela_DB[[#This Row],[DATA]],"aaaa"))</f>
        <v>2021</v>
      </c>
    </row>
    <row r="4654" spans="1:8" x14ac:dyDescent="0.25">
      <c r="A4654" s="2">
        <v>44514</v>
      </c>
      <c r="B4654" t="s">
        <v>46</v>
      </c>
      <c r="C4654">
        <v>-1997</v>
      </c>
      <c r="D4654" t="str">
        <f>VLOOKUP(B4654,Tabela_Auxiliar[],2,0)</f>
        <v>4. Despesas Operacionais</v>
      </c>
      <c r="E4654" t="str">
        <f>VLOOKUP(B4654,Tabela_Auxiliar[],4,0)</f>
        <v>Despesa com Pessoal</v>
      </c>
      <c r="F4654" t="str">
        <f>VLOOKUP(B4654,Tabela_Auxiliar[],3,0)</f>
        <v>Saída</v>
      </c>
      <c r="G4654" t="str">
        <f>UPPER(TEXT(Tabela_DB[[#This Row],[DATA]],"mmm"))</f>
        <v>NOV</v>
      </c>
      <c r="H4654" t="str">
        <f>UPPER(TEXT(Tabela_DB[[#This Row],[DATA]],"aaaa"))</f>
        <v>2021</v>
      </c>
    </row>
    <row r="4655" spans="1:8" x14ac:dyDescent="0.25">
      <c r="A4655" s="2">
        <v>44514</v>
      </c>
      <c r="B4655" t="s">
        <v>37</v>
      </c>
      <c r="C4655">
        <v>-4147</v>
      </c>
      <c r="D4655" t="str">
        <f>VLOOKUP(B4655,Tabela_Auxiliar[],2,0)</f>
        <v>3. Custos do Produto/Mercadoria/Serviço</v>
      </c>
      <c r="E4655" t="str">
        <f>VLOOKUP(B4655,Tabela_Auxiliar[],4,0)</f>
        <v>Despesas c/ Produto</v>
      </c>
      <c r="F4655" t="str">
        <f>VLOOKUP(B4655,Tabela_Auxiliar[],3,0)</f>
        <v>Saída</v>
      </c>
      <c r="G4655" t="str">
        <f>UPPER(TEXT(Tabela_DB[[#This Row],[DATA]],"mmm"))</f>
        <v>NOV</v>
      </c>
      <c r="H4655" t="str">
        <f>UPPER(TEXT(Tabela_DB[[#This Row],[DATA]],"aaaa"))</f>
        <v>2021</v>
      </c>
    </row>
    <row r="4656" spans="1:8" x14ac:dyDescent="0.25">
      <c r="A4656" s="2">
        <v>44514</v>
      </c>
      <c r="B4656" t="s">
        <v>31</v>
      </c>
      <c r="C4656">
        <v>-1964</v>
      </c>
      <c r="D4656" t="str">
        <f>VLOOKUP(B4656,Tabela_Auxiliar[],2,0)</f>
        <v>5. Resultado Financeiro</v>
      </c>
      <c r="E4656" t="str">
        <f>VLOOKUP(B4656,Tabela_Auxiliar[],4,0)</f>
        <v>Participação nos resultados</v>
      </c>
      <c r="F4656" t="str">
        <f>VLOOKUP(B4656,Tabela_Auxiliar[],3,0)</f>
        <v>Saída</v>
      </c>
      <c r="G4656" t="str">
        <f>UPPER(TEXT(Tabela_DB[[#This Row],[DATA]],"mmm"))</f>
        <v>NOV</v>
      </c>
      <c r="H4656" t="str">
        <f>UPPER(TEXT(Tabela_DB[[#This Row],[DATA]],"aaaa"))</f>
        <v>2021</v>
      </c>
    </row>
    <row r="4657" spans="1:8" x14ac:dyDescent="0.25">
      <c r="A4657" s="2">
        <v>44514</v>
      </c>
      <c r="B4657" t="s">
        <v>90</v>
      </c>
      <c r="C4657">
        <v>-1498</v>
      </c>
      <c r="D4657" t="str">
        <f>VLOOKUP(B4657,Tabela_Auxiliar[],2,0)</f>
        <v>4. Despesas Operacionais</v>
      </c>
      <c r="E4657" t="str">
        <f>VLOOKUP(B4657,Tabela_Auxiliar[],4,0)</f>
        <v>Despesa Tributária</v>
      </c>
      <c r="F4657" t="str">
        <f>VLOOKUP(B4657,Tabela_Auxiliar[],3,0)</f>
        <v>Saída</v>
      </c>
      <c r="G4657" t="str">
        <f>UPPER(TEXT(Tabela_DB[[#This Row],[DATA]],"mmm"))</f>
        <v>NOV</v>
      </c>
      <c r="H4657" t="str">
        <f>UPPER(TEXT(Tabela_DB[[#This Row],[DATA]],"aaaa"))</f>
        <v>2021</v>
      </c>
    </row>
    <row r="4658" spans="1:8" x14ac:dyDescent="0.25">
      <c r="A4658" s="2">
        <v>44514</v>
      </c>
      <c r="B4658" t="s">
        <v>37</v>
      </c>
      <c r="C4658">
        <v>-4192</v>
      </c>
      <c r="D4658" t="str">
        <f>VLOOKUP(B4658,Tabela_Auxiliar[],2,0)</f>
        <v>3. Custos do Produto/Mercadoria/Serviço</v>
      </c>
      <c r="E4658" t="str">
        <f>VLOOKUP(B4658,Tabela_Auxiliar[],4,0)</f>
        <v>Despesas c/ Produto</v>
      </c>
      <c r="F4658" t="str">
        <f>VLOOKUP(B4658,Tabela_Auxiliar[],3,0)</f>
        <v>Saída</v>
      </c>
      <c r="G4658" t="str">
        <f>UPPER(TEXT(Tabela_DB[[#This Row],[DATA]],"mmm"))</f>
        <v>NOV</v>
      </c>
      <c r="H4658" t="str">
        <f>UPPER(TEXT(Tabela_DB[[#This Row],[DATA]],"aaaa"))</f>
        <v>2021</v>
      </c>
    </row>
    <row r="4659" spans="1:8" x14ac:dyDescent="0.25">
      <c r="A4659" s="2">
        <v>44514</v>
      </c>
      <c r="B4659" t="s">
        <v>37</v>
      </c>
      <c r="C4659">
        <v>-3858</v>
      </c>
      <c r="D4659" t="str">
        <f>VLOOKUP(B4659,Tabela_Auxiliar[],2,0)</f>
        <v>3. Custos do Produto/Mercadoria/Serviço</v>
      </c>
      <c r="E4659" t="str">
        <f>VLOOKUP(B4659,Tabela_Auxiliar[],4,0)</f>
        <v>Despesas c/ Produto</v>
      </c>
      <c r="F4659" t="str">
        <f>VLOOKUP(B4659,Tabela_Auxiliar[],3,0)</f>
        <v>Saída</v>
      </c>
      <c r="G4659" t="str">
        <f>UPPER(TEXT(Tabela_DB[[#This Row],[DATA]],"mmm"))</f>
        <v>NOV</v>
      </c>
      <c r="H4659" t="str">
        <f>UPPER(TEXT(Tabela_DB[[#This Row],[DATA]],"aaaa"))</f>
        <v>2021</v>
      </c>
    </row>
    <row r="4660" spans="1:8" x14ac:dyDescent="0.25">
      <c r="A4660" s="2">
        <v>44514</v>
      </c>
      <c r="B4660" t="s">
        <v>4</v>
      </c>
      <c r="C4660">
        <v>10843</v>
      </c>
      <c r="D4660" t="str">
        <f>VLOOKUP(B4660,Tabela_Auxiliar[],2,0)</f>
        <v>1. Receita Operacional Bruta</v>
      </c>
      <c r="E4660" t="str">
        <f>VLOOKUP(B4660,Tabela_Auxiliar[],4,0)</f>
        <v>Receita Bruta</v>
      </c>
      <c r="F4660" t="str">
        <f>VLOOKUP(B4660,Tabela_Auxiliar[],3,0)</f>
        <v>Entrada</v>
      </c>
      <c r="G4660" t="str">
        <f>UPPER(TEXT(Tabela_DB[[#This Row],[DATA]],"mmm"))</f>
        <v>NOV</v>
      </c>
      <c r="H4660" t="str">
        <f>UPPER(TEXT(Tabela_DB[[#This Row],[DATA]],"aaaa"))</f>
        <v>2021</v>
      </c>
    </row>
    <row r="4661" spans="1:8" x14ac:dyDescent="0.25">
      <c r="A4661" s="2">
        <v>44514</v>
      </c>
      <c r="B4661" t="s">
        <v>73</v>
      </c>
      <c r="C4661">
        <v>-1631</v>
      </c>
      <c r="D4661" t="str">
        <f>VLOOKUP(B4661,Tabela_Auxiliar[],2,0)</f>
        <v>4. Despesas Operacionais</v>
      </c>
      <c r="E4661" t="str">
        <f>VLOOKUP(B4661,Tabela_Auxiliar[],4,0)</f>
        <v>Despesa com Ocupação</v>
      </c>
      <c r="F4661" t="str">
        <f>VLOOKUP(B4661,Tabela_Auxiliar[],3,0)</f>
        <v>Saída</v>
      </c>
      <c r="G4661" t="str">
        <f>UPPER(TEXT(Tabela_DB[[#This Row],[DATA]],"mmm"))</f>
        <v>NOV</v>
      </c>
      <c r="H4661" t="str">
        <f>UPPER(TEXT(Tabela_DB[[#This Row],[DATA]],"aaaa"))</f>
        <v>2021</v>
      </c>
    </row>
    <row r="4662" spans="1:8" x14ac:dyDescent="0.25">
      <c r="A4662" s="2">
        <v>44514</v>
      </c>
      <c r="B4662" t="s">
        <v>71</v>
      </c>
      <c r="C4662">
        <v>-1884</v>
      </c>
      <c r="D4662" t="str">
        <f>VLOOKUP(B4662,Tabela_Auxiliar[],2,0)</f>
        <v>4. Despesas Operacionais</v>
      </c>
      <c r="E4662" t="str">
        <f>VLOOKUP(B4662,Tabela_Auxiliar[],4,0)</f>
        <v>Despesa com Ocupação</v>
      </c>
      <c r="F4662" t="str">
        <f>VLOOKUP(B4662,Tabela_Auxiliar[],3,0)</f>
        <v>Saída</v>
      </c>
      <c r="G4662" t="str">
        <f>UPPER(TEXT(Tabela_DB[[#This Row],[DATA]],"mmm"))</f>
        <v>NOV</v>
      </c>
      <c r="H4662" t="str">
        <f>UPPER(TEXT(Tabela_DB[[#This Row],[DATA]],"aaaa"))</f>
        <v>2021</v>
      </c>
    </row>
    <row r="4663" spans="1:8" x14ac:dyDescent="0.25">
      <c r="A4663" s="2">
        <v>44514</v>
      </c>
      <c r="B4663" t="s">
        <v>35</v>
      </c>
      <c r="C4663">
        <v>-1059</v>
      </c>
      <c r="D4663" t="str">
        <f>VLOOKUP(B4663,Tabela_Auxiliar[],2,0)</f>
        <v>2. Deduções da Receita</v>
      </c>
      <c r="E4663" t="str">
        <f>VLOOKUP(B4663,Tabela_Auxiliar[],4,0)</f>
        <v>Imposto</v>
      </c>
      <c r="F4663" t="str">
        <f>VLOOKUP(B4663,Tabela_Auxiliar[],3,0)</f>
        <v>Saída</v>
      </c>
      <c r="G4663" t="str">
        <f>UPPER(TEXT(Tabela_DB[[#This Row],[DATA]],"mmm"))</f>
        <v>NOV</v>
      </c>
      <c r="H4663" t="str">
        <f>UPPER(TEXT(Tabela_DB[[#This Row],[DATA]],"aaaa"))</f>
        <v>2021</v>
      </c>
    </row>
    <row r="4664" spans="1:8" x14ac:dyDescent="0.25">
      <c r="A4664" s="2">
        <v>44515</v>
      </c>
      <c r="B4664" t="s">
        <v>111</v>
      </c>
      <c r="C4664">
        <v>-1785</v>
      </c>
      <c r="D4664" t="str">
        <f>VLOOKUP(B4664,Tabela_Auxiliar[],2,0)</f>
        <v>2. Deduções da Receita</v>
      </c>
      <c r="E4664" t="str">
        <f>VLOOKUP(B4664,Tabela_Auxiliar[],4,0)</f>
        <v>Imposto</v>
      </c>
      <c r="F4664" t="str">
        <f>VLOOKUP(B4664,Tabela_Auxiliar[],3,0)</f>
        <v>Saída</v>
      </c>
      <c r="G4664" t="str">
        <f>UPPER(TEXT(Tabela_DB[[#This Row],[DATA]],"mmm"))</f>
        <v>NOV</v>
      </c>
      <c r="H4664" t="str">
        <f>UPPER(TEXT(Tabela_DB[[#This Row],[DATA]],"aaaa"))</f>
        <v>2021</v>
      </c>
    </row>
    <row r="4665" spans="1:8" x14ac:dyDescent="0.25">
      <c r="A4665" s="2">
        <v>44515</v>
      </c>
      <c r="B4665" t="s">
        <v>37</v>
      </c>
      <c r="C4665">
        <v>-4726</v>
      </c>
      <c r="D4665" t="str">
        <f>VLOOKUP(B4665,Tabela_Auxiliar[],2,0)</f>
        <v>3. Custos do Produto/Mercadoria/Serviço</v>
      </c>
      <c r="E4665" t="str">
        <f>VLOOKUP(B4665,Tabela_Auxiliar[],4,0)</f>
        <v>Despesas c/ Produto</v>
      </c>
      <c r="F4665" t="str">
        <f>VLOOKUP(B4665,Tabela_Auxiliar[],3,0)</f>
        <v>Saída</v>
      </c>
      <c r="G4665" t="str">
        <f>UPPER(TEXT(Tabela_DB[[#This Row],[DATA]],"mmm"))</f>
        <v>NOV</v>
      </c>
      <c r="H4665" t="str">
        <f>UPPER(TEXT(Tabela_DB[[#This Row],[DATA]],"aaaa"))</f>
        <v>2021</v>
      </c>
    </row>
    <row r="4666" spans="1:8" x14ac:dyDescent="0.25">
      <c r="A4666" s="2">
        <v>44515</v>
      </c>
      <c r="B4666" t="s">
        <v>42</v>
      </c>
      <c r="C4666">
        <v>-2301</v>
      </c>
      <c r="D4666" t="str">
        <f>VLOOKUP(B4666,Tabela_Auxiliar[],2,0)</f>
        <v>4. Despesas Operacionais</v>
      </c>
      <c r="E4666" t="str">
        <f>VLOOKUP(B4666,Tabela_Auxiliar[],4,0)</f>
        <v>Despesa com Pessoal</v>
      </c>
      <c r="F4666" t="str">
        <f>VLOOKUP(B4666,Tabela_Auxiliar[],3,0)</f>
        <v>Saída</v>
      </c>
      <c r="G4666" t="str">
        <f>UPPER(TEXT(Tabela_DB[[#This Row],[DATA]],"mmm"))</f>
        <v>NOV</v>
      </c>
      <c r="H4666" t="str">
        <f>UPPER(TEXT(Tabela_DB[[#This Row],[DATA]],"aaaa"))</f>
        <v>2021</v>
      </c>
    </row>
    <row r="4667" spans="1:8" x14ac:dyDescent="0.25">
      <c r="A4667" s="2">
        <v>44515</v>
      </c>
      <c r="B4667" t="s">
        <v>34</v>
      </c>
      <c r="C4667">
        <v>-1857</v>
      </c>
      <c r="D4667" t="str">
        <f>VLOOKUP(B4667,Tabela_Auxiliar[],2,0)</f>
        <v>2. Deduções da Receita</v>
      </c>
      <c r="E4667" t="str">
        <f>VLOOKUP(B4667,Tabela_Auxiliar[],4,0)</f>
        <v>Imposto</v>
      </c>
      <c r="F4667" t="str">
        <f>VLOOKUP(B4667,Tabela_Auxiliar[],3,0)</f>
        <v>Saída</v>
      </c>
      <c r="G4667" t="str">
        <f>UPPER(TEXT(Tabela_DB[[#This Row],[DATA]],"mmm"))</f>
        <v>NOV</v>
      </c>
      <c r="H4667" t="str">
        <f>UPPER(TEXT(Tabela_DB[[#This Row],[DATA]],"aaaa"))</f>
        <v>2021</v>
      </c>
    </row>
    <row r="4668" spans="1:8" x14ac:dyDescent="0.25">
      <c r="A4668" s="2">
        <v>44515</v>
      </c>
      <c r="B4668" t="s">
        <v>34</v>
      </c>
      <c r="C4668">
        <v>-1243</v>
      </c>
      <c r="D4668" t="str">
        <f>VLOOKUP(B4668,Tabela_Auxiliar[],2,0)</f>
        <v>2. Deduções da Receita</v>
      </c>
      <c r="E4668" t="str">
        <f>VLOOKUP(B4668,Tabela_Auxiliar[],4,0)</f>
        <v>Imposto</v>
      </c>
      <c r="F4668" t="str">
        <f>VLOOKUP(B4668,Tabela_Auxiliar[],3,0)</f>
        <v>Saída</v>
      </c>
      <c r="G4668" t="str">
        <f>UPPER(TEXT(Tabela_DB[[#This Row],[DATA]],"mmm"))</f>
        <v>NOV</v>
      </c>
      <c r="H4668" t="str">
        <f>UPPER(TEXT(Tabela_DB[[#This Row],[DATA]],"aaaa"))</f>
        <v>2021</v>
      </c>
    </row>
    <row r="4669" spans="1:8" x14ac:dyDescent="0.25">
      <c r="A4669" s="2">
        <v>44516</v>
      </c>
      <c r="B4669" t="s">
        <v>85</v>
      </c>
      <c r="C4669">
        <v>-1961</v>
      </c>
      <c r="D4669" t="str">
        <f>VLOOKUP(B4669,Tabela_Auxiliar[],2,0)</f>
        <v>4. Despesas Operacionais</v>
      </c>
      <c r="E4669" t="str">
        <f>VLOOKUP(B4669,Tabela_Auxiliar[],4,0)</f>
        <v>Despesa com Veículos</v>
      </c>
      <c r="F4669" t="str">
        <f>VLOOKUP(B4669,Tabela_Auxiliar[],3,0)</f>
        <v>Saída</v>
      </c>
      <c r="G4669" t="str">
        <f>UPPER(TEXT(Tabela_DB[[#This Row],[DATA]],"mmm"))</f>
        <v>NOV</v>
      </c>
      <c r="H4669" t="str">
        <f>UPPER(TEXT(Tabela_DB[[#This Row],[DATA]],"aaaa"))</f>
        <v>2021</v>
      </c>
    </row>
    <row r="4670" spans="1:8" x14ac:dyDescent="0.25">
      <c r="A4670" s="2">
        <v>44516</v>
      </c>
      <c r="B4670" t="s">
        <v>111</v>
      </c>
      <c r="C4670">
        <v>-1103</v>
      </c>
      <c r="D4670" t="str">
        <f>VLOOKUP(B4670,Tabela_Auxiliar[],2,0)</f>
        <v>2. Deduções da Receita</v>
      </c>
      <c r="E4670" t="str">
        <f>VLOOKUP(B4670,Tabela_Auxiliar[],4,0)</f>
        <v>Imposto</v>
      </c>
      <c r="F4670" t="str">
        <f>VLOOKUP(B4670,Tabela_Auxiliar[],3,0)</f>
        <v>Saída</v>
      </c>
      <c r="G4670" t="str">
        <f>UPPER(TEXT(Tabela_DB[[#This Row],[DATA]],"mmm"))</f>
        <v>NOV</v>
      </c>
      <c r="H4670" t="str">
        <f>UPPER(TEXT(Tabela_DB[[#This Row],[DATA]],"aaaa"))</f>
        <v>2021</v>
      </c>
    </row>
    <row r="4671" spans="1:8" x14ac:dyDescent="0.25">
      <c r="A4671" s="2">
        <v>44516</v>
      </c>
      <c r="B4671" t="s">
        <v>4</v>
      </c>
      <c r="C4671">
        <v>13512</v>
      </c>
      <c r="D4671" t="str">
        <f>VLOOKUP(B4671,Tabela_Auxiliar[],2,0)</f>
        <v>1. Receita Operacional Bruta</v>
      </c>
      <c r="E4671" t="str">
        <f>VLOOKUP(B4671,Tabela_Auxiliar[],4,0)</f>
        <v>Receita Bruta</v>
      </c>
      <c r="F4671" t="str">
        <f>VLOOKUP(B4671,Tabela_Auxiliar[],3,0)</f>
        <v>Entrada</v>
      </c>
      <c r="G4671" t="str">
        <f>UPPER(TEXT(Tabela_DB[[#This Row],[DATA]],"mmm"))</f>
        <v>NOV</v>
      </c>
      <c r="H4671" t="str">
        <f>UPPER(TEXT(Tabela_DB[[#This Row],[DATA]],"aaaa"))</f>
        <v>2021</v>
      </c>
    </row>
    <row r="4672" spans="1:8" x14ac:dyDescent="0.25">
      <c r="A4672" s="2">
        <v>44516</v>
      </c>
      <c r="B4672" t="s">
        <v>102</v>
      </c>
      <c r="C4672">
        <v>-1964</v>
      </c>
      <c r="D4672" t="str">
        <f>VLOOKUP(B4672,Tabela_Auxiliar[],2,0)</f>
        <v>6. Resultado após o Resultado Financeiro</v>
      </c>
      <c r="E4672" t="str">
        <f>VLOOKUP(B4672,Tabela_Auxiliar[],4,0)</f>
        <v>EBTIDA</v>
      </c>
      <c r="F4672" t="str">
        <f>VLOOKUP(B4672,Tabela_Auxiliar[],3,0)</f>
        <v>Saída</v>
      </c>
      <c r="G4672" t="str">
        <f>UPPER(TEXT(Tabela_DB[[#This Row],[DATA]],"mmm"))</f>
        <v>NOV</v>
      </c>
      <c r="H4672" t="str">
        <f>UPPER(TEXT(Tabela_DB[[#This Row],[DATA]],"aaaa"))</f>
        <v>2021</v>
      </c>
    </row>
    <row r="4673" spans="1:8" x14ac:dyDescent="0.25">
      <c r="A4673" s="2">
        <v>44516</v>
      </c>
      <c r="B4673" t="s">
        <v>111</v>
      </c>
      <c r="C4673">
        <v>-2469</v>
      </c>
      <c r="D4673" t="str">
        <f>VLOOKUP(B4673,Tabela_Auxiliar[],2,0)</f>
        <v>2. Deduções da Receita</v>
      </c>
      <c r="E4673" t="str">
        <f>VLOOKUP(B4673,Tabela_Auxiliar[],4,0)</f>
        <v>Imposto</v>
      </c>
      <c r="F4673" t="str">
        <f>VLOOKUP(B4673,Tabela_Auxiliar[],3,0)</f>
        <v>Saída</v>
      </c>
      <c r="G4673" t="str">
        <f>UPPER(TEXT(Tabela_DB[[#This Row],[DATA]],"mmm"))</f>
        <v>NOV</v>
      </c>
      <c r="H4673" t="str">
        <f>UPPER(TEXT(Tabela_DB[[#This Row],[DATA]],"aaaa"))</f>
        <v>2021</v>
      </c>
    </row>
    <row r="4674" spans="1:8" x14ac:dyDescent="0.25">
      <c r="A4674" s="2">
        <v>44516</v>
      </c>
      <c r="B4674" t="s">
        <v>58</v>
      </c>
      <c r="C4674">
        <v>-1534</v>
      </c>
      <c r="D4674" t="str">
        <f>VLOOKUP(B4674,Tabela_Auxiliar[],2,0)</f>
        <v>4. Despesas Operacionais</v>
      </c>
      <c r="E4674" t="str">
        <f>VLOOKUP(B4674,Tabela_Auxiliar[],4,0)</f>
        <v>Despesa de Depreciação</v>
      </c>
      <c r="F4674" t="str">
        <f>VLOOKUP(B4674,Tabela_Auxiliar[],3,0)</f>
        <v>Saída</v>
      </c>
      <c r="G4674" t="str">
        <f>UPPER(TEXT(Tabela_DB[[#This Row],[DATA]],"mmm"))</f>
        <v>NOV</v>
      </c>
      <c r="H4674" t="str">
        <f>UPPER(TEXT(Tabela_DB[[#This Row],[DATA]],"aaaa"))</f>
        <v>2021</v>
      </c>
    </row>
    <row r="4675" spans="1:8" x14ac:dyDescent="0.25">
      <c r="A4675" s="2">
        <v>44516</v>
      </c>
      <c r="B4675" t="s">
        <v>3</v>
      </c>
      <c r="C4675">
        <v>10622</v>
      </c>
      <c r="D4675" t="str">
        <f>VLOOKUP(B4675,Tabela_Auxiliar[],2,0)</f>
        <v>1. Receita Operacional Bruta</v>
      </c>
      <c r="E4675" t="str">
        <f>VLOOKUP(B4675,Tabela_Auxiliar[],4,0)</f>
        <v>Receita Bruta</v>
      </c>
      <c r="F4675" t="str">
        <f>VLOOKUP(B4675,Tabela_Auxiliar[],3,0)</f>
        <v>Entrada</v>
      </c>
      <c r="G4675" t="str">
        <f>UPPER(TEXT(Tabela_DB[[#This Row],[DATA]],"mmm"))</f>
        <v>NOV</v>
      </c>
      <c r="H4675" t="str">
        <f>UPPER(TEXT(Tabela_DB[[#This Row],[DATA]],"aaaa"))</f>
        <v>2021</v>
      </c>
    </row>
    <row r="4676" spans="1:8" x14ac:dyDescent="0.25">
      <c r="A4676" s="2">
        <v>44517</v>
      </c>
      <c r="B4676" t="s">
        <v>35</v>
      </c>
      <c r="C4676">
        <v>-1729</v>
      </c>
      <c r="D4676" t="str">
        <f>VLOOKUP(B4676,Tabela_Auxiliar[],2,0)</f>
        <v>2. Deduções da Receita</v>
      </c>
      <c r="E4676" t="str">
        <f>VLOOKUP(B4676,Tabela_Auxiliar[],4,0)</f>
        <v>Imposto</v>
      </c>
      <c r="F4676" t="str">
        <f>VLOOKUP(B4676,Tabela_Auxiliar[],3,0)</f>
        <v>Saída</v>
      </c>
      <c r="G4676" t="str">
        <f>UPPER(TEXT(Tabela_DB[[#This Row],[DATA]],"mmm"))</f>
        <v>NOV</v>
      </c>
      <c r="H4676" t="str">
        <f>UPPER(TEXT(Tabela_DB[[#This Row],[DATA]],"aaaa"))</f>
        <v>2021</v>
      </c>
    </row>
    <row r="4677" spans="1:8" x14ac:dyDescent="0.25">
      <c r="A4677" s="2">
        <v>44517</v>
      </c>
      <c r="B4677" t="s">
        <v>111</v>
      </c>
      <c r="C4677">
        <v>-2202</v>
      </c>
      <c r="D4677" t="str">
        <f>VLOOKUP(B4677,Tabela_Auxiliar[],2,0)</f>
        <v>2. Deduções da Receita</v>
      </c>
      <c r="E4677" t="str">
        <f>VLOOKUP(B4677,Tabela_Auxiliar[],4,0)</f>
        <v>Imposto</v>
      </c>
      <c r="F4677" t="str">
        <f>VLOOKUP(B4677,Tabela_Auxiliar[],3,0)</f>
        <v>Saída</v>
      </c>
      <c r="G4677" t="str">
        <f>UPPER(TEXT(Tabela_DB[[#This Row],[DATA]],"mmm"))</f>
        <v>NOV</v>
      </c>
      <c r="H4677" t="str">
        <f>UPPER(TEXT(Tabela_DB[[#This Row],[DATA]],"aaaa"))</f>
        <v>2021</v>
      </c>
    </row>
    <row r="4678" spans="1:8" x14ac:dyDescent="0.25">
      <c r="A4678" s="2">
        <v>44517</v>
      </c>
      <c r="B4678" t="s">
        <v>3</v>
      </c>
      <c r="C4678">
        <v>12261</v>
      </c>
      <c r="D4678" t="str">
        <f>VLOOKUP(B4678,Tabela_Auxiliar[],2,0)</f>
        <v>1. Receita Operacional Bruta</v>
      </c>
      <c r="E4678" t="str">
        <f>VLOOKUP(B4678,Tabela_Auxiliar[],4,0)</f>
        <v>Receita Bruta</v>
      </c>
      <c r="F4678" t="str">
        <f>VLOOKUP(B4678,Tabela_Auxiliar[],3,0)</f>
        <v>Entrada</v>
      </c>
      <c r="G4678" t="str">
        <f>UPPER(TEXT(Tabela_DB[[#This Row],[DATA]],"mmm"))</f>
        <v>NOV</v>
      </c>
      <c r="H4678" t="str">
        <f>UPPER(TEXT(Tabela_DB[[#This Row],[DATA]],"aaaa"))</f>
        <v>2021</v>
      </c>
    </row>
    <row r="4679" spans="1:8" x14ac:dyDescent="0.25">
      <c r="A4679" s="2">
        <v>44517</v>
      </c>
      <c r="B4679" t="s">
        <v>3</v>
      </c>
      <c r="C4679">
        <v>12389</v>
      </c>
      <c r="D4679" t="str">
        <f>VLOOKUP(B4679,Tabela_Auxiliar[],2,0)</f>
        <v>1. Receita Operacional Bruta</v>
      </c>
      <c r="E4679" t="str">
        <f>VLOOKUP(B4679,Tabela_Auxiliar[],4,0)</f>
        <v>Receita Bruta</v>
      </c>
      <c r="F4679" t="str">
        <f>VLOOKUP(B4679,Tabela_Auxiliar[],3,0)</f>
        <v>Entrada</v>
      </c>
      <c r="G4679" t="str">
        <f>UPPER(TEXT(Tabela_DB[[#This Row],[DATA]],"mmm"))</f>
        <v>NOV</v>
      </c>
      <c r="H4679" t="str">
        <f>UPPER(TEXT(Tabela_DB[[#This Row],[DATA]],"aaaa"))</f>
        <v>2021</v>
      </c>
    </row>
    <row r="4680" spans="1:8" x14ac:dyDescent="0.25">
      <c r="A4680" s="2">
        <v>44517</v>
      </c>
      <c r="B4680" t="s">
        <v>81</v>
      </c>
      <c r="C4680">
        <v>-2212</v>
      </c>
      <c r="D4680" t="str">
        <f>VLOOKUP(B4680,Tabela_Auxiliar[],2,0)</f>
        <v>4. Despesas Operacionais</v>
      </c>
      <c r="E4680" t="str">
        <f>VLOOKUP(B4680,Tabela_Auxiliar[],4,0)</f>
        <v>Serviços Contratados</v>
      </c>
      <c r="F4680" t="str">
        <f>VLOOKUP(B4680,Tabela_Auxiliar[],3,0)</f>
        <v>Saída</v>
      </c>
      <c r="G4680" t="str">
        <f>UPPER(TEXT(Tabela_DB[[#This Row],[DATA]],"mmm"))</f>
        <v>NOV</v>
      </c>
      <c r="H4680" t="str">
        <f>UPPER(TEXT(Tabela_DB[[#This Row],[DATA]],"aaaa"))</f>
        <v>2021</v>
      </c>
    </row>
    <row r="4681" spans="1:8" x14ac:dyDescent="0.25">
      <c r="A4681" s="2">
        <v>44517</v>
      </c>
      <c r="B4681" t="s">
        <v>45</v>
      </c>
      <c r="C4681">
        <v>-1604</v>
      </c>
      <c r="D4681" t="str">
        <f>VLOOKUP(B4681,Tabela_Auxiliar[],2,0)</f>
        <v>4. Despesas Operacionais</v>
      </c>
      <c r="E4681" t="str">
        <f>VLOOKUP(B4681,Tabela_Auxiliar[],4,0)</f>
        <v>Despesa com Pessoal</v>
      </c>
      <c r="F4681" t="str">
        <f>VLOOKUP(B4681,Tabela_Auxiliar[],3,0)</f>
        <v>Saída</v>
      </c>
      <c r="G4681" t="str">
        <f>UPPER(TEXT(Tabela_DB[[#This Row],[DATA]],"mmm"))</f>
        <v>NOV</v>
      </c>
      <c r="H4681" t="str">
        <f>UPPER(TEXT(Tabela_DB[[#This Row],[DATA]],"aaaa"))</f>
        <v>2021</v>
      </c>
    </row>
    <row r="4682" spans="1:8" x14ac:dyDescent="0.25">
      <c r="A4682" s="2">
        <v>44517</v>
      </c>
      <c r="B4682" t="s">
        <v>35</v>
      </c>
      <c r="C4682">
        <v>-1864</v>
      </c>
      <c r="D4682" t="str">
        <f>VLOOKUP(B4682,Tabela_Auxiliar[],2,0)</f>
        <v>2. Deduções da Receita</v>
      </c>
      <c r="E4682" t="str">
        <f>VLOOKUP(B4682,Tabela_Auxiliar[],4,0)</f>
        <v>Imposto</v>
      </c>
      <c r="F4682" t="str">
        <f>VLOOKUP(B4682,Tabela_Auxiliar[],3,0)</f>
        <v>Saída</v>
      </c>
      <c r="G4682" t="str">
        <f>UPPER(TEXT(Tabela_DB[[#This Row],[DATA]],"mmm"))</f>
        <v>NOV</v>
      </c>
      <c r="H4682" t="str">
        <f>UPPER(TEXT(Tabela_DB[[#This Row],[DATA]],"aaaa"))</f>
        <v>2021</v>
      </c>
    </row>
    <row r="4683" spans="1:8" x14ac:dyDescent="0.25">
      <c r="A4683" s="2">
        <v>44517</v>
      </c>
      <c r="B4683" t="s">
        <v>49</v>
      </c>
      <c r="C4683">
        <v>-1816</v>
      </c>
      <c r="D4683" t="str">
        <f>VLOOKUP(B4683,Tabela_Auxiliar[],2,0)</f>
        <v>4. Despesas Operacionais</v>
      </c>
      <c r="E4683" t="str">
        <f>VLOOKUP(B4683,Tabela_Auxiliar[],4,0)</f>
        <v>Despesa com Pessoal</v>
      </c>
      <c r="F4683" t="str">
        <f>VLOOKUP(B4683,Tabela_Auxiliar[],3,0)</f>
        <v>Saída</v>
      </c>
      <c r="G4683" t="str">
        <f>UPPER(TEXT(Tabela_DB[[#This Row],[DATA]],"mmm"))</f>
        <v>NOV</v>
      </c>
      <c r="H4683" t="str">
        <f>UPPER(TEXT(Tabela_DB[[#This Row],[DATA]],"aaaa"))</f>
        <v>2021</v>
      </c>
    </row>
    <row r="4684" spans="1:8" x14ac:dyDescent="0.25">
      <c r="A4684" s="2">
        <v>44517</v>
      </c>
      <c r="B4684" t="s">
        <v>77</v>
      </c>
      <c r="C4684">
        <v>-2174</v>
      </c>
      <c r="D4684" t="str">
        <f>VLOOKUP(B4684,Tabela_Auxiliar[],2,0)</f>
        <v>4. Despesas Operacionais</v>
      </c>
      <c r="E4684" t="str">
        <f>VLOOKUP(B4684,Tabela_Auxiliar[],4,0)</f>
        <v>Serviços Contratados</v>
      </c>
      <c r="F4684" t="str">
        <f>VLOOKUP(B4684,Tabela_Auxiliar[],3,0)</f>
        <v>Saída</v>
      </c>
      <c r="G4684" t="str">
        <f>UPPER(TEXT(Tabela_DB[[#This Row],[DATA]],"mmm"))</f>
        <v>NOV</v>
      </c>
      <c r="H4684" t="str">
        <f>UPPER(TEXT(Tabela_DB[[#This Row],[DATA]],"aaaa"))</f>
        <v>2021</v>
      </c>
    </row>
    <row r="4685" spans="1:8" x14ac:dyDescent="0.25">
      <c r="A4685" s="2">
        <v>44517</v>
      </c>
      <c r="B4685" t="s">
        <v>34</v>
      </c>
      <c r="C4685">
        <v>-1583</v>
      </c>
      <c r="D4685" t="str">
        <f>VLOOKUP(B4685,Tabela_Auxiliar[],2,0)</f>
        <v>2. Deduções da Receita</v>
      </c>
      <c r="E4685" t="str">
        <f>VLOOKUP(B4685,Tabela_Auxiliar[],4,0)</f>
        <v>Imposto</v>
      </c>
      <c r="F4685" t="str">
        <f>VLOOKUP(B4685,Tabela_Auxiliar[],3,0)</f>
        <v>Saída</v>
      </c>
      <c r="G4685" t="str">
        <f>UPPER(TEXT(Tabela_DB[[#This Row],[DATA]],"mmm"))</f>
        <v>NOV</v>
      </c>
      <c r="H4685" t="str">
        <f>UPPER(TEXT(Tabela_DB[[#This Row],[DATA]],"aaaa"))</f>
        <v>2021</v>
      </c>
    </row>
    <row r="4686" spans="1:8" x14ac:dyDescent="0.25">
      <c r="A4686" s="2">
        <v>44518</v>
      </c>
      <c r="B4686" t="s">
        <v>55</v>
      </c>
      <c r="C4686">
        <v>-1859</v>
      </c>
      <c r="D4686" t="str">
        <f>VLOOKUP(B4686,Tabela_Auxiliar[],2,0)</f>
        <v>4. Despesas Operacionais</v>
      </c>
      <c r="E4686" t="str">
        <f>VLOOKUP(B4686,Tabela_Auxiliar[],4,0)</f>
        <v>Despesa com Pessoal</v>
      </c>
      <c r="F4686" t="str">
        <f>VLOOKUP(B4686,Tabela_Auxiliar[],3,0)</f>
        <v>Saída</v>
      </c>
      <c r="G4686" t="str">
        <f>UPPER(TEXT(Tabela_DB[[#This Row],[DATA]],"mmm"))</f>
        <v>NOV</v>
      </c>
      <c r="H4686" t="str">
        <f>UPPER(TEXT(Tabela_DB[[#This Row],[DATA]],"aaaa"))</f>
        <v>2021</v>
      </c>
    </row>
    <row r="4687" spans="1:8" x14ac:dyDescent="0.25">
      <c r="A4687" s="2">
        <v>44518</v>
      </c>
      <c r="B4687" t="s">
        <v>4</v>
      </c>
      <c r="C4687">
        <v>10499</v>
      </c>
      <c r="D4687" t="str">
        <f>VLOOKUP(B4687,Tabela_Auxiliar[],2,0)</f>
        <v>1. Receita Operacional Bruta</v>
      </c>
      <c r="E4687" t="str">
        <f>VLOOKUP(B4687,Tabela_Auxiliar[],4,0)</f>
        <v>Receita Bruta</v>
      </c>
      <c r="F4687" t="str">
        <f>VLOOKUP(B4687,Tabela_Auxiliar[],3,0)</f>
        <v>Entrada</v>
      </c>
      <c r="G4687" t="str">
        <f>UPPER(TEXT(Tabela_DB[[#This Row],[DATA]],"mmm"))</f>
        <v>NOV</v>
      </c>
      <c r="H4687" t="str">
        <f>UPPER(TEXT(Tabela_DB[[#This Row],[DATA]],"aaaa"))</f>
        <v>2021</v>
      </c>
    </row>
    <row r="4688" spans="1:8" x14ac:dyDescent="0.25">
      <c r="A4688" s="2">
        <v>44518</v>
      </c>
      <c r="B4688" t="s">
        <v>111</v>
      </c>
      <c r="C4688">
        <v>-1425</v>
      </c>
      <c r="D4688" t="str">
        <f>VLOOKUP(B4688,Tabela_Auxiliar[],2,0)</f>
        <v>2. Deduções da Receita</v>
      </c>
      <c r="E4688" t="str">
        <f>VLOOKUP(B4688,Tabela_Auxiliar[],4,0)</f>
        <v>Imposto</v>
      </c>
      <c r="F4688" t="str">
        <f>VLOOKUP(B4688,Tabela_Auxiliar[],3,0)</f>
        <v>Saída</v>
      </c>
      <c r="G4688" t="str">
        <f>UPPER(TEXT(Tabela_DB[[#This Row],[DATA]],"mmm"))</f>
        <v>NOV</v>
      </c>
      <c r="H4688" t="str">
        <f>UPPER(TEXT(Tabela_DB[[#This Row],[DATA]],"aaaa"))</f>
        <v>2021</v>
      </c>
    </row>
    <row r="4689" spans="1:8" x14ac:dyDescent="0.25">
      <c r="A4689" s="2">
        <v>44518</v>
      </c>
      <c r="B4689" t="s">
        <v>33</v>
      </c>
      <c r="C4689">
        <v>-1948</v>
      </c>
      <c r="D4689" t="str">
        <f>VLOOKUP(B4689,Tabela_Auxiliar[],2,0)</f>
        <v>4. Despesas Operacionais</v>
      </c>
      <c r="E4689" t="str">
        <f>VLOOKUP(B4689,Tabela_Auxiliar[],4,0)</f>
        <v>Despesa com Vendas</v>
      </c>
      <c r="F4689" t="str">
        <f>VLOOKUP(B4689,Tabela_Auxiliar[],3,0)</f>
        <v>Saída</v>
      </c>
      <c r="G4689" t="str">
        <f>UPPER(TEXT(Tabela_DB[[#This Row],[DATA]],"mmm"))</f>
        <v>NOV</v>
      </c>
      <c r="H4689" t="str">
        <f>UPPER(TEXT(Tabela_DB[[#This Row],[DATA]],"aaaa"))</f>
        <v>2021</v>
      </c>
    </row>
    <row r="4690" spans="1:8" x14ac:dyDescent="0.25">
      <c r="A4690" s="2">
        <v>44518</v>
      </c>
      <c r="B4690" t="s">
        <v>37</v>
      </c>
      <c r="C4690">
        <v>-4287</v>
      </c>
      <c r="D4690" t="str">
        <f>VLOOKUP(B4690,Tabela_Auxiliar[],2,0)</f>
        <v>3. Custos do Produto/Mercadoria/Serviço</v>
      </c>
      <c r="E4690" t="str">
        <f>VLOOKUP(B4690,Tabela_Auxiliar[],4,0)</f>
        <v>Despesas c/ Produto</v>
      </c>
      <c r="F4690" t="str">
        <f>VLOOKUP(B4690,Tabela_Auxiliar[],3,0)</f>
        <v>Saída</v>
      </c>
      <c r="G4690" t="str">
        <f>UPPER(TEXT(Tabela_DB[[#This Row],[DATA]],"mmm"))</f>
        <v>NOV</v>
      </c>
      <c r="H4690" t="str">
        <f>UPPER(TEXT(Tabela_DB[[#This Row],[DATA]],"aaaa"))</f>
        <v>2021</v>
      </c>
    </row>
    <row r="4691" spans="1:8" x14ac:dyDescent="0.25">
      <c r="A4691" s="2">
        <v>44518</v>
      </c>
      <c r="B4691" t="s">
        <v>37</v>
      </c>
      <c r="C4691">
        <v>-4958</v>
      </c>
      <c r="D4691" t="str">
        <f>VLOOKUP(B4691,Tabela_Auxiliar[],2,0)</f>
        <v>3. Custos do Produto/Mercadoria/Serviço</v>
      </c>
      <c r="E4691" t="str">
        <f>VLOOKUP(B4691,Tabela_Auxiliar[],4,0)</f>
        <v>Despesas c/ Produto</v>
      </c>
      <c r="F4691" t="str">
        <f>VLOOKUP(B4691,Tabela_Auxiliar[],3,0)</f>
        <v>Saída</v>
      </c>
      <c r="G4691" t="str">
        <f>UPPER(TEXT(Tabela_DB[[#This Row],[DATA]],"mmm"))</f>
        <v>NOV</v>
      </c>
      <c r="H4691" t="str">
        <f>UPPER(TEXT(Tabela_DB[[#This Row],[DATA]],"aaaa"))</f>
        <v>2021</v>
      </c>
    </row>
    <row r="4692" spans="1:8" x14ac:dyDescent="0.25">
      <c r="A4692" s="2">
        <v>44518</v>
      </c>
      <c r="B4692" t="s">
        <v>37</v>
      </c>
      <c r="C4692">
        <v>-2949</v>
      </c>
      <c r="D4692" t="str">
        <f>VLOOKUP(B4692,Tabela_Auxiliar[],2,0)</f>
        <v>3. Custos do Produto/Mercadoria/Serviço</v>
      </c>
      <c r="E4692" t="str">
        <f>VLOOKUP(B4692,Tabela_Auxiliar[],4,0)</f>
        <v>Despesas c/ Produto</v>
      </c>
      <c r="F4692" t="str">
        <f>VLOOKUP(B4692,Tabela_Auxiliar[],3,0)</f>
        <v>Saída</v>
      </c>
      <c r="G4692" t="str">
        <f>UPPER(TEXT(Tabela_DB[[#This Row],[DATA]],"mmm"))</f>
        <v>NOV</v>
      </c>
      <c r="H4692" t="str">
        <f>UPPER(TEXT(Tabela_DB[[#This Row],[DATA]],"aaaa"))</f>
        <v>2021</v>
      </c>
    </row>
    <row r="4693" spans="1:8" x14ac:dyDescent="0.25">
      <c r="A4693" s="2">
        <v>44519</v>
      </c>
      <c r="B4693" t="s">
        <v>79</v>
      </c>
      <c r="C4693">
        <v>-1299</v>
      </c>
      <c r="D4693" t="str">
        <f>VLOOKUP(B4693,Tabela_Auxiliar[],2,0)</f>
        <v>4. Despesas Operacionais</v>
      </c>
      <c r="E4693" t="str">
        <f>VLOOKUP(B4693,Tabela_Auxiliar[],4,0)</f>
        <v>Serviços Contratados</v>
      </c>
      <c r="F4693" t="str">
        <f>VLOOKUP(B4693,Tabela_Auxiliar[],3,0)</f>
        <v>Saída</v>
      </c>
      <c r="G4693" t="str">
        <f>UPPER(TEXT(Tabela_DB[[#This Row],[DATA]],"mmm"))</f>
        <v>NOV</v>
      </c>
      <c r="H4693" t="str">
        <f>UPPER(TEXT(Tabela_DB[[#This Row],[DATA]],"aaaa"))</f>
        <v>2021</v>
      </c>
    </row>
    <row r="4694" spans="1:8" x14ac:dyDescent="0.25">
      <c r="A4694" s="2">
        <v>44519</v>
      </c>
      <c r="B4694" t="s">
        <v>37</v>
      </c>
      <c r="C4694">
        <v>-3638</v>
      </c>
      <c r="D4694" t="str">
        <f>VLOOKUP(B4694,Tabela_Auxiliar[],2,0)</f>
        <v>3. Custos do Produto/Mercadoria/Serviço</v>
      </c>
      <c r="E4694" t="str">
        <f>VLOOKUP(B4694,Tabela_Auxiliar[],4,0)</f>
        <v>Despesas c/ Produto</v>
      </c>
      <c r="F4694" t="str">
        <f>VLOOKUP(B4694,Tabela_Auxiliar[],3,0)</f>
        <v>Saída</v>
      </c>
      <c r="G4694" t="str">
        <f>UPPER(TEXT(Tabela_DB[[#This Row],[DATA]],"mmm"))</f>
        <v>NOV</v>
      </c>
      <c r="H4694" t="str">
        <f>UPPER(TEXT(Tabela_DB[[#This Row],[DATA]],"aaaa"))</f>
        <v>2021</v>
      </c>
    </row>
    <row r="4695" spans="1:8" x14ac:dyDescent="0.25">
      <c r="A4695" s="2">
        <v>44519</v>
      </c>
      <c r="B4695" t="s">
        <v>34</v>
      </c>
      <c r="C4695">
        <v>-1737</v>
      </c>
      <c r="D4695" t="str">
        <f>VLOOKUP(B4695,Tabela_Auxiliar[],2,0)</f>
        <v>2. Deduções da Receita</v>
      </c>
      <c r="E4695" t="str">
        <f>VLOOKUP(B4695,Tabela_Auxiliar[],4,0)</f>
        <v>Imposto</v>
      </c>
      <c r="F4695" t="str">
        <f>VLOOKUP(B4695,Tabela_Auxiliar[],3,0)</f>
        <v>Saída</v>
      </c>
      <c r="G4695" t="str">
        <f>UPPER(TEXT(Tabela_DB[[#This Row],[DATA]],"mmm"))</f>
        <v>NOV</v>
      </c>
      <c r="H4695" t="str">
        <f>UPPER(TEXT(Tabela_DB[[#This Row],[DATA]],"aaaa"))</f>
        <v>2021</v>
      </c>
    </row>
    <row r="4696" spans="1:8" x14ac:dyDescent="0.25">
      <c r="A4696" s="2">
        <v>44519</v>
      </c>
      <c r="B4696" t="s">
        <v>69</v>
      </c>
      <c r="C4696">
        <v>-1760</v>
      </c>
      <c r="D4696" t="str">
        <f>VLOOKUP(B4696,Tabela_Auxiliar[],2,0)</f>
        <v>4. Despesas Operacionais</v>
      </c>
      <c r="E4696" t="str">
        <f>VLOOKUP(B4696,Tabela_Auxiliar[],4,0)</f>
        <v>Despesa com Ocupação</v>
      </c>
      <c r="F4696" t="str">
        <f>VLOOKUP(B4696,Tabela_Auxiliar[],3,0)</f>
        <v>Saída</v>
      </c>
      <c r="G4696" t="str">
        <f>UPPER(TEXT(Tabela_DB[[#This Row],[DATA]],"mmm"))</f>
        <v>NOV</v>
      </c>
      <c r="H4696" t="str">
        <f>UPPER(TEXT(Tabela_DB[[#This Row],[DATA]],"aaaa"))</f>
        <v>2021</v>
      </c>
    </row>
    <row r="4697" spans="1:8" x14ac:dyDescent="0.25">
      <c r="A4697" s="2">
        <v>44519</v>
      </c>
      <c r="B4697" t="s">
        <v>38</v>
      </c>
      <c r="C4697">
        <v>-1703</v>
      </c>
      <c r="D4697" t="str">
        <f>VLOOKUP(B4697,Tabela_Auxiliar[],2,0)</f>
        <v>2. Deduções da Receita</v>
      </c>
      <c r="E4697" t="str">
        <f>VLOOKUP(B4697,Tabela_Auxiliar[],4,0)</f>
        <v>Deduções</v>
      </c>
      <c r="F4697" t="str">
        <f>VLOOKUP(B4697,Tabela_Auxiliar[],3,0)</f>
        <v>Saída</v>
      </c>
      <c r="G4697" t="str">
        <f>UPPER(TEXT(Tabela_DB[[#This Row],[DATA]],"mmm"))</f>
        <v>NOV</v>
      </c>
      <c r="H4697" t="str">
        <f>UPPER(TEXT(Tabela_DB[[#This Row],[DATA]],"aaaa"))</f>
        <v>2021</v>
      </c>
    </row>
    <row r="4698" spans="1:8" x14ac:dyDescent="0.25">
      <c r="A4698" s="2">
        <v>44519</v>
      </c>
      <c r="B4698" t="s">
        <v>89</v>
      </c>
      <c r="C4698">
        <v>-1773</v>
      </c>
      <c r="D4698" t="str">
        <f>VLOOKUP(B4698,Tabela_Auxiliar[],2,0)</f>
        <v>4. Despesas Operacionais</v>
      </c>
      <c r="E4698" t="str">
        <f>VLOOKUP(B4698,Tabela_Auxiliar[],4,0)</f>
        <v>Despesa Tributária</v>
      </c>
      <c r="F4698" t="str">
        <f>VLOOKUP(B4698,Tabela_Auxiliar[],3,0)</f>
        <v>Saída</v>
      </c>
      <c r="G4698" t="str">
        <f>UPPER(TEXT(Tabela_DB[[#This Row],[DATA]],"mmm"))</f>
        <v>NOV</v>
      </c>
      <c r="H4698" t="str">
        <f>UPPER(TEXT(Tabela_DB[[#This Row],[DATA]],"aaaa"))</f>
        <v>2021</v>
      </c>
    </row>
    <row r="4699" spans="1:8" x14ac:dyDescent="0.25">
      <c r="A4699" s="2">
        <v>44519</v>
      </c>
      <c r="B4699" t="s">
        <v>3</v>
      </c>
      <c r="C4699">
        <v>11154</v>
      </c>
      <c r="D4699" t="str">
        <f>VLOOKUP(B4699,Tabela_Auxiliar[],2,0)</f>
        <v>1. Receita Operacional Bruta</v>
      </c>
      <c r="E4699" t="str">
        <f>VLOOKUP(B4699,Tabela_Auxiliar[],4,0)</f>
        <v>Receita Bruta</v>
      </c>
      <c r="F4699" t="str">
        <f>VLOOKUP(B4699,Tabela_Auxiliar[],3,0)</f>
        <v>Entrada</v>
      </c>
      <c r="G4699" t="str">
        <f>UPPER(TEXT(Tabela_DB[[#This Row],[DATA]],"mmm"))</f>
        <v>NOV</v>
      </c>
      <c r="H4699" t="str">
        <f>UPPER(TEXT(Tabela_DB[[#This Row],[DATA]],"aaaa"))</f>
        <v>2021</v>
      </c>
    </row>
    <row r="4700" spans="1:8" x14ac:dyDescent="0.25">
      <c r="A4700" s="2">
        <v>44520</v>
      </c>
      <c r="B4700" t="s">
        <v>34</v>
      </c>
      <c r="C4700">
        <v>-1805</v>
      </c>
      <c r="D4700" t="str">
        <f>VLOOKUP(B4700,Tabela_Auxiliar[],2,0)</f>
        <v>2. Deduções da Receita</v>
      </c>
      <c r="E4700" t="str">
        <f>VLOOKUP(B4700,Tabela_Auxiliar[],4,0)</f>
        <v>Imposto</v>
      </c>
      <c r="F4700" t="str">
        <f>VLOOKUP(B4700,Tabela_Auxiliar[],3,0)</f>
        <v>Saída</v>
      </c>
      <c r="G4700" t="str">
        <f>UPPER(TEXT(Tabela_DB[[#This Row],[DATA]],"mmm"))</f>
        <v>NOV</v>
      </c>
      <c r="H4700" t="str">
        <f>UPPER(TEXT(Tabela_DB[[#This Row],[DATA]],"aaaa"))</f>
        <v>2021</v>
      </c>
    </row>
    <row r="4701" spans="1:8" x14ac:dyDescent="0.25">
      <c r="A4701" s="2">
        <v>44520</v>
      </c>
      <c r="B4701" t="s">
        <v>38</v>
      </c>
      <c r="C4701">
        <v>-1709</v>
      </c>
      <c r="D4701" t="str">
        <f>VLOOKUP(B4701,Tabela_Auxiliar[],2,0)</f>
        <v>2. Deduções da Receita</v>
      </c>
      <c r="E4701" t="str">
        <f>VLOOKUP(B4701,Tabela_Auxiliar[],4,0)</f>
        <v>Deduções</v>
      </c>
      <c r="F4701" t="str">
        <f>VLOOKUP(B4701,Tabela_Auxiliar[],3,0)</f>
        <v>Saída</v>
      </c>
      <c r="G4701" t="str">
        <f>UPPER(TEXT(Tabela_DB[[#This Row],[DATA]],"mmm"))</f>
        <v>NOV</v>
      </c>
      <c r="H4701" t="str">
        <f>UPPER(TEXT(Tabela_DB[[#This Row],[DATA]],"aaaa"))</f>
        <v>2021</v>
      </c>
    </row>
    <row r="4702" spans="1:8" x14ac:dyDescent="0.25">
      <c r="A4702" s="2">
        <v>44520</v>
      </c>
      <c r="B4702" t="s">
        <v>35</v>
      </c>
      <c r="C4702">
        <v>-1903</v>
      </c>
      <c r="D4702" t="str">
        <f>VLOOKUP(B4702,Tabela_Auxiliar[],2,0)</f>
        <v>2. Deduções da Receita</v>
      </c>
      <c r="E4702" t="str">
        <f>VLOOKUP(B4702,Tabela_Auxiliar[],4,0)</f>
        <v>Imposto</v>
      </c>
      <c r="F4702" t="str">
        <f>VLOOKUP(B4702,Tabela_Auxiliar[],3,0)</f>
        <v>Saída</v>
      </c>
      <c r="G4702" t="str">
        <f>UPPER(TEXT(Tabela_DB[[#This Row],[DATA]],"mmm"))</f>
        <v>NOV</v>
      </c>
      <c r="H4702" t="str">
        <f>UPPER(TEXT(Tabela_DB[[#This Row],[DATA]],"aaaa"))</f>
        <v>2021</v>
      </c>
    </row>
    <row r="4703" spans="1:8" x14ac:dyDescent="0.25">
      <c r="A4703" s="2">
        <v>44520</v>
      </c>
      <c r="B4703" t="s">
        <v>68</v>
      </c>
      <c r="C4703">
        <v>-1553</v>
      </c>
      <c r="D4703" t="str">
        <f>VLOOKUP(B4703,Tabela_Auxiliar[],2,0)</f>
        <v>4. Despesas Operacionais</v>
      </c>
      <c r="E4703" t="str">
        <f>VLOOKUP(B4703,Tabela_Auxiliar[],4,0)</f>
        <v>Despesa com Ocupação</v>
      </c>
      <c r="F4703" t="str">
        <f>VLOOKUP(B4703,Tabela_Auxiliar[],3,0)</f>
        <v>Saída</v>
      </c>
      <c r="G4703" t="str">
        <f>UPPER(TEXT(Tabela_DB[[#This Row],[DATA]],"mmm"))</f>
        <v>NOV</v>
      </c>
      <c r="H4703" t="str">
        <f>UPPER(TEXT(Tabela_DB[[#This Row],[DATA]],"aaaa"))</f>
        <v>2021</v>
      </c>
    </row>
    <row r="4704" spans="1:8" x14ac:dyDescent="0.25">
      <c r="A4704" s="2">
        <v>44520</v>
      </c>
      <c r="B4704" t="s">
        <v>88</v>
      </c>
      <c r="C4704">
        <v>-1252</v>
      </c>
      <c r="D4704" t="str">
        <f>VLOOKUP(B4704,Tabela_Auxiliar[],2,0)</f>
        <v>4. Despesas Operacionais</v>
      </c>
      <c r="E4704" t="str">
        <f>VLOOKUP(B4704,Tabela_Auxiliar[],4,0)</f>
        <v>Despesa Tributária</v>
      </c>
      <c r="F4704" t="str">
        <f>VLOOKUP(B4704,Tabela_Auxiliar[],3,0)</f>
        <v>Saída</v>
      </c>
      <c r="G4704" t="str">
        <f>UPPER(TEXT(Tabela_DB[[#This Row],[DATA]],"mmm"))</f>
        <v>NOV</v>
      </c>
      <c r="H4704" t="str">
        <f>UPPER(TEXT(Tabela_DB[[#This Row],[DATA]],"aaaa"))</f>
        <v>2021</v>
      </c>
    </row>
    <row r="4705" spans="1:8" x14ac:dyDescent="0.25">
      <c r="A4705" s="2">
        <v>44520</v>
      </c>
      <c r="B4705" t="s">
        <v>53</v>
      </c>
      <c r="C4705">
        <v>-2294</v>
      </c>
      <c r="D4705" t="str">
        <f>VLOOKUP(B4705,Tabela_Auxiliar[],2,0)</f>
        <v>4. Despesas Operacionais</v>
      </c>
      <c r="E4705" t="str">
        <f>VLOOKUP(B4705,Tabela_Auxiliar[],4,0)</f>
        <v>Despesa com Pessoal</v>
      </c>
      <c r="F4705" t="str">
        <f>VLOOKUP(B4705,Tabela_Auxiliar[],3,0)</f>
        <v>Saída</v>
      </c>
      <c r="G4705" t="str">
        <f>UPPER(TEXT(Tabela_DB[[#This Row],[DATA]],"mmm"))</f>
        <v>NOV</v>
      </c>
      <c r="H4705" t="str">
        <f>UPPER(TEXT(Tabela_DB[[#This Row],[DATA]],"aaaa"))</f>
        <v>2021</v>
      </c>
    </row>
    <row r="4706" spans="1:8" x14ac:dyDescent="0.25">
      <c r="A4706" s="2">
        <v>44520</v>
      </c>
      <c r="B4706" t="s">
        <v>37</v>
      </c>
      <c r="C4706">
        <v>-2558</v>
      </c>
      <c r="D4706" t="str">
        <f>VLOOKUP(B4706,Tabela_Auxiliar[],2,0)</f>
        <v>3. Custos do Produto/Mercadoria/Serviço</v>
      </c>
      <c r="E4706" t="str">
        <f>VLOOKUP(B4706,Tabela_Auxiliar[],4,0)</f>
        <v>Despesas c/ Produto</v>
      </c>
      <c r="F4706" t="str">
        <f>VLOOKUP(B4706,Tabela_Auxiliar[],3,0)</f>
        <v>Saída</v>
      </c>
      <c r="G4706" t="str">
        <f>UPPER(TEXT(Tabela_DB[[#This Row],[DATA]],"mmm"))</f>
        <v>NOV</v>
      </c>
      <c r="H4706" t="str">
        <f>UPPER(TEXT(Tabela_DB[[#This Row],[DATA]],"aaaa"))</f>
        <v>2021</v>
      </c>
    </row>
    <row r="4707" spans="1:8" x14ac:dyDescent="0.25">
      <c r="A4707" s="2">
        <v>44521</v>
      </c>
      <c r="B4707" t="s">
        <v>102</v>
      </c>
      <c r="C4707">
        <v>-1417</v>
      </c>
      <c r="D4707" t="str">
        <f>VLOOKUP(B4707,Tabela_Auxiliar[],2,0)</f>
        <v>6. Resultado após o Resultado Financeiro</v>
      </c>
      <c r="E4707" t="str">
        <f>VLOOKUP(B4707,Tabela_Auxiliar[],4,0)</f>
        <v>EBTIDA</v>
      </c>
      <c r="F4707" t="str">
        <f>VLOOKUP(B4707,Tabela_Auxiliar[],3,0)</f>
        <v>Saída</v>
      </c>
      <c r="G4707" t="str">
        <f>UPPER(TEXT(Tabela_DB[[#This Row],[DATA]],"mmm"))</f>
        <v>NOV</v>
      </c>
      <c r="H4707" t="str">
        <f>UPPER(TEXT(Tabela_DB[[#This Row],[DATA]],"aaaa"))</f>
        <v>2021</v>
      </c>
    </row>
    <row r="4708" spans="1:8" x14ac:dyDescent="0.25">
      <c r="A4708" s="2">
        <v>44521</v>
      </c>
      <c r="B4708" t="s">
        <v>35</v>
      </c>
      <c r="C4708">
        <v>-1153</v>
      </c>
      <c r="D4708" t="str">
        <f>VLOOKUP(B4708,Tabela_Auxiliar[],2,0)</f>
        <v>2. Deduções da Receita</v>
      </c>
      <c r="E4708" t="str">
        <f>VLOOKUP(B4708,Tabela_Auxiliar[],4,0)</f>
        <v>Imposto</v>
      </c>
      <c r="F4708" t="str">
        <f>VLOOKUP(B4708,Tabela_Auxiliar[],3,0)</f>
        <v>Saída</v>
      </c>
      <c r="G4708" t="str">
        <f>UPPER(TEXT(Tabela_DB[[#This Row],[DATA]],"mmm"))</f>
        <v>NOV</v>
      </c>
      <c r="H4708" t="str">
        <f>UPPER(TEXT(Tabela_DB[[#This Row],[DATA]],"aaaa"))</f>
        <v>2021</v>
      </c>
    </row>
    <row r="4709" spans="1:8" x14ac:dyDescent="0.25">
      <c r="A4709" s="2">
        <v>44521</v>
      </c>
      <c r="B4709" t="s">
        <v>90</v>
      </c>
      <c r="C4709">
        <v>-1472</v>
      </c>
      <c r="D4709" t="str">
        <f>VLOOKUP(B4709,Tabela_Auxiliar[],2,0)</f>
        <v>4. Despesas Operacionais</v>
      </c>
      <c r="E4709" t="str">
        <f>VLOOKUP(B4709,Tabela_Auxiliar[],4,0)</f>
        <v>Despesa Tributária</v>
      </c>
      <c r="F4709" t="str">
        <f>VLOOKUP(B4709,Tabela_Auxiliar[],3,0)</f>
        <v>Saída</v>
      </c>
      <c r="G4709" t="str">
        <f>UPPER(TEXT(Tabela_DB[[#This Row],[DATA]],"mmm"))</f>
        <v>NOV</v>
      </c>
      <c r="H4709" t="str">
        <f>UPPER(TEXT(Tabela_DB[[#This Row],[DATA]],"aaaa"))</f>
        <v>2021</v>
      </c>
    </row>
    <row r="4710" spans="1:8" x14ac:dyDescent="0.25">
      <c r="A4710" s="2">
        <v>44522</v>
      </c>
      <c r="B4710" t="s">
        <v>3</v>
      </c>
      <c r="C4710">
        <v>14619</v>
      </c>
      <c r="D4710" t="str">
        <f>VLOOKUP(B4710,Tabela_Auxiliar[],2,0)</f>
        <v>1. Receita Operacional Bruta</v>
      </c>
      <c r="E4710" t="str">
        <f>VLOOKUP(B4710,Tabela_Auxiliar[],4,0)</f>
        <v>Receita Bruta</v>
      </c>
      <c r="F4710" t="str">
        <f>VLOOKUP(B4710,Tabela_Auxiliar[],3,0)</f>
        <v>Entrada</v>
      </c>
      <c r="G4710" t="str">
        <f>UPPER(TEXT(Tabela_DB[[#This Row],[DATA]],"mmm"))</f>
        <v>NOV</v>
      </c>
      <c r="H4710" t="str">
        <f>UPPER(TEXT(Tabela_DB[[#This Row],[DATA]],"aaaa"))</f>
        <v>2021</v>
      </c>
    </row>
    <row r="4711" spans="1:8" x14ac:dyDescent="0.25">
      <c r="A4711" s="2">
        <v>44522</v>
      </c>
      <c r="B4711" t="s">
        <v>57</v>
      </c>
      <c r="C4711">
        <v>-1500</v>
      </c>
      <c r="D4711" t="str">
        <f>VLOOKUP(B4711,Tabela_Auxiliar[],2,0)</f>
        <v>4. Despesas Operacionais</v>
      </c>
      <c r="E4711" t="str">
        <f>VLOOKUP(B4711,Tabela_Auxiliar[],4,0)</f>
        <v>Despesa com Pessoal</v>
      </c>
      <c r="F4711" t="str">
        <f>VLOOKUP(B4711,Tabela_Auxiliar[],3,0)</f>
        <v>Saída</v>
      </c>
      <c r="G4711" t="str">
        <f>UPPER(TEXT(Tabela_DB[[#This Row],[DATA]],"mmm"))</f>
        <v>NOV</v>
      </c>
      <c r="H4711" t="str">
        <f>UPPER(TEXT(Tabela_DB[[#This Row],[DATA]],"aaaa"))</f>
        <v>2021</v>
      </c>
    </row>
    <row r="4712" spans="1:8" x14ac:dyDescent="0.25">
      <c r="A4712" s="2">
        <v>44522</v>
      </c>
      <c r="B4712" t="s">
        <v>79</v>
      </c>
      <c r="C4712">
        <v>-1915</v>
      </c>
      <c r="D4712" t="str">
        <f>VLOOKUP(B4712,Tabela_Auxiliar[],2,0)</f>
        <v>4. Despesas Operacionais</v>
      </c>
      <c r="E4712" t="str">
        <f>VLOOKUP(B4712,Tabela_Auxiliar[],4,0)</f>
        <v>Serviços Contratados</v>
      </c>
      <c r="F4712" t="str">
        <f>VLOOKUP(B4712,Tabela_Auxiliar[],3,0)</f>
        <v>Saída</v>
      </c>
      <c r="G4712" t="str">
        <f>UPPER(TEXT(Tabela_DB[[#This Row],[DATA]],"mmm"))</f>
        <v>NOV</v>
      </c>
      <c r="H4712" t="str">
        <f>UPPER(TEXT(Tabela_DB[[#This Row],[DATA]],"aaaa"))</f>
        <v>2021</v>
      </c>
    </row>
    <row r="4713" spans="1:8" x14ac:dyDescent="0.25">
      <c r="A4713" s="2">
        <v>44523</v>
      </c>
      <c r="B4713" t="s">
        <v>4</v>
      </c>
      <c r="C4713">
        <v>11594</v>
      </c>
      <c r="D4713" t="str">
        <f>VLOOKUP(B4713,Tabela_Auxiliar[],2,0)</f>
        <v>1. Receita Operacional Bruta</v>
      </c>
      <c r="E4713" t="str">
        <f>VLOOKUP(B4713,Tabela_Auxiliar[],4,0)</f>
        <v>Receita Bruta</v>
      </c>
      <c r="F4713" t="str">
        <f>VLOOKUP(B4713,Tabela_Auxiliar[],3,0)</f>
        <v>Entrada</v>
      </c>
      <c r="G4713" t="str">
        <f>UPPER(TEXT(Tabela_DB[[#This Row],[DATA]],"mmm"))</f>
        <v>NOV</v>
      </c>
      <c r="H4713" t="str">
        <f>UPPER(TEXT(Tabela_DB[[#This Row],[DATA]],"aaaa"))</f>
        <v>2021</v>
      </c>
    </row>
    <row r="4714" spans="1:8" x14ac:dyDescent="0.25">
      <c r="A4714" s="2">
        <v>44523</v>
      </c>
      <c r="B4714" t="s">
        <v>3</v>
      </c>
      <c r="C4714">
        <v>10183</v>
      </c>
      <c r="D4714" t="str">
        <f>VLOOKUP(B4714,Tabela_Auxiliar[],2,0)</f>
        <v>1. Receita Operacional Bruta</v>
      </c>
      <c r="E4714" t="str">
        <f>VLOOKUP(B4714,Tabela_Auxiliar[],4,0)</f>
        <v>Receita Bruta</v>
      </c>
      <c r="F4714" t="str">
        <f>VLOOKUP(B4714,Tabela_Auxiliar[],3,0)</f>
        <v>Entrada</v>
      </c>
      <c r="G4714" t="str">
        <f>UPPER(TEXT(Tabela_DB[[#This Row],[DATA]],"mmm"))</f>
        <v>NOV</v>
      </c>
      <c r="H4714" t="str">
        <f>UPPER(TEXT(Tabela_DB[[#This Row],[DATA]],"aaaa"))</f>
        <v>2021</v>
      </c>
    </row>
    <row r="4715" spans="1:8" x14ac:dyDescent="0.25">
      <c r="A4715" s="2">
        <v>44523</v>
      </c>
      <c r="B4715" t="s">
        <v>3</v>
      </c>
      <c r="C4715">
        <v>14030</v>
      </c>
      <c r="D4715" t="str">
        <f>VLOOKUP(B4715,Tabela_Auxiliar[],2,0)</f>
        <v>1. Receita Operacional Bruta</v>
      </c>
      <c r="E4715" t="str">
        <f>VLOOKUP(B4715,Tabela_Auxiliar[],4,0)</f>
        <v>Receita Bruta</v>
      </c>
      <c r="F4715" t="str">
        <f>VLOOKUP(B4715,Tabela_Auxiliar[],3,0)</f>
        <v>Entrada</v>
      </c>
      <c r="G4715" t="str">
        <f>UPPER(TEXT(Tabela_DB[[#This Row],[DATA]],"mmm"))</f>
        <v>NOV</v>
      </c>
      <c r="H4715" t="str">
        <f>UPPER(TEXT(Tabela_DB[[#This Row],[DATA]],"aaaa"))</f>
        <v>2021</v>
      </c>
    </row>
    <row r="4716" spans="1:8" x14ac:dyDescent="0.25">
      <c r="A4716" s="2">
        <v>44523</v>
      </c>
      <c r="B4716" t="s">
        <v>37</v>
      </c>
      <c r="C4716">
        <v>-4606</v>
      </c>
      <c r="D4716" t="str">
        <f>VLOOKUP(B4716,Tabela_Auxiliar[],2,0)</f>
        <v>3. Custos do Produto/Mercadoria/Serviço</v>
      </c>
      <c r="E4716" t="str">
        <f>VLOOKUP(B4716,Tabela_Auxiliar[],4,0)</f>
        <v>Despesas c/ Produto</v>
      </c>
      <c r="F4716" t="str">
        <f>VLOOKUP(B4716,Tabela_Auxiliar[],3,0)</f>
        <v>Saída</v>
      </c>
      <c r="G4716" t="str">
        <f>UPPER(TEXT(Tabela_DB[[#This Row],[DATA]],"mmm"))</f>
        <v>NOV</v>
      </c>
      <c r="H4716" t="str">
        <f>UPPER(TEXT(Tabela_DB[[#This Row],[DATA]],"aaaa"))</f>
        <v>2021</v>
      </c>
    </row>
    <row r="4717" spans="1:8" x14ac:dyDescent="0.25">
      <c r="A4717" s="2">
        <v>44523</v>
      </c>
      <c r="B4717" t="s">
        <v>38</v>
      </c>
      <c r="C4717">
        <v>-1684</v>
      </c>
      <c r="D4717" t="str">
        <f>VLOOKUP(B4717,Tabela_Auxiliar[],2,0)</f>
        <v>2. Deduções da Receita</v>
      </c>
      <c r="E4717" t="str">
        <f>VLOOKUP(B4717,Tabela_Auxiliar[],4,0)</f>
        <v>Deduções</v>
      </c>
      <c r="F4717" t="str">
        <f>VLOOKUP(B4717,Tabela_Auxiliar[],3,0)</f>
        <v>Saída</v>
      </c>
      <c r="G4717" t="str">
        <f>UPPER(TEXT(Tabela_DB[[#This Row],[DATA]],"mmm"))</f>
        <v>NOV</v>
      </c>
      <c r="H4717" t="str">
        <f>UPPER(TEXT(Tabela_DB[[#This Row],[DATA]],"aaaa"))</f>
        <v>2021</v>
      </c>
    </row>
    <row r="4718" spans="1:8" x14ac:dyDescent="0.25">
      <c r="A4718" s="2">
        <v>44523</v>
      </c>
      <c r="B4718" t="s">
        <v>66</v>
      </c>
      <c r="C4718">
        <v>-1619</v>
      </c>
      <c r="D4718" t="str">
        <f>VLOOKUP(B4718,Tabela_Auxiliar[],2,0)</f>
        <v>4. Despesas Operacionais</v>
      </c>
      <c r="E4718" t="str">
        <f>VLOOKUP(B4718,Tabela_Auxiliar[],4,0)</f>
        <v>Despesa com Vendas</v>
      </c>
      <c r="F4718" t="str">
        <f>VLOOKUP(B4718,Tabela_Auxiliar[],3,0)</f>
        <v>Saída</v>
      </c>
      <c r="G4718" t="str">
        <f>UPPER(TEXT(Tabela_DB[[#This Row],[DATA]],"mmm"))</f>
        <v>NOV</v>
      </c>
      <c r="H4718" t="str">
        <f>UPPER(TEXT(Tabela_DB[[#This Row],[DATA]],"aaaa"))</f>
        <v>2021</v>
      </c>
    </row>
    <row r="4719" spans="1:8" x14ac:dyDescent="0.25">
      <c r="A4719" s="2">
        <v>44523</v>
      </c>
      <c r="B4719" t="s">
        <v>34</v>
      </c>
      <c r="C4719">
        <v>-2364</v>
      </c>
      <c r="D4719" t="str">
        <f>VLOOKUP(B4719,Tabela_Auxiliar[],2,0)</f>
        <v>2. Deduções da Receita</v>
      </c>
      <c r="E4719" t="str">
        <f>VLOOKUP(B4719,Tabela_Auxiliar[],4,0)</f>
        <v>Imposto</v>
      </c>
      <c r="F4719" t="str">
        <f>VLOOKUP(B4719,Tabela_Auxiliar[],3,0)</f>
        <v>Saída</v>
      </c>
      <c r="G4719" t="str">
        <f>UPPER(TEXT(Tabela_DB[[#This Row],[DATA]],"mmm"))</f>
        <v>NOV</v>
      </c>
      <c r="H4719" t="str">
        <f>UPPER(TEXT(Tabela_DB[[#This Row],[DATA]],"aaaa"))</f>
        <v>2021</v>
      </c>
    </row>
    <row r="4720" spans="1:8" x14ac:dyDescent="0.25">
      <c r="A4720" s="2">
        <v>44523</v>
      </c>
      <c r="B4720" t="s">
        <v>63</v>
      </c>
      <c r="C4720">
        <v>-1685</v>
      </c>
      <c r="D4720" t="str">
        <f>VLOOKUP(B4720,Tabela_Auxiliar[],2,0)</f>
        <v>4. Despesas Operacionais</v>
      </c>
      <c r="E4720" t="str">
        <f>VLOOKUP(B4720,Tabela_Auxiliar[],4,0)</f>
        <v>Despesa Gerais</v>
      </c>
      <c r="F4720" t="str">
        <f>VLOOKUP(B4720,Tabela_Auxiliar[],3,0)</f>
        <v>Saída</v>
      </c>
      <c r="G4720" t="str">
        <f>UPPER(TEXT(Tabela_DB[[#This Row],[DATA]],"mmm"))</f>
        <v>NOV</v>
      </c>
      <c r="H4720" t="str">
        <f>UPPER(TEXT(Tabela_DB[[#This Row],[DATA]],"aaaa"))</f>
        <v>2021</v>
      </c>
    </row>
    <row r="4721" spans="1:8" x14ac:dyDescent="0.25">
      <c r="A4721" s="2">
        <v>44524</v>
      </c>
      <c r="B4721" t="s">
        <v>38</v>
      </c>
      <c r="C4721">
        <v>-1953</v>
      </c>
      <c r="D4721" t="str">
        <f>VLOOKUP(B4721,Tabela_Auxiliar[],2,0)</f>
        <v>2. Deduções da Receita</v>
      </c>
      <c r="E4721" t="str">
        <f>VLOOKUP(B4721,Tabela_Auxiliar[],4,0)</f>
        <v>Deduções</v>
      </c>
      <c r="F4721" t="str">
        <f>VLOOKUP(B4721,Tabela_Auxiliar[],3,0)</f>
        <v>Saída</v>
      </c>
      <c r="G4721" t="str">
        <f>UPPER(TEXT(Tabela_DB[[#This Row],[DATA]],"mmm"))</f>
        <v>NOV</v>
      </c>
      <c r="H4721" t="str">
        <f>UPPER(TEXT(Tabela_DB[[#This Row],[DATA]],"aaaa"))</f>
        <v>2021</v>
      </c>
    </row>
    <row r="4722" spans="1:8" x14ac:dyDescent="0.25">
      <c r="A4722" s="2">
        <v>44524</v>
      </c>
      <c r="B4722" t="s">
        <v>3</v>
      </c>
      <c r="C4722">
        <v>14514</v>
      </c>
      <c r="D4722" t="str">
        <f>VLOOKUP(B4722,Tabela_Auxiliar[],2,0)</f>
        <v>1. Receita Operacional Bruta</v>
      </c>
      <c r="E4722" t="str">
        <f>VLOOKUP(B4722,Tabela_Auxiliar[],4,0)</f>
        <v>Receita Bruta</v>
      </c>
      <c r="F4722" t="str">
        <f>VLOOKUP(B4722,Tabela_Auxiliar[],3,0)</f>
        <v>Entrada</v>
      </c>
      <c r="G4722" t="str">
        <f>UPPER(TEXT(Tabela_DB[[#This Row],[DATA]],"mmm"))</f>
        <v>NOV</v>
      </c>
      <c r="H4722" t="str">
        <f>UPPER(TEXT(Tabela_DB[[#This Row],[DATA]],"aaaa"))</f>
        <v>2021</v>
      </c>
    </row>
    <row r="4723" spans="1:8" x14ac:dyDescent="0.25">
      <c r="A4723" s="2">
        <v>44524</v>
      </c>
      <c r="B4723" t="s">
        <v>35</v>
      </c>
      <c r="C4723">
        <v>-1815</v>
      </c>
      <c r="D4723" t="str">
        <f>VLOOKUP(B4723,Tabela_Auxiliar[],2,0)</f>
        <v>2. Deduções da Receita</v>
      </c>
      <c r="E4723" t="str">
        <f>VLOOKUP(B4723,Tabela_Auxiliar[],4,0)</f>
        <v>Imposto</v>
      </c>
      <c r="F4723" t="str">
        <f>VLOOKUP(B4723,Tabela_Auxiliar[],3,0)</f>
        <v>Saída</v>
      </c>
      <c r="G4723" t="str">
        <f>UPPER(TEXT(Tabela_DB[[#This Row],[DATA]],"mmm"))</f>
        <v>NOV</v>
      </c>
      <c r="H4723" t="str">
        <f>UPPER(TEXT(Tabela_DB[[#This Row],[DATA]],"aaaa"))</f>
        <v>2021</v>
      </c>
    </row>
    <row r="4724" spans="1:8" x14ac:dyDescent="0.25">
      <c r="A4724" s="2">
        <v>44524</v>
      </c>
      <c r="B4724" t="s">
        <v>3</v>
      </c>
      <c r="C4724">
        <v>10205</v>
      </c>
      <c r="D4724" t="str">
        <f>VLOOKUP(B4724,Tabela_Auxiliar[],2,0)</f>
        <v>1. Receita Operacional Bruta</v>
      </c>
      <c r="E4724" t="str">
        <f>VLOOKUP(B4724,Tabela_Auxiliar[],4,0)</f>
        <v>Receita Bruta</v>
      </c>
      <c r="F4724" t="str">
        <f>VLOOKUP(B4724,Tabela_Auxiliar[],3,0)</f>
        <v>Entrada</v>
      </c>
      <c r="G4724" t="str">
        <f>UPPER(TEXT(Tabela_DB[[#This Row],[DATA]],"mmm"))</f>
        <v>NOV</v>
      </c>
      <c r="H4724" t="str">
        <f>UPPER(TEXT(Tabela_DB[[#This Row],[DATA]],"aaaa"))</f>
        <v>2021</v>
      </c>
    </row>
    <row r="4725" spans="1:8" x14ac:dyDescent="0.25">
      <c r="A4725" s="2">
        <v>44524</v>
      </c>
      <c r="B4725" t="s">
        <v>111</v>
      </c>
      <c r="C4725">
        <v>-1067</v>
      </c>
      <c r="D4725" t="str">
        <f>VLOOKUP(B4725,Tabela_Auxiliar[],2,0)</f>
        <v>2. Deduções da Receita</v>
      </c>
      <c r="E4725" t="str">
        <f>VLOOKUP(B4725,Tabela_Auxiliar[],4,0)</f>
        <v>Imposto</v>
      </c>
      <c r="F4725" t="str">
        <f>VLOOKUP(B4725,Tabela_Auxiliar[],3,0)</f>
        <v>Saída</v>
      </c>
      <c r="G4725" t="str">
        <f>UPPER(TEXT(Tabela_DB[[#This Row],[DATA]],"mmm"))</f>
        <v>NOV</v>
      </c>
      <c r="H4725" t="str">
        <f>UPPER(TEXT(Tabela_DB[[#This Row],[DATA]],"aaaa"))</f>
        <v>2021</v>
      </c>
    </row>
    <row r="4726" spans="1:8" x14ac:dyDescent="0.25">
      <c r="A4726" s="2">
        <v>44524</v>
      </c>
      <c r="B4726" t="s">
        <v>37</v>
      </c>
      <c r="C4726">
        <v>-3908</v>
      </c>
      <c r="D4726" t="str">
        <f>VLOOKUP(B4726,Tabela_Auxiliar[],2,0)</f>
        <v>3. Custos do Produto/Mercadoria/Serviço</v>
      </c>
      <c r="E4726" t="str">
        <f>VLOOKUP(B4726,Tabela_Auxiliar[],4,0)</f>
        <v>Despesas c/ Produto</v>
      </c>
      <c r="F4726" t="str">
        <f>VLOOKUP(B4726,Tabela_Auxiliar[],3,0)</f>
        <v>Saída</v>
      </c>
      <c r="G4726" t="str">
        <f>UPPER(TEXT(Tabela_DB[[#This Row],[DATA]],"mmm"))</f>
        <v>NOV</v>
      </c>
      <c r="H4726" t="str">
        <f>UPPER(TEXT(Tabela_DB[[#This Row],[DATA]],"aaaa"))</f>
        <v>2021</v>
      </c>
    </row>
    <row r="4727" spans="1:8" x14ac:dyDescent="0.25">
      <c r="A4727" s="2">
        <v>44524</v>
      </c>
      <c r="B4727" t="s">
        <v>4</v>
      </c>
      <c r="C4727">
        <v>10726</v>
      </c>
      <c r="D4727" t="str">
        <f>VLOOKUP(B4727,Tabela_Auxiliar[],2,0)</f>
        <v>1. Receita Operacional Bruta</v>
      </c>
      <c r="E4727" t="str">
        <f>VLOOKUP(B4727,Tabela_Auxiliar[],4,0)</f>
        <v>Receita Bruta</v>
      </c>
      <c r="F4727" t="str">
        <f>VLOOKUP(B4727,Tabela_Auxiliar[],3,0)</f>
        <v>Entrada</v>
      </c>
      <c r="G4727" t="str">
        <f>UPPER(TEXT(Tabela_DB[[#This Row],[DATA]],"mmm"))</f>
        <v>NOV</v>
      </c>
      <c r="H4727" t="str">
        <f>UPPER(TEXT(Tabela_DB[[#This Row],[DATA]],"aaaa"))</f>
        <v>2021</v>
      </c>
    </row>
    <row r="4728" spans="1:8" x14ac:dyDescent="0.25">
      <c r="A4728" s="2">
        <v>44524</v>
      </c>
      <c r="B4728" t="s">
        <v>59</v>
      </c>
      <c r="C4728">
        <v>-1246</v>
      </c>
      <c r="D4728" t="str">
        <f>VLOOKUP(B4728,Tabela_Auxiliar[],2,0)</f>
        <v>4. Despesas Operacionais</v>
      </c>
      <c r="E4728" t="str">
        <f>VLOOKUP(B4728,Tabela_Auxiliar[],4,0)</f>
        <v>Despesa de Depreciação</v>
      </c>
      <c r="F4728" t="str">
        <f>VLOOKUP(B4728,Tabela_Auxiliar[],3,0)</f>
        <v>Saída</v>
      </c>
      <c r="G4728" t="str">
        <f>UPPER(TEXT(Tabela_DB[[#This Row],[DATA]],"mmm"))</f>
        <v>NOV</v>
      </c>
      <c r="H4728" t="str">
        <f>UPPER(TEXT(Tabela_DB[[#This Row],[DATA]],"aaaa"))</f>
        <v>2021</v>
      </c>
    </row>
    <row r="4729" spans="1:8" x14ac:dyDescent="0.25">
      <c r="A4729" s="2">
        <v>44525</v>
      </c>
      <c r="B4729" t="s">
        <v>4</v>
      </c>
      <c r="C4729">
        <v>11313</v>
      </c>
      <c r="D4729" t="str">
        <f>VLOOKUP(B4729,Tabela_Auxiliar[],2,0)</f>
        <v>1. Receita Operacional Bruta</v>
      </c>
      <c r="E4729" t="str">
        <f>VLOOKUP(B4729,Tabela_Auxiliar[],4,0)</f>
        <v>Receita Bruta</v>
      </c>
      <c r="F4729" t="str">
        <f>VLOOKUP(B4729,Tabela_Auxiliar[],3,0)</f>
        <v>Entrada</v>
      </c>
      <c r="G4729" t="str">
        <f>UPPER(TEXT(Tabela_DB[[#This Row],[DATA]],"mmm"))</f>
        <v>NOV</v>
      </c>
      <c r="H4729" t="str">
        <f>UPPER(TEXT(Tabela_DB[[#This Row],[DATA]],"aaaa"))</f>
        <v>2021</v>
      </c>
    </row>
    <row r="4730" spans="1:8" x14ac:dyDescent="0.25">
      <c r="A4730" s="2">
        <v>44525</v>
      </c>
      <c r="B4730" t="s">
        <v>35</v>
      </c>
      <c r="C4730">
        <v>-2152</v>
      </c>
      <c r="D4730" t="str">
        <f>VLOOKUP(B4730,Tabela_Auxiliar[],2,0)</f>
        <v>2. Deduções da Receita</v>
      </c>
      <c r="E4730" t="str">
        <f>VLOOKUP(B4730,Tabela_Auxiliar[],4,0)</f>
        <v>Imposto</v>
      </c>
      <c r="F4730" t="str">
        <f>VLOOKUP(B4730,Tabela_Auxiliar[],3,0)</f>
        <v>Saída</v>
      </c>
      <c r="G4730" t="str">
        <f>UPPER(TEXT(Tabela_DB[[#This Row],[DATA]],"mmm"))</f>
        <v>NOV</v>
      </c>
      <c r="H4730" t="str">
        <f>UPPER(TEXT(Tabela_DB[[#This Row],[DATA]],"aaaa"))</f>
        <v>2021</v>
      </c>
    </row>
    <row r="4731" spans="1:8" x14ac:dyDescent="0.25">
      <c r="A4731" s="2">
        <v>44525</v>
      </c>
      <c r="B4731" t="s">
        <v>88</v>
      </c>
      <c r="C4731">
        <v>-2392</v>
      </c>
      <c r="D4731" t="str">
        <f>VLOOKUP(B4731,Tabela_Auxiliar[],2,0)</f>
        <v>4. Despesas Operacionais</v>
      </c>
      <c r="E4731" t="str">
        <f>VLOOKUP(B4731,Tabela_Auxiliar[],4,0)</f>
        <v>Despesa Tributária</v>
      </c>
      <c r="F4731" t="str">
        <f>VLOOKUP(B4731,Tabela_Auxiliar[],3,0)</f>
        <v>Saída</v>
      </c>
      <c r="G4731" t="str">
        <f>UPPER(TEXT(Tabela_DB[[#This Row],[DATA]],"mmm"))</f>
        <v>NOV</v>
      </c>
      <c r="H4731" t="str">
        <f>UPPER(TEXT(Tabela_DB[[#This Row],[DATA]],"aaaa"))</f>
        <v>2021</v>
      </c>
    </row>
    <row r="4732" spans="1:8" x14ac:dyDescent="0.25">
      <c r="A4732" s="2">
        <v>44525</v>
      </c>
      <c r="B4732" t="s">
        <v>35</v>
      </c>
      <c r="C4732">
        <v>-1953</v>
      </c>
      <c r="D4732" t="str">
        <f>VLOOKUP(B4732,Tabela_Auxiliar[],2,0)</f>
        <v>2. Deduções da Receita</v>
      </c>
      <c r="E4732" t="str">
        <f>VLOOKUP(B4732,Tabela_Auxiliar[],4,0)</f>
        <v>Imposto</v>
      </c>
      <c r="F4732" t="str">
        <f>VLOOKUP(B4732,Tabela_Auxiliar[],3,0)</f>
        <v>Saída</v>
      </c>
      <c r="G4732" t="str">
        <f>UPPER(TEXT(Tabela_DB[[#This Row],[DATA]],"mmm"))</f>
        <v>NOV</v>
      </c>
      <c r="H4732" t="str">
        <f>UPPER(TEXT(Tabela_DB[[#This Row],[DATA]],"aaaa"))</f>
        <v>2021</v>
      </c>
    </row>
    <row r="4733" spans="1:8" x14ac:dyDescent="0.25">
      <c r="A4733" s="2">
        <v>44525</v>
      </c>
      <c r="B4733" t="s">
        <v>34</v>
      </c>
      <c r="C4733">
        <v>-1728</v>
      </c>
      <c r="D4733" t="str">
        <f>VLOOKUP(B4733,Tabela_Auxiliar[],2,0)</f>
        <v>2. Deduções da Receita</v>
      </c>
      <c r="E4733" t="str">
        <f>VLOOKUP(B4733,Tabela_Auxiliar[],4,0)</f>
        <v>Imposto</v>
      </c>
      <c r="F4733" t="str">
        <f>VLOOKUP(B4733,Tabela_Auxiliar[],3,0)</f>
        <v>Saída</v>
      </c>
      <c r="G4733" t="str">
        <f>UPPER(TEXT(Tabela_DB[[#This Row],[DATA]],"mmm"))</f>
        <v>NOV</v>
      </c>
      <c r="H4733" t="str">
        <f>UPPER(TEXT(Tabela_DB[[#This Row],[DATA]],"aaaa"))</f>
        <v>2021</v>
      </c>
    </row>
    <row r="4734" spans="1:8" x14ac:dyDescent="0.25">
      <c r="A4734" s="2">
        <v>44525</v>
      </c>
      <c r="B4734" t="s">
        <v>35</v>
      </c>
      <c r="C4734">
        <v>-2174</v>
      </c>
      <c r="D4734" t="str">
        <f>VLOOKUP(B4734,Tabela_Auxiliar[],2,0)</f>
        <v>2. Deduções da Receita</v>
      </c>
      <c r="E4734" t="str">
        <f>VLOOKUP(B4734,Tabela_Auxiliar[],4,0)</f>
        <v>Imposto</v>
      </c>
      <c r="F4734" t="str">
        <f>VLOOKUP(B4734,Tabela_Auxiliar[],3,0)</f>
        <v>Saída</v>
      </c>
      <c r="G4734" t="str">
        <f>UPPER(TEXT(Tabela_DB[[#This Row],[DATA]],"mmm"))</f>
        <v>NOV</v>
      </c>
      <c r="H4734" t="str">
        <f>UPPER(TEXT(Tabela_DB[[#This Row],[DATA]],"aaaa"))</f>
        <v>2021</v>
      </c>
    </row>
    <row r="4735" spans="1:8" x14ac:dyDescent="0.25">
      <c r="A4735" s="2">
        <v>44525</v>
      </c>
      <c r="B4735" t="s">
        <v>83</v>
      </c>
      <c r="C4735">
        <v>-1035</v>
      </c>
      <c r="D4735" t="str">
        <f>VLOOKUP(B4735,Tabela_Auxiliar[],2,0)</f>
        <v>4. Despesas Operacionais</v>
      </c>
      <c r="E4735" t="str">
        <f>VLOOKUP(B4735,Tabela_Auxiliar[],4,0)</f>
        <v>Despesa com Veículos</v>
      </c>
      <c r="F4735" t="str">
        <f>VLOOKUP(B4735,Tabela_Auxiliar[],3,0)</f>
        <v>Saída</v>
      </c>
      <c r="G4735" t="str">
        <f>UPPER(TEXT(Tabela_DB[[#This Row],[DATA]],"mmm"))</f>
        <v>NOV</v>
      </c>
      <c r="H4735" t="str">
        <f>UPPER(TEXT(Tabela_DB[[#This Row],[DATA]],"aaaa"))</f>
        <v>2021</v>
      </c>
    </row>
    <row r="4736" spans="1:8" x14ac:dyDescent="0.25">
      <c r="A4736" s="2">
        <v>44525</v>
      </c>
      <c r="B4736" t="s">
        <v>34</v>
      </c>
      <c r="C4736">
        <v>-1473</v>
      </c>
      <c r="D4736" t="str">
        <f>VLOOKUP(B4736,Tabela_Auxiliar[],2,0)</f>
        <v>2. Deduções da Receita</v>
      </c>
      <c r="E4736" t="str">
        <f>VLOOKUP(B4736,Tabela_Auxiliar[],4,0)</f>
        <v>Imposto</v>
      </c>
      <c r="F4736" t="str">
        <f>VLOOKUP(B4736,Tabela_Auxiliar[],3,0)</f>
        <v>Saída</v>
      </c>
      <c r="G4736" t="str">
        <f>UPPER(TEXT(Tabela_DB[[#This Row],[DATA]],"mmm"))</f>
        <v>NOV</v>
      </c>
      <c r="H4736" t="str">
        <f>UPPER(TEXT(Tabela_DB[[#This Row],[DATA]],"aaaa"))</f>
        <v>2021</v>
      </c>
    </row>
    <row r="4737" spans="1:8" x14ac:dyDescent="0.25">
      <c r="A4737" s="2">
        <v>44525</v>
      </c>
      <c r="B4737" t="s">
        <v>37</v>
      </c>
      <c r="C4737">
        <v>-4416</v>
      </c>
      <c r="D4737" t="str">
        <f>VLOOKUP(B4737,Tabela_Auxiliar[],2,0)</f>
        <v>3. Custos do Produto/Mercadoria/Serviço</v>
      </c>
      <c r="E4737" t="str">
        <f>VLOOKUP(B4737,Tabela_Auxiliar[],4,0)</f>
        <v>Despesas c/ Produto</v>
      </c>
      <c r="F4737" t="str">
        <f>VLOOKUP(B4737,Tabela_Auxiliar[],3,0)</f>
        <v>Saída</v>
      </c>
      <c r="G4737" t="str">
        <f>UPPER(TEXT(Tabela_DB[[#This Row],[DATA]],"mmm"))</f>
        <v>NOV</v>
      </c>
      <c r="H4737" t="str">
        <f>UPPER(TEXT(Tabela_DB[[#This Row],[DATA]],"aaaa"))</f>
        <v>2021</v>
      </c>
    </row>
    <row r="4738" spans="1:8" x14ac:dyDescent="0.25">
      <c r="A4738" s="2">
        <v>44525</v>
      </c>
      <c r="B4738" t="s">
        <v>35</v>
      </c>
      <c r="C4738">
        <v>-1906</v>
      </c>
      <c r="D4738" t="str">
        <f>VLOOKUP(B4738,Tabela_Auxiliar[],2,0)</f>
        <v>2. Deduções da Receita</v>
      </c>
      <c r="E4738" t="str">
        <f>VLOOKUP(B4738,Tabela_Auxiliar[],4,0)</f>
        <v>Imposto</v>
      </c>
      <c r="F4738" t="str">
        <f>VLOOKUP(B4738,Tabela_Auxiliar[],3,0)</f>
        <v>Saída</v>
      </c>
      <c r="G4738" t="str">
        <f>UPPER(TEXT(Tabela_DB[[#This Row],[DATA]],"mmm"))</f>
        <v>NOV</v>
      </c>
      <c r="H4738" t="str">
        <f>UPPER(TEXT(Tabela_DB[[#This Row],[DATA]],"aaaa"))</f>
        <v>2021</v>
      </c>
    </row>
    <row r="4739" spans="1:8" x14ac:dyDescent="0.25">
      <c r="A4739" s="2">
        <v>44525</v>
      </c>
      <c r="B4739" t="s">
        <v>64</v>
      </c>
      <c r="C4739">
        <v>-1716</v>
      </c>
      <c r="D4739" t="str">
        <f>VLOOKUP(B4739,Tabela_Auxiliar[],2,0)</f>
        <v>4. Despesas Operacionais</v>
      </c>
      <c r="E4739" t="str">
        <f>VLOOKUP(B4739,Tabela_Auxiliar[],4,0)</f>
        <v>Despesa Gerais</v>
      </c>
      <c r="F4739" t="str">
        <f>VLOOKUP(B4739,Tabela_Auxiliar[],3,0)</f>
        <v>Saída</v>
      </c>
      <c r="G4739" t="str">
        <f>UPPER(TEXT(Tabela_DB[[#This Row],[DATA]],"mmm"))</f>
        <v>NOV</v>
      </c>
      <c r="H4739" t="str">
        <f>UPPER(TEXT(Tabela_DB[[#This Row],[DATA]],"aaaa"))</f>
        <v>2021</v>
      </c>
    </row>
    <row r="4740" spans="1:8" x14ac:dyDescent="0.25">
      <c r="A4740" s="2">
        <v>44525</v>
      </c>
      <c r="B4740" t="s">
        <v>50</v>
      </c>
      <c r="C4740">
        <v>-1245</v>
      </c>
      <c r="D4740" t="str">
        <f>VLOOKUP(B4740,Tabela_Auxiliar[],2,0)</f>
        <v>4. Despesas Operacionais</v>
      </c>
      <c r="E4740" t="str">
        <f>VLOOKUP(B4740,Tabela_Auxiliar[],4,0)</f>
        <v>Despesa com Pessoal</v>
      </c>
      <c r="F4740" t="str">
        <f>VLOOKUP(B4740,Tabela_Auxiliar[],3,0)</f>
        <v>Saída</v>
      </c>
      <c r="G4740" t="str">
        <f>UPPER(TEXT(Tabela_DB[[#This Row],[DATA]],"mmm"))</f>
        <v>NOV</v>
      </c>
      <c r="H4740" t="str">
        <f>UPPER(TEXT(Tabela_DB[[#This Row],[DATA]],"aaaa"))</f>
        <v>2021</v>
      </c>
    </row>
    <row r="4741" spans="1:8" x14ac:dyDescent="0.25">
      <c r="A4741" s="2">
        <v>44526</v>
      </c>
      <c r="B4741" t="s">
        <v>68</v>
      </c>
      <c r="C4741">
        <v>-1915</v>
      </c>
      <c r="D4741" t="str">
        <f>VLOOKUP(B4741,Tabela_Auxiliar[],2,0)</f>
        <v>4. Despesas Operacionais</v>
      </c>
      <c r="E4741" t="str">
        <f>VLOOKUP(B4741,Tabela_Auxiliar[],4,0)</f>
        <v>Despesa com Ocupação</v>
      </c>
      <c r="F4741" t="str">
        <f>VLOOKUP(B4741,Tabela_Auxiliar[],3,0)</f>
        <v>Saída</v>
      </c>
      <c r="G4741" t="str">
        <f>UPPER(TEXT(Tabela_DB[[#This Row],[DATA]],"mmm"))</f>
        <v>NOV</v>
      </c>
      <c r="H4741" t="str">
        <f>UPPER(TEXT(Tabela_DB[[#This Row],[DATA]],"aaaa"))</f>
        <v>2021</v>
      </c>
    </row>
    <row r="4742" spans="1:8" x14ac:dyDescent="0.25">
      <c r="A4742" s="2">
        <v>44526</v>
      </c>
      <c r="B4742" t="s">
        <v>4</v>
      </c>
      <c r="C4742">
        <v>14912</v>
      </c>
      <c r="D4742" t="str">
        <f>VLOOKUP(B4742,Tabela_Auxiliar[],2,0)</f>
        <v>1. Receita Operacional Bruta</v>
      </c>
      <c r="E4742" t="str">
        <f>VLOOKUP(B4742,Tabela_Auxiliar[],4,0)</f>
        <v>Receita Bruta</v>
      </c>
      <c r="F4742" t="str">
        <f>VLOOKUP(B4742,Tabela_Auxiliar[],3,0)</f>
        <v>Entrada</v>
      </c>
      <c r="G4742" t="str">
        <f>UPPER(TEXT(Tabela_DB[[#This Row],[DATA]],"mmm"))</f>
        <v>NOV</v>
      </c>
      <c r="H4742" t="str">
        <f>UPPER(TEXT(Tabela_DB[[#This Row],[DATA]],"aaaa"))</f>
        <v>2021</v>
      </c>
    </row>
    <row r="4743" spans="1:8" x14ac:dyDescent="0.25">
      <c r="A4743" s="2">
        <v>44527</v>
      </c>
      <c r="B4743" t="s">
        <v>35</v>
      </c>
      <c r="C4743">
        <v>-1994</v>
      </c>
      <c r="D4743" t="str">
        <f>VLOOKUP(B4743,Tabela_Auxiliar[],2,0)</f>
        <v>2. Deduções da Receita</v>
      </c>
      <c r="E4743" t="str">
        <f>VLOOKUP(B4743,Tabela_Auxiliar[],4,0)</f>
        <v>Imposto</v>
      </c>
      <c r="F4743" t="str">
        <f>VLOOKUP(B4743,Tabela_Auxiliar[],3,0)</f>
        <v>Saída</v>
      </c>
      <c r="G4743" t="str">
        <f>UPPER(TEXT(Tabela_DB[[#This Row],[DATA]],"mmm"))</f>
        <v>NOV</v>
      </c>
      <c r="H4743" t="str">
        <f>UPPER(TEXT(Tabela_DB[[#This Row],[DATA]],"aaaa"))</f>
        <v>2021</v>
      </c>
    </row>
    <row r="4744" spans="1:8" x14ac:dyDescent="0.25">
      <c r="A4744" s="2">
        <v>44527</v>
      </c>
      <c r="B4744" t="s">
        <v>37</v>
      </c>
      <c r="C4744">
        <v>-3699</v>
      </c>
      <c r="D4744" t="str">
        <f>VLOOKUP(B4744,Tabela_Auxiliar[],2,0)</f>
        <v>3. Custos do Produto/Mercadoria/Serviço</v>
      </c>
      <c r="E4744" t="str">
        <f>VLOOKUP(B4744,Tabela_Auxiliar[],4,0)</f>
        <v>Despesas c/ Produto</v>
      </c>
      <c r="F4744" t="str">
        <f>VLOOKUP(B4744,Tabela_Auxiliar[],3,0)</f>
        <v>Saída</v>
      </c>
      <c r="G4744" t="str">
        <f>UPPER(TEXT(Tabela_DB[[#This Row],[DATA]],"mmm"))</f>
        <v>NOV</v>
      </c>
      <c r="H4744" t="str">
        <f>UPPER(TEXT(Tabela_DB[[#This Row],[DATA]],"aaaa"))</f>
        <v>2021</v>
      </c>
    </row>
    <row r="4745" spans="1:8" x14ac:dyDescent="0.25">
      <c r="A4745" s="2">
        <v>44527</v>
      </c>
      <c r="B4745" t="s">
        <v>38</v>
      </c>
      <c r="C4745">
        <v>-2266</v>
      </c>
      <c r="D4745" t="str">
        <f>VLOOKUP(B4745,Tabela_Auxiliar[],2,0)</f>
        <v>2. Deduções da Receita</v>
      </c>
      <c r="E4745" t="str">
        <f>VLOOKUP(B4745,Tabela_Auxiliar[],4,0)</f>
        <v>Deduções</v>
      </c>
      <c r="F4745" t="str">
        <f>VLOOKUP(B4745,Tabela_Auxiliar[],3,0)</f>
        <v>Saída</v>
      </c>
      <c r="G4745" t="str">
        <f>UPPER(TEXT(Tabela_DB[[#This Row],[DATA]],"mmm"))</f>
        <v>NOV</v>
      </c>
      <c r="H4745" t="str">
        <f>UPPER(TEXT(Tabela_DB[[#This Row],[DATA]],"aaaa"))</f>
        <v>2021</v>
      </c>
    </row>
    <row r="4746" spans="1:8" x14ac:dyDescent="0.25">
      <c r="A4746" s="2">
        <v>44528</v>
      </c>
      <c r="B4746" t="s">
        <v>71</v>
      </c>
      <c r="C4746">
        <v>-2305</v>
      </c>
      <c r="D4746" t="str">
        <f>VLOOKUP(B4746,Tabela_Auxiliar[],2,0)</f>
        <v>4. Despesas Operacionais</v>
      </c>
      <c r="E4746" t="str">
        <f>VLOOKUP(B4746,Tabela_Auxiliar[],4,0)</f>
        <v>Despesa com Ocupação</v>
      </c>
      <c r="F4746" t="str">
        <f>VLOOKUP(B4746,Tabela_Auxiliar[],3,0)</f>
        <v>Saída</v>
      </c>
      <c r="G4746" t="str">
        <f>UPPER(TEXT(Tabela_DB[[#This Row],[DATA]],"mmm"))</f>
        <v>NOV</v>
      </c>
      <c r="H4746" t="str">
        <f>UPPER(TEXT(Tabela_DB[[#This Row],[DATA]],"aaaa"))</f>
        <v>2021</v>
      </c>
    </row>
    <row r="4747" spans="1:8" x14ac:dyDescent="0.25">
      <c r="A4747" s="2">
        <v>44528</v>
      </c>
      <c r="B4747" t="s">
        <v>76</v>
      </c>
      <c r="C4747">
        <v>-2244</v>
      </c>
      <c r="D4747" t="str">
        <f>VLOOKUP(B4747,Tabela_Auxiliar[],2,0)</f>
        <v>4. Despesas Operacionais</v>
      </c>
      <c r="E4747" t="str">
        <f>VLOOKUP(B4747,Tabela_Auxiliar[],4,0)</f>
        <v>Serviços Contratados</v>
      </c>
      <c r="F4747" t="str">
        <f>VLOOKUP(B4747,Tabela_Auxiliar[],3,0)</f>
        <v>Saída</v>
      </c>
      <c r="G4747" t="str">
        <f>UPPER(TEXT(Tabela_DB[[#This Row],[DATA]],"mmm"))</f>
        <v>NOV</v>
      </c>
      <c r="H4747" t="str">
        <f>UPPER(TEXT(Tabela_DB[[#This Row],[DATA]],"aaaa"))</f>
        <v>2021</v>
      </c>
    </row>
    <row r="4748" spans="1:8" x14ac:dyDescent="0.25">
      <c r="A4748" s="2">
        <v>44528</v>
      </c>
      <c r="B4748" t="s">
        <v>3</v>
      </c>
      <c r="C4748">
        <v>11453</v>
      </c>
      <c r="D4748" t="str">
        <f>VLOOKUP(B4748,Tabela_Auxiliar[],2,0)</f>
        <v>1. Receita Operacional Bruta</v>
      </c>
      <c r="E4748" t="str">
        <f>VLOOKUP(B4748,Tabela_Auxiliar[],4,0)</f>
        <v>Receita Bruta</v>
      </c>
      <c r="F4748" t="str">
        <f>VLOOKUP(B4748,Tabela_Auxiliar[],3,0)</f>
        <v>Entrada</v>
      </c>
      <c r="G4748" t="str">
        <f>UPPER(TEXT(Tabela_DB[[#This Row],[DATA]],"mmm"))</f>
        <v>NOV</v>
      </c>
      <c r="H4748" t="str">
        <f>UPPER(TEXT(Tabela_DB[[#This Row],[DATA]],"aaaa"))</f>
        <v>2021</v>
      </c>
    </row>
    <row r="4749" spans="1:8" x14ac:dyDescent="0.25">
      <c r="A4749" s="2">
        <v>44528</v>
      </c>
      <c r="B4749" t="s">
        <v>70</v>
      </c>
      <c r="C4749">
        <v>-1504</v>
      </c>
      <c r="D4749" t="str">
        <f>VLOOKUP(B4749,Tabela_Auxiliar[],2,0)</f>
        <v>4. Despesas Operacionais</v>
      </c>
      <c r="E4749" t="str">
        <f>VLOOKUP(B4749,Tabela_Auxiliar[],4,0)</f>
        <v>Despesa com Ocupação</v>
      </c>
      <c r="F4749" t="str">
        <f>VLOOKUP(B4749,Tabela_Auxiliar[],3,0)</f>
        <v>Saída</v>
      </c>
      <c r="G4749" t="str">
        <f>UPPER(TEXT(Tabela_DB[[#This Row],[DATA]],"mmm"))</f>
        <v>NOV</v>
      </c>
      <c r="H4749" t="str">
        <f>UPPER(TEXT(Tabela_DB[[#This Row],[DATA]],"aaaa"))</f>
        <v>2021</v>
      </c>
    </row>
    <row r="4750" spans="1:8" x14ac:dyDescent="0.25">
      <c r="A4750" s="2">
        <v>44529</v>
      </c>
      <c r="B4750" t="s">
        <v>4</v>
      </c>
      <c r="C4750">
        <v>14182</v>
      </c>
      <c r="D4750" t="str">
        <f>VLOOKUP(B4750,Tabela_Auxiliar[],2,0)</f>
        <v>1. Receita Operacional Bruta</v>
      </c>
      <c r="E4750" t="str">
        <f>VLOOKUP(B4750,Tabela_Auxiliar[],4,0)</f>
        <v>Receita Bruta</v>
      </c>
      <c r="F4750" t="str">
        <f>VLOOKUP(B4750,Tabela_Auxiliar[],3,0)</f>
        <v>Entrada</v>
      </c>
      <c r="G4750" t="str">
        <f>UPPER(TEXT(Tabela_DB[[#This Row],[DATA]],"mmm"))</f>
        <v>NOV</v>
      </c>
      <c r="H4750" t="str">
        <f>UPPER(TEXT(Tabela_DB[[#This Row],[DATA]],"aaaa"))</f>
        <v>2021</v>
      </c>
    </row>
    <row r="4751" spans="1:8" x14ac:dyDescent="0.25">
      <c r="A4751" s="2">
        <v>44529</v>
      </c>
      <c r="B4751" t="s">
        <v>111</v>
      </c>
      <c r="C4751">
        <v>-1322</v>
      </c>
      <c r="D4751" t="str">
        <f>VLOOKUP(B4751,Tabela_Auxiliar[],2,0)</f>
        <v>2. Deduções da Receita</v>
      </c>
      <c r="E4751" t="str">
        <f>VLOOKUP(B4751,Tabela_Auxiliar[],4,0)</f>
        <v>Imposto</v>
      </c>
      <c r="F4751" t="str">
        <f>VLOOKUP(B4751,Tabela_Auxiliar[],3,0)</f>
        <v>Saída</v>
      </c>
      <c r="G4751" t="str">
        <f>UPPER(TEXT(Tabela_DB[[#This Row],[DATA]],"mmm"))</f>
        <v>NOV</v>
      </c>
      <c r="H4751" t="str">
        <f>UPPER(TEXT(Tabela_DB[[#This Row],[DATA]],"aaaa"))</f>
        <v>2021</v>
      </c>
    </row>
    <row r="4752" spans="1:8" x14ac:dyDescent="0.25">
      <c r="A4752" s="2">
        <v>44529</v>
      </c>
      <c r="B4752" t="s">
        <v>4</v>
      </c>
      <c r="C4752">
        <v>10366</v>
      </c>
      <c r="D4752" t="str">
        <f>VLOOKUP(B4752,Tabela_Auxiliar[],2,0)</f>
        <v>1. Receita Operacional Bruta</v>
      </c>
      <c r="E4752" t="str">
        <f>VLOOKUP(B4752,Tabela_Auxiliar[],4,0)</f>
        <v>Receita Bruta</v>
      </c>
      <c r="F4752" t="str">
        <f>VLOOKUP(B4752,Tabela_Auxiliar[],3,0)</f>
        <v>Entrada</v>
      </c>
      <c r="G4752" t="str">
        <f>UPPER(TEXT(Tabela_DB[[#This Row],[DATA]],"mmm"))</f>
        <v>NOV</v>
      </c>
      <c r="H4752" t="str">
        <f>UPPER(TEXT(Tabela_DB[[#This Row],[DATA]],"aaaa"))</f>
        <v>2021</v>
      </c>
    </row>
    <row r="4753" spans="1:8" x14ac:dyDescent="0.25">
      <c r="A4753" s="2">
        <v>44529</v>
      </c>
      <c r="B4753" t="s">
        <v>35</v>
      </c>
      <c r="C4753">
        <v>-1921</v>
      </c>
      <c r="D4753" t="str">
        <f>VLOOKUP(B4753,Tabela_Auxiliar[],2,0)</f>
        <v>2. Deduções da Receita</v>
      </c>
      <c r="E4753" t="str">
        <f>VLOOKUP(B4753,Tabela_Auxiliar[],4,0)</f>
        <v>Imposto</v>
      </c>
      <c r="F4753" t="str">
        <f>VLOOKUP(B4753,Tabela_Auxiliar[],3,0)</f>
        <v>Saída</v>
      </c>
      <c r="G4753" t="str">
        <f>UPPER(TEXT(Tabela_DB[[#This Row],[DATA]],"mmm"))</f>
        <v>NOV</v>
      </c>
      <c r="H4753" t="str">
        <f>UPPER(TEXT(Tabela_DB[[#This Row],[DATA]],"aaaa"))</f>
        <v>2021</v>
      </c>
    </row>
    <row r="4754" spans="1:8" x14ac:dyDescent="0.25">
      <c r="A4754" s="2">
        <v>44529</v>
      </c>
      <c r="B4754" t="s">
        <v>3</v>
      </c>
      <c r="C4754">
        <v>14673</v>
      </c>
      <c r="D4754" t="str">
        <f>VLOOKUP(B4754,Tabela_Auxiliar[],2,0)</f>
        <v>1. Receita Operacional Bruta</v>
      </c>
      <c r="E4754" t="str">
        <f>VLOOKUP(B4754,Tabela_Auxiliar[],4,0)</f>
        <v>Receita Bruta</v>
      </c>
      <c r="F4754" t="str">
        <f>VLOOKUP(B4754,Tabela_Auxiliar[],3,0)</f>
        <v>Entrada</v>
      </c>
      <c r="G4754" t="str">
        <f>UPPER(TEXT(Tabela_DB[[#This Row],[DATA]],"mmm"))</f>
        <v>NOV</v>
      </c>
      <c r="H4754" t="str">
        <f>UPPER(TEXT(Tabela_DB[[#This Row],[DATA]],"aaaa"))</f>
        <v>2021</v>
      </c>
    </row>
    <row r="4755" spans="1:8" x14ac:dyDescent="0.25">
      <c r="A4755" s="2">
        <v>44529</v>
      </c>
      <c r="B4755" t="s">
        <v>3</v>
      </c>
      <c r="C4755">
        <v>12975</v>
      </c>
      <c r="D4755" t="str">
        <f>VLOOKUP(B4755,Tabela_Auxiliar[],2,0)</f>
        <v>1. Receita Operacional Bruta</v>
      </c>
      <c r="E4755" t="str">
        <f>VLOOKUP(B4755,Tabela_Auxiliar[],4,0)</f>
        <v>Receita Bruta</v>
      </c>
      <c r="F4755" t="str">
        <f>VLOOKUP(B4755,Tabela_Auxiliar[],3,0)</f>
        <v>Entrada</v>
      </c>
      <c r="G4755" t="str">
        <f>UPPER(TEXT(Tabela_DB[[#This Row],[DATA]],"mmm"))</f>
        <v>NOV</v>
      </c>
      <c r="H4755" t="str">
        <f>UPPER(TEXT(Tabela_DB[[#This Row],[DATA]],"aaaa"))</f>
        <v>2021</v>
      </c>
    </row>
    <row r="4756" spans="1:8" x14ac:dyDescent="0.25">
      <c r="A4756" s="2">
        <v>44529</v>
      </c>
      <c r="B4756" t="s">
        <v>80</v>
      </c>
      <c r="C4756">
        <v>-1319</v>
      </c>
      <c r="D4756" t="str">
        <f>VLOOKUP(B4756,Tabela_Auxiliar[],2,0)</f>
        <v>4. Despesas Operacionais</v>
      </c>
      <c r="E4756" t="str">
        <f>VLOOKUP(B4756,Tabela_Auxiliar[],4,0)</f>
        <v>Serviços Contratados</v>
      </c>
      <c r="F4756" t="str">
        <f>VLOOKUP(B4756,Tabela_Auxiliar[],3,0)</f>
        <v>Saída</v>
      </c>
      <c r="G4756" t="str">
        <f>UPPER(TEXT(Tabela_DB[[#This Row],[DATA]],"mmm"))</f>
        <v>NOV</v>
      </c>
      <c r="H4756" t="str">
        <f>UPPER(TEXT(Tabela_DB[[#This Row],[DATA]],"aaaa"))</f>
        <v>2021</v>
      </c>
    </row>
    <row r="4757" spans="1:8" x14ac:dyDescent="0.25">
      <c r="A4757" s="2">
        <v>44529</v>
      </c>
      <c r="B4757" t="s">
        <v>47</v>
      </c>
      <c r="C4757">
        <v>-1790</v>
      </c>
      <c r="D4757" t="str">
        <f>VLOOKUP(B4757,Tabela_Auxiliar[],2,0)</f>
        <v>4. Despesas Operacionais</v>
      </c>
      <c r="E4757" t="str">
        <f>VLOOKUP(B4757,Tabela_Auxiliar[],4,0)</f>
        <v>Despesa com Pessoal</v>
      </c>
      <c r="F4757" t="str">
        <f>VLOOKUP(B4757,Tabela_Auxiliar[],3,0)</f>
        <v>Saída</v>
      </c>
      <c r="G4757" t="str">
        <f>UPPER(TEXT(Tabela_DB[[#This Row],[DATA]],"mmm"))</f>
        <v>NOV</v>
      </c>
      <c r="H4757" t="str">
        <f>UPPER(TEXT(Tabela_DB[[#This Row],[DATA]],"aaaa"))</f>
        <v>2021</v>
      </c>
    </row>
    <row r="4758" spans="1:8" x14ac:dyDescent="0.25">
      <c r="A4758" s="2">
        <v>44529</v>
      </c>
      <c r="B4758" t="s">
        <v>111</v>
      </c>
      <c r="C4758">
        <v>-1621</v>
      </c>
      <c r="D4758" t="str">
        <f>VLOOKUP(B4758,Tabela_Auxiliar[],2,0)</f>
        <v>2. Deduções da Receita</v>
      </c>
      <c r="E4758" t="str">
        <f>VLOOKUP(B4758,Tabela_Auxiliar[],4,0)</f>
        <v>Imposto</v>
      </c>
      <c r="F4758" t="str">
        <f>VLOOKUP(B4758,Tabela_Auxiliar[],3,0)</f>
        <v>Saída</v>
      </c>
      <c r="G4758" t="str">
        <f>UPPER(TEXT(Tabela_DB[[#This Row],[DATA]],"mmm"))</f>
        <v>NOV</v>
      </c>
      <c r="H4758" t="str">
        <f>UPPER(TEXT(Tabela_DB[[#This Row],[DATA]],"aaaa"))</f>
        <v>2021</v>
      </c>
    </row>
    <row r="4759" spans="1:8" x14ac:dyDescent="0.25">
      <c r="A4759" s="2">
        <v>44530</v>
      </c>
      <c r="B4759" t="s">
        <v>69</v>
      </c>
      <c r="C4759">
        <v>-1770</v>
      </c>
      <c r="D4759" t="str">
        <f>VLOOKUP(B4759,Tabela_Auxiliar[],2,0)</f>
        <v>4. Despesas Operacionais</v>
      </c>
      <c r="E4759" t="str">
        <f>VLOOKUP(B4759,Tabela_Auxiliar[],4,0)</f>
        <v>Despesa com Ocupação</v>
      </c>
      <c r="F4759" t="str">
        <f>VLOOKUP(B4759,Tabela_Auxiliar[],3,0)</f>
        <v>Saída</v>
      </c>
      <c r="G4759" t="str">
        <f>UPPER(TEXT(Tabela_DB[[#This Row],[DATA]],"mmm"))</f>
        <v>NOV</v>
      </c>
      <c r="H4759" t="str">
        <f>UPPER(TEXT(Tabela_DB[[#This Row],[DATA]],"aaaa"))</f>
        <v>2021</v>
      </c>
    </row>
    <row r="4760" spans="1:8" x14ac:dyDescent="0.25">
      <c r="A4760" s="2">
        <v>44530</v>
      </c>
      <c r="B4760" t="s">
        <v>37</v>
      </c>
      <c r="C4760">
        <v>-3080</v>
      </c>
      <c r="D4760" t="str">
        <f>VLOOKUP(B4760,Tabela_Auxiliar[],2,0)</f>
        <v>3. Custos do Produto/Mercadoria/Serviço</v>
      </c>
      <c r="E4760" t="str">
        <f>VLOOKUP(B4760,Tabela_Auxiliar[],4,0)</f>
        <v>Despesas c/ Produto</v>
      </c>
      <c r="F4760" t="str">
        <f>VLOOKUP(B4760,Tabela_Auxiliar[],3,0)</f>
        <v>Saída</v>
      </c>
      <c r="G4760" t="str">
        <f>UPPER(TEXT(Tabela_DB[[#This Row],[DATA]],"mmm"))</f>
        <v>NOV</v>
      </c>
      <c r="H4760" t="str">
        <f>UPPER(TEXT(Tabela_DB[[#This Row],[DATA]],"aaaa"))</f>
        <v>2021</v>
      </c>
    </row>
    <row r="4761" spans="1:8" x14ac:dyDescent="0.25">
      <c r="A4761" s="2">
        <v>44530</v>
      </c>
      <c r="B4761" t="s">
        <v>38</v>
      </c>
      <c r="C4761">
        <v>-1977</v>
      </c>
      <c r="D4761" t="str">
        <f>VLOOKUP(B4761,Tabela_Auxiliar[],2,0)</f>
        <v>2. Deduções da Receita</v>
      </c>
      <c r="E4761" t="str">
        <f>VLOOKUP(B4761,Tabela_Auxiliar[],4,0)</f>
        <v>Deduções</v>
      </c>
      <c r="F4761" t="str">
        <f>VLOOKUP(B4761,Tabela_Auxiliar[],3,0)</f>
        <v>Saída</v>
      </c>
      <c r="G4761" t="str">
        <f>UPPER(TEXT(Tabela_DB[[#This Row],[DATA]],"mmm"))</f>
        <v>NOV</v>
      </c>
      <c r="H4761" t="str">
        <f>UPPER(TEXT(Tabela_DB[[#This Row],[DATA]],"aaaa"))</f>
        <v>2021</v>
      </c>
    </row>
    <row r="4762" spans="1:8" x14ac:dyDescent="0.25">
      <c r="A4762" s="2">
        <v>44530</v>
      </c>
      <c r="B4762" t="s">
        <v>4</v>
      </c>
      <c r="C4762">
        <v>11909</v>
      </c>
      <c r="D4762" t="str">
        <f>VLOOKUP(B4762,Tabela_Auxiliar[],2,0)</f>
        <v>1. Receita Operacional Bruta</v>
      </c>
      <c r="E4762" t="str">
        <f>VLOOKUP(B4762,Tabela_Auxiliar[],4,0)</f>
        <v>Receita Bruta</v>
      </c>
      <c r="F4762" t="str">
        <f>VLOOKUP(B4762,Tabela_Auxiliar[],3,0)</f>
        <v>Entrada</v>
      </c>
      <c r="G4762" t="str">
        <f>UPPER(TEXT(Tabela_DB[[#This Row],[DATA]],"mmm"))</f>
        <v>NOV</v>
      </c>
      <c r="H4762" t="str">
        <f>UPPER(TEXT(Tabela_DB[[#This Row],[DATA]],"aaaa"))</f>
        <v>2021</v>
      </c>
    </row>
    <row r="4763" spans="1:8" x14ac:dyDescent="0.25">
      <c r="A4763" s="2">
        <v>44530</v>
      </c>
      <c r="B4763" t="s">
        <v>4</v>
      </c>
      <c r="C4763">
        <v>13271</v>
      </c>
      <c r="D4763" t="str">
        <f>VLOOKUP(B4763,Tabela_Auxiliar[],2,0)</f>
        <v>1. Receita Operacional Bruta</v>
      </c>
      <c r="E4763" t="str">
        <f>VLOOKUP(B4763,Tabela_Auxiliar[],4,0)</f>
        <v>Receita Bruta</v>
      </c>
      <c r="F4763" t="str">
        <f>VLOOKUP(B4763,Tabela_Auxiliar[],3,0)</f>
        <v>Entrada</v>
      </c>
      <c r="G4763" t="str">
        <f>UPPER(TEXT(Tabela_DB[[#This Row],[DATA]],"mmm"))</f>
        <v>NOV</v>
      </c>
      <c r="H4763" t="str">
        <f>UPPER(TEXT(Tabela_DB[[#This Row],[DATA]],"aaaa"))</f>
        <v>2021</v>
      </c>
    </row>
    <row r="4764" spans="1:8" x14ac:dyDescent="0.25">
      <c r="A4764" s="2">
        <v>44530</v>
      </c>
      <c r="B4764" t="s">
        <v>37</v>
      </c>
      <c r="C4764">
        <v>-2630</v>
      </c>
      <c r="D4764" t="str">
        <f>VLOOKUP(B4764,Tabela_Auxiliar[],2,0)</f>
        <v>3. Custos do Produto/Mercadoria/Serviço</v>
      </c>
      <c r="E4764" t="str">
        <f>VLOOKUP(B4764,Tabela_Auxiliar[],4,0)</f>
        <v>Despesas c/ Produto</v>
      </c>
      <c r="F4764" t="str">
        <f>VLOOKUP(B4764,Tabela_Auxiliar[],3,0)</f>
        <v>Saída</v>
      </c>
      <c r="G4764" t="str">
        <f>UPPER(TEXT(Tabela_DB[[#This Row],[DATA]],"mmm"))</f>
        <v>NOV</v>
      </c>
      <c r="H4764" t="str">
        <f>UPPER(TEXT(Tabela_DB[[#This Row],[DATA]],"aaaa"))</f>
        <v>2021</v>
      </c>
    </row>
    <row r="4765" spans="1:8" x14ac:dyDescent="0.25">
      <c r="A4765" s="2">
        <v>44530</v>
      </c>
      <c r="B4765" t="s">
        <v>3</v>
      </c>
      <c r="C4765">
        <v>14319</v>
      </c>
      <c r="D4765" t="str">
        <f>VLOOKUP(B4765,Tabela_Auxiliar[],2,0)</f>
        <v>1. Receita Operacional Bruta</v>
      </c>
      <c r="E4765" t="str">
        <f>VLOOKUP(B4765,Tabela_Auxiliar[],4,0)</f>
        <v>Receita Bruta</v>
      </c>
      <c r="F4765" t="str">
        <f>VLOOKUP(B4765,Tabela_Auxiliar[],3,0)</f>
        <v>Entrada</v>
      </c>
      <c r="G4765" t="str">
        <f>UPPER(TEXT(Tabela_DB[[#This Row],[DATA]],"mmm"))</f>
        <v>NOV</v>
      </c>
      <c r="H4765" t="str">
        <f>UPPER(TEXT(Tabela_DB[[#This Row],[DATA]],"aaaa"))</f>
        <v>2021</v>
      </c>
    </row>
    <row r="4766" spans="1:8" x14ac:dyDescent="0.25">
      <c r="A4766" s="2">
        <v>44530</v>
      </c>
      <c r="B4766" t="s">
        <v>34</v>
      </c>
      <c r="C4766">
        <v>-1770</v>
      </c>
      <c r="D4766" t="str">
        <f>VLOOKUP(B4766,Tabela_Auxiliar[],2,0)</f>
        <v>2. Deduções da Receita</v>
      </c>
      <c r="E4766" t="str">
        <f>VLOOKUP(B4766,Tabela_Auxiliar[],4,0)</f>
        <v>Imposto</v>
      </c>
      <c r="F4766" t="str">
        <f>VLOOKUP(B4766,Tabela_Auxiliar[],3,0)</f>
        <v>Saída</v>
      </c>
      <c r="G4766" t="str">
        <f>UPPER(TEXT(Tabela_DB[[#This Row],[DATA]],"mmm"))</f>
        <v>NOV</v>
      </c>
      <c r="H4766" t="str">
        <f>UPPER(TEXT(Tabela_DB[[#This Row],[DATA]],"aaaa"))</f>
        <v>2021</v>
      </c>
    </row>
    <row r="4767" spans="1:8" x14ac:dyDescent="0.25">
      <c r="A4767" s="2">
        <v>44530</v>
      </c>
      <c r="B4767" t="s">
        <v>56</v>
      </c>
      <c r="C4767">
        <v>-2489</v>
      </c>
      <c r="D4767" t="str">
        <f>VLOOKUP(B4767,Tabela_Auxiliar[],2,0)</f>
        <v>4. Despesas Operacionais</v>
      </c>
      <c r="E4767" t="str">
        <f>VLOOKUP(B4767,Tabela_Auxiliar[],4,0)</f>
        <v>Despesa com Pessoal</v>
      </c>
      <c r="F4767" t="str">
        <f>VLOOKUP(B4767,Tabela_Auxiliar[],3,0)</f>
        <v>Saída</v>
      </c>
      <c r="G4767" t="str">
        <f>UPPER(TEXT(Tabela_DB[[#This Row],[DATA]],"mmm"))</f>
        <v>NOV</v>
      </c>
      <c r="H4767" t="str">
        <f>UPPER(TEXT(Tabela_DB[[#This Row],[DATA]],"aaaa"))</f>
        <v>2021</v>
      </c>
    </row>
    <row r="4768" spans="1:8" x14ac:dyDescent="0.25">
      <c r="A4768" s="2">
        <v>44530</v>
      </c>
      <c r="B4768" t="s">
        <v>83</v>
      </c>
      <c r="C4768">
        <v>-2171</v>
      </c>
      <c r="D4768" t="str">
        <f>VLOOKUP(B4768,Tabela_Auxiliar[],2,0)</f>
        <v>4. Despesas Operacionais</v>
      </c>
      <c r="E4768" t="str">
        <f>VLOOKUP(B4768,Tabela_Auxiliar[],4,0)</f>
        <v>Despesa com Veículos</v>
      </c>
      <c r="F4768" t="str">
        <f>VLOOKUP(B4768,Tabela_Auxiliar[],3,0)</f>
        <v>Saída</v>
      </c>
      <c r="G4768" t="str">
        <f>UPPER(TEXT(Tabela_DB[[#This Row],[DATA]],"mmm"))</f>
        <v>NOV</v>
      </c>
      <c r="H4768" t="str">
        <f>UPPER(TEXT(Tabela_DB[[#This Row],[DATA]],"aaaa"))</f>
        <v>2021</v>
      </c>
    </row>
    <row r="4769" spans="1:8" x14ac:dyDescent="0.25">
      <c r="A4769" s="2">
        <v>44530</v>
      </c>
      <c r="B4769" t="s">
        <v>34</v>
      </c>
      <c r="C4769">
        <v>-1551</v>
      </c>
      <c r="D4769" t="str">
        <f>VLOOKUP(B4769,Tabela_Auxiliar[],2,0)</f>
        <v>2. Deduções da Receita</v>
      </c>
      <c r="E4769" t="str">
        <f>VLOOKUP(B4769,Tabela_Auxiliar[],4,0)</f>
        <v>Imposto</v>
      </c>
      <c r="F4769" t="str">
        <f>VLOOKUP(B4769,Tabela_Auxiliar[],3,0)</f>
        <v>Saída</v>
      </c>
      <c r="G4769" t="str">
        <f>UPPER(TEXT(Tabela_DB[[#This Row],[DATA]],"mmm"))</f>
        <v>NOV</v>
      </c>
      <c r="H4769" t="str">
        <f>UPPER(TEXT(Tabela_DB[[#This Row],[DATA]],"aaaa"))</f>
        <v>2021</v>
      </c>
    </row>
    <row r="4770" spans="1:8" x14ac:dyDescent="0.25">
      <c r="A4770" s="2">
        <v>44530</v>
      </c>
      <c r="B4770" t="s">
        <v>3</v>
      </c>
      <c r="C4770">
        <v>10365</v>
      </c>
      <c r="D4770" t="str">
        <f>VLOOKUP(B4770,Tabela_Auxiliar[],2,0)</f>
        <v>1. Receita Operacional Bruta</v>
      </c>
      <c r="E4770" t="str">
        <f>VLOOKUP(B4770,Tabela_Auxiliar[],4,0)</f>
        <v>Receita Bruta</v>
      </c>
      <c r="F4770" t="str">
        <f>VLOOKUP(B4770,Tabela_Auxiliar[],3,0)</f>
        <v>Entrada</v>
      </c>
      <c r="G4770" t="str">
        <f>UPPER(TEXT(Tabela_DB[[#This Row],[DATA]],"mmm"))</f>
        <v>NOV</v>
      </c>
      <c r="H4770" t="str">
        <f>UPPER(TEXT(Tabela_DB[[#This Row],[DATA]],"aaaa"))</f>
        <v>2021</v>
      </c>
    </row>
    <row r="4771" spans="1:8" x14ac:dyDescent="0.25">
      <c r="A4771" s="2">
        <v>44530</v>
      </c>
      <c r="B4771" t="s">
        <v>37</v>
      </c>
      <c r="C4771">
        <v>-3140</v>
      </c>
      <c r="D4771" t="str">
        <f>VLOOKUP(B4771,Tabela_Auxiliar[],2,0)</f>
        <v>3. Custos do Produto/Mercadoria/Serviço</v>
      </c>
      <c r="E4771" t="str">
        <f>VLOOKUP(B4771,Tabela_Auxiliar[],4,0)</f>
        <v>Despesas c/ Produto</v>
      </c>
      <c r="F4771" t="str">
        <f>VLOOKUP(B4771,Tabela_Auxiliar[],3,0)</f>
        <v>Saída</v>
      </c>
      <c r="G4771" t="str">
        <f>UPPER(TEXT(Tabela_DB[[#This Row],[DATA]],"mmm"))</f>
        <v>NOV</v>
      </c>
      <c r="H4771" t="str">
        <f>UPPER(TEXT(Tabela_DB[[#This Row],[DATA]],"aaaa"))</f>
        <v>2021</v>
      </c>
    </row>
    <row r="4772" spans="1:8" x14ac:dyDescent="0.25">
      <c r="A4772" s="2">
        <v>44531</v>
      </c>
      <c r="B4772" t="s">
        <v>37</v>
      </c>
      <c r="C4772">
        <v>-4729</v>
      </c>
      <c r="D4772" t="str">
        <f>VLOOKUP(B4772,Tabela_Auxiliar[],2,0)</f>
        <v>3. Custos do Produto/Mercadoria/Serviço</v>
      </c>
      <c r="E4772" t="str">
        <f>VLOOKUP(B4772,Tabela_Auxiliar[],4,0)</f>
        <v>Despesas c/ Produto</v>
      </c>
      <c r="F4772" t="str">
        <f>VLOOKUP(B4772,Tabela_Auxiliar[],3,0)</f>
        <v>Saída</v>
      </c>
      <c r="G4772" t="str">
        <f>UPPER(TEXT(Tabela_DB[[#This Row],[DATA]],"mmm"))</f>
        <v>DEZ</v>
      </c>
      <c r="H4772" t="str">
        <f>UPPER(TEXT(Tabela_DB[[#This Row],[DATA]],"aaaa"))</f>
        <v>2021</v>
      </c>
    </row>
    <row r="4773" spans="1:8" x14ac:dyDescent="0.25">
      <c r="A4773" s="2">
        <v>44531</v>
      </c>
      <c r="B4773" t="s">
        <v>111</v>
      </c>
      <c r="C4773">
        <v>-1731</v>
      </c>
      <c r="D4773" t="str">
        <f>VLOOKUP(B4773,Tabela_Auxiliar[],2,0)</f>
        <v>2. Deduções da Receita</v>
      </c>
      <c r="E4773" t="str">
        <f>VLOOKUP(B4773,Tabela_Auxiliar[],4,0)</f>
        <v>Imposto</v>
      </c>
      <c r="F4773" t="str">
        <f>VLOOKUP(B4773,Tabela_Auxiliar[],3,0)</f>
        <v>Saída</v>
      </c>
      <c r="G4773" t="str">
        <f>UPPER(TEXT(Tabela_DB[[#This Row],[DATA]],"mmm"))</f>
        <v>DEZ</v>
      </c>
      <c r="H4773" t="str">
        <f>UPPER(TEXT(Tabela_DB[[#This Row],[DATA]],"aaaa"))</f>
        <v>2021</v>
      </c>
    </row>
    <row r="4774" spans="1:8" x14ac:dyDescent="0.25">
      <c r="A4774" s="2">
        <v>44531</v>
      </c>
      <c r="B4774" t="s">
        <v>111</v>
      </c>
      <c r="C4774">
        <v>-1986</v>
      </c>
      <c r="D4774" t="str">
        <f>VLOOKUP(B4774,Tabela_Auxiliar[],2,0)</f>
        <v>2. Deduções da Receita</v>
      </c>
      <c r="E4774" t="str">
        <f>VLOOKUP(B4774,Tabela_Auxiliar[],4,0)</f>
        <v>Imposto</v>
      </c>
      <c r="F4774" t="str">
        <f>VLOOKUP(B4774,Tabela_Auxiliar[],3,0)</f>
        <v>Saída</v>
      </c>
      <c r="G4774" t="str">
        <f>UPPER(TEXT(Tabela_DB[[#This Row],[DATA]],"mmm"))</f>
        <v>DEZ</v>
      </c>
      <c r="H4774" t="str">
        <f>UPPER(TEXT(Tabela_DB[[#This Row],[DATA]],"aaaa"))</f>
        <v>2021</v>
      </c>
    </row>
    <row r="4775" spans="1:8" x14ac:dyDescent="0.25">
      <c r="A4775" s="2">
        <v>44531</v>
      </c>
      <c r="B4775" t="s">
        <v>73</v>
      </c>
      <c r="C4775">
        <v>-1047</v>
      </c>
      <c r="D4775" t="str">
        <f>VLOOKUP(B4775,Tabela_Auxiliar[],2,0)</f>
        <v>4. Despesas Operacionais</v>
      </c>
      <c r="E4775" t="str">
        <f>VLOOKUP(B4775,Tabela_Auxiliar[],4,0)</f>
        <v>Despesa com Ocupação</v>
      </c>
      <c r="F4775" t="str">
        <f>VLOOKUP(B4775,Tabela_Auxiliar[],3,0)</f>
        <v>Saída</v>
      </c>
      <c r="G4775" t="str">
        <f>UPPER(TEXT(Tabela_DB[[#This Row],[DATA]],"mmm"))</f>
        <v>DEZ</v>
      </c>
      <c r="H4775" t="str">
        <f>UPPER(TEXT(Tabela_DB[[#This Row],[DATA]],"aaaa"))</f>
        <v>2021</v>
      </c>
    </row>
    <row r="4776" spans="1:8" x14ac:dyDescent="0.25">
      <c r="A4776" s="2">
        <v>44532</v>
      </c>
      <c r="B4776" t="s">
        <v>4</v>
      </c>
      <c r="C4776">
        <v>11072</v>
      </c>
      <c r="D4776" t="str">
        <f>VLOOKUP(B4776,Tabela_Auxiliar[],2,0)</f>
        <v>1. Receita Operacional Bruta</v>
      </c>
      <c r="E4776" t="str">
        <f>VLOOKUP(B4776,Tabela_Auxiliar[],4,0)</f>
        <v>Receita Bruta</v>
      </c>
      <c r="F4776" t="str">
        <f>VLOOKUP(B4776,Tabela_Auxiliar[],3,0)</f>
        <v>Entrada</v>
      </c>
      <c r="G4776" t="str">
        <f>UPPER(TEXT(Tabela_DB[[#This Row],[DATA]],"mmm"))</f>
        <v>DEZ</v>
      </c>
      <c r="H4776" t="str">
        <f>UPPER(TEXT(Tabela_DB[[#This Row],[DATA]],"aaaa"))</f>
        <v>2021</v>
      </c>
    </row>
    <row r="4777" spans="1:8" x14ac:dyDescent="0.25">
      <c r="A4777" s="2">
        <v>44532</v>
      </c>
      <c r="B4777" t="s">
        <v>59</v>
      </c>
      <c r="C4777">
        <v>-1131</v>
      </c>
      <c r="D4777" t="str">
        <f>VLOOKUP(B4777,Tabela_Auxiliar[],2,0)</f>
        <v>4. Despesas Operacionais</v>
      </c>
      <c r="E4777" t="str">
        <f>VLOOKUP(B4777,Tabela_Auxiliar[],4,0)</f>
        <v>Despesa de Depreciação</v>
      </c>
      <c r="F4777" t="str">
        <f>VLOOKUP(B4777,Tabela_Auxiliar[],3,0)</f>
        <v>Saída</v>
      </c>
      <c r="G4777" t="str">
        <f>UPPER(TEXT(Tabela_DB[[#This Row],[DATA]],"mmm"))</f>
        <v>DEZ</v>
      </c>
      <c r="H4777" t="str">
        <f>UPPER(TEXT(Tabela_DB[[#This Row],[DATA]],"aaaa"))</f>
        <v>2021</v>
      </c>
    </row>
    <row r="4778" spans="1:8" x14ac:dyDescent="0.25">
      <c r="A4778" s="2">
        <v>44532</v>
      </c>
      <c r="B4778" t="s">
        <v>4</v>
      </c>
      <c r="C4778">
        <v>10040</v>
      </c>
      <c r="D4778" t="str">
        <f>VLOOKUP(B4778,Tabela_Auxiliar[],2,0)</f>
        <v>1. Receita Operacional Bruta</v>
      </c>
      <c r="E4778" t="str">
        <f>VLOOKUP(B4778,Tabela_Auxiliar[],4,0)</f>
        <v>Receita Bruta</v>
      </c>
      <c r="F4778" t="str">
        <f>VLOOKUP(B4778,Tabela_Auxiliar[],3,0)</f>
        <v>Entrada</v>
      </c>
      <c r="G4778" t="str">
        <f>UPPER(TEXT(Tabela_DB[[#This Row],[DATA]],"mmm"))</f>
        <v>DEZ</v>
      </c>
      <c r="H4778" t="str">
        <f>UPPER(TEXT(Tabela_DB[[#This Row],[DATA]],"aaaa"))</f>
        <v>2021</v>
      </c>
    </row>
    <row r="4779" spans="1:8" x14ac:dyDescent="0.25">
      <c r="A4779" s="2">
        <v>44532</v>
      </c>
      <c r="B4779" t="s">
        <v>82</v>
      </c>
      <c r="C4779">
        <v>-1050</v>
      </c>
      <c r="D4779" t="str">
        <f>VLOOKUP(B4779,Tabela_Auxiliar[],2,0)</f>
        <v>4. Despesas Operacionais</v>
      </c>
      <c r="E4779" t="str">
        <f>VLOOKUP(B4779,Tabela_Auxiliar[],4,0)</f>
        <v>Despesa com Veículos</v>
      </c>
      <c r="F4779" t="str">
        <f>VLOOKUP(B4779,Tabela_Auxiliar[],3,0)</f>
        <v>Saída</v>
      </c>
      <c r="G4779" t="str">
        <f>UPPER(TEXT(Tabela_DB[[#This Row],[DATA]],"mmm"))</f>
        <v>DEZ</v>
      </c>
      <c r="H4779" t="str">
        <f>UPPER(TEXT(Tabela_DB[[#This Row],[DATA]],"aaaa"))</f>
        <v>2021</v>
      </c>
    </row>
    <row r="4780" spans="1:8" x14ac:dyDescent="0.25">
      <c r="A4780" s="2">
        <v>44532</v>
      </c>
      <c r="B4780" t="s">
        <v>38</v>
      </c>
      <c r="C4780">
        <v>-1738</v>
      </c>
      <c r="D4780" t="str">
        <f>VLOOKUP(B4780,Tabela_Auxiliar[],2,0)</f>
        <v>2. Deduções da Receita</v>
      </c>
      <c r="E4780" t="str">
        <f>VLOOKUP(B4780,Tabela_Auxiliar[],4,0)</f>
        <v>Deduções</v>
      </c>
      <c r="F4780" t="str">
        <f>VLOOKUP(B4780,Tabela_Auxiliar[],3,0)</f>
        <v>Saída</v>
      </c>
      <c r="G4780" t="str">
        <f>UPPER(TEXT(Tabela_DB[[#This Row],[DATA]],"mmm"))</f>
        <v>DEZ</v>
      </c>
      <c r="H4780" t="str">
        <f>UPPER(TEXT(Tabela_DB[[#This Row],[DATA]],"aaaa"))</f>
        <v>2021</v>
      </c>
    </row>
    <row r="4781" spans="1:8" x14ac:dyDescent="0.25">
      <c r="A4781" s="2">
        <v>44532</v>
      </c>
      <c r="B4781" t="s">
        <v>88</v>
      </c>
      <c r="C4781">
        <v>-2204</v>
      </c>
      <c r="D4781" t="str">
        <f>VLOOKUP(B4781,Tabela_Auxiliar[],2,0)</f>
        <v>4. Despesas Operacionais</v>
      </c>
      <c r="E4781" t="str">
        <f>VLOOKUP(B4781,Tabela_Auxiliar[],4,0)</f>
        <v>Despesa Tributária</v>
      </c>
      <c r="F4781" t="str">
        <f>VLOOKUP(B4781,Tabela_Auxiliar[],3,0)</f>
        <v>Saída</v>
      </c>
      <c r="G4781" t="str">
        <f>UPPER(TEXT(Tabela_DB[[#This Row],[DATA]],"mmm"))</f>
        <v>DEZ</v>
      </c>
      <c r="H4781" t="str">
        <f>UPPER(TEXT(Tabela_DB[[#This Row],[DATA]],"aaaa"))</f>
        <v>2021</v>
      </c>
    </row>
    <row r="4782" spans="1:8" x14ac:dyDescent="0.25">
      <c r="A4782" s="2">
        <v>44532</v>
      </c>
      <c r="B4782" t="s">
        <v>81</v>
      </c>
      <c r="C4782">
        <v>-2358</v>
      </c>
      <c r="D4782" t="str">
        <f>VLOOKUP(B4782,Tabela_Auxiliar[],2,0)</f>
        <v>4. Despesas Operacionais</v>
      </c>
      <c r="E4782" t="str">
        <f>VLOOKUP(B4782,Tabela_Auxiliar[],4,0)</f>
        <v>Serviços Contratados</v>
      </c>
      <c r="F4782" t="str">
        <f>VLOOKUP(B4782,Tabela_Auxiliar[],3,0)</f>
        <v>Saída</v>
      </c>
      <c r="G4782" t="str">
        <f>UPPER(TEXT(Tabela_DB[[#This Row],[DATA]],"mmm"))</f>
        <v>DEZ</v>
      </c>
      <c r="H4782" t="str">
        <f>UPPER(TEXT(Tabela_DB[[#This Row],[DATA]],"aaaa"))</f>
        <v>2021</v>
      </c>
    </row>
    <row r="4783" spans="1:8" x14ac:dyDescent="0.25">
      <c r="A4783" s="2">
        <v>44532</v>
      </c>
      <c r="B4783" t="s">
        <v>111</v>
      </c>
      <c r="C4783">
        <v>-1441</v>
      </c>
      <c r="D4783" t="str">
        <f>VLOOKUP(B4783,Tabela_Auxiliar[],2,0)</f>
        <v>2. Deduções da Receita</v>
      </c>
      <c r="E4783" t="str">
        <f>VLOOKUP(B4783,Tabela_Auxiliar[],4,0)</f>
        <v>Imposto</v>
      </c>
      <c r="F4783" t="str">
        <f>VLOOKUP(B4783,Tabela_Auxiliar[],3,0)</f>
        <v>Saída</v>
      </c>
      <c r="G4783" t="str">
        <f>UPPER(TEXT(Tabela_DB[[#This Row],[DATA]],"mmm"))</f>
        <v>DEZ</v>
      </c>
      <c r="H4783" t="str">
        <f>UPPER(TEXT(Tabela_DB[[#This Row],[DATA]],"aaaa"))</f>
        <v>2021</v>
      </c>
    </row>
    <row r="4784" spans="1:8" x14ac:dyDescent="0.25">
      <c r="A4784" s="2">
        <v>44532</v>
      </c>
      <c r="B4784" t="s">
        <v>52</v>
      </c>
      <c r="C4784">
        <v>-2165</v>
      </c>
      <c r="D4784" t="str">
        <f>VLOOKUP(B4784,Tabela_Auxiliar[],2,0)</f>
        <v>4. Despesas Operacionais</v>
      </c>
      <c r="E4784" t="str">
        <f>VLOOKUP(B4784,Tabela_Auxiliar[],4,0)</f>
        <v>Despesa com Pessoal</v>
      </c>
      <c r="F4784" t="str">
        <f>VLOOKUP(B4784,Tabela_Auxiliar[],3,0)</f>
        <v>Saída</v>
      </c>
      <c r="G4784" t="str">
        <f>UPPER(TEXT(Tabela_DB[[#This Row],[DATA]],"mmm"))</f>
        <v>DEZ</v>
      </c>
      <c r="H4784" t="str">
        <f>UPPER(TEXT(Tabela_DB[[#This Row],[DATA]],"aaaa"))</f>
        <v>2021</v>
      </c>
    </row>
    <row r="4785" spans="1:8" x14ac:dyDescent="0.25">
      <c r="A4785" s="2">
        <v>44532</v>
      </c>
      <c r="B4785" t="s">
        <v>3</v>
      </c>
      <c r="C4785">
        <v>12434</v>
      </c>
      <c r="D4785" t="str">
        <f>VLOOKUP(B4785,Tabela_Auxiliar[],2,0)</f>
        <v>1. Receita Operacional Bruta</v>
      </c>
      <c r="E4785" t="str">
        <f>VLOOKUP(B4785,Tabela_Auxiliar[],4,0)</f>
        <v>Receita Bruta</v>
      </c>
      <c r="F4785" t="str">
        <f>VLOOKUP(B4785,Tabela_Auxiliar[],3,0)</f>
        <v>Entrada</v>
      </c>
      <c r="G4785" t="str">
        <f>UPPER(TEXT(Tabela_DB[[#This Row],[DATA]],"mmm"))</f>
        <v>DEZ</v>
      </c>
      <c r="H4785" t="str">
        <f>UPPER(TEXT(Tabela_DB[[#This Row],[DATA]],"aaaa"))</f>
        <v>2021</v>
      </c>
    </row>
    <row r="4786" spans="1:8" x14ac:dyDescent="0.25">
      <c r="A4786" s="2">
        <v>44532</v>
      </c>
      <c r="B4786" t="s">
        <v>47</v>
      </c>
      <c r="C4786">
        <v>-2087</v>
      </c>
      <c r="D4786" t="str">
        <f>VLOOKUP(B4786,Tabela_Auxiliar[],2,0)</f>
        <v>4. Despesas Operacionais</v>
      </c>
      <c r="E4786" t="str">
        <f>VLOOKUP(B4786,Tabela_Auxiliar[],4,0)</f>
        <v>Despesa com Pessoal</v>
      </c>
      <c r="F4786" t="str">
        <f>VLOOKUP(B4786,Tabela_Auxiliar[],3,0)</f>
        <v>Saída</v>
      </c>
      <c r="G4786" t="str">
        <f>UPPER(TEXT(Tabela_DB[[#This Row],[DATA]],"mmm"))</f>
        <v>DEZ</v>
      </c>
      <c r="H4786" t="str">
        <f>UPPER(TEXT(Tabela_DB[[#This Row],[DATA]],"aaaa"))</f>
        <v>2021</v>
      </c>
    </row>
    <row r="4787" spans="1:8" x14ac:dyDescent="0.25">
      <c r="A4787" s="2">
        <v>44532</v>
      </c>
      <c r="B4787" t="s">
        <v>38</v>
      </c>
      <c r="C4787">
        <v>-1107</v>
      </c>
      <c r="D4787" t="str">
        <f>VLOOKUP(B4787,Tabela_Auxiliar[],2,0)</f>
        <v>2. Deduções da Receita</v>
      </c>
      <c r="E4787" t="str">
        <f>VLOOKUP(B4787,Tabela_Auxiliar[],4,0)</f>
        <v>Deduções</v>
      </c>
      <c r="F4787" t="str">
        <f>VLOOKUP(B4787,Tabela_Auxiliar[],3,0)</f>
        <v>Saída</v>
      </c>
      <c r="G4787" t="str">
        <f>UPPER(TEXT(Tabela_DB[[#This Row],[DATA]],"mmm"))</f>
        <v>DEZ</v>
      </c>
      <c r="H4787" t="str">
        <f>UPPER(TEXT(Tabela_DB[[#This Row],[DATA]],"aaaa"))</f>
        <v>2021</v>
      </c>
    </row>
    <row r="4788" spans="1:8" x14ac:dyDescent="0.25">
      <c r="A4788" s="2">
        <v>44532</v>
      </c>
      <c r="B4788" t="s">
        <v>102</v>
      </c>
      <c r="C4788">
        <v>-2357</v>
      </c>
      <c r="D4788" t="str">
        <f>VLOOKUP(B4788,Tabela_Auxiliar[],2,0)</f>
        <v>6. Resultado após o Resultado Financeiro</v>
      </c>
      <c r="E4788" t="str">
        <f>VLOOKUP(B4788,Tabela_Auxiliar[],4,0)</f>
        <v>EBTIDA</v>
      </c>
      <c r="F4788" t="str">
        <f>VLOOKUP(B4788,Tabela_Auxiliar[],3,0)</f>
        <v>Saída</v>
      </c>
      <c r="G4788" t="str">
        <f>UPPER(TEXT(Tabela_DB[[#This Row],[DATA]],"mmm"))</f>
        <v>DEZ</v>
      </c>
      <c r="H4788" t="str">
        <f>UPPER(TEXT(Tabela_DB[[#This Row],[DATA]],"aaaa"))</f>
        <v>2021</v>
      </c>
    </row>
    <row r="4789" spans="1:8" x14ac:dyDescent="0.25">
      <c r="A4789" s="2">
        <v>44533</v>
      </c>
      <c r="B4789" t="s">
        <v>35</v>
      </c>
      <c r="C4789">
        <v>-1102</v>
      </c>
      <c r="D4789" t="str">
        <f>VLOOKUP(B4789,Tabela_Auxiliar[],2,0)</f>
        <v>2. Deduções da Receita</v>
      </c>
      <c r="E4789" t="str">
        <f>VLOOKUP(B4789,Tabela_Auxiliar[],4,0)</f>
        <v>Imposto</v>
      </c>
      <c r="F4789" t="str">
        <f>VLOOKUP(B4789,Tabela_Auxiliar[],3,0)</f>
        <v>Saída</v>
      </c>
      <c r="G4789" t="str">
        <f>UPPER(TEXT(Tabela_DB[[#This Row],[DATA]],"mmm"))</f>
        <v>DEZ</v>
      </c>
      <c r="H4789" t="str">
        <f>UPPER(TEXT(Tabela_DB[[#This Row],[DATA]],"aaaa"))</f>
        <v>2021</v>
      </c>
    </row>
    <row r="4790" spans="1:8" x14ac:dyDescent="0.25">
      <c r="A4790" s="2">
        <v>44533</v>
      </c>
      <c r="B4790" t="s">
        <v>35</v>
      </c>
      <c r="C4790">
        <v>-1056</v>
      </c>
      <c r="D4790" t="str">
        <f>VLOOKUP(B4790,Tabela_Auxiliar[],2,0)</f>
        <v>2. Deduções da Receita</v>
      </c>
      <c r="E4790" t="str">
        <f>VLOOKUP(B4790,Tabela_Auxiliar[],4,0)</f>
        <v>Imposto</v>
      </c>
      <c r="F4790" t="str">
        <f>VLOOKUP(B4790,Tabela_Auxiliar[],3,0)</f>
        <v>Saída</v>
      </c>
      <c r="G4790" t="str">
        <f>UPPER(TEXT(Tabela_DB[[#This Row],[DATA]],"mmm"))</f>
        <v>DEZ</v>
      </c>
      <c r="H4790" t="str">
        <f>UPPER(TEXT(Tabela_DB[[#This Row],[DATA]],"aaaa"))</f>
        <v>2021</v>
      </c>
    </row>
    <row r="4791" spans="1:8" x14ac:dyDescent="0.25">
      <c r="A4791" s="2">
        <v>44533</v>
      </c>
      <c r="B4791" t="s">
        <v>37</v>
      </c>
      <c r="C4791">
        <v>-3525</v>
      </c>
      <c r="D4791" t="str">
        <f>VLOOKUP(B4791,Tabela_Auxiliar[],2,0)</f>
        <v>3. Custos do Produto/Mercadoria/Serviço</v>
      </c>
      <c r="E4791" t="str">
        <f>VLOOKUP(B4791,Tabela_Auxiliar[],4,0)</f>
        <v>Despesas c/ Produto</v>
      </c>
      <c r="F4791" t="str">
        <f>VLOOKUP(B4791,Tabela_Auxiliar[],3,0)</f>
        <v>Saída</v>
      </c>
      <c r="G4791" t="str">
        <f>UPPER(TEXT(Tabela_DB[[#This Row],[DATA]],"mmm"))</f>
        <v>DEZ</v>
      </c>
      <c r="H4791" t="str">
        <f>UPPER(TEXT(Tabela_DB[[#This Row],[DATA]],"aaaa"))</f>
        <v>2021</v>
      </c>
    </row>
    <row r="4792" spans="1:8" x14ac:dyDescent="0.25">
      <c r="A4792" s="2">
        <v>44533</v>
      </c>
      <c r="B4792" t="s">
        <v>38</v>
      </c>
      <c r="C4792">
        <v>-2219</v>
      </c>
      <c r="D4792" t="str">
        <f>VLOOKUP(B4792,Tabela_Auxiliar[],2,0)</f>
        <v>2. Deduções da Receita</v>
      </c>
      <c r="E4792" t="str">
        <f>VLOOKUP(B4792,Tabela_Auxiliar[],4,0)</f>
        <v>Deduções</v>
      </c>
      <c r="F4792" t="str">
        <f>VLOOKUP(B4792,Tabela_Auxiliar[],3,0)</f>
        <v>Saída</v>
      </c>
      <c r="G4792" t="str">
        <f>UPPER(TEXT(Tabela_DB[[#This Row],[DATA]],"mmm"))</f>
        <v>DEZ</v>
      </c>
      <c r="H4792" t="str">
        <f>UPPER(TEXT(Tabela_DB[[#This Row],[DATA]],"aaaa"))</f>
        <v>2021</v>
      </c>
    </row>
    <row r="4793" spans="1:8" x14ac:dyDescent="0.25">
      <c r="A4793" s="2">
        <v>44533</v>
      </c>
      <c r="B4793" t="s">
        <v>34</v>
      </c>
      <c r="C4793">
        <v>-1090</v>
      </c>
      <c r="D4793" t="str">
        <f>VLOOKUP(B4793,Tabela_Auxiliar[],2,0)</f>
        <v>2. Deduções da Receita</v>
      </c>
      <c r="E4793" t="str">
        <f>VLOOKUP(B4793,Tabela_Auxiliar[],4,0)</f>
        <v>Imposto</v>
      </c>
      <c r="F4793" t="str">
        <f>VLOOKUP(B4793,Tabela_Auxiliar[],3,0)</f>
        <v>Saída</v>
      </c>
      <c r="G4793" t="str">
        <f>UPPER(TEXT(Tabela_DB[[#This Row],[DATA]],"mmm"))</f>
        <v>DEZ</v>
      </c>
      <c r="H4793" t="str">
        <f>UPPER(TEXT(Tabela_DB[[#This Row],[DATA]],"aaaa"))</f>
        <v>2021</v>
      </c>
    </row>
    <row r="4794" spans="1:8" x14ac:dyDescent="0.25">
      <c r="A4794" s="2">
        <v>44533</v>
      </c>
      <c r="B4794" t="s">
        <v>85</v>
      </c>
      <c r="C4794">
        <v>-1383</v>
      </c>
      <c r="D4794" t="str">
        <f>VLOOKUP(B4794,Tabela_Auxiliar[],2,0)</f>
        <v>4. Despesas Operacionais</v>
      </c>
      <c r="E4794" t="str">
        <f>VLOOKUP(B4794,Tabela_Auxiliar[],4,0)</f>
        <v>Despesa com Veículos</v>
      </c>
      <c r="F4794" t="str">
        <f>VLOOKUP(B4794,Tabela_Auxiliar[],3,0)</f>
        <v>Saída</v>
      </c>
      <c r="G4794" t="str">
        <f>UPPER(TEXT(Tabela_DB[[#This Row],[DATA]],"mmm"))</f>
        <v>DEZ</v>
      </c>
      <c r="H4794" t="str">
        <f>UPPER(TEXT(Tabela_DB[[#This Row],[DATA]],"aaaa"))</f>
        <v>2021</v>
      </c>
    </row>
    <row r="4795" spans="1:8" x14ac:dyDescent="0.25">
      <c r="A4795" s="2">
        <v>44533</v>
      </c>
      <c r="B4795" t="s">
        <v>35</v>
      </c>
      <c r="C4795">
        <v>-1442</v>
      </c>
      <c r="D4795" t="str">
        <f>VLOOKUP(B4795,Tabela_Auxiliar[],2,0)</f>
        <v>2. Deduções da Receita</v>
      </c>
      <c r="E4795" t="str">
        <f>VLOOKUP(B4795,Tabela_Auxiliar[],4,0)</f>
        <v>Imposto</v>
      </c>
      <c r="F4795" t="str">
        <f>VLOOKUP(B4795,Tabela_Auxiliar[],3,0)</f>
        <v>Saída</v>
      </c>
      <c r="G4795" t="str">
        <f>UPPER(TEXT(Tabela_DB[[#This Row],[DATA]],"mmm"))</f>
        <v>DEZ</v>
      </c>
      <c r="H4795" t="str">
        <f>UPPER(TEXT(Tabela_DB[[#This Row],[DATA]],"aaaa"))</f>
        <v>2021</v>
      </c>
    </row>
    <row r="4796" spans="1:8" x14ac:dyDescent="0.25">
      <c r="A4796" s="2">
        <v>44533</v>
      </c>
      <c r="B4796" t="s">
        <v>34</v>
      </c>
      <c r="C4796">
        <v>-1069</v>
      </c>
      <c r="D4796" t="str">
        <f>VLOOKUP(B4796,Tabela_Auxiliar[],2,0)</f>
        <v>2. Deduções da Receita</v>
      </c>
      <c r="E4796" t="str">
        <f>VLOOKUP(B4796,Tabela_Auxiliar[],4,0)</f>
        <v>Imposto</v>
      </c>
      <c r="F4796" t="str">
        <f>VLOOKUP(B4796,Tabela_Auxiliar[],3,0)</f>
        <v>Saída</v>
      </c>
      <c r="G4796" t="str">
        <f>UPPER(TEXT(Tabela_DB[[#This Row],[DATA]],"mmm"))</f>
        <v>DEZ</v>
      </c>
      <c r="H4796" t="str">
        <f>UPPER(TEXT(Tabela_DB[[#This Row],[DATA]],"aaaa"))</f>
        <v>2021</v>
      </c>
    </row>
    <row r="4797" spans="1:8" x14ac:dyDescent="0.25">
      <c r="A4797" s="2">
        <v>44533</v>
      </c>
      <c r="B4797" t="s">
        <v>111</v>
      </c>
      <c r="C4797">
        <v>-2484</v>
      </c>
      <c r="D4797" t="str">
        <f>VLOOKUP(B4797,Tabela_Auxiliar[],2,0)</f>
        <v>2. Deduções da Receita</v>
      </c>
      <c r="E4797" t="str">
        <f>VLOOKUP(B4797,Tabela_Auxiliar[],4,0)</f>
        <v>Imposto</v>
      </c>
      <c r="F4797" t="str">
        <f>VLOOKUP(B4797,Tabela_Auxiliar[],3,0)</f>
        <v>Saída</v>
      </c>
      <c r="G4797" t="str">
        <f>UPPER(TEXT(Tabela_DB[[#This Row],[DATA]],"mmm"))</f>
        <v>DEZ</v>
      </c>
      <c r="H4797" t="str">
        <f>UPPER(TEXT(Tabela_DB[[#This Row],[DATA]],"aaaa"))</f>
        <v>2021</v>
      </c>
    </row>
    <row r="4798" spans="1:8" x14ac:dyDescent="0.25">
      <c r="A4798" s="2">
        <v>44533</v>
      </c>
      <c r="B4798" t="s">
        <v>40</v>
      </c>
      <c r="C4798">
        <v>-2261</v>
      </c>
      <c r="D4798" t="str">
        <f>VLOOKUP(B4798,Tabela_Auxiliar[],2,0)</f>
        <v>4. Despesas Operacionais</v>
      </c>
      <c r="E4798" t="str">
        <f>VLOOKUP(B4798,Tabela_Auxiliar[],4,0)</f>
        <v>Despesa com Pessoal</v>
      </c>
      <c r="F4798" t="str">
        <f>VLOOKUP(B4798,Tabela_Auxiliar[],3,0)</f>
        <v>Saída</v>
      </c>
      <c r="G4798" t="str">
        <f>UPPER(TEXT(Tabela_DB[[#This Row],[DATA]],"mmm"))</f>
        <v>DEZ</v>
      </c>
      <c r="H4798" t="str">
        <f>UPPER(TEXT(Tabela_DB[[#This Row],[DATA]],"aaaa"))</f>
        <v>2021</v>
      </c>
    </row>
    <row r="4799" spans="1:8" x14ac:dyDescent="0.25">
      <c r="A4799" s="2">
        <v>44534</v>
      </c>
      <c r="B4799" t="s">
        <v>37</v>
      </c>
      <c r="C4799">
        <v>-3366</v>
      </c>
      <c r="D4799" t="str">
        <f>VLOOKUP(B4799,Tabela_Auxiliar[],2,0)</f>
        <v>3. Custos do Produto/Mercadoria/Serviço</v>
      </c>
      <c r="E4799" t="str">
        <f>VLOOKUP(B4799,Tabela_Auxiliar[],4,0)</f>
        <v>Despesas c/ Produto</v>
      </c>
      <c r="F4799" t="str">
        <f>VLOOKUP(B4799,Tabela_Auxiliar[],3,0)</f>
        <v>Saída</v>
      </c>
      <c r="G4799" t="str">
        <f>UPPER(TEXT(Tabela_DB[[#This Row],[DATA]],"mmm"))</f>
        <v>DEZ</v>
      </c>
      <c r="H4799" t="str">
        <f>UPPER(TEXT(Tabela_DB[[#This Row],[DATA]],"aaaa"))</f>
        <v>2021</v>
      </c>
    </row>
    <row r="4800" spans="1:8" x14ac:dyDescent="0.25">
      <c r="A4800" s="2">
        <v>44534</v>
      </c>
      <c r="B4800" t="s">
        <v>35</v>
      </c>
      <c r="C4800">
        <v>-1944</v>
      </c>
      <c r="D4800" t="str">
        <f>VLOOKUP(B4800,Tabela_Auxiliar[],2,0)</f>
        <v>2. Deduções da Receita</v>
      </c>
      <c r="E4800" t="str">
        <f>VLOOKUP(B4800,Tabela_Auxiliar[],4,0)</f>
        <v>Imposto</v>
      </c>
      <c r="F4800" t="str">
        <f>VLOOKUP(B4800,Tabela_Auxiliar[],3,0)</f>
        <v>Saída</v>
      </c>
      <c r="G4800" t="str">
        <f>UPPER(TEXT(Tabela_DB[[#This Row],[DATA]],"mmm"))</f>
        <v>DEZ</v>
      </c>
      <c r="H4800" t="str">
        <f>UPPER(TEXT(Tabela_DB[[#This Row],[DATA]],"aaaa"))</f>
        <v>2021</v>
      </c>
    </row>
    <row r="4801" spans="1:8" x14ac:dyDescent="0.25">
      <c r="A4801" s="2">
        <v>44534</v>
      </c>
      <c r="B4801" t="s">
        <v>77</v>
      </c>
      <c r="C4801">
        <v>-2254</v>
      </c>
      <c r="D4801" t="str">
        <f>VLOOKUP(B4801,Tabela_Auxiliar[],2,0)</f>
        <v>4. Despesas Operacionais</v>
      </c>
      <c r="E4801" t="str">
        <f>VLOOKUP(B4801,Tabela_Auxiliar[],4,0)</f>
        <v>Serviços Contratados</v>
      </c>
      <c r="F4801" t="str">
        <f>VLOOKUP(B4801,Tabela_Auxiliar[],3,0)</f>
        <v>Saída</v>
      </c>
      <c r="G4801" t="str">
        <f>UPPER(TEXT(Tabela_DB[[#This Row],[DATA]],"mmm"))</f>
        <v>DEZ</v>
      </c>
      <c r="H4801" t="str">
        <f>UPPER(TEXT(Tabela_DB[[#This Row],[DATA]],"aaaa"))</f>
        <v>2021</v>
      </c>
    </row>
    <row r="4802" spans="1:8" x14ac:dyDescent="0.25">
      <c r="A4802" s="2">
        <v>44534</v>
      </c>
      <c r="B4802" t="s">
        <v>4</v>
      </c>
      <c r="C4802">
        <v>12373</v>
      </c>
      <c r="D4802" t="str">
        <f>VLOOKUP(B4802,Tabela_Auxiliar[],2,0)</f>
        <v>1. Receita Operacional Bruta</v>
      </c>
      <c r="E4802" t="str">
        <f>VLOOKUP(B4802,Tabela_Auxiliar[],4,0)</f>
        <v>Receita Bruta</v>
      </c>
      <c r="F4802" t="str">
        <f>VLOOKUP(B4802,Tabela_Auxiliar[],3,0)</f>
        <v>Entrada</v>
      </c>
      <c r="G4802" t="str">
        <f>UPPER(TEXT(Tabela_DB[[#This Row],[DATA]],"mmm"))</f>
        <v>DEZ</v>
      </c>
      <c r="H4802" t="str">
        <f>UPPER(TEXT(Tabela_DB[[#This Row],[DATA]],"aaaa"))</f>
        <v>2021</v>
      </c>
    </row>
    <row r="4803" spans="1:8" x14ac:dyDescent="0.25">
      <c r="A4803" s="2">
        <v>44534</v>
      </c>
      <c r="B4803" t="s">
        <v>76</v>
      </c>
      <c r="C4803">
        <v>-1517</v>
      </c>
      <c r="D4803" t="str">
        <f>VLOOKUP(B4803,Tabela_Auxiliar[],2,0)</f>
        <v>4. Despesas Operacionais</v>
      </c>
      <c r="E4803" t="str">
        <f>VLOOKUP(B4803,Tabela_Auxiliar[],4,0)</f>
        <v>Serviços Contratados</v>
      </c>
      <c r="F4803" t="str">
        <f>VLOOKUP(B4803,Tabela_Auxiliar[],3,0)</f>
        <v>Saída</v>
      </c>
      <c r="G4803" t="str">
        <f>UPPER(TEXT(Tabela_DB[[#This Row],[DATA]],"mmm"))</f>
        <v>DEZ</v>
      </c>
      <c r="H4803" t="str">
        <f>UPPER(TEXT(Tabela_DB[[#This Row],[DATA]],"aaaa"))</f>
        <v>2021</v>
      </c>
    </row>
    <row r="4804" spans="1:8" x14ac:dyDescent="0.25">
      <c r="A4804" s="2">
        <v>44534</v>
      </c>
      <c r="B4804" t="s">
        <v>3</v>
      </c>
      <c r="C4804">
        <v>11587</v>
      </c>
      <c r="D4804" t="str">
        <f>VLOOKUP(B4804,Tabela_Auxiliar[],2,0)</f>
        <v>1. Receita Operacional Bruta</v>
      </c>
      <c r="E4804" t="str">
        <f>VLOOKUP(B4804,Tabela_Auxiliar[],4,0)</f>
        <v>Receita Bruta</v>
      </c>
      <c r="F4804" t="str">
        <f>VLOOKUP(B4804,Tabela_Auxiliar[],3,0)</f>
        <v>Entrada</v>
      </c>
      <c r="G4804" t="str">
        <f>UPPER(TEXT(Tabela_DB[[#This Row],[DATA]],"mmm"))</f>
        <v>DEZ</v>
      </c>
      <c r="H4804" t="str">
        <f>UPPER(TEXT(Tabela_DB[[#This Row],[DATA]],"aaaa"))</f>
        <v>2021</v>
      </c>
    </row>
    <row r="4805" spans="1:8" x14ac:dyDescent="0.25">
      <c r="A4805" s="2">
        <v>44534</v>
      </c>
      <c r="B4805" t="s">
        <v>38</v>
      </c>
      <c r="C4805">
        <v>-1974</v>
      </c>
      <c r="D4805" t="str">
        <f>VLOOKUP(B4805,Tabela_Auxiliar[],2,0)</f>
        <v>2. Deduções da Receita</v>
      </c>
      <c r="E4805" t="str">
        <f>VLOOKUP(B4805,Tabela_Auxiliar[],4,0)</f>
        <v>Deduções</v>
      </c>
      <c r="F4805" t="str">
        <f>VLOOKUP(B4805,Tabela_Auxiliar[],3,0)</f>
        <v>Saída</v>
      </c>
      <c r="G4805" t="str">
        <f>UPPER(TEXT(Tabela_DB[[#This Row],[DATA]],"mmm"))</f>
        <v>DEZ</v>
      </c>
      <c r="H4805" t="str">
        <f>UPPER(TEXT(Tabela_DB[[#This Row],[DATA]],"aaaa"))</f>
        <v>2021</v>
      </c>
    </row>
    <row r="4806" spans="1:8" x14ac:dyDescent="0.25">
      <c r="A4806" s="2">
        <v>44535</v>
      </c>
      <c r="B4806" t="s">
        <v>3</v>
      </c>
      <c r="C4806">
        <v>12987</v>
      </c>
      <c r="D4806" t="str">
        <f>VLOOKUP(B4806,Tabela_Auxiliar[],2,0)</f>
        <v>1. Receita Operacional Bruta</v>
      </c>
      <c r="E4806" t="str">
        <f>VLOOKUP(B4806,Tabela_Auxiliar[],4,0)</f>
        <v>Receita Bruta</v>
      </c>
      <c r="F4806" t="str">
        <f>VLOOKUP(B4806,Tabela_Auxiliar[],3,0)</f>
        <v>Entrada</v>
      </c>
      <c r="G4806" t="str">
        <f>UPPER(TEXT(Tabela_DB[[#This Row],[DATA]],"mmm"))</f>
        <v>DEZ</v>
      </c>
      <c r="H4806" t="str">
        <f>UPPER(TEXT(Tabela_DB[[#This Row],[DATA]],"aaaa"))</f>
        <v>2021</v>
      </c>
    </row>
    <row r="4807" spans="1:8" x14ac:dyDescent="0.25">
      <c r="A4807" s="2">
        <v>44535</v>
      </c>
      <c r="B4807" t="s">
        <v>83</v>
      </c>
      <c r="C4807">
        <v>-1677</v>
      </c>
      <c r="D4807" t="str">
        <f>VLOOKUP(B4807,Tabela_Auxiliar[],2,0)</f>
        <v>4. Despesas Operacionais</v>
      </c>
      <c r="E4807" t="str">
        <f>VLOOKUP(B4807,Tabela_Auxiliar[],4,0)</f>
        <v>Despesa com Veículos</v>
      </c>
      <c r="F4807" t="str">
        <f>VLOOKUP(B4807,Tabela_Auxiliar[],3,0)</f>
        <v>Saída</v>
      </c>
      <c r="G4807" t="str">
        <f>UPPER(TEXT(Tabela_DB[[#This Row],[DATA]],"mmm"))</f>
        <v>DEZ</v>
      </c>
      <c r="H4807" t="str">
        <f>UPPER(TEXT(Tabela_DB[[#This Row],[DATA]],"aaaa"))</f>
        <v>2021</v>
      </c>
    </row>
    <row r="4808" spans="1:8" x14ac:dyDescent="0.25">
      <c r="A4808" s="2">
        <v>44535</v>
      </c>
      <c r="B4808" t="s">
        <v>34</v>
      </c>
      <c r="C4808">
        <v>-2218</v>
      </c>
      <c r="D4808" t="str">
        <f>VLOOKUP(B4808,Tabela_Auxiliar[],2,0)</f>
        <v>2. Deduções da Receita</v>
      </c>
      <c r="E4808" t="str">
        <f>VLOOKUP(B4808,Tabela_Auxiliar[],4,0)</f>
        <v>Imposto</v>
      </c>
      <c r="F4808" t="str">
        <f>VLOOKUP(B4808,Tabela_Auxiliar[],3,0)</f>
        <v>Saída</v>
      </c>
      <c r="G4808" t="str">
        <f>UPPER(TEXT(Tabela_DB[[#This Row],[DATA]],"mmm"))</f>
        <v>DEZ</v>
      </c>
      <c r="H4808" t="str">
        <f>UPPER(TEXT(Tabela_DB[[#This Row],[DATA]],"aaaa"))</f>
        <v>2021</v>
      </c>
    </row>
    <row r="4809" spans="1:8" x14ac:dyDescent="0.25">
      <c r="A4809" s="2">
        <v>44535</v>
      </c>
      <c r="B4809" t="s">
        <v>53</v>
      </c>
      <c r="C4809">
        <v>-1938</v>
      </c>
      <c r="D4809" t="str">
        <f>VLOOKUP(B4809,Tabela_Auxiliar[],2,0)</f>
        <v>4. Despesas Operacionais</v>
      </c>
      <c r="E4809" t="str">
        <f>VLOOKUP(B4809,Tabela_Auxiliar[],4,0)</f>
        <v>Despesa com Pessoal</v>
      </c>
      <c r="F4809" t="str">
        <f>VLOOKUP(B4809,Tabela_Auxiliar[],3,0)</f>
        <v>Saída</v>
      </c>
      <c r="G4809" t="str">
        <f>UPPER(TEXT(Tabela_DB[[#This Row],[DATA]],"mmm"))</f>
        <v>DEZ</v>
      </c>
      <c r="H4809" t="str">
        <f>UPPER(TEXT(Tabela_DB[[#This Row],[DATA]],"aaaa"))</f>
        <v>2021</v>
      </c>
    </row>
    <row r="4810" spans="1:8" x14ac:dyDescent="0.25">
      <c r="A4810" s="2">
        <v>44535</v>
      </c>
      <c r="B4810" t="s">
        <v>4</v>
      </c>
      <c r="C4810">
        <v>12709</v>
      </c>
      <c r="D4810" t="str">
        <f>VLOOKUP(B4810,Tabela_Auxiliar[],2,0)</f>
        <v>1. Receita Operacional Bruta</v>
      </c>
      <c r="E4810" t="str">
        <f>VLOOKUP(B4810,Tabela_Auxiliar[],4,0)</f>
        <v>Receita Bruta</v>
      </c>
      <c r="F4810" t="str">
        <f>VLOOKUP(B4810,Tabela_Auxiliar[],3,0)</f>
        <v>Entrada</v>
      </c>
      <c r="G4810" t="str">
        <f>UPPER(TEXT(Tabela_DB[[#This Row],[DATA]],"mmm"))</f>
        <v>DEZ</v>
      </c>
      <c r="H4810" t="str">
        <f>UPPER(TEXT(Tabela_DB[[#This Row],[DATA]],"aaaa"))</f>
        <v>2021</v>
      </c>
    </row>
    <row r="4811" spans="1:8" x14ac:dyDescent="0.25">
      <c r="A4811" s="2">
        <v>44535</v>
      </c>
      <c r="B4811" t="s">
        <v>38</v>
      </c>
      <c r="C4811">
        <v>-1888</v>
      </c>
      <c r="D4811" t="str">
        <f>VLOOKUP(B4811,Tabela_Auxiliar[],2,0)</f>
        <v>2. Deduções da Receita</v>
      </c>
      <c r="E4811" t="str">
        <f>VLOOKUP(B4811,Tabela_Auxiliar[],4,0)</f>
        <v>Deduções</v>
      </c>
      <c r="F4811" t="str">
        <f>VLOOKUP(B4811,Tabela_Auxiliar[],3,0)</f>
        <v>Saída</v>
      </c>
      <c r="G4811" t="str">
        <f>UPPER(TEXT(Tabela_DB[[#This Row],[DATA]],"mmm"))</f>
        <v>DEZ</v>
      </c>
      <c r="H4811" t="str">
        <f>UPPER(TEXT(Tabela_DB[[#This Row],[DATA]],"aaaa"))</f>
        <v>2021</v>
      </c>
    </row>
    <row r="4812" spans="1:8" x14ac:dyDescent="0.25">
      <c r="A4812" s="2">
        <v>44535</v>
      </c>
      <c r="B4812" t="s">
        <v>4</v>
      </c>
      <c r="C4812">
        <v>14444</v>
      </c>
      <c r="D4812" t="str">
        <f>VLOOKUP(B4812,Tabela_Auxiliar[],2,0)</f>
        <v>1. Receita Operacional Bruta</v>
      </c>
      <c r="E4812" t="str">
        <f>VLOOKUP(B4812,Tabela_Auxiliar[],4,0)</f>
        <v>Receita Bruta</v>
      </c>
      <c r="F4812" t="str">
        <f>VLOOKUP(B4812,Tabela_Auxiliar[],3,0)</f>
        <v>Entrada</v>
      </c>
      <c r="G4812" t="str">
        <f>UPPER(TEXT(Tabela_DB[[#This Row],[DATA]],"mmm"))</f>
        <v>DEZ</v>
      </c>
      <c r="H4812" t="str">
        <f>UPPER(TEXT(Tabela_DB[[#This Row],[DATA]],"aaaa"))</f>
        <v>2021</v>
      </c>
    </row>
    <row r="4813" spans="1:8" x14ac:dyDescent="0.25">
      <c r="A4813" s="2">
        <v>44535</v>
      </c>
      <c r="B4813" t="s">
        <v>37</v>
      </c>
      <c r="C4813">
        <v>-3457</v>
      </c>
      <c r="D4813" t="str">
        <f>VLOOKUP(B4813,Tabela_Auxiliar[],2,0)</f>
        <v>3. Custos do Produto/Mercadoria/Serviço</v>
      </c>
      <c r="E4813" t="str">
        <f>VLOOKUP(B4813,Tabela_Auxiliar[],4,0)</f>
        <v>Despesas c/ Produto</v>
      </c>
      <c r="F4813" t="str">
        <f>VLOOKUP(B4813,Tabela_Auxiliar[],3,0)</f>
        <v>Saída</v>
      </c>
      <c r="G4813" t="str">
        <f>UPPER(TEXT(Tabela_DB[[#This Row],[DATA]],"mmm"))</f>
        <v>DEZ</v>
      </c>
      <c r="H4813" t="str">
        <f>UPPER(TEXT(Tabela_DB[[#This Row],[DATA]],"aaaa"))</f>
        <v>2021</v>
      </c>
    </row>
    <row r="4814" spans="1:8" x14ac:dyDescent="0.25">
      <c r="A4814" s="2">
        <v>44535</v>
      </c>
      <c r="B4814" t="s">
        <v>100</v>
      </c>
      <c r="C4814">
        <v>2186</v>
      </c>
      <c r="D4814" t="str">
        <f>VLOOKUP(B4814,Tabela_Auxiliar[],2,0)</f>
        <v>5. Resultado Financeiro</v>
      </c>
      <c r="E4814" t="str">
        <f>VLOOKUP(B4814,Tabela_Auxiliar[],4,0)</f>
        <v>Receita Financeira</v>
      </c>
      <c r="F4814" t="str">
        <f>VLOOKUP(B4814,Tabela_Auxiliar[],3,0)</f>
        <v>Saída</v>
      </c>
      <c r="G4814" t="str">
        <f>UPPER(TEXT(Tabela_DB[[#This Row],[DATA]],"mmm"))</f>
        <v>DEZ</v>
      </c>
      <c r="H4814" t="str">
        <f>UPPER(TEXT(Tabela_DB[[#This Row],[DATA]],"aaaa"))</f>
        <v>2021</v>
      </c>
    </row>
    <row r="4815" spans="1:8" x14ac:dyDescent="0.25">
      <c r="A4815" s="2">
        <v>44535</v>
      </c>
      <c r="B4815" t="s">
        <v>38</v>
      </c>
      <c r="C4815">
        <v>-1330</v>
      </c>
      <c r="D4815" t="str">
        <f>VLOOKUP(B4815,Tabela_Auxiliar[],2,0)</f>
        <v>2. Deduções da Receita</v>
      </c>
      <c r="E4815" t="str">
        <f>VLOOKUP(B4815,Tabela_Auxiliar[],4,0)</f>
        <v>Deduções</v>
      </c>
      <c r="F4815" t="str">
        <f>VLOOKUP(B4815,Tabela_Auxiliar[],3,0)</f>
        <v>Saída</v>
      </c>
      <c r="G4815" t="str">
        <f>UPPER(TEXT(Tabela_DB[[#This Row],[DATA]],"mmm"))</f>
        <v>DEZ</v>
      </c>
      <c r="H4815" t="str">
        <f>UPPER(TEXT(Tabela_DB[[#This Row],[DATA]],"aaaa"))</f>
        <v>2021</v>
      </c>
    </row>
    <row r="4816" spans="1:8" x14ac:dyDescent="0.25">
      <c r="A4816" s="2">
        <v>44536</v>
      </c>
      <c r="B4816" t="s">
        <v>111</v>
      </c>
      <c r="C4816">
        <v>-1008</v>
      </c>
      <c r="D4816" t="str">
        <f>VLOOKUP(B4816,Tabela_Auxiliar[],2,0)</f>
        <v>2. Deduções da Receita</v>
      </c>
      <c r="E4816" t="str">
        <f>VLOOKUP(B4816,Tabela_Auxiliar[],4,0)</f>
        <v>Imposto</v>
      </c>
      <c r="F4816" t="str">
        <f>VLOOKUP(B4816,Tabela_Auxiliar[],3,0)</f>
        <v>Saída</v>
      </c>
      <c r="G4816" t="str">
        <f>UPPER(TEXT(Tabela_DB[[#This Row],[DATA]],"mmm"))</f>
        <v>DEZ</v>
      </c>
      <c r="H4816" t="str">
        <f>UPPER(TEXT(Tabela_DB[[#This Row],[DATA]],"aaaa"))</f>
        <v>2021</v>
      </c>
    </row>
    <row r="4817" spans="1:8" x14ac:dyDescent="0.25">
      <c r="A4817" s="2">
        <v>44536</v>
      </c>
      <c r="B4817" t="s">
        <v>3</v>
      </c>
      <c r="C4817">
        <v>11451</v>
      </c>
      <c r="D4817" t="str">
        <f>VLOOKUP(B4817,Tabela_Auxiliar[],2,0)</f>
        <v>1. Receita Operacional Bruta</v>
      </c>
      <c r="E4817" t="str">
        <f>VLOOKUP(B4817,Tabela_Auxiliar[],4,0)</f>
        <v>Receita Bruta</v>
      </c>
      <c r="F4817" t="str">
        <f>VLOOKUP(B4817,Tabela_Auxiliar[],3,0)</f>
        <v>Entrada</v>
      </c>
      <c r="G4817" t="str">
        <f>UPPER(TEXT(Tabela_DB[[#This Row],[DATA]],"mmm"))</f>
        <v>DEZ</v>
      </c>
      <c r="H4817" t="str">
        <f>UPPER(TEXT(Tabela_DB[[#This Row],[DATA]],"aaaa"))</f>
        <v>2021</v>
      </c>
    </row>
    <row r="4818" spans="1:8" x14ac:dyDescent="0.25">
      <c r="A4818" s="2">
        <v>44536</v>
      </c>
      <c r="B4818" t="s">
        <v>3</v>
      </c>
      <c r="C4818">
        <v>10859</v>
      </c>
      <c r="D4818" t="str">
        <f>VLOOKUP(B4818,Tabela_Auxiliar[],2,0)</f>
        <v>1. Receita Operacional Bruta</v>
      </c>
      <c r="E4818" t="str">
        <f>VLOOKUP(B4818,Tabela_Auxiliar[],4,0)</f>
        <v>Receita Bruta</v>
      </c>
      <c r="F4818" t="str">
        <f>VLOOKUP(B4818,Tabela_Auxiliar[],3,0)</f>
        <v>Entrada</v>
      </c>
      <c r="G4818" t="str">
        <f>UPPER(TEXT(Tabela_DB[[#This Row],[DATA]],"mmm"))</f>
        <v>DEZ</v>
      </c>
      <c r="H4818" t="str">
        <f>UPPER(TEXT(Tabela_DB[[#This Row],[DATA]],"aaaa"))</f>
        <v>2021</v>
      </c>
    </row>
    <row r="4819" spans="1:8" x14ac:dyDescent="0.25">
      <c r="A4819" s="2">
        <v>44536</v>
      </c>
      <c r="B4819" t="s">
        <v>86</v>
      </c>
      <c r="C4819">
        <v>-1268</v>
      </c>
      <c r="D4819" t="str">
        <f>VLOOKUP(B4819,Tabela_Auxiliar[],2,0)</f>
        <v>4. Despesas Operacionais</v>
      </c>
      <c r="E4819" t="str">
        <f>VLOOKUP(B4819,Tabela_Auxiliar[],4,0)</f>
        <v>Despesa com Veículos</v>
      </c>
      <c r="F4819" t="str">
        <f>VLOOKUP(B4819,Tabela_Auxiliar[],3,0)</f>
        <v>Saída</v>
      </c>
      <c r="G4819" t="str">
        <f>UPPER(TEXT(Tabela_DB[[#This Row],[DATA]],"mmm"))</f>
        <v>DEZ</v>
      </c>
      <c r="H4819" t="str">
        <f>UPPER(TEXT(Tabela_DB[[#This Row],[DATA]],"aaaa"))</f>
        <v>2021</v>
      </c>
    </row>
    <row r="4820" spans="1:8" x14ac:dyDescent="0.25">
      <c r="A4820" s="2">
        <v>44536</v>
      </c>
      <c r="B4820" t="s">
        <v>111</v>
      </c>
      <c r="C4820">
        <v>-2329</v>
      </c>
      <c r="D4820" t="str">
        <f>VLOOKUP(B4820,Tabela_Auxiliar[],2,0)</f>
        <v>2. Deduções da Receita</v>
      </c>
      <c r="E4820" t="str">
        <f>VLOOKUP(B4820,Tabela_Auxiliar[],4,0)</f>
        <v>Imposto</v>
      </c>
      <c r="F4820" t="str">
        <f>VLOOKUP(B4820,Tabela_Auxiliar[],3,0)</f>
        <v>Saída</v>
      </c>
      <c r="G4820" t="str">
        <f>UPPER(TEXT(Tabela_DB[[#This Row],[DATA]],"mmm"))</f>
        <v>DEZ</v>
      </c>
      <c r="H4820" t="str">
        <f>UPPER(TEXT(Tabela_DB[[#This Row],[DATA]],"aaaa"))</f>
        <v>2021</v>
      </c>
    </row>
    <row r="4821" spans="1:8" x14ac:dyDescent="0.25">
      <c r="A4821" s="2">
        <v>44536</v>
      </c>
      <c r="B4821" t="s">
        <v>37</v>
      </c>
      <c r="C4821">
        <v>-4482</v>
      </c>
      <c r="D4821" t="str">
        <f>VLOOKUP(B4821,Tabela_Auxiliar[],2,0)</f>
        <v>3. Custos do Produto/Mercadoria/Serviço</v>
      </c>
      <c r="E4821" t="str">
        <f>VLOOKUP(B4821,Tabela_Auxiliar[],4,0)</f>
        <v>Despesas c/ Produto</v>
      </c>
      <c r="F4821" t="str">
        <f>VLOOKUP(B4821,Tabela_Auxiliar[],3,0)</f>
        <v>Saída</v>
      </c>
      <c r="G4821" t="str">
        <f>UPPER(TEXT(Tabela_DB[[#This Row],[DATA]],"mmm"))</f>
        <v>DEZ</v>
      </c>
      <c r="H4821" t="str">
        <f>UPPER(TEXT(Tabela_DB[[#This Row],[DATA]],"aaaa"))</f>
        <v>2021</v>
      </c>
    </row>
    <row r="4822" spans="1:8" x14ac:dyDescent="0.25">
      <c r="A4822" s="2">
        <v>44537</v>
      </c>
      <c r="B4822" t="s">
        <v>4</v>
      </c>
      <c r="C4822">
        <v>13046</v>
      </c>
      <c r="D4822" t="str">
        <f>VLOOKUP(B4822,Tabela_Auxiliar[],2,0)</f>
        <v>1. Receita Operacional Bruta</v>
      </c>
      <c r="E4822" t="str">
        <f>VLOOKUP(B4822,Tabela_Auxiliar[],4,0)</f>
        <v>Receita Bruta</v>
      </c>
      <c r="F4822" t="str">
        <f>VLOOKUP(B4822,Tabela_Auxiliar[],3,0)</f>
        <v>Entrada</v>
      </c>
      <c r="G4822" t="str">
        <f>UPPER(TEXT(Tabela_DB[[#This Row],[DATA]],"mmm"))</f>
        <v>DEZ</v>
      </c>
      <c r="H4822" t="str">
        <f>UPPER(TEXT(Tabela_DB[[#This Row],[DATA]],"aaaa"))</f>
        <v>2021</v>
      </c>
    </row>
    <row r="4823" spans="1:8" x14ac:dyDescent="0.25">
      <c r="A4823" s="2">
        <v>44537</v>
      </c>
      <c r="B4823" t="s">
        <v>35</v>
      </c>
      <c r="C4823">
        <v>-1085</v>
      </c>
      <c r="D4823" t="str">
        <f>VLOOKUP(B4823,Tabela_Auxiliar[],2,0)</f>
        <v>2. Deduções da Receita</v>
      </c>
      <c r="E4823" t="str">
        <f>VLOOKUP(B4823,Tabela_Auxiliar[],4,0)</f>
        <v>Imposto</v>
      </c>
      <c r="F4823" t="str">
        <f>VLOOKUP(B4823,Tabela_Auxiliar[],3,0)</f>
        <v>Saída</v>
      </c>
      <c r="G4823" t="str">
        <f>UPPER(TEXT(Tabela_DB[[#This Row],[DATA]],"mmm"))</f>
        <v>DEZ</v>
      </c>
      <c r="H4823" t="str">
        <f>UPPER(TEXT(Tabela_DB[[#This Row],[DATA]],"aaaa"))</f>
        <v>2021</v>
      </c>
    </row>
    <row r="4824" spans="1:8" x14ac:dyDescent="0.25">
      <c r="A4824" s="2">
        <v>44537</v>
      </c>
      <c r="B4824" t="s">
        <v>38</v>
      </c>
      <c r="C4824">
        <v>-2016</v>
      </c>
      <c r="D4824" t="str">
        <f>VLOOKUP(B4824,Tabela_Auxiliar[],2,0)</f>
        <v>2. Deduções da Receita</v>
      </c>
      <c r="E4824" t="str">
        <f>VLOOKUP(B4824,Tabela_Auxiliar[],4,0)</f>
        <v>Deduções</v>
      </c>
      <c r="F4824" t="str">
        <f>VLOOKUP(B4824,Tabela_Auxiliar[],3,0)</f>
        <v>Saída</v>
      </c>
      <c r="G4824" t="str">
        <f>UPPER(TEXT(Tabela_DB[[#This Row],[DATA]],"mmm"))</f>
        <v>DEZ</v>
      </c>
      <c r="H4824" t="str">
        <f>UPPER(TEXT(Tabela_DB[[#This Row],[DATA]],"aaaa"))</f>
        <v>2021</v>
      </c>
    </row>
    <row r="4825" spans="1:8" x14ac:dyDescent="0.25">
      <c r="A4825" s="2">
        <v>44537</v>
      </c>
      <c r="B4825" t="s">
        <v>35</v>
      </c>
      <c r="C4825">
        <v>-1750</v>
      </c>
      <c r="D4825" t="str">
        <f>VLOOKUP(B4825,Tabela_Auxiliar[],2,0)</f>
        <v>2. Deduções da Receita</v>
      </c>
      <c r="E4825" t="str">
        <f>VLOOKUP(B4825,Tabela_Auxiliar[],4,0)</f>
        <v>Imposto</v>
      </c>
      <c r="F4825" t="str">
        <f>VLOOKUP(B4825,Tabela_Auxiliar[],3,0)</f>
        <v>Saída</v>
      </c>
      <c r="G4825" t="str">
        <f>UPPER(TEXT(Tabela_DB[[#This Row],[DATA]],"mmm"))</f>
        <v>DEZ</v>
      </c>
      <c r="H4825" t="str">
        <f>UPPER(TEXT(Tabela_DB[[#This Row],[DATA]],"aaaa"))</f>
        <v>2021</v>
      </c>
    </row>
    <row r="4826" spans="1:8" x14ac:dyDescent="0.25">
      <c r="A4826" s="2">
        <v>44537</v>
      </c>
      <c r="B4826" t="s">
        <v>84</v>
      </c>
      <c r="C4826">
        <v>-2159</v>
      </c>
      <c r="D4826" t="str">
        <f>VLOOKUP(B4826,Tabela_Auxiliar[],2,0)</f>
        <v>4. Despesas Operacionais</v>
      </c>
      <c r="E4826" t="str">
        <f>VLOOKUP(B4826,Tabela_Auxiliar[],4,0)</f>
        <v>Despesa com Veículos</v>
      </c>
      <c r="F4826" t="str">
        <f>VLOOKUP(B4826,Tabela_Auxiliar[],3,0)</f>
        <v>Saída</v>
      </c>
      <c r="G4826" t="str">
        <f>UPPER(TEXT(Tabela_DB[[#This Row],[DATA]],"mmm"))</f>
        <v>DEZ</v>
      </c>
      <c r="H4826" t="str">
        <f>UPPER(TEXT(Tabela_DB[[#This Row],[DATA]],"aaaa"))</f>
        <v>2021</v>
      </c>
    </row>
    <row r="4827" spans="1:8" x14ac:dyDescent="0.25">
      <c r="A4827" s="2">
        <v>44537</v>
      </c>
      <c r="B4827" t="s">
        <v>111</v>
      </c>
      <c r="C4827">
        <v>-1575</v>
      </c>
      <c r="D4827" t="str">
        <f>VLOOKUP(B4827,Tabela_Auxiliar[],2,0)</f>
        <v>2. Deduções da Receita</v>
      </c>
      <c r="E4827" t="str">
        <f>VLOOKUP(B4827,Tabela_Auxiliar[],4,0)</f>
        <v>Imposto</v>
      </c>
      <c r="F4827" t="str">
        <f>VLOOKUP(B4827,Tabela_Auxiliar[],3,0)</f>
        <v>Saída</v>
      </c>
      <c r="G4827" t="str">
        <f>UPPER(TEXT(Tabela_DB[[#This Row],[DATA]],"mmm"))</f>
        <v>DEZ</v>
      </c>
      <c r="H4827" t="str">
        <f>UPPER(TEXT(Tabela_DB[[#This Row],[DATA]],"aaaa"))</f>
        <v>2021</v>
      </c>
    </row>
    <row r="4828" spans="1:8" x14ac:dyDescent="0.25">
      <c r="A4828" s="2">
        <v>44537</v>
      </c>
      <c r="B4828" t="s">
        <v>35</v>
      </c>
      <c r="C4828">
        <v>-1645</v>
      </c>
      <c r="D4828" t="str">
        <f>VLOOKUP(B4828,Tabela_Auxiliar[],2,0)</f>
        <v>2. Deduções da Receita</v>
      </c>
      <c r="E4828" t="str">
        <f>VLOOKUP(B4828,Tabela_Auxiliar[],4,0)</f>
        <v>Imposto</v>
      </c>
      <c r="F4828" t="str">
        <f>VLOOKUP(B4828,Tabela_Auxiliar[],3,0)</f>
        <v>Saída</v>
      </c>
      <c r="G4828" t="str">
        <f>UPPER(TEXT(Tabela_DB[[#This Row],[DATA]],"mmm"))</f>
        <v>DEZ</v>
      </c>
      <c r="H4828" t="str">
        <f>UPPER(TEXT(Tabela_DB[[#This Row],[DATA]],"aaaa"))</f>
        <v>2021</v>
      </c>
    </row>
    <row r="4829" spans="1:8" x14ac:dyDescent="0.25">
      <c r="A4829" s="2">
        <v>44537</v>
      </c>
      <c r="B4829" t="s">
        <v>4</v>
      </c>
      <c r="C4829">
        <v>11081</v>
      </c>
      <c r="D4829" t="str">
        <f>VLOOKUP(B4829,Tabela_Auxiliar[],2,0)</f>
        <v>1. Receita Operacional Bruta</v>
      </c>
      <c r="E4829" t="str">
        <f>VLOOKUP(B4829,Tabela_Auxiliar[],4,0)</f>
        <v>Receita Bruta</v>
      </c>
      <c r="F4829" t="str">
        <f>VLOOKUP(B4829,Tabela_Auxiliar[],3,0)</f>
        <v>Entrada</v>
      </c>
      <c r="G4829" t="str">
        <f>UPPER(TEXT(Tabela_DB[[#This Row],[DATA]],"mmm"))</f>
        <v>DEZ</v>
      </c>
      <c r="H4829" t="str">
        <f>UPPER(TEXT(Tabela_DB[[#This Row],[DATA]],"aaaa"))</f>
        <v>2021</v>
      </c>
    </row>
    <row r="4830" spans="1:8" x14ac:dyDescent="0.25">
      <c r="A4830" s="2">
        <v>44537</v>
      </c>
      <c r="B4830" t="s">
        <v>111</v>
      </c>
      <c r="C4830">
        <v>-1509</v>
      </c>
      <c r="D4830" t="str">
        <f>VLOOKUP(B4830,Tabela_Auxiliar[],2,0)</f>
        <v>2. Deduções da Receita</v>
      </c>
      <c r="E4830" t="str">
        <f>VLOOKUP(B4830,Tabela_Auxiliar[],4,0)</f>
        <v>Imposto</v>
      </c>
      <c r="F4830" t="str">
        <f>VLOOKUP(B4830,Tabela_Auxiliar[],3,0)</f>
        <v>Saída</v>
      </c>
      <c r="G4830" t="str">
        <f>UPPER(TEXT(Tabela_DB[[#This Row],[DATA]],"mmm"))</f>
        <v>DEZ</v>
      </c>
      <c r="H4830" t="str">
        <f>UPPER(TEXT(Tabela_DB[[#This Row],[DATA]],"aaaa"))</f>
        <v>2021</v>
      </c>
    </row>
    <row r="4831" spans="1:8" x14ac:dyDescent="0.25">
      <c r="A4831" s="2">
        <v>44537</v>
      </c>
      <c r="B4831" t="s">
        <v>4</v>
      </c>
      <c r="C4831">
        <v>13023</v>
      </c>
      <c r="D4831" t="str">
        <f>VLOOKUP(B4831,Tabela_Auxiliar[],2,0)</f>
        <v>1. Receita Operacional Bruta</v>
      </c>
      <c r="E4831" t="str">
        <f>VLOOKUP(B4831,Tabela_Auxiliar[],4,0)</f>
        <v>Receita Bruta</v>
      </c>
      <c r="F4831" t="str">
        <f>VLOOKUP(B4831,Tabela_Auxiliar[],3,0)</f>
        <v>Entrada</v>
      </c>
      <c r="G4831" t="str">
        <f>UPPER(TEXT(Tabela_DB[[#This Row],[DATA]],"mmm"))</f>
        <v>DEZ</v>
      </c>
      <c r="H4831" t="str">
        <f>UPPER(TEXT(Tabela_DB[[#This Row],[DATA]],"aaaa"))</f>
        <v>2021</v>
      </c>
    </row>
    <row r="4832" spans="1:8" x14ac:dyDescent="0.25">
      <c r="A4832" s="2">
        <v>44538</v>
      </c>
      <c r="B4832" t="s">
        <v>4</v>
      </c>
      <c r="C4832">
        <v>10707</v>
      </c>
      <c r="D4832" t="str">
        <f>VLOOKUP(B4832,Tabela_Auxiliar[],2,0)</f>
        <v>1. Receita Operacional Bruta</v>
      </c>
      <c r="E4832" t="str">
        <f>VLOOKUP(B4832,Tabela_Auxiliar[],4,0)</f>
        <v>Receita Bruta</v>
      </c>
      <c r="F4832" t="str">
        <f>VLOOKUP(B4832,Tabela_Auxiliar[],3,0)</f>
        <v>Entrada</v>
      </c>
      <c r="G4832" t="str">
        <f>UPPER(TEXT(Tabela_DB[[#This Row],[DATA]],"mmm"))</f>
        <v>DEZ</v>
      </c>
      <c r="H4832" t="str">
        <f>UPPER(TEXT(Tabela_DB[[#This Row],[DATA]],"aaaa"))</f>
        <v>2021</v>
      </c>
    </row>
    <row r="4833" spans="1:8" x14ac:dyDescent="0.25">
      <c r="A4833" s="2">
        <v>44538</v>
      </c>
      <c r="B4833" t="s">
        <v>34</v>
      </c>
      <c r="C4833">
        <v>-2081</v>
      </c>
      <c r="D4833" t="str">
        <f>VLOOKUP(B4833,Tabela_Auxiliar[],2,0)</f>
        <v>2. Deduções da Receita</v>
      </c>
      <c r="E4833" t="str">
        <f>VLOOKUP(B4833,Tabela_Auxiliar[],4,0)</f>
        <v>Imposto</v>
      </c>
      <c r="F4833" t="str">
        <f>VLOOKUP(B4833,Tabela_Auxiliar[],3,0)</f>
        <v>Saída</v>
      </c>
      <c r="G4833" t="str">
        <f>UPPER(TEXT(Tabela_DB[[#This Row],[DATA]],"mmm"))</f>
        <v>DEZ</v>
      </c>
      <c r="H4833" t="str">
        <f>UPPER(TEXT(Tabela_DB[[#This Row],[DATA]],"aaaa"))</f>
        <v>2021</v>
      </c>
    </row>
    <row r="4834" spans="1:8" x14ac:dyDescent="0.25">
      <c r="A4834" s="2">
        <v>44538</v>
      </c>
      <c r="B4834" t="s">
        <v>54</v>
      </c>
      <c r="C4834">
        <v>-2174</v>
      </c>
      <c r="D4834" t="str">
        <f>VLOOKUP(B4834,Tabela_Auxiliar[],2,0)</f>
        <v>4. Despesas Operacionais</v>
      </c>
      <c r="E4834" t="str">
        <f>VLOOKUP(B4834,Tabela_Auxiliar[],4,0)</f>
        <v>Despesa com Pessoal</v>
      </c>
      <c r="F4834" t="str">
        <f>VLOOKUP(B4834,Tabela_Auxiliar[],3,0)</f>
        <v>Saída</v>
      </c>
      <c r="G4834" t="str">
        <f>UPPER(TEXT(Tabela_DB[[#This Row],[DATA]],"mmm"))</f>
        <v>DEZ</v>
      </c>
      <c r="H4834" t="str">
        <f>UPPER(TEXT(Tabela_DB[[#This Row],[DATA]],"aaaa"))</f>
        <v>2021</v>
      </c>
    </row>
    <row r="4835" spans="1:8" x14ac:dyDescent="0.25">
      <c r="A4835" s="2">
        <v>44538</v>
      </c>
      <c r="B4835" t="s">
        <v>8</v>
      </c>
      <c r="C4835">
        <v>-2437</v>
      </c>
      <c r="D4835" t="str">
        <f>VLOOKUP(B4835,Tabela_Auxiliar[],2,0)</f>
        <v>4. Despesas Operacionais</v>
      </c>
      <c r="E4835" t="str">
        <f>VLOOKUP(B4835,Tabela_Auxiliar[],4,0)</f>
        <v>Despesa com Pessoal</v>
      </c>
      <c r="F4835" t="str">
        <f>VLOOKUP(B4835,Tabela_Auxiliar[],3,0)</f>
        <v>Saída</v>
      </c>
      <c r="G4835" t="str">
        <f>UPPER(TEXT(Tabela_DB[[#This Row],[DATA]],"mmm"))</f>
        <v>DEZ</v>
      </c>
      <c r="H4835" t="str">
        <f>UPPER(TEXT(Tabela_DB[[#This Row],[DATA]],"aaaa"))</f>
        <v>2021</v>
      </c>
    </row>
    <row r="4836" spans="1:8" x14ac:dyDescent="0.25">
      <c r="A4836" s="2">
        <v>44538</v>
      </c>
      <c r="B4836" t="s">
        <v>111</v>
      </c>
      <c r="C4836">
        <v>-1804</v>
      </c>
      <c r="D4836" t="str">
        <f>VLOOKUP(B4836,Tabela_Auxiliar[],2,0)</f>
        <v>2. Deduções da Receita</v>
      </c>
      <c r="E4836" t="str">
        <f>VLOOKUP(B4836,Tabela_Auxiliar[],4,0)</f>
        <v>Imposto</v>
      </c>
      <c r="F4836" t="str">
        <f>VLOOKUP(B4836,Tabela_Auxiliar[],3,0)</f>
        <v>Saída</v>
      </c>
      <c r="G4836" t="str">
        <f>UPPER(TEXT(Tabela_DB[[#This Row],[DATA]],"mmm"))</f>
        <v>DEZ</v>
      </c>
      <c r="H4836" t="str">
        <f>UPPER(TEXT(Tabela_DB[[#This Row],[DATA]],"aaaa"))</f>
        <v>2021</v>
      </c>
    </row>
    <row r="4837" spans="1:8" x14ac:dyDescent="0.25">
      <c r="A4837" s="2">
        <v>44539</v>
      </c>
      <c r="B4837" t="s">
        <v>80</v>
      </c>
      <c r="C4837">
        <v>-1636</v>
      </c>
      <c r="D4837" t="str">
        <f>VLOOKUP(B4837,Tabela_Auxiliar[],2,0)</f>
        <v>4. Despesas Operacionais</v>
      </c>
      <c r="E4837" t="str">
        <f>VLOOKUP(B4837,Tabela_Auxiliar[],4,0)</f>
        <v>Serviços Contratados</v>
      </c>
      <c r="F4837" t="str">
        <f>VLOOKUP(B4837,Tabela_Auxiliar[],3,0)</f>
        <v>Saída</v>
      </c>
      <c r="G4837" t="str">
        <f>UPPER(TEXT(Tabela_DB[[#This Row],[DATA]],"mmm"))</f>
        <v>DEZ</v>
      </c>
      <c r="H4837" t="str">
        <f>UPPER(TEXT(Tabela_DB[[#This Row],[DATA]],"aaaa"))</f>
        <v>2021</v>
      </c>
    </row>
    <row r="4838" spans="1:8" x14ac:dyDescent="0.25">
      <c r="A4838" s="2">
        <v>44539</v>
      </c>
      <c r="B4838" t="s">
        <v>111</v>
      </c>
      <c r="C4838">
        <v>-2408</v>
      </c>
      <c r="D4838" t="str">
        <f>VLOOKUP(B4838,Tabela_Auxiliar[],2,0)</f>
        <v>2. Deduções da Receita</v>
      </c>
      <c r="E4838" t="str">
        <f>VLOOKUP(B4838,Tabela_Auxiliar[],4,0)</f>
        <v>Imposto</v>
      </c>
      <c r="F4838" t="str">
        <f>VLOOKUP(B4838,Tabela_Auxiliar[],3,0)</f>
        <v>Saída</v>
      </c>
      <c r="G4838" t="str">
        <f>UPPER(TEXT(Tabela_DB[[#This Row],[DATA]],"mmm"))</f>
        <v>DEZ</v>
      </c>
      <c r="H4838" t="str">
        <f>UPPER(TEXT(Tabela_DB[[#This Row],[DATA]],"aaaa"))</f>
        <v>2021</v>
      </c>
    </row>
    <row r="4839" spans="1:8" x14ac:dyDescent="0.25">
      <c r="A4839" s="2">
        <v>44539</v>
      </c>
      <c r="B4839" t="s">
        <v>74</v>
      </c>
      <c r="C4839">
        <v>-1545</v>
      </c>
      <c r="D4839" t="str">
        <f>VLOOKUP(B4839,Tabela_Auxiliar[],2,0)</f>
        <v>4. Despesas Operacionais</v>
      </c>
      <c r="E4839" t="str">
        <f>VLOOKUP(B4839,Tabela_Auxiliar[],4,0)</f>
        <v>Serviços Contratados</v>
      </c>
      <c r="F4839" t="str">
        <f>VLOOKUP(B4839,Tabela_Auxiliar[],3,0)</f>
        <v>Saída</v>
      </c>
      <c r="G4839" t="str">
        <f>UPPER(TEXT(Tabela_DB[[#This Row],[DATA]],"mmm"))</f>
        <v>DEZ</v>
      </c>
      <c r="H4839" t="str">
        <f>UPPER(TEXT(Tabela_DB[[#This Row],[DATA]],"aaaa"))</f>
        <v>2021</v>
      </c>
    </row>
    <row r="4840" spans="1:8" x14ac:dyDescent="0.25">
      <c r="A4840" s="2">
        <v>44539</v>
      </c>
      <c r="B4840" t="s">
        <v>111</v>
      </c>
      <c r="C4840">
        <v>-1178</v>
      </c>
      <c r="D4840" t="str">
        <f>VLOOKUP(B4840,Tabela_Auxiliar[],2,0)</f>
        <v>2. Deduções da Receita</v>
      </c>
      <c r="E4840" t="str">
        <f>VLOOKUP(B4840,Tabela_Auxiliar[],4,0)</f>
        <v>Imposto</v>
      </c>
      <c r="F4840" t="str">
        <f>VLOOKUP(B4840,Tabela_Auxiliar[],3,0)</f>
        <v>Saída</v>
      </c>
      <c r="G4840" t="str">
        <f>UPPER(TEXT(Tabela_DB[[#This Row],[DATA]],"mmm"))</f>
        <v>DEZ</v>
      </c>
      <c r="H4840" t="str">
        <f>UPPER(TEXT(Tabela_DB[[#This Row],[DATA]],"aaaa"))</f>
        <v>2021</v>
      </c>
    </row>
    <row r="4841" spans="1:8" x14ac:dyDescent="0.25">
      <c r="A4841" s="2">
        <v>44539</v>
      </c>
      <c r="B4841" t="s">
        <v>66</v>
      </c>
      <c r="C4841">
        <v>-1795</v>
      </c>
      <c r="D4841" t="str">
        <f>VLOOKUP(B4841,Tabela_Auxiliar[],2,0)</f>
        <v>4. Despesas Operacionais</v>
      </c>
      <c r="E4841" t="str">
        <f>VLOOKUP(B4841,Tabela_Auxiliar[],4,0)</f>
        <v>Despesa com Vendas</v>
      </c>
      <c r="F4841" t="str">
        <f>VLOOKUP(B4841,Tabela_Auxiliar[],3,0)</f>
        <v>Saída</v>
      </c>
      <c r="G4841" t="str">
        <f>UPPER(TEXT(Tabela_DB[[#This Row],[DATA]],"mmm"))</f>
        <v>DEZ</v>
      </c>
      <c r="H4841" t="str">
        <f>UPPER(TEXT(Tabela_DB[[#This Row],[DATA]],"aaaa"))</f>
        <v>2021</v>
      </c>
    </row>
    <row r="4842" spans="1:8" x14ac:dyDescent="0.25">
      <c r="A4842" s="2">
        <v>44539</v>
      </c>
      <c r="B4842" t="s">
        <v>44</v>
      </c>
      <c r="C4842">
        <v>-1117</v>
      </c>
      <c r="D4842" t="str">
        <f>VLOOKUP(B4842,Tabela_Auxiliar[],2,0)</f>
        <v>4. Despesas Operacionais</v>
      </c>
      <c r="E4842" t="str">
        <f>VLOOKUP(B4842,Tabela_Auxiliar[],4,0)</f>
        <v>Despesa com Pessoal</v>
      </c>
      <c r="F4842" t="str">
        <f>VLOOKUP(B4842,Tabela_Auxiliar[],3,0)</f>
        <v>Saída</v>
      </c>
      <c r="G4842" t="str">
        <f>UPPER(TEXT(Tabela_DB[[#This Row],[DATA]],"mmm"))</f>
        <v>DEZ</v>
      </c>
      <c r="H4842" t="str">
        <f>UPPER(TEXT(Tabela_DB[[#This Row],[DATA]],"aaaa"))</f>
        <v>2021</v>
      </c>
    </row>
    <row r="4843" spans="1:8" x14ac:dyDescent="0.25">
      <c r="A4843" s="2">
        <v>44539</v>
      </c>
      <c r="B4843" t="s">
        <v>76</v>
      </c>
      <c r="C4843">
        <v>-1201</v>
      </c>
      <c r="D4843" t="str">
        <f>VLOOKUP(B4843,Tabela_Auxiliar[],2,0)</f>
        <v>4. Despesas Operacionais</v>
      </c>
      <c r="E4843" t="str">
        <f>VLOOKUP(B4843,Tabela_Auxiliar[],4,0)</f>
        <v>Serviços Contratados</v>
      </c>
      <c r="F4843" t="str">
        <f>VLOOKUP(B4843,Tabela_Auxiliar[],3,0)</f>
        <v>Saída</v>
      </c>
      <c r="G4843" t="str">
        <f>UPPER(TEXT(Tabela_DB[[#This Row],[DATA]],"mmm"))</f>
        <v>DEZ</v>
      </c>
      <c r="H4843" t="str">
        <f>UPPER(TEXT(Tabela_DB[[#This Row],[DATA]],"aaaa"))</f>
        <v>2021</v>
      </c>
    </row>
    <row r="4844" spans="1:8" x14ac:dyDescent="0.25">
      <c r="A4844" s="2">
        <v>44540</v>
      </c>
      <c r="B4844" t="s">
        <v>37</v>
      </c>
      <c r="C4844">
        <v>-3181</v>
      </c>
      <c r="D4844" t="str">
        <f>VLOOKUP(B4844,Tabela_Auxiliar[],2,0)</f>
        <v>3. Custos do Produto/Mercadoria/Serviço</v>
      </c>
      <c r="E4844" t="str">
        <f>VLOOKUP(B4844,Tabela_Auxiliar[],4,0)</f>
        <v>Despesas c/ Produto</v>
      </c>
      <c r="F4844" t="str">
        <f>VLOOKUP(B4844,Tabela_Auxiliar[],3,0)</f>
        <v>Saída</v>
      </c>
      <c r="G4844" t="str">
        <f>UPPER(TEXT(Tabela_DB[[#This Row],[DATA]],"mmm"))</f>
        <v>DEZ</v>
      </c>
      <c r="H4844" t="str">
        <f>UPPER(TEXT(Tabela_DB[[#This Row],[DATA]],"aaaa"))</f>
        <v>2021</v>
      </c>
    </row>
    <row r="4845" spans="1:8" x14ac:dyDescent="0.25">
      <c r="A4845" s="2">
        <v>44540</v>
      </c>
      <c r="B4845" t="s">
        <v>35</v>
      </c>
      <c r="C4845">
        <v>-1968</v>
      </c>
      <c r="D4845" t="str">
        <f>VLOOKUP(B4845,Tabela_Auxiliar[],2,0)</f>
        <v>2. Deduções da Receita</v>
      </c>
      <c r="E4845" t="str">
        <f>VLOOKUP(B4845,Tabela_Auxiliar[],4,0)</f>
        <v>Imposto</v>
      </c>
      <c r="F4845" t="str">
        <f>VLOOKUP(B4845,Tabela_Auxiliar[],3,0)</f>
        <v>Saída</v>
      </c>
      <c r="G4845" t="str">
        <f>UPPER(TEXT(Tabela_DB[[#This Row],[DATA]],"mmm"))</f>
        <v>DEZ</v>
      </c>
      <c r="H4845" t="str">
        <f>UPPER(TEXT(Tabela_DB[[#This Row],[DATA]],"aaaa"))</f>
        <v>2021</v>
      </c>
    </row>
    <row r="4846" spans="1:8" x14ac:dyDescent="0.25">
      <c r="A4846" s="2">
        <v>44540</v>
      </c>
      <c r="B4846" t="s">
        <v>37</v>
      </c>
      <c r="C4846">
        <v>-4836</v>
      </c>
      <c r="D4846" t="str">
        <f>VLOOKUP(B4846,Tabela_Auxiliar[],2,0)</f>
        <v>3. Custos do Produto/Mercadoria/Serviço</v>
      </c>
      <c r="E4846" t="str">
        <f>VLOOKUP(B4846,Tabela_Auxiliar[],4,0)</f>
        <v>Despesas c/ Produto</v>
      </c>
      <c r="F4846" t="str">
        <f>VLOOKUP(B4846,Tabela_Auxiliar[],3,0)</f>
        <v>Saída</v>
      </c>
      <c r="G4846" t="str">
        <f>UPPER(TEXT(Tabela_DB[[#This Row],[DATA]],"mmm"))</f>
        <v>DEZ</v>
      </c>
      <c r="H4846" t="str">
        <f>UPPER(TEXT(Tabela_DB[[#This Row],[DATA]],"aaaa"))</f>
        <v>2021</v>
      </c>
    </row>
    <row r="4847" spans="1:8" x14ac:dyDescent="0.25">
      <c r="A4847" s="2">
        <v>44540</v>
      </c>
      <c r="B4847" t="s">
        <v>3</v>
      </c>
      <c r="C4847">
        <v>14858</v>
      </c>
      <c r="D4847" t="str">
        <f>VLOOKUP(B4847,Tabela_Auxiliar[],2,0)</f>
        <v>1. Receita Operacional Bruta</v>
      </c>
      <c r="E4847" t="str">
        <f>VLOOKUP(B4847,Tabela_Auxiliar[],4,0)</f>
        <v>Receita Bruta</v>
      </c>
      <c r="F4847" t="str">
        <f>VLOOKUP(B4847,Tabela_Auxiliar[],3,0)</f>
        <v>Entrada</v>
      </c>
      <c r="G4847" t="str">
        <f>UPPER(TEXT(Tabela_DB[[#This Row],[DATA]],"mmm"))</f>
        <v>DEZ</v>
      </c>
      <c r="H4847" t="str">
        <f>UPPER(TEXT(Tabela_DB[[#This Row],[DATA]],"aaaa"))</f>
        <v>2021</v>
      </c>
    </row>
    <row r="4848" spans="1:8" x14ac:dyDescent="0.25">
      <c r="A4848" s="2">
        <v>44540</v>
      </c>
      <c r="B4848" t="s">
        <v>90</v>
      </c>
      <c r="C4848">
        <v>-1692</v>
      </c>
      <c r="D4848" t="str">
        <f>VLOOKUP(B4848,Tabela_Auxiliar[],2,0)</f>
        <v>4. Despesas Operacionais</v>
      </c>
      <c r="E4848" t="str">
        <f>VLOOKUP(B4848,Tabela_Auxiliar[],4,0)</f>
        <v>Despesa Tributária</v>
      </c>
      <c r="F4848" t="str">
        <f>VLOOKUP(B4848,Tabela_Auxiliar[],3,0)</f>
        <v>Saída</v>
      </c>
      <c r="G4848" t="str">
        <f>UPPER(TEXT(Tabela_DB[[#This Row],[DATA]],"mmm"))</f>
        <v>DEZ</v>
      </c>
      <c r="H4848" t="str">
        <f>UPPER(TEXT(Tabela_DB[[#This Row],[DATA]],"aaaa"))</f>
        <v>2021</v>
      </c>
    </row>
    <row r="4849" spans="1:8" x14ac:dyDescent="0.25">
      <c r="A4849" s="2">
        <v>44540</v>
      </c>
      <c r="B4849" t="s">
        <v>4</v>
      </c>
      <c r="C4849">
        <v>10672</v>
      </c>
      <c r="D4849" t="str">
        <f>VLOOKUP(B4849,Tabela_Auxiliar[],2,0)</f>
        <v>1. Receita Operacional Bruta</v>
      </c>
      <c r="E4849" t="str">
        <f>VLOOKUP(B4849,Tabela_Auxiliar[],4,0)</f>
        <v>Receita Bruta</v>
      </c>
      <c r="F4849" t="str">
        <f>VLOOKUP(B4849,Tabela_Auxiliar[],3,0)</f>
        <v>Entrada</v>
      </c>
      <c r="G4849" t="str">
        <f>UPPER(TEXT(Tabela_DB[[#This Row],[DATA]],"mmm"))</f>
        <v>DEZ</v>
      </c>
      <c r="H4849" t="str">
        <f>UPPER(TEXT(Tabela_DB[[#This Row],[DATA]],"aaaa"))</f>
        <v>2021</v>
      </c>
    </row>
    <row r="4850" spans="1:8" x14ac:dyDescent="0.25">
      <c r="A4850" s="2">
        <v>44540</v>
      </c>
      <c r="B4850" t="s">
        <v>35</v>
      </c>
      <c r="C4850">
        <v>-1370</v>
      </c>
      <c r="D4850" t="str">
        <f>VLOOKUP(B4850,Tabela_Auxiliar[],2,0)</f>
        <v>2. Deduções da Receita</v>
      </c>
      <c r="E4850" t="str">
        <f>VLOOKUP(B4850,Tabela_Auxiliar[],4,0)</f>
        <v>Imposto</v>
      </c>
      <c r="F4850" t="str">
        <f>VLOOKUP(B4850,Tabela_Auxiliar[],3,0)</f>
        <v>Saída</v>
      </c>
      <c r="G4850" t="str">
        <f>UPPER(TEXT(Tabela_DB[[#This Row],[DATA]],"mmm"))</f>
        <v>DEZ</v>
      </c>
      <c r="H4850" t="str">
        <f>UPPER(TEXT(Tabela_DB[[#This Row],[DATA]],"aaaa"))</f>
        <v>2021</v>
      </c>
    </row>
    <row r="4851" spans="1:8" x14ac:dyDescent="0.25">
      <c r="A4851" s="2">
        <v>44540</v>
      </c>
      <c r="B4851" t="s">
        <v>37</v>
      </c>
      <c r="C4851">
        <v>-4979</v>
      </c>
      <c r="D4851" t="str">
        <f>VLOOKUP(B4851,Tabela_Auxiliar[],2,0)</f>
        <v>3. Custos do Produto/Mercadoria/Serviço</v>
      </c>
      <c r="E4851" t="str">
        <f>VLOOKUP(B4851,Tabela_Auxiliar[],4,0)</f>
        <v>Despesas c/ Produto</v>
      </c>
      <c r="F4851" t="str">
        <f>VLOOKUP(B4851,Tabela_Auxiliar[],3,0)</f>
        <v>Saída</v>
      </c>
      <c r="G4851" t="str">
        <f>UPPER(TEXT(Tabela_DB[[#This Row],[DATA]],"mmm"))</f>
        <v>DEZ</v>
      </c>
      <c r="H4851" t="str">
        <f>UPPER(TEXT(Tabela_DB[[#This Row],[DATA]],"aaaa"))</f>
        <v>2021</v>
      </c>
    </row>
    <row r="4852" spans="1:8" x14ac:dyDescent="0.25">
      <c r="A4852" s="2">
        <v>44541</v>
      </c>
      <c r="B4852" t="s">
        <v>35</v>
      </c>
      <c r="C4852">
        <v>-1822</v>
      </c>
      <c r="D4852" t="str">
        <f>VLOOKUP(B4852,Tabela_Auxiliar[],2,0)</f>
        <v>2. Deduções da Receita</v>
      </c>
      <c r="E4852" t="str">
        <f>VLOOKUP(B4852,Tabela_Auxiliar[],4,0)</f>
        <v>Imposto</v>
      </c>
      <c r="F4852" t="str">
        <f>VLOOKUP(B4852,Tabela_Auxiliar[],3,0)</f>
        <v>Saída</v>
      </c>
      <c r="G4852" t="str">
        <f>UPPER(TEXT(Tabela_DB[[#This Row],[DATA]],"mmm"))</f>
        <v>DEZ</v>
      </c>
      <c r="H4852" t="str">
        <f>UPPER(TEXT(Tabela_DB[[#This Row],[DATA]],"aaaa"))</f>
        <v>2021</v>
      </c>
    </row>
    <row r="4853" spans="1:8" x14ac:dyDescent="0.25">
      <c r="A4853" s="2">
        <v>44541</v>
      </c>
      <c r="B4853" t="s">
        <v>37</v>
      </c>
      <c r="C4853">
        <v>-2934</v>
      </c>
      <c r="D4853" t="str">
        <f>VLOOKUP(B4853,Tabela_Auxiliar[],2,0)</f>
        <v>3. Custos do Produto/Mercadoria/Serviço</v>
      </c>
      <c r="E4853" t="str">
        <f>VLOOKUP(B4853,Tabela_Auxiliar[],4,0)</f>
        <v>Despesas c/ Produto</v>
      </c>
      <c r="F4853" t="str">
        <f>VLOOKUP(B4853,Tabela_Auxiliar[],3,0)</f>
        <v>Saída</v>
      </c>
      <c r="G4853" t="str">
        <f>UPPER(TEXT(Tabela_DB[[#This Row],[DATA]],"mmm"))</f>
        <v>DEZ</v>
      </c>
      <c r="H4853" t="str">
        <f>UPPER(TEXT(Tabela_DB[[#This Row],[DATA]],"aaaa"))</f>
        <v>2021</v>
      </c>
    </row>
    <row r="4854" spans="1:8" x14ac:dyDescent="0.25">
      <c r="A4854" s="2">
        <v>44541</v>
      </c>
      <c r="B4854" t="s">
        <v>56</v>
      </c>
      <c r="C4854">
        <v>-1326</v>
      </c>
      <c r="D4854" t="str">
        <f>VLOOKUP(B4854,Tabela_Auxiliar[],2,0)</f>
        <v>4. Despesas Operacionais</v>
      </c>
      <c r="E4854" t="str">
        <f>VLOOKUP(B4854,Tabela_Auxiliar[],4,0)</f>
        <v>Despesa com Pessoal</v>
      </c>
      <c r="F4854" t="str">
        <f>VLOOKUP(B4854,Tabela_Auxiliar[],3,0)</f>
        <v>Saída</v>
      </c>
      <c r="G4854" t="str">
        <f>UPPER(TEXT(Tabela_DB[[#This Row],[DATA]],"mmm"))</f>
        <v>DEZ</v>
      </c>
      <c r="H4854" t="str">
        <f>UPPER(TEXT(Tabela_DB[[#This Row],[DATA]],"aaaa"))</f>
        <v>2021</v>
      </c>
    </row>
    <row r="4855" spans="1:8" x14ac:dyDescent="0.25">
      <c r="A4855" s="2">
        <v>44541</v>
      </c>
      <c r="B4855" t="s">
        <v>35</v>
      </c>
      <c r="C4855">
        <v>-2182</v>
      </c>
      <c r="D4855" t="str">
        <f>VLOOKUP(B4855,Tabela_Auxiliar[],2,0)</f>
        <v>2. Deduções da Receita</v>
      </c>
      <c r="E4855" t="str">
        <f>VLOOKUP(B4855,Tabela_Auxiliar[],4,0)</f>
        <v>Imposto</v>
      </c>
      <c r="F4855" t="str">
        <f>VLOOKUP(B4855,Tabela_Auxiliar[],3,0)</f>
        <v>Saída</v>
      </c>
      <c r="G4855" t="str">
        <f>UPPER(TEXT(Tabela_DB[[#This Row],[DATA]],"mmm"))</f>
        <v>DEZ</v>
      </c>
      <c r="H4855" t="str">
        <f>UPPER(TEXT(Tabela_DB[[#This Row],[DATA]],"aaaa"))</f>
        <v>2021</v>
      </c>
    </row>
    <row r="4856" spans="1:8" x14ac:dyDescent="0.25">
      <c r="A4856" s="2">
        <v>44541</v>
      </c>
      <c r="B4856" t="s">
        <v>87</v>
      </c>
      <c r="C4856">
        <v>-1853</v>
      </c>
      <c r="D4856" t="str">
        <f>VLOOKUP(B4856,Tabela_Auxiliar[],2,0)</f>
        <v>4. Despesas Operacionais</v>
      </c>
      <c r="E4856" t="str">
        <f>VLOOKUP(B4856,Tabela_Auxiliar[],4,0)</f>
        <v>Despesa Tributária</v>
      </c>
      <c r="F4856" t="str">
        <f>VLOOKUP(B4856,Tabela_Auxiliar[],3,0)</f>
        <v>Saída</v>
      </c>
      <c r="G4856" t="str">
        <f>UPPER(TEXT(Tabela_DB[[#This Row],[DATA]],"mmm"))</f>
        <v>DEZ</v>
      </c>
      <c r="H4856" t="str">
        <f>UPPER(TEXT(Tabela_DB[[#This Row],[DATA]],"aaaa"))</f>
        <v>2021</v>
      </c>
    </row>
    <row r="4857" spans="1:8" x14ac:dyDescent="0.25">
      <c r="A4857" s="2">
        <v>44541</v>
      </c>
      <c r="B4857" t="s">
        <v>3</v>
      </c>
      <c r="C4857">
        <v>13495</v>
      </c>
      <c r="D4857" t="str">
        <f>VLOOKUP(B4857,Tabela_Auxiliar[],2,0)</f>
        <v>1. Receita Operacional Bruta</v>
      </c>
      <c r="E4857" t="str">
        <f>VLOOKUP(B4857,Tabela_Auxiliar[],4,0)</f>
        <v>Receita Bruta</v>
      </c>
      <c r="F4857" t="str">
        <f>VLOOKUP(B4857,Tabela_Auxiliar[],3,0)</f>
        <v>Entrada</v>
      </c>
      <c r="G4857" t="str">
        <f>UPPER(TEXT(Tabela_DB[[#This Row],[DATA]],"mmm"))</f>
        <v>DEZ</v>
      </c>
      <c r="H4857" t="str">
        <f>UPPER(TEXT(Tabela_DB[[#This Row],[DATA]],"aaaa"))</f>
        <v>2021</v>
      </c>
    </row>
    <row r="4858" spans="1:8" x14ac:dyDescent="0.25">
      <c r="A4858" s="2">
        <v>44541</v>
      </c>
      <c r="B4858" t="s">
        <v>35</v>
      </c>
      <c r="C4858">
        <v>-2370</v>
      </c>
      <c r="D4858" t="str">
        <f>VLOOKUP(B4858,Tabela_Auxiliar[],2,0)</f>
        <v>2. Deduções da Receita</v>
      </c>
      <c r="E4858" t="str">
        <f>VLOOKUP(B4858,Tabela_Auxiliar[],4,0)</f>
        <v>Imposto</v>
      </c>
      <c r="F4858" t="str">
        <f>VLOOKUP(B4858,Tabela_Auxiliar[],3,0)</f>
        <v>Saída</v>
      </c>
      <c r="G4858" t="str">
        <f>UPPER(TEXT(Tabela_DB[[#This Row],[DATA]],"mmm"))</f>
        <v>DEZ</v>
      </c>
      <c r="H4858" t="str">
        <f>UPPER(TEXT(Tabela_DB[[#This Row],[DATA]],"aaaa"))</f>
        <v>2021</v>
      </c>
    </row>
    <row r="4859" spans="1:8" x14ac:dyDescent="0.25">
      <c r="A4859" s="2">
        <v>44541</v>
      </c>
      <c r="B4859" t="s">
        <v>111</v>
      </c>
      <c r="C4859">
        <v>-1335</v>
      </c>
      <c r="D4859" t="str">
        <f>VLOOKUP(B4859,Tabela_Auxiliar[],2,0)</f>
        <v>2. Deduções da Receita</v>
      </c>
      <c r="E4859" t="str">
        <f>VLOOKUP(B4859,Tabela_Auxiliar[],4,0)</f>
        <v>Imposto</v>
      </c>
      <c r="F4859" t="str">
        <f>VLOOKUP(B4859,Tabela_Auxiliar[],3,0)</f>
        <v>Saída</v>
      </c>
      <c r="G4859" t="str">
        <f>UPPER(TEXT(Tabela_DB[[#This Row],[DATA]],"mmm"))</f>
        <v>DEZ</v>
      </c>
      <c r="H4859" t="str">
        <f>UPPER(TEXT(Tabela_DB[[#This Row],[DATA]],"aaaa"))</f>
        <v>2021</v>
      </c>
    </row>
    <row r="4860" spans="1:8" x14ac:dyDescent="0.25">
      <c r="A4860" s="2">
        <v>44541</v>
      </c>
      <c r="B4860" t="s">
        <v>34</v>
      </c>
      <c r="C4860">
        <v>-2238</v>
      </c>
      <c r="D4860" t="str">
        <f>VLOOKUP(B4860,Tabela_Auxiliar[],2,0)</f>
        <v>2. Deduções da Receita</v>
      </c>
      <c r="E4860" t="str">
        <f>VLOOKUP(B4860,Tabela_Auxiliar[],4,0)</f>
        <v>Imposto</v>
      </c>
      <c r="F4860" t="str">
        <f>VLOOKUP(B4860,Tabela_Auxiliar[],3,0)</f>
        <v>Saída</v>
      </c>
      <c r="G4860" t="str">
        <f>UPPER(TEXT(Tabela_DB[[#This Row],[DATA]],"mmm"))</f>
        <v>DEZ</v>
      </c>
      <c r="H4860" t="str">
        <f>UPPER(TEXT(Tabela_DB[[#This Row],[DATA]],"aaaa"))</f>
        <v>2021</v>
      </c>
    </row>
    <row r="4861" spans="1:8" x14ac:dyDescent="0.25">
      <c r="A4861" s="2">
        <v>44542</v>
      </c>
      <c r="B4861" t="s">
        <v>38</v>
      </c>
      <c r="C4861">
        <v>-1799</v>
      </c>
      <c r="D4861" t="str">
        <f>VLOOKUP(B4861,Tabela_Auxiliar[],2,0)</f>
        <v>2. Deduções da Receita</v>
      </c>
      <c r="E4861" t="str">
        <f>VLOOKUP(B4861,Tabela_Auxiliar[],4,0)</f>
        <v>Deduções</v>
      </c>
      <c r="F4861" t="str">
        <f>VLOOKUP(B4861,Tabela_Auxiliar[],3,0)</f>
        <v>Saída</v>
      </c>
      <c r="G4861" t="str">
        <f>UPPER(TEXT(Tabela_DB[[#This Row],[DATA]],"mmm"))</f>
        <v>DEZ</v>
      </c>
      <c r="H4861" t="str">
        <f>UPPER(TEXT(Tabela_DB[[#This Row],[DATA]],"aaaa"))</f>
        <v>2021</v>
      </c>
    </row>
    <row r="4862" spans="1:8" x14ac:dyDescent="0.25">
      <c r="A4862" s="2">
        <v>44542</v>
      </c>
      <c r="B4862" t="s">
        <v>34</v>
      </c>
      <c r="C4862">
        <v>-2461</v>
      </c>
      <c r="D4862" t="str">
        <f>VLOOKUP(B4862,Tabela_Auxiliar[],2,0)</f>
        <v>2. Deduções da Receita</v>
      </c>
      <c r="E4862" t="str">
        <f>VLOOKUP(B4862,Tabela_Auxiliar[],4,0)</f>
        <v>Imposto</v>
      </c>
      <c r="F4862" t="str">
        <f>VLOOKUP(B4862,Tabela_Auxiliar[],3,0)</f>
        <v>Saída</v>
      </c>
      <c r="G4862" t="str">
        <f>UPPER(TEXT(Tabela_DB[[#This Row],[DATA]],"mmm"))</f>
        <v>DEZ</v>
      </c>
      <c r="H4862" t="str">
        <f>UPPER(TEXT(Tabela_DB[[#This Row],[DATA]],"aaaa"))</f>
        <v>2021</v>
      </c>
    </row>
    <row r="4863" spans="1:8" x14ac:dyDescent="0.25">
      <c r="A4863" s="2">
        <v>44542</v>
      </c>
      <c r="B4863" t="s">
        <v>34</v>
      </c>
      <c r="C4863">
        <v>-1405</v>
      </c>
      <c r="D4863" t="str">
        <f>VLOOKUP(B4863,Tabela_Auxiliar[],2,0)</f>
        <v>2. Deduções da Receita</v>
      </c>
      <c r="E4863" t="str">
        <f>VLOOKUP(B4863,Tabela_Auxiliar[],4,0)</f>
        <v>Imposto</v>
      </c>
      <c r="F4863" t="str">
        <f>VLOOKUP(B4863,Tabela_Auxiliar[],3,0)</f>
        <v>Saída</v>
      </c>
      <c r="G4863" t="str">
        <f>UPPER(TEXT(Tabela_DB[[#This Row],[DATA]],"mmm"))</f>
        <v>DEZ</v>
      </c>
      <c r="H4863" t="str">
        <f>UPPER(TEXT(Tabela_DB[[#This Row],[DATA]],"aaaa"))</f>
        <v>2021</v>
      </c>
    </row>
    <row r="4864" spans="1:8" x14ac:dyDescent="0.25">
      <c r="A4864" s="2">
        <v>44542</v>
      </c>
      <c r="B4864" t="s">
        <v>35</v>
      </c>
      <c r="C4864">
        <v>-1602</v>
      </c>
      <c r="D4864" t="str">
        <f>VLOOKUP(B4864,Tabela_Auxiliar[],2,0)</f>
        <v>2. Deduções da Receita</v>
      </c>
      <c r="E4864" t="str">
        <f>VLOOKUP(B4864,Tabela_Auxiliar[],4,0)</f>
        <v>Imposto</v>
      </c>
      <c r="F4864" t="str">
        <f>VLOOKUP(B4864,Tabela_Auxiliar[],3,0)</f>
        <v>Saída</v>
      </c>
      <c r="G4864" t="str">
        <f>UPPER(TEXT(Tabela_DB[[#This Row],[DATA]],"mmm"))</f>
        <v>DEZ</v>
      </c>
      <c r="H4864" t="str">
        <f>UPPER(TEXT(Tabela_DB[[#This Row],[DATA]],"aaaa"))</f>
        <v>2021</v>
      </c>
    </row>
    <row r="4865" spans="1:8" x14ac:dyDescent="0.25">
      <c r="A4865" s="2">
        <v>44542</v>
      </c>
      <c r="B4865" t="s">
        <v>4</v>
      </c>
      <c r="C4865">
        <v>12251</v>
      </c>
      <c r="D4865" t="str">
        <f>VLOOKUP(B4865,Tabela_Auxiliar[],2,0)</f>
        <v>1. Receita Operacional Bruta</v>
      </c>
      <c r="E4865" t="str">
        <f>VLOOKUP(B4865,Tabela_Auxiliar[],4,0)</f>
        <v>Receita Bruta</v>
      </c>
      <c r="F4865" t="str">
        <f>VLOOKUP(B4865,Tabela_Auxiliar[],3,0)</f>
        <v>Entrada</v>
      </c>
      <c r="G4865" t="str">
        <f>UPPER(TEXT(Tabela_DB[[#This Row],[DATA]],"mmm"))</f>
        <v>DEZ</v>
      </c>
      <c r="H4865" t="str">
        <f>UPPER(TEXT(Tabela_DB[[#This Row],[DATA]],"aaaa"))</f>
        <v>2021</v>
      </c>
    </row>
    <row r="4866" spans="1:8" x14ac:dyDescent="0.25">
      <c r="A4866" s="2">
        <v>44542</v>
      </c>
      <c r="B4866" t="s">
        <v>47</v>
      </c>
      <c r="C4866">
        <v>-2148</v>
      </c>
      <c r="D4866" t="str">
        <f>VLOOKUP(B4866,Tabela_Auxiliar[],2,0)</f>
        <v>4. Despesas Operacionais</v>
      </c>
      <c r="E4866" t="str">
        <f>VLOOKUP(B4866,Tabela_Auxiliar[],4,0)</f>
        <v>Despesa com Pessoal</v>
      </c>
      <c r="F4866" t="str">
        <f>VLOOKUP(B4866,Tabela_Auxiliar[],3,0)</f>
        <v>Saída</v>
      </c>
      <c r="G4866" t="str">
        <f>UPPER(TEXT(Tabela_DB[[#This Row],[DATA]],"mmm"))</f>
        <v>DEZ</v>
      </c>
      <c r="H4866" t="str">
        <f>UPPER(TEXT(Tabela_DB[[#This Row],[DATA]],"aaaa"))</f>
        <v>2021</v>
      </c>
    </row>
    <row r="4867" spans="1:8" x14ac:dyDescent="0.25">
      <c r="A4867" s="2">
        <v>44542</v>
      </c>
      <c r="B4867" t="s">
        <v>65</v>
      </c>
      <c r="C4867">
        <v>-1156</v>
      </c>
      <c r="D4867" t="str">
        <f>VLOOKUP(B4867,Tabela_Auxiliar[],2,0)</f>
        <v>4. Despesas Operacionais</v>
      </c>
      <c r="E4867" t="str">
        <f>VLOOKUP(B4867,Tabela_Auxiliar[],4,0)</f>
        <v>Despesa Gerais</v>
      </c>
      <c r="F4867" t="str">
        <f>VLOOKUP(B4867,Tabela_Auxiliar[],3,0)</f>
        <v>Saída</v>
      </c>
      <c r="G4867" t="str">
        <f>UPPER(TEXT(Tabela_DB[[#This Row],[DATA]],"mmm"))</f>
        <v>DEZ</v>
      </c>
      <c r="H4867" t="str">
        <f>UPPER(TEXT(Tabela_DB[[#This Row],[DATA]],"aaaa"))</f>
        <v>2021</v>
      </c>
    </row>
    <row r="4868" spans="1:8" x14ac:dyDescent="0.25">
      <c r="A4868" s="2">
        <v>44542</v>
      </c>
      <c r="B4868" t="s">
        <v>59</v>
      </c>
      <c r="C4868">
        <v>-1088</v>
      </c>
      <c r="D4868" t="str">
        <f>VLOOKUP(B4868,Tabela_Auxiliar[],2,0)</f>
        <v>4. Despesas Operacionais</v>
      </c>
      <c r="E4868" t="str">
        <f>VLOOKUP(B4868,Tabela_Auxiliar[],4,0)</f>
        <v>Despesa de Depreciação</v>
      </c>
      <c r="F4868" t="str">
        <f>VLOOKUP(B4868,Tabela_Auxiliar[],3,0)</f>
        <v>Saída</v>
      </c>
      <c r="G4868" t="str">
        <f>UPPER(TEXT(Tabela_DB[[#This Row],[DATA]],"mmm"))</f>
        <v>DEZ</v>
      </c>
      <c r="H4868" t="str">
        <f>UPPER(TEXT(Tabela_DB[[#This Row],[DATA]],"aaaa"))</f>
        <v>2021</v>
      </c>
    </row>
    <row r="4869" spans="1:8" x14ac:dyDescent="0.25">
      <c r="A4869" s="2">
        <v>44542</v>
      </c>
      <c r="B4869" t="s">
        <v>58</v>
      </c>
      <c r="C4869">
        <v>-1964</v>
      </c>
      <c r="D4869" t="str">
        <f>VLOOKUP(B4869,Tabela_Auxiliar[],2,0)</f>
        <v>4. Despesas Operacionais</v>
      </c>
      <c r="E4869" t="str">
        <f>VLOOKUP(B4869,Tabela_Auxiliar[],4,0)</f>
        <v>Despesa de Depreciação</v>
      </c>
      <c r="F4869" t="str">
        <f>VLOOKUP(B4869,Tabela_Auxiliar[],3,0)</f>
        <v>Saída</v>
      </c>
      <c r="G4869" t="str">
        <f>UPPER(TEXT(Tabela_DB[[#This Row],[DATA]],"mmm"))</f>
        <v>DEZ</v>
      </c>
      <c r="H4869" t="str">
        <f>UPPER(TEXT(Tabela_DB[[#This Row],[DATA]],"aaaa"))</f>
        <v>2021</v>
      </c>
    </row>
    <row r="4870" spans="1:8" x14ac:dyDescent="0.25">
      <c r="A4870" s="2">
        <v>44543</v>
      </c>
      <c r="B4870" t="s">
        <v>3</v>
      </c>
      <c r="C4870">
        <v>12964</v>
      </c>
      <c r="D4870" t="str">
        <f>VLOOKUP(B4870,Tabela_Auxiliar[],2,0)</f>
        <v>1. Receita Operacional Bruta</v>
      </c>
      <c r="E4870" t="str">
        <f>VLOOKUP(B4870,Tabela_Auxiliar[],4,0)</f>
        <v>Receita Bruta</v>
      </c>
      <c r="F4870" t="str">
        <f>VLOOKUP(B4870,Tabela_Auxiliar[],3,0)</f>
        <v>Entrada</v>
      </c>
      <c r="G4870" t="str">
        <f>UPPER(TEXT(Tabela_DB[[#This Row],[DATA]],"mmm"))</f>
        <v>DEZ</v>
      </c>
      <c r="H4870" t="str">
        <f>UPPER(TEXT(Tabela_DB[[#This Row],[DATA]],"aaaa"))</f>
        <v>2021</v>
      </c>
    </row>
    <row r="4871" spans="1:8" x14ac:dyDescent="0.25">
      <c r="A4871" s="2">
        <v>44543</v>
      </c>
      <c r="B4871" t="s">
        <v>81</v>
      </c>
      <c r="C4871">
        <v>-1464</v>
      </c>
      <c r="D4871" t="str">
        <f>VLOOKUP(B4871,Tabela_Auxiliar[],2,0)</f>
        <v>4. Despesas Operacionais</v>
      </c>
      <c r="E4871" t="str">
        <f>VLOOKUP(B4871,Tabela_Auxiliar[],4,0)</f>
        <v>Serviços Contratados</v>
      </c>
      <c r="F4871" t="str">
        <f>VLOOKUP(B4871,Tabela_Auxiliar[],3,0)</f>
        <v>Saída</v>
      </c>
      <c r="G4871" t="str">
        <f>UPPER(TEXT(Tabela_DB[[#This Row],[DATA]],"mmm"))</f>
        <v>DEZ</v>
      </c>
      <c r="H4871" t="str">
        <f>UPPER(TEXT(Tabela_DB[[#This Row],[DATA]],"aaaa"))</f>
        <v>2021</v>
      </c>
    </row>
    <row r="4872" spans="1:8" x14ac:dyDescent="0.25">
      <c r="A4872" s="2">
        <v>44543</v>
      </c>
      <c r="B4872" t="s">
        <v>111</v>
      </c>
      <c r="C4872">
        <v>-2424</v>
      </c>
      <c r="D4872" t="str">
        <f>VLOOKUP(B4872,Tabela_Auxiliar[],2,0)</f>
        <v>2. Deduções da Receita</v>
      </c>
      <c r="E4872" t="str">
        <f>VLOOKUP(B4872,Tabela_Auxiliar[],4,0)</f>
        <v>Imposto</v>
      </c>
      <c r="F4872" t="str">
        <f>VLOOKUP(B4872,Tabela_Auxiliar[],3,0)</f>
        <v>Saída</v>
      </c>
      <c r="G4872" t="str">
        <f>UPPER(TEXT(Tabela_DB[[#This Row],[DATA]],"mmm"))</f>
        <v>DEZ</v>
      </c>
      <c r="H4872" t="str">
        <f>UPPER(TEXT(Tabela_DB[[#This Row],[DATA]],"aaaa"))</f>
        <v>2021</v>
      </c>
    </row>
    <row r="4873" spans="1:8" x14ac:dyDescent="0.25">
      <c r="A4873" s="2">
        <v>44543</v>
      </c>
      <c r="B4873" t="s">
        <v>79</v>
      </c>
      <c r="C4873">
        <v>-1662</v>
      </c>
      <c r="D4873" t="str">
        <f>VLOOKUP(B4873,Tabela_Auxiliar[],2,0)</f>
        <v>4. Despesas Operacionais</v>
      </c>
      <c r="E4873" t="str">
        <f>VLOOKUP(B4873,Tabela_Auxiliar[],4,0)</f>
        <v>Serviços Contratados</v>
      </c>
      <c r="F4873" t="str">
        <f>VLOOKUP(B4873,Tabela_Auxiliar[],3,0)</f>
        <v>Saída</v>
      </c>
      <c r="G4873" t="str">
        <f>UPPER(TEXT(Tabela_DB[[#This Row],[DATA]],"mmm"))</f>
        <v>DEZ</v>
      </c>
      <c r="H4873" t="str">
        <f>UPPER(TEXT(Tabela_DB[[#This Row],[DATA]],"aaaa"))</f>
        <v>2021</v>
      </c>
    </row>
    <row r="4874" spans="1:8" x14ac:dyDescent="0.25">
      <c r="A4874" s="2">
        <v>44544</v>
      </c>
      <c r="B4874" t="s">
        <v>51</v>
      </c>
      <c r="C4874">
        <v>-2097</v>
      </c>
      <c r="D4874" t="str">
        <f>VLOOKUP(B4874,Tabela_Auxiliar[],2,0)</f>
        <v>4. Despesas Operacionais</v>
      </c>
      <c r="E4874" t="str">
        <f>VLOOKUP(B4874,Tabela_Auxiliar[],4,0)</f>
        <v>Despesa com Pessoal</v>
      </c>
      <c r="F4874" t="str">
        <f>VLOOKUP(B4874,Tabela_Auxiliar[],3,0)</f>
        <v>Saída</v>
      </c>
      <c r="G4874" t="str">
        <f>UPPER(TEXT(Tabela_DB[[#This Row],[DATA]],"mmm"))</f>
        <v>DEZ</v>
      </c>
      <c r="H4874" t="str">
        <f>UPPER(TEXT(Tabela_DB[[#This Row],[DATA]],"aaaa"))</f>
        <v>2021</v>
      </c>
    </row>
    <row r="4875" spans="1:8" x14ac:dyDescent="0.25">
      <c r="A4875" s="2">
        <v>44544</v>
      </c>
      <c r="B4875" t="s">
        <v>38</v>
      </c>
      <c r="C4875">
        <v>-2414</v>
      </c>
      <c r="D4875" t="str">
        <f>VLOOKUP(B4875,Tabela_Auxiliar[],2,0)</f>
        <v>2. Deduções da Receita</v>
      </c>
      <c r="E4875" t="str">
        <f>VLOOKUP(B4875,Tabela_Auxiliar[],4,0)</f>
        <v>Deduções</v>
      </c>
      <c r="F4875" t="str">
        <f>VLOOKUP(B4875,Tabela_Auxiliar[],3,0)</f>
        <v>Saída</v>
      </c>
      <c r="G4875" t="str">
        <f>UPPER(TEXT(Tabela_DB[[#This Row],[DATA]],"mmm"))</f>
        <v>DEZ</v>
      </c>
      <c r="H4875" t="str">
        <f>UPPER(TEXT(Tabela_DB[[#This Row],[DATA]],"aaaa"))</f>
        <v>2021</v>
      </c>
    </row>
    <row r="4876" spans="1:8" x14ac:dyDescent="0.25">
      <c r="A4876" s="2">
        <v>44544</v>
      </c>
      <c r="B4876" t="s">
        <v>4</v>
      </c>
      <c r="C4876">
        <v>12755</v>
      </c>
      <c r="D4876" t="str">
        <f>VLOOKUP(B4876,Tabela_Auxiliar[],2,0)</f>
        <v>1. Receita Operacional Bruta</v>
      </c>
      <c r="E4876" t="str">
        <f>VLOOKUP(B4876,Tabela_Auxiliar[],4,0)</f>
        <v>Receita Bruta</v>
      </c>
      <c r="F4876" t="str">
        <f>VLOOKUP(B4876,Tabela_Auxiliar[],3,0)</f>
        <v>Entrada</v>
      </c>
      <c r="G4876" t="str">
        <f>UPPER(TEXT(Tabela_DB[[#This Row],[DATA]],"mmm"))</f>
        <v>DEZ</v>
      </c>
      <c r="H4876" t="str">
        <f>UPPER(TEXT(Tabela_DB[[#This Row],[DATA]],"aaaa"))</f>
        <v>2021</v>
      </c>
    </row>
    <row r="4877" spans="1:8" x14ac:dyDescent="0.25">
      <c r="A4877" s="2">
        <v>44544</v>
      </c>
      <c r="B4877" t="s">
        <v>34</v>
      </c>
      <c r="C4877">
        <v>-1149</v>
      </c>
      <c r="D4877" t="str">
        <f>VLOOKUP(B4877,Tabela_Auxiliar[],2,0)</f>
        <v>2. Deduções da Receita</v>
      </c>
      <c r="E4877" t="str">
        <f>VLOOKUP(B4877,Tabela_Auxiliar[],4,0)</f>
        <v>Imposto</v>
      </c>
      <c r="F4877" t="str">
        <f>VLOOKUP(B4877,Tabela_Auxiliar[],3,0)</f>
        <v>Saída</v>
      </c>
      <c r="G4877" t="str">
        <f>UPPER(TEXT(Tabela_DB[[#This Row],[DATA]],"mmm"))</f>
        <v>DEZ</v>
      </c>
      <c r="H4877" t="str">
        <f>UPPER(TEXT(Tabela_DB[[#This Row],[DATA]],"aaaa"))</f>
        <v>2021</v>
      </c>
    </row>
    <row r="4878" spans="1:8" x14ac:dyDescent="0.25">
      <c r="A4878" s="2">
        <v>44544</v>
      </c>
      <c r="B4878" t="s">
        <v>34</v>
      </c>
      <c r="C4878">
        <v>-1165</v>
      </c>
      <c r="D4878" t="str">
        <f>VLOOKUP(B4878,Tabela_Auxiliar[],2,0)</f>
        <v>2. Deduções da Receita</v>
      </c>
      <c r="E4878" t="str">
        <f>VLOOKUP(B4878,Tabela_Auxiliar[],4,0)</f>
        <v>Imposto</v>
      </c>
      <c r="F4878" t="str">
        <f>VLOOKUP(B4878,Tabela_Auxiliar[],3,0)</f>
        <v>Saída</v>
      </c>
      <c r="G4878" t="str">
        <f>UPPER(TEXT(Tabela_DB[[#This Row],[DATA]],"mmm"))</f>
        <v>DEZ</v>
      </c>
      <c r="H4878" t="str">
        <f>UPPER(TEXT(Tabela_DB[[#This Row],[DATA]],"aaaa"))</f>
        <v>2021</v>
      </c>
    </row>
    <row r="4879" spans="1:8" x14ac:dyDescent="0.25">
      <c r="A4879" s="2">
        <v>44544</v>
      </c>
      <c r="B4879" t="s">
        <v>65</v>
      </c>
      <c r="C4879">
        <v>-2010</v>
      </c>
      <c r="D4879" t="str">
        <f>VLOOKUP(B4879,Tabela_Auxiliar[],2,0)</f>
        <v>4. Despesas Operacionais</v>
      </c>
      <c r="E4879" t="str">
        <f>VLOOKUP(B4879,Tabela_Auxiliar[],4,0)</f>
        <v>Despesa Gerais</v>
      </c>
      <c r="F4879" t="str">
        <f>VLOOKUP(B4879,Tabela_Auxiliar[],3,0)</f>
        <v>Saída</v>
      </c>
      <c r="G4879" t="str">
        <f>UPPER(TEXT(Tabela_DB[[#This Row],[DATA]],"mmm"))</f>
        <v>DEZ</v>
      </c>
      <c r="H4879" t="str">
        <f>UPPER(TEXT(Tabela_DB[[#This Row],[DATA]],"aaaa"))</f>
        <v>2021</v>
      </c>
    </row>
    <row r="4880" spans="1:8" x14ac:dyDescent="0.25">
      <c r="A4880" s="2">
        <v>44545</v>
      </c>
      <c r="B4880" t="s">
        <v>3</v>
      </c>
      <c r="C4880">
        <v>10780</v>
      </c>
      <c r="D4880" t="str">
        <f>VLOOKUP(B4880,Tabela_Auxiliar[],2,0)</f>
        <v>1. Receita Operacional Bruta</v>
      </c>
      <c r="E4880" t="str">
        <f>VLOOKUP(B4880,Tabela_Auxiliar[],4,0)</f>
        <v>Receita Bruta</v>
      </c>
      <c r="F4880" t="str">
        <f>VLOOKUP(B4880,Tabela_Auxiliar[],3,0)</f>
        <v>Entrada</v>
      </c>
      <c r="G4880" t="str">
        <f>UPPER(TEXT(Tabela_DB[[#This Row],[DATA]],"mmm"))</f>
        <v>DEZ</v>
      </c>
      <c r="H4880" t="str">
        <f>UPPER(TEXT(Tabela_DB[[#This Row],[DATA]],"aaaa"))</f>
        <v>2021</v>
      </c>
    </row>
    <row r="4881" spans="1:8" x14ac:dyDescent="0.25">
      <c r="A4881" s="2">
        <v>44545</v>
      </c>
      <c r="B4881" t="s">
        <v>37</v>
      </c>
      <c r="C4881">
        <v>-3013</v>
      </c>
      <c r="D4881" t="str">
        <f>VLOOKUP(B4881,Tabela_Auxiliar[],2,0)</f>
        <v>3. Custos do Produto/Mercadoria/Serviço</v>
      </c>
      <c r="E4881" t="str">
        <f>VLOOKUP(B4881,Tabela_Auxiliar[],4,0)</f>
        <v>Despesas c/ Produto</v>
      </c>
      <c r="F4881" t="str">
        <f>VLOOKUP(B4881,Tabela_Auxiliar[],3,0)</f>
        <v>Saída</v>
      </c>
      <c r="G4881" t="str">
        <f>UPPER(TEXT(Tabela_DB[[#This Row],[DATA]],"mmm"))</f>
        <v>DEZ</v>
      </c>
      <c r="H4881" t="str">
        <f>UPPER(TEXT(Tabela_DB[[#This Row],[DATA]],"aaaa"))</f>
        <v>2021</v>
      </c>
    </row>
    <row r="4882" spans="1:8" x14ac:dyDescent="0.25">
      <c r="A4882" s="2">
        <v>44545</v>
      </c>
      <c r="B4882" t="s">
        <v>111</v>
      </c>
      <c r="C4882">
        <v>-1534</v>
      </c>
      <c r="D4882" t="str">
        <f>VLOOKUP(B4882,Tabela_Auxiliar[],2,0)</f>
        <v>2. Deduções da Receita</v>
      </c>
      <c r="E4882" t="str">
        <f>VLOOKUP(B4882,Tabela_Auxiliar[],4,0)</f>
        <v>Imposto</v>
      </c>
      <c r="F4882" t="str">
        <f>VLOOKUP(B4882,Tabela_Auxiliar[],3,0)</f>
        <v>Saída</v>
      </c>
      <c r="G4882" t="str">
        <f>UPPER(TEXT(Tabela_DB[[#This Row],[DATA]],"mmm"))</f>
        <v>DEZ</v>
      </c>
      <c r="H4882" t="str">
        <f>UPPER(TEXT(Tabela_DB[[#This Row],[DATA]],"aaaa"))</f>
        <v>2021</v>
      </c>
    </row>
    <row r="4883" spans="1:8" x14ac:dyDescent="0.25">
      <c r="A4883" s="2">
        <v>44545</v>
      </c>
      <c r="B4883" t="s">
        <v>4</v>
      </c>
      <c r="C4883">
        <v>11077</v>
      </c>
      <c r="D4883" t="str">
        <f>VLOOKUP(B4883,Tabela_Auxiliar[],2,0)</f>
        <v>1. Receita Operacional Bruta</v>
      </c>
      <c r="E4883" t="str">
        <f>VLOOKUP(B4883,Tabela_Auxiliar[],4,0)</f>
        <v>Receita Bruta</v>
      </c>
      <c r="F4883" t="str">
        <f>VLOOKUP(B4883,Tabela_Auxiliar[],3,0)</f>
        <v>Entrada</v>
      </c>
      <c r="G4883" t="str">
        <f>UPPER(TEXT(Tabela_DB[[#This Row],[DATA]],"mmm"))</f>
        <v>DEZ</v>
      </c>
      <c r="H4883" t="str">
        <f>UPPER(TEXT(Tabela_DB[[#This Row],[DATA]],"aaaa"))</f>
        <v>2021</v>
      </c>
    </row>
    <row r="4884" spans="1:8" x14ac:dyDescent="0.25">
      <c r="A4884" s="2">
        <v>44545</v>
      </c>
      <c r="B4884" t="s">
        <v>90</v>
      </c>
      <c r="C4884">
        <v>-1405</v>
      </c>
      <c r="D4884" t="str">
        <f>VLOOKUP(B4884,Tabela_Auxiliar[],2,0)</f>
        <v>4. Despesas Operacionais</v>
      </c>
      <c r="E4884" t="str">
        <f>VLOOKUP(B4884,Tabela_Auxiliar[],4,0)</f>
        <v>Despesa Tributária</v>
      </c>
      <c r="F4884" t="str">
        <f>VLOOKUP(B4884,Tabela_Auxiliar[],3,0)</f>
        <v>Saída</v>
      </c>
      <c r="G4884" t="str">
        <f>UPPER(TEXT(Tabela_DB[[#This Row],[DATA]],"mmm"))</f>
        <v>DEZ</v>
      </c>
      <c r="H4884" t="str">
        <f>UPPER(TEXT(Tabela_DB[[#This Row],[DATA]],"aaaa"))</f>
        <v>2021</v>
      </c>
    </row>
    <row r="4885" spans="1:8" x14ac:dyDescent="0.25">
      <c r="A4885" s="2">
        <v>44545</v>
      </c>
      <c r="B4885" t="s">
        <v>111</v>
      </c>
      <c r="C4885">
        <v>-2478</v>
      </c>
      <c r="D4885" t="str">
        <f>VLOOKUP(B4885,Tabela_Auxiliar[],2,0)</f>
        <v>2. Deduções da Receita</v>
      </c>
      <c r="E4885" t="str">
        <f>VLOOKUP(B4885,Tabela_Auxiliar[],4,0)</f>
        <v>Imposto</v>
      </c>
      <c r="F4885" t="str">
        <f>VLOOKUP(B4885,Tabela_Auxiliar[],3,0)</f>
        <v>Saída</v>
      </c>
      <c r="G4885" t="str">
        <f>UPPER(TEXT(Tabela_DB[[#This Row],[DATA]],"mmm"))</f>
        <v>DEZ</v>
      </c>
      <c r="H4885" t="str">
        <f>UPPER(TEXT(Tabela_DB[[#This Row],[DATA]],"aaaa"))</f>
        <v>2021</v>
      </c>
    </row>
    <row r="4886" spans="1:8" x14ac:dyDescent="0.25">
      <c r="A4886" s="2">
        <v>44545</v>
      </c>
      <c r="B4886" t="s">
        <v>111</v>
      </c>
      <c r="C4886">
        <v>-1920</v>
      </c>
      <c r="D4886" t="str">
        <f>VLOOKUP(B4886,Tabela_Auxiliar[],2,0)</f>
        <v>2. Deduções da Receita</v>
      </c>
      <c r="E4886" t="str">
        <f>VLOOKUP(B4886,Tabela_Auxiliar[],4,0)</f>
        <v>Imposto</v>
      </c>
      <c r="F4886" t="str">
        <f>VLOOKUP(B4886,Tabela_Auxiliar[],3,0)</f>
        <v>Saída</v>
      </c>
      <c r="G4886" t="str">
        <f>UPPER(TEXT(Tabela_DB[[#This Row],[DATA]],"mmm"))</f>
        <v>DEZ</v>
      </c>
      <c r="H4886" t="str">
        <f>UPPER(TEXT(Tabela_DB[[#This Row],[DATA]],"aaaa"))</f>
        <v>2021</v>
      </c>
    </row>
    <row r="4887" spans="1:8" x14ac:dyDescent="0.25">
      <c r="A4887" s="2">
        <v>44545</v>
      </c>
      <c r="B4887" t="s">
        <v>33</v>
      </c>
      <c r="C4887">
        <v>-1298</v>
      </c>
      <c r="D4887" t="str">
        <f>VLOOKUP(B4887,Tabela_Auxiliar[],2,0)</f>
        <v>4. Despesas Operacionais</v>
      </c>
      <c r="E4887" t="str">
        <f>VLOOKUP(B4887,Tabela_Auxiliar[],4,0)</f>
        <v>Despesa com Vendas</v>
      </c>
      <c r="F4887" t="str">
        <f>VLOOKUP(B4887,Tabela_Auxiliar[],3,0)</f>
        <v>Saída</v>
      </c>
      <c r="G4887" t="str">
        <f>UPPER(TEXT(Tabela_DB[[#This Row],[DATA]],"mmm"))</f>
        <v>DEZ</v>
      </c>
      <c r="H4887" t="str">
        <f>UPPER(TEXT(Tabela_DB[[#This Row],[DATA]],"aaaa"))</f>
        <v>2021</v>
      </c>
    </row>
    <row r="4888" spans="1:8" x14ac:dyDescent="0.25">
      <c r="A4888" s="2">
        <v>44546</v>
      </c>
      <c r="B4888" t="s">
        <v>65</v>
      </c>
      <c r="C4888">
        <v>-2412</v>
      </c>
      <c r="D4888" t="str">
        <f>VLOOKUP(B4888,Tabela_Auxiliar[],2,0)</f>
        <v>4. Despesas Operacionais</v>
      </c>
      <c r="E4888" t="str">
        <f>VLOOKUP(B4888,Tabela_Auxiliar[],4,0)</f>
        <v>Despesa Gerais</v>
      </c>
      <c r="F4888" t="str">
        <f>VLOOKUP(B4888,Tabela_Auxiliar[],3,0)</f>
        <v>Saída</v>
      </c>
      <c r="G4888" t="str">
        <f>UPPER(TEXT(Tabela_DB[[#This Row],[DATA]],"mmm"))</f>
        <v>DEZ</v>
      </c>
      <c r="H4888" t="str">
        <f>UPPER(TEXT(Tabela_DB[[#This Row],[DATA]],"aaaa"))</f>
        <v>2021</v>
      </c>
    </row>
    <row r="4889" spans="1:8" x14ac:dyDescent="0.25">
      <c r="A4889" s="2">
        <v>44546</v>
      </c>
      <c r="B4889" t="s">
        <v>111</v>
      </c>
      <c r="C4889">
        <v>-1106</v>
      </c>
      <c r="D4889" t="str">
        <f>VLOOKUP(B4889,Tabela_Auxiliar[],2,0)</f>
        <v>2. Deduções da Receita</v>
      </c>
      <c r="E4889" t="str">
        <f>VLOOKUP(B4889,Tabela_Auxiliar[],4,0)</f>
        <v>Imposto</v>
      </c>
      <c r="F4889" t="str">
        <f>VLOOKUP(B4889,Tabela_Auxiliar[],3,0)</f>
        <v>Saída</v>
      </c>
      <c r="G4889" t="str">
        <f>UPPER(TEXT(Tabela_DB[[#This Row],[DATA]],"mmm"))</f>
        <v>DEZ</v>
      </c>
      <c r="H4889" t="str">
        <f>UPPER(TEXT(Tabela_DB[[#This Row],[DATA]],"aaaa"))</f>
        <v>2021</v>
      </c>
    </row>
    <row r="4890" spans="1:8" x14ac:dyDescent="0.25">
      <c r="A4890" s="2">
        <v>44546</v>
      </c>
      <c r="B4890" t="s">
        <v>89</v>
      </c>
      <c r="C4890">
        <v>-2057</v>
      </c>
      <c r="D4890" t="str">
        <f>VLOOKUP(B4890,Tabela_Auxiliar[],2,0)</f>
        <v>4. Despesas Operacionais</v>
      </c>
      <c r="E4890" t="str">
        <f>VLOOKUP(B4890,Tabela_Auxiliar[],4,0)</f>
        <v>Despesa Tributária</v>
      </c>
      <c r="F4890" t="str">
        <f>VLOOKUP(B4890,Tabela_Auxiliar[],3,0)</f>
        <v>Saída</v>
      </c>
      <c r="G4890" t="str">
        <f>UPPER(TEXT(Tabela_DB[[#This Row],[DATA]],"mmm"))</f>
        <v>DEZ</v>
      </c>
      <c r="H4890" t="str">
        <f>UPPER(TEXT(Tabela_DB[[#This Row],[DATA]],"aaaa"))</f>
        <v>2021</v>
      </c>
    </row>
    <row r="4891" spans="1:8" x14ac:dyDescent="0.25">
      <c r="A4891" s="2">
        <v>44546</v>
      </c>
      <c r="B4891" t="s">
        <v>70</v>
      </c>
      <c r="C4891">
        <v>-1763</v>
      </c>
      <c r="D4891" t="str">
        <f>VLOOKUP(B4891,Tabela_Auxiliar[],2,0)</f>
        <v>4. Despesas Operacionais</v>
      </c>
      <c r="E4891" t="str">
        <f>VLOOKUP(B4891,Tabela_Auxiliar[],4,0)</f>
        <v>Despesa com Ocupação</v>
      </c>
      <c r="F4891" t="str">
        <f>VLOOKUP(B4891,Tabela_Auxiliar[],3,0)</f>
        <v>Saída</v>
      </c>
      <c r="G4891" t="str">
        <f>UPPER(TEXT(Tabela_DB[[#This Row],[DATA]],"mmm"))</f>
        <v>DEZ</v>
      </c>
      <c r="H4891" t="str">
        <f>UPPER(TEXT(Tabela_DB[[#This Row],[DATA]],"aaaa"))</f>
        <v>2021</v>
      </c>
    </row>
    <row r="4892" spans="1:8" x14ac:dyDescent="0.25">
      <c r="A4892" s="2">
        <v>44546</v>
      </c>
      <c r="B4892" t="s">
        <v>72</v>
      </c>
      <c r="C4892">
        <v>-1122</v>
      </c>
      <c r="D4892" t="str">
        <f>VLOOKUP(B4892,Tabela_Auxiliar[],2,0)</f>
        <v>4. Despesas Operacionais</v>
      </c>
      <c r="E4892" t="str">
        <f>VLOOKUP(B4892,Tabela_Auxiliar[],4,0)</f>
        <v>Despesa com Ocupação</v>
      </c>
      <c r="F4892" t="str">
        <f>VLOOKUP(B4892,Tabela_Auxiliar[],3,0)</f>
        <v>Saída</v>
      </c>
      <c r="G4892" t="str">
        <f>UPPER(TEXT(Tabela_DB[[#This Row],[DATA]],"mmm"))</f>
        <v>DEZ</v>
      </c>
      <c r="H4892" t="str">
        <f>UPPER(TEXT(Tabela_DB[[#This Row],[DATA]],"aaaa"))</f>
        <v>2021</v>
      </c>
    </row>
    <row r="4893" spans="1:8" x14ac:dyDescent="0.25">
      <c r="A4893" s="2">
        <v>44546</v>
      </c>
      <c r="B4893" t="s">
        <v>111</v>
      </c>
      <c r="C4893">
        <v>-2468</v>
      </c>
      <c r="D4893" t="str">
        <f>VLOOKUP(B4893,Tabela_Auxiliar[],2,0)</f>
        <v>2. Deduções da Receita</v>
      </c>
      <c r="E4893" t="str">
        <f>VLOOKUP(B4893,Tabela_Auxiliar[],4,0)</f>
        <v>Imposto</v>
      </c>
      <c r="F4893" t="str">
        <f>VLOOKUP(B4893,Tabela_Auxiliar[],3,0)</f>
        <v>Saída</v>
      </c>
      <c r="G4893" t="str">
        <f>UPPER(TEXT(Tabela_DB[[#This Row],[DATA]],"mmm"))</f>
        <v>DEZ</v>
      </c>
      <c r="H4893" t="str">
        <f>UPPER(TEXT(Tabela_DB[[#This Row],[DATA]],"aaaa"))</f>
        <v>2021</v>
      </c>
    </row>
    <row r="4894" spans="1:8" x14ac:dyDescent="0.25">
      <c r="A4894" s="2">
        <v>44547</v>
      </c>
      <c r="B4894" t="s">
        <v>4</v>
      </c>
      <c r="C4894">
        <v>10862</v>
      </c>
      <c r="D4894" t="str">
        <f>VLOOKUP(B4894,Tabela_Auxiliar[],2,0)</f>
        <v>1. Receita Operacional Bruta</v>
      </c>
      <c r="E4894" t="str">
        <f>VLOOKUP(B4894,Tabela_Auxiliar[],4,0)</f>
        <v>Receita Bruta</v>
      </c>
      <c r="F4894" t="str">
        <f>VLOOKUP(B4894,Tabela_Auxiliar[],3,0)</f>
        <v>Entrada</v>
      </c>
      <c r="G4894" t="str">
        <f>UPPER(TEXT(Tabela_DB[[#This Row],[DATA]],"mmm"))</f>
        <v>DEZ</v>
      </c>
      <c r="H4894" t="str">
        <f>UPPER(TEXT(Tabela_DB[[#This Row],[DATA]],"aaaa"))</f>
        <v>2021</v>
      </c>
    </row>
    <row r="4895" spans="1:8" x14ac:dyDescent="0.25">
      <c r="A4895" s="2">
        <v>44547</v>
      </c>
      <c r="B4895" t="s">
        <v>35</v>
      </c>
      <c r="C4895">
        <v>-1229</v>
      </c>
      <c r="D4895" t="str">
        <f>VLOOKUP(B4895,Tabela_Auxiliar[],2,0)</f>
        <v>2. Deduções da Receita</v>
      </c>
      <c r="E4895" t="str">
        <f>VLOOKUP(B4895,Tabela_Auxiliar[],4,0)</f>
        <v>Imposto</v>
      </c>
      <c r="F4895" t="str">
        <f>VLOOKUP(B4895,Tabela_Auxiliar[],3,0)</f>
        <v>Saída</v>
      </c>
      <c r="G4895" t="str">
        <f>UPPER(TEXT(Tabela_DB[[#This Row],[DATA]],"mmm"))</f>
        <v>DEZ</v>
      </c>
      <c r="H4895" t="str">
        <f>UPPER(TEXT(Tabela_DB[[#This Row],[DATA]],"aaaa"))</f>
        <v>2021</v>
      </c>
    </row>
    <row r="4896" spans="1:8" x14ac:dyDescent="0.25">
      <c r="A4896" s="2">
        <v>44547</v>
      </c>
      <c r="B4896" t="s">
        <v>111</v>
      </c>
      <c r="C4896">
        <v>-1219</v>
      </c>
      <c r="D4896" t="str">
        <f>VLOOKUP(B4896,Tabela_Auxiliar[],2,0)</f>
        <v>2. Deduções da Receita</v>
      </c>
      <c r="E4896" t="str">
        <f>VLOOKUP(B4896,Tabela_Auxiliar[],4,0)</f>
        <v>Imposto</v>
      </c>
      <c r="F4896" t="str">
        <f>VLOOKUP(B4896,Tabela_Auxiliar[],3,0)</f>
        <v>Saída</v>
      </c>
      <c r="G4896" t="str">
        <f>UPPER(TEXT(Tabela_DB[[#This Row],[DATA]],"mmm"))</f>
        <v>DEZ</v>
      </c>
      <c r="H4896" t="str">
        <f>UPPER(TEXT(Tabela_DB[[#This Row],[DATA]],"aaaa"))</f>
        <v>2021</v>
      </c>
    </row>
    <row r="4897" spans="1:8" x14ac:dyDescent="0.25">
      <c r="A4897" s="2">
        <v>44547</v>
      </c>
      <c r="B4897" t="s">
        <v>3</v>
      </c>
      <c r="C4897">
        <v>10419</v>
      </c>
      <c r="D4897" t="str">
        <f>VLOOKUP(B4897,Tabela_Auxiliar[],2,0)</f>
        <v>1. Receita Operacional Bruta</v>
      </c>
      <c r="E4897" t="str">
        <f>VLOOKUP(B4897,Tabela_Auxiliar[],4,0)</f>
        <v>Receita Bruta</v>
      </c>
      <c r="F4897" t="str">
        <f>VLOOKUP(B4897,Tabela_Auxiliar[],3,0)</f>
        <v>Entrada</v>
      </c>
      <c r="G4897" t="str">
        <f>UPPER(TEXT(Tabela_DB[[#This Row],[DATA]],"mmm"))</f>
        <v>DEZ</v>
      </c>
      <c r="H4897" t="str">
        <f>UPPER(TEXT(Tabela_DB[[#This Row],[DATA]],"aaaa"))</f>
        <v>2021</v>
      </c>
    </row>
    <row r="4898" spans="1:8" x14ac:dyDescent="0.25">
      <c r="A4898" s="2">
        <v>44547</v>
      </c>
      <c r="B4898" t="s">
        <v>49</v>
      </c>
      <c r="C4898">
        <v>-1833</v>
      </c>
      <c r="D4898" t="str">
        <f>VLOOKUP(B4898,Tabela_Auxiliar[],2,0)</f>
        <v>4. Despesas Operacionais</v>
      </c>
      <c r="E4898" t="str">
        <f>VLOOKUP(B4898,Tabela_Auxiliar[],4,0)</f>
        <v>Despesa com Pessoal</v>
      </c>
      <c r="F4898" t="str">
        <f>VLOOKUP(B4898,Tabela_Auxiliar[],3,0)</f>
        <v>Saída</v>
      </c>
      <c r="G4898" t="str">
        <f>UPPER(TEXT(Tabela_DB[[#This Row],[DATA]],"mmm"))</f>
        <v>DEZ</v>
      </c>
      <c r="H4898" t="str">
        <f>UPPER(TEXT(Tabela_DB[[#This Row],[DATA]],"aaaa"))</f>
        <v>2021</v>
      </c>
    </row>
    <row r="4899" spans="1:8" x14ac:dyDescent="0.25">
      <c r="A4899" s="2">
        <v>44547</v>
      </c>
      <c r="B4899" t="s">
        <v>43</v>
      </c>
      <c r="C4899">
        <v>-1044</v>
      </c>
      <c r="D4899" t="str">
        <f>VLOOKUP(B4899,Tabela_Auxiliar[],2,0)</f>
        <v>4. Despesas Operacionais</v>
      </c>
      <c r="E4899" t="str">
        <f>VLOOKUP(B4899,Tabela_Auxiliar[],4,0)</f>
        <v>Despesa com Pessoal</v>
      </c>
      <c r="F4899" t="str">
        <f>VLOOKUP(B4899,Tabela_Auxiliar[],3,0)</f>
        <v>Saída</v>
      </c>
      <c r="G4899" t="str">
        <f>UPPER(TEXT(Tabela_DB[[#This Row],[DATA]],"mmm"))</f>
        <v>DEZ</v>
      </c>
      <c r="H4899" t="str">
        <f>UPPER(TEXT(Tabela_DB[[#This Row],[DATA]],"aaaa"))</f>
        <v>2021</v>
      </c>
    </row>
    <row r="4900" spans="1:8" x14ac:dyDescent="0.25">
      <c r="A4900" s="2">
        <v>44548</v>
      </c>
      <c r="B4900" t="s">
        <v>66</v>
      </c>
      <c r="C4900">
        <v>-1194</v>
      </c>
      <c r="D4900" t="str">
        <f>VLOOKUP(B4900,Tabela_Auxiliar[],2,0)</f>
        <v>4. Despesas Operacionais</v>
      </c>
      <c r="E4900" t="str">
        <f>VLOOKUP(B4900,Tabela_Auxiliar[],4,0)</f>
        <v>Despesa com Vendas</v>
      </c>
      <c r="F4900" t="str">
        <f>VLOOKUP(B4900,Tabela_Auxiliar[],3,0)</f>
        <v>Saída</v>
      </c>
      <c r="G4900" t="str">
        <f>UPPER(TEXT(Tabela_DB[[#This Row],[DATA]],"mmm"))</f>
        <v>DEZ</v>
      </c>
      <c r="H4900" t="str">
        <f>UPPER(TEXT(Tabela_DB[[#This Row],[DATA]],"aaaa"))</f>
        <v>2021</v>
      </c>
    </row>
    <row r="4901" spans="1:8" x14ac:dyDescent="0.25">
      <c r="A4901" s="2">
        <v>44548</v>
      </c>
      <c r="B4901" t="s">
        <v>37</v>
      </c>
      <c r="C4901">
        <v>-3568</v>
      </c>
      <c r="D4901" t="str">
        <f>VLOOKUP(B4901,Tabela_Auxiliar[],2,0)</f>
        <v>3. Custos do Produto/Mercadoria/Serviço</v>
      </c>
      <c r="E4901" t="str">
        <f>VLOOKUP(B4901,Tabela_Auxiliar[],4,0)</f>
        <v>Despesas c/ Produto</v>
      </c>
      <c r="F4901" t="str">
        <f>VLOOKUP(B4901,Tabela_Auxiliar[],3,0)</f>
        <v>Saída</v>
      </c>
      <c r="G4901" t="str">
        <f>UPPER(TEXT(Tabela_DB[[#This Row],[DATA]],"mmm"))</f>
        <v>DEZ</v>
      </c>
      <c r="H4901" t="str">
        <f>UPPER(TEXT(Tabela_DB[[#This Row],[DATA]],"aaaa"))</f>
        <v>2021</v>
      </c>
    </row>
    <row r="4902" spans="1:8" x14ac:dyDescent="0.25">
      <c r="A4902" s="2">
        <v>44548</v>
      </c>
      <c r="B4902" t="s">
        <v>63</v>
      </c>
      <c r="C4902">
        <v>-1834</v>
      </c>
      <c r="D4902" t="str">
        <f>VLOOKUP(B4902,Tabela_Auxiliar[],2,0)</f>
        <v>4. Despesas Operacionais</v>
      </c>
      <c r="E4902" t="str">
        <f>VLOOKUP(B4902,Tabela_Auxiliar[],4,0)</f>
        <v>Despesa Gerais</v>
      </c>
      <c r="F4902" t="str">
        <f>VLOOKUP(B4902,Tabela_Auxiliar[],3,0)</f>
        <v>Saída</v>
      </c>
      <c r="G4902" t="str">
        <f>UPPER(TEXT(Tabela_DB[[#This Row],[DATA]],"mmm"))</f>
        <v>DEZ</v>
      </c>
      <c r="H4902" t="str">
        <f>UPPER(TEXT(Tabela_DB[[#This Row],[DATA]],"aaaa"))</f>
        <v>2021</v>
      </c>
    </row>
    <row r="4903" spans="1:8" x14ac:dyDescent="0.25">
      <c r="A4903" s="2">
        <v>44548</v>
      </c>
      <c r="B4903" t="s">
        <v>40</v>
      </c>
      <c r="C4903">
        <v>-1276</v>
      </c>
      <c r="D4903" t="str">
        <f>VLOOKUP(B4903,Tabela_Auxiliar[],2,0)</f>
        <v>4. Despesas Operacionais</v>
      </c>
      <c r="E4903" t="str">
        <f>VLOOKUP(B4903,Tabela_Auxiliar[],4,0)</f>
        <v>Despesa com Pessoal</v>
      </c>
      <c r="F4903" t="str">
        <f>VLOOKUP(B4903,Tabela_Auxiliar[],3,0)</f>
        <v>Saída</v>
      </c>
      <c r="G4903" t="str">
        <f>UPPER(TEXT(Tabela_DB[[#This Row],[DATA]],"mmm"))</f>
        <v>DEZ</v>
      </c>
      <c r="H4903" t="str">
        <f>UPPER(TEXT(Tabela_DB[[#This Row],[DATA]],"aaaa"))</f>
        <v>2021</v>
      </c>
    </row>
    <row r="4904" spans="1:8" x14ac:dyDescent="0.25">
      <c r="A4904" s="2">
        <v>44548</v>
      </c>
      <c r="B4904" t="s">
        <v>38</v>
      </c>
      <c r="C4904">
        <v>-1836</v>
      </c>
      <c r="D4904" t="str">
        <f>VLOOKUP(B4904,Tabela_Auxiliar[],2,0)</f>
        <v>2. Deduções da Receita</v>
      </c>
      <c r="E4904" t="str">
        <f>VLOOKUP(B4904,Tabela_Auxiliar[],4,0)</f>
        <v>Deduções</v>
      </c>
      <c r="F4904" t="str">
        <f>VLOOKUP(B4904,Tabela_Auxiliar[],3,0)</f>
        <v>Saída</v>
      </c>
      <c r="G4904" t="str">
        <f>UPPER(TEXT(Tabela_DB[[#This Row],[DATA]],"mmm"))</f>
        <v>DEZ</v>
      </c>
      <c r="H4904" t="str">
        <f>UPPER(TEXT(Tabela_DB[[#This Row],[DATA]],"aaaa"))</f>
        <v>2021</v>
      </c>
    </row>
    <row r="4905" spans="1:8" x14ac:dyDescent="0.25">
      <c r="A4905" s="2">
        <v>44548</v>
      </c>
      <c r="B4905" t="s">
        <v>111</v>
      </c>
      <c r="C4905">
        <v>-1594</v>
      </c>
      <c r="D4905" t="str">
        <f>VLOOKUP(B4905,Tabela_Auxiliar[],2,0)</f>
        <v>2. Deduções da Receita</v>
      </c>
      <c r="E4905" t="str">
        <f>VLOOKUP(B4905,Tabela_Auxiliar[],4,0)</f>
        <v>Imposto</v>
      </c>
      <c r="F4905" t="str">
        <f>VLOOKUP(B4905,Tabela_Auxiliar[],3,0)</f>
        <v>Saída</v>
      </c>
      <c r="G4905" t="str">
        <f>UPPER(TEXT(Tabela_DB[[#This Row],[DATA]],"mmm"))</f>
        <v>DEZ</v>
      </c>
      <c r="H4905" t="str">
        <f>UPPER(TEXT(Tabela_DB[[#This Row],[DATA]],"aaaa"))</f>
        <v>2021</v>
      </c>
    </row>
    <row r="4906" spans="1:8" x14ac:dyDescent="0.25">
      <c r="A4906" s="2">
        <v>44549</v>
      </c>
      <c r="B4906" t="s">
        <v>4</v>
      </c>
      <c r="C4906">
        <v>13979</v>
      </c>
      <c r="D4906" t="str">
        <f>VLOOKUP(B4906,Tabela_Auxiliar[],2,0)</f>
        <v>1. Receita Operacional Bruta</v>
      </c>
      <c r="E4906" t="str">
        <f>VLOOKUP(B4906,Tabela_Auxiliar[],4,0)</f>
        <v>Receita Bruta</v>
      </c>
      <c r="F4906" t="str">
        <f>VLOOKUP(B4906,Tabela_Auxiliar[],3,0)</f>
        <v>Entrada</v>
      </c>
      <c r="G4906" t="str">
        <f>UPPER(TEXT(Tabela_DB[[#This Row],[DATA]],"mmm"))</f>
        <v>DEZ</v>
      </c>
      <c r="H4906" t="str">
        <f>UPPER(TEXT(Tabela_DB[[#This Row],[DATA]],"aaaa"))</f>
        <v>2021</v>
      </c>
    </row>
    <row r="4907" spans="1:8" x14ac:dyDescent="0.25">
      <c r="A4907" s="2">
        <v>44549</v>
      </c>
      <c r="B4907" t="s">
        <v>111</v>
      </c>
      <c r="C4907">
        <v>-2209</v>
      </c>
      <c r="D4907" t="str">
        <f>VLOOKUP(B4907,Tabela_Auxiliar[],2,0)</f>
        <v>2. Deduções da Receita</v>
      </c>
      <c r="E4907" t="str">
        <f>VLOOKUP(B4907,Tabela_Auxiliar[],4,0)</f>
        <v>Imposto</v>
      </c>
      <c r="F4907" t="str">
        <f>VLOOKUP(B4907,Tabela_Auxiliar[],3,0)</f>
        <v>Saída</v>
      </c>
      <c r="G4907" t="str">
        <f>UPPER(TEXT(Tabela_DB[[#This Row],[DATA]],"mmm"))</f>
        <v>DEZ</v>
      </c>
      <c r="H4907" t="str">
        <f>UPPER(TEXT(Tabela_DB[[#This Row],[DATA]],"aaaa"))</f>
        <v>2021</v>
      </c>
    </row>
    <row r="4908" spans="1:8" x14ac:dyDescent="0.25">
      <c r="A4908" s="2">
        <v>44549</v>
      </c>
      <c r="B4908" t="s">
        <v>38</v>
      </c>
      <c r="C4908">
        <v>-1266</v>
      </c>
      <c r="D4908" t="str">
        <f>VLOOKUP(B4908,Tabela_Auxiliar[],2,0)</f>
        <v>2. Deduções da Receita</v>
      </c>
      <c r="E4908" t="str">
        <f>VLOOKUP(B4908,Tabela_Auxiliar[],4,0)</f>
        <v>Deduções</v>
      </c>
      <c r="F4908" t="str">
        <f>VLOOKUP(B4908,Tabela_Auxiliar[],3,0)</f>
        <v>Saída</v>
      </c>
      <c r="G4908" t="str">
        <f>UPPER(TEXT(Tabela_DB[[#This Row],[DATA]],"mmm"))</f>
        <v>DEZ</v>
      </c>
      <c r="H4908" t="str">
        <f>UPPER(TEXT(Tabela_DB[[#This Row],[DATA]],"aaaa"))</f>
        <v>2021</v>
      </c>
    </row>
    <row r="4909" spans="1:8" x14ac:dyDescent="0.25">
      <c r="A4909" s="2">
        <v>44550</v>
      </c>
      <c r="B4909" t="s">
        <v>37</v>
      </c>
      <c r="C4909">
        <v>-3086</v>
      </c>
      <c r="D4909" t="str">
        <f>VLOOKUP(B4909,Tabela_Auxiliar[],2,0)</f>
        <v>3. Custos do Produto/Mercadoria/Serviço</v>
      </c>
      <c r="E4909" t="str">
        <f>VLOOKUP(B4909,Tabela_Auxiliar[],4,0)</f>
        <v>Despesas c/ Produto</v>
      </c>
      <c r="F4909" t="str">
        <f>VLOOKUP(B4909,Tabela_Auxiliar[],3,0)</f>
        <v>Saída</v>
      </c>
      <c r="G4909" t="str">
        <f>UPPER(TEXT(Tabela_DB[[#This Row],[DATA]],"mmm"))</f>
        <v>DEZ</v>
      </c>
      <c r="H4909" t="str">
        <f>UPPER(TEXT(Tabela_DB[[#This Row],[DATA]],"aaaa"))</f>
        <v>2021</v>
      </c>
    </row>
    <row r="4910" spans="1:8" x14ac:dyDescent="0.25">
      <c r="A4910" s="2">
        <v>44550</v>
      </c>
      <c r="B4910" t="s">
        <v>3</v>
      </c>
      <c r="C4910">
        <v>12839</v>
      </c>
      <c r="D4910" t="str">
        <f>VLOOKUP(B4910,Tabela_Auxiliar[],2,0)</f>
        <v>1. Receita Operacional Bruta</v>
      </c>
      <c r="E4910" t="str">
        <f>VLOOKUP(B4910,Tabela_Auxiliar[],4,0)</f>
        <v>Receita Bruta</v>
      </c>
      <c r="F4910" t="str">
        <f>VLOOKUP(B4910,Tabela_Auxiliar[],3,0)</f>
        <v>Entrada</v>
      </c>
      <c r="G4910" t="str">
        <f>UPPER(TEXT(Tabela_DB[[#This Row],[DATA]],"mmm"))</f>
        <v>DEZ</v>
      </c>
      <c r="H4910" t="str">
        <f>UPPER(TEXT(Tabela_DB[[#This Row],[DATA]],"aaaa"))</f>
        <v>2021</v>
      </c>
    </row>
    <row r="4911" spans="1:8" x14ac:dyDescent="0.25">
      <c r="A4911" s="2">
        <v>44550</v>
      </c>
      <c r="B4911" t="s">
        <v>34</v>
      </c>
      <c r="C4911">
        <v>-1176</v>
      </c>
      <c r="D4911" t="str">
        <f>VLOOKUP(B4911,Tabela_Auxiliar[],2,0)</f>
        <v>2. Deduções da Receita</v>
      </c>
      <c r="E4911" t="str">
        <f>VLOOKUP(B4911,Tabela_Auxiliar[],4,0)</f>
        <v>Imposto</v>
      </c>
      <c r="F4911" t="str">
        <f>VLOOKUP(B4911,Tabela_Auxiliar[],3,0)</f>
        <v>Saída</v>
      </c>
      <c r="G4911" t="str">
        <f>UPPER(TEXT(Tabela_DB[[#This Row],[DATA]],"mmm"))</f>
        <v>DEZ</v>
      </c>
      <c r="H4911" t="str">
        <f>UPPER(TEXT(Tabela_DB[[#This Row],[DATA]],"aaaa"))</f>
        <v>2021</v>
      </c>
    </row>
    <row r="4912" spans="1:8" x14ac:dyDescent="0.25">
      <c r="A4912" s="2">
        <v>44550</v>
      </c>
      <c r="B4912" t="s">
        <v>80</v>
      </c>
      <c r="C4912">
        <v>-1729</v>
      </c>
      <c r="D4912" t="str">
        <f>VLOOKUP(B4912,Tabela_Auxiliar[],2,0)</f>
        <v>4. Despesas Operacionais</v>
      </c>
      <c r="E4912" t="str">
        <f>VLOOKUP(B4912,Tabela_Auxiliar[],4,0)</f>
        <v>Serviços Contratados</v>
      </c>
      <c r="F4912" t="str">
        <f>VLOOKUP(B4912,Tabela_Auxiliar[],3,0)</f>
        <v>Saída</v>
      </c>
      <c r="G4912" t="str">
        <f>UPPER(TEXT(Tabela_DB[[#This Row],[DATA]],"mmm"))</f>
        <v>DEZ</v>
      </c>
      <c r="H4912" t="str">
        <f>UPPER(TEXT(Tabela_DB[[#This Row],[DATA]],"aaaa"))</f>
        <v>2021</v>
      </c>
    </row>
    <row r="4913" spans="1:8" x14ac:dyDescent="0.25">
      <c r="A4913" s="2">
        <v>44550</v>
      </c>
      <c r="B4913" t="s">
        <v>77</v>
      </c>
      <c r="C4913">
        <v>-2347</v>
      </c>
      <c r="D4913" t="str">
        <f>VLOOKUP(B4913,Tabela_Auxiliar[],2,0)</f>
        <v>4. Despesas Operacionais</v>
      </c>
      <c r="E4913" t="str">
        <f>VLOOKUP(B4913,Tabela_Auxiliar[],4,0)</f>
        <v>Serviços Contratados</v>
      </c>
      <c r="F4913" t="str">
        <f>VLOOKUP(B4913,Tabela_Auxiliar[],3,0)</f>
        <v>Saída</v>
      </c>
      <c r="G4913" t="str">
        <f>UPPER(TEXT(Tabela_DB[[#This Row],[DATA]],"mmm"))</f>
        <v>DEZ</v>
      </c>
      <c r="H4913" t="str">
        <f>UPPER(TEXT(Tabela_DB[[#This Row],[DATA]],"aaaa"))</f>
        <v>2021</v>
      </c>
    </row>
    <row r="4914" spans="1:8" x14ac:dyDescent="0.25">
      <c r="A4914" s="2">
        <v>44550</v>
      </c>
      <c r="B4914" t="s">
        <v>4</v>
      </c>
      <c r="C4914">
        <v>10262</v>
      </c>
      <c r="D4914" t="str">
        <f>VLOOKUP(B4914,Tabela_Auxiliar[],2,0)</f>
        <v>1. Receita Operacional Bruta</v>
      </c>
      <c r="E4914" t="str">
        <f>VLOOKUP(B4914,Tabela_Auxiliar[],4,0)</f>
        <v>Receita Bruta</v>
      </c>
      <c r="F4914" t="str">
        <f>VLOOKUP(B4914,Tabela_Auxiliar[],3,0)</f>
        <v>Entrada</v>
      </c>
      <c r="G4914" t="str">
        <f>UPPER(TEXT(Tabela_DB[[#This Row],[DATA]],"mmm"))</f>
        <v>DEZ</v>
      </c>
      <c r="H4914" t="str">
        <f>UPPER(TEXT(Tabela_DB[[#This Row],[DATA]],"aaaa"))</f>
        <v>2021</v>
      </c>
    </row>
    <row r="4915" spans="1:8" x14ac:dyDescent="0.25">
      <c r="A4915" s="2">
        <v>44550</v>
      </c>
      <c r="B4915" t="s">
        <v>34</v>
      </c>
      <c r="C4915">
        <v>-1369</v>
      </c>
      <c r="D4915" t="str">
        <f>VLOOKUP(B4915,Tabela_Auxiliar[],2,0)</f>
        <v>2. Deduções da Receita</v>
      </c>
      <c r="E4915" t="str">
        <f>VLOOKUP(B4915,Tabela_Auxiliar[],4,0)</f>
        <v>Imposto</v>
      </c>
      <c r="F4915" t="str">
        <f>VLOOKUP(B4915,Tabela_Auxiliar[],3,0)</f>
        <v>Saída</v>
      </c>
      <c r="G4915" t="str">
        <f>UPPER(TEXT(Tabela_DB[[#This Row],[DATA]],"mmm"))</f>
        <v>DEZ</v>
      </c>
      <c r="H4915" t="str">
        <f>UPPER(TEXT(Tabela_DB[[#This Row],[DATA]],"aaaa"))</f>
        <v>2021</v>
      </c>
    </row>
    <row r="4916" spans="1:8" x14ac:dyDescent="0.25">
      <c r="A4916" s="2">
        <v>44551</v>
      </c>
      <c r="B4916" t="s">
        <v>4</v>
      </c>
      <c r="C4916">
        <v>14435</v>
      </c>
      <c r="D4916" t="str">
        <f>VLOOKUP(B4916,Tabela_Auxiliar[],2,0)</f>
        <v>1. Receita Operacional Bruta</v>
      </c>
      <c r="E4916" t="str">
        <f>VLOOKUP(B4916,Tabela_Auxiliar[],4,0)</f>
        <v>Receita Bruta</v>
      </c>
      <c r="F4916" t="str">
        <f>VLOOKUP(B4916,Tabela_Auxiliar[],3,0)</f>
        <v>Entrada</v>
      </c>
      <c r="G4916" t="str">
        <f>UPPER(TEXT(Tabela_DB[[#This Row],[DATA]],"mmm"))</f>
        <v>DEZ</v>
      </c>
      <c r="H4916" t="str">
        <f>UPPER(TEXT(Tabela_DB[[#This Row],[DATA]],"aaaa"))</f>
        <v>2021</v>
      </c>
    </row>
    <row r="4917" spans="1:8" x14ac:dyDescent="0.25">
      <c r="A4917" s="2">
        <v>44551</v>
      </c>
      <c r="B4917" t="s">
        <v>34</v>
      </c>
      <c r="C4917">
        <v>-1368</v>
      </c>
      <c r="D4917" t="str">
        <f>VLOOKUP(B4917,Tabela_Auxiliar[],2,0)</f>
        <v>2. Deduções da Receita</v>
      </c>
      <c r="E4917" t="str">
        <f>VLOOKUP(B4917,Tabela_Auxiliar[],4,0)</f>
        <v>Imposto</v>
      </c>
      <c r="F4917" t="str">
        <f>VLOOKUP(B4917,Tabela_Auxiliar[],3,0)</f>
        <v>Saída</v>
      </c>
      <c r="G4917" t="str">
        <f>UPPER(TEXT(Tabela_DB[[#This Row],[DATA]],"mmm"))</f>
        <v>DEZ</v>
      </c>
      <c r="H4917" t="str">
        <f>UPPER(TEXT(Tabela_DB[[#This Row],[DATA]],"aaaa"))</f>
        <v>2021</v>
      </c>
    </row>
    <row r="4918" spans="1:8" x14ac:dyDescent="0.25">
      <c r="A4918" s="2">
        <v>44551</v>
      </c>
      <c r="B4918" t="s">
        <v>82</v>
      </c>
      <c r="C4918">
        <v>-1320</v>
      </c>
      <c r="D4918" t="str">
        <f>VLOOKUP(B4918,Tabela_Auxiliar[],2,0)</f>
        <v>4. Despesas Operacionais</v>
      </c>
      <c r="E4918" t="str">
        <f>VLOOKUP(B4918,Tabela_Auxiliar[],4,0)</f>
        <v>Despesa com Veículos</v>
      </c>
      <c r="F4918" t="str">
        <f>VLOOKUP(B4918,Tabela_Auxiliar[],3,0)</f>
        <v>Saída</v>
      </c>
      <c r="G4918" t="str">
        <f>UPPER(TEXT(Tabela_DB[[#This Row],[DATA]],"mmm"))</f>
        <v>DEZ</v>
      </c>
      <c r="H4918" t="str">
        <f>UPPER(TEXT(Tabela_DB[[#This Row],[DATA]],"aaaa"))</f>
        <v>2021</v>
      </c>
    </row>
    <row r="4919" spans="1:8" x14ac:dyDescent="0.25">
      <c r="A4919" s="2">
        <v>44551</v>
      </c>
      <c r="B4919" t="s">
        <v>3</v>
      </c>
      <c r="C4919">
        <v>11535</v>
      </c>
      <c r="D4919" t="str">
        <f>VLOOKUP(B4919,Tabela_Auxiliar[],2,0)</f>
        <v>1. Receita Operacional Bruta</v>
      </c>
      <c r="E4919" t="str">
        <f>VLOOKUP(B4919,Tabela_Auxiliar[],4,0)</f>
        <v>Receita Bruta</v>
      </c>
      <c r="F4919" t="str">
        <f>VLOOKUP(B4919,Tabela_Auxiliar[],3,0)</f>
        <v>Entrada</v>
      </c>
      <c r="G4919" t="str">
        <f>UPPER(TEXT(Tabela_DB[[#This Row],[DATA]],"mmm"))</f>
        <v>DEZ</v>
      </c>
      <c r="H4919" t="str">
        <f>UPPER(TEXT(Tabela_DB[[#This Row],[DATA]],"aaaa"))</f>
        <v>2021</v>
      </c>
    </row>
    <row r="4920" spans="1:8" x14ac:dyDescent="0.25">
      <c r="A4920" s="2">
        <v>44551</v>
      </c>
      <c r="B4920" t="s">
        <v>49</v>
      </c>
      <c r="C4920">
        <v>-1604</v>
      </c>
      <c r="D4920" t="str">
        <f>VLOOKUP(B4920,Tabela_Auxiliar[],2,0)</f>
        <v>4. Despesas Operacionais</v>
      </c>
      <c r="E4920" t="str">
        <f>VLOOKUP(B4920,Tabela_Auxiliar[],4,0)</f>
        <v>Despesa com Pessoal</v>
      </c>
      <c r="F4920" t="str">
        <f>VLOOKUP(B4920,Tabela_Auxiliar[],3,0)</f>
        <v>Saída</v>
      </c>
      <c r="G4920" t="str">
        <f>UPPER(TEXT(Tabela_DB[[#This Row],[DATA]],"mmm"))</f>
        <v>DEZ</v>
      </c>
      <c r="H4920" t="str">
        <f>UPPER(TEXT(Tabela_DB[[#This Row],[DATA]],"aaaa"))</f>
        <v>2021</v>
      </c>
    </row>
    <row r="4921" spans="1:8" x14ac:dyDescent="0.25">
      <c r="A4921" s="2">
        <v>44552</v>
      </c>
      <c r="B4921" t="s">
        <v>37</v>
      </c>
      <c r="C4921">
        <v>-3425</v>
      </c>
      <c r="D4921" t="str">
        <f>VLOOKUP(B4921,Tabela_Auxiliar[],2,0)</f>
        <v>3. Custos do Produto/Mercadoria/Serviço</v>
      </c>
      <c r="E4921" t="str">
        <f>VLOOKUP(B4921,Tabela_Auxiliar[],4,0)</f>
        <v>Despesas c/ Produto</v>
      </c>
      <c r="F4921" t="str">
        <f>VLOOKUP(B4921,Tabela_Auxiliar[],3,0)</f>
        <v>Saída</v>
      </c>
      <c r="G4921" t="str">
        <f>UPPER(TEXT(Tabela_DB[[#This Row],[DATA]],"mmm"))</f>
        <v>DEZ</v>
      </c>
      <c r="H4921" t="str">
        <f>UPPER(TEXT(Tabela_DB[[#This Row],[DATA]],"aaaa"))</f>
        <v>2021</v>
      </c>
    </row>
    <row r="4922" spans="1:8" x14ac:dyDescent="0.25">
      <c r="A4922" s="2">
        <v>44552</v>
      </c>
      <c r="B4922" t="s">
        <v>38</v>
      </c>
      <c r="C4922">
        <v>-2078</v>
      </c>
      <c r="D4922" t="str">
        <f>VLOOKUP(B4922,Tabela_Auxiliar[],2,0)</f>
        <v>2. Deduções da Receita</v>
      </c>
      <c r="E4922" t="str">
        <f>VLOOKUP(B4922,Tabela_Auxiliar[],4,0)</f>
        <v>Deduções</v>
      </c>
      <c r="F4922" t="str">
        <f>VLOOKUP(B4922,Tabela_Auxiliar[],3,0)</f>
        <v>Saída</v>
      </c>
      <c r="G4922" t="str">
        <f>UPPER(TEXT(Tabela_DB[[#This Row],[DATA]],"mmm"))</f>
        <v>DEZ</v>
      </c>
      <c r="H4922" t="str">
        <f>UPPER(TEXT(Tabela_DB[[#This Row],[DATA]],"aaaa"))</f>
        <v>2021</v>
      </c>
    </row>
    <row r="4923" spans="1:8" x14ac:dyDescent="0.25">
      <c r="A4923" s="2">
        <v>44552</v>
      </c>
      <c r="B4923" t="s">
        <v>38</v>
      </c>
      <c r="C4923">
        <v>-1528</v>
      </c>
      <c r="D4923" t="str">
        <f>VLOOKUP(B4923,Tabela_Auxiliar[],2,0)</f>
        <v>2. Deduções da Receita</v>
      </c>
      <c r="E4923" t="str">
        <f>VLOOKUP(B4923,Tabela_Auxiliar[],4,0)</f>
        <v>Deduções</v>
      </c>
      <c r="F4923" t="str">
        <f>VLOOKUP(B4923,Tabela_Auxiliar[],3,0)</f>
        <v>Saída</v>
      </c>
      <c r="G4923" t="str">
        <f>UPPER(TEXT(Tabela_DB[[#This Row],[DATA]],"mmm"))</f>
        <v>DEZ</v>
      </c>
      <c r="H4923" t="str">
        <f>UPPER(TEXT(Tabela_DB[[#This Row],[DATA]],"aaaa"))</f>
        <v>2021</v>
      </c>
    </row>
    <row r="4924" spans="1:8" x14ac:dyDescent="0.25">
      <c r="A4924" s="2">
        <v>44552</v>
      </c>
      <c r="B4924" t="s">
        <v>52</v>
      </c>
      <c r="C4924">
        <v>-2239</v>
      </c>
      <c r="D4924" t="str">
        <f>VLOOKUP(B4924,Tabela_Auxiliar[],2,0)</f>
        <v>4. Despesas Operacionais</v>
      </c>
      <c r="E4924" t="str">
        <f>VLOOKUP(B4924,Tabela_Auxiliar[],4,0)</f>
        <v>Despesa com Pessoal</v>
      </c>
      <c r="F4924" t="str">
        <f>VLOOKUP(B4924,Tabela_Auxiliar[],3,0)</f>
        <v>Saída</v>
      </c>
      <c r="G4924" t="str">
        <f>UPPER(TEXT(Tabela_DB[[#This Row],[DATA]],"mmm"))</f>
        <v>DEZ</v>
      </c>
      <c r="H4924" t="str">
        <f>UPPER(TEXT(Tabela_DB[[#This Row],[DATA]],"aaaa"))</f>
        <v>2021</v>
      </c>
    </row>
    <row r="4925" spans="1:8" x14ac:dyDescent="0.25">
      <c r="A4925" s="2">
        <v>44552</v>
      </c>
      <c r="B4925" t="s">
        <v>34</v>
      </c>
      <c r="C4925">
        <v>-1012</v>
      </c>
      <c r="D4925" t="str">
        <f>VLOOKUP(B4925,Tabela_Auxiliar[],2,0)</f>
        <v>2. Deduções da Receita</v>
      </c>
      <c r="E4925" t="str">
        <f>VLOOKUP(B4925,Tabela_Auxiliar[],4,0)</f>
        <v>Imposto</v>
      </c>
      <c r="F4925" t="str">
        <f>VLOOKUP(B4925,Tabela_Auxiliar[],3,0)</f>
        <v>Saída</v>
      </c>
      <c r="G4925" t="str">
        <f>UPPER(TEXT(Tabela_DB[[#This Row],[DATA]],"mmm"))</f>
        <v>DEZ</v>
      </c>
      <c r="H4925" t="str">
        <f>UPPER(TEXT(Tabela_DB[[#This Row],[DATA]],"aaaa"))</f>
        <v>2021</v>
      </c>
    </row>
    <row r="4926" spans="1:8" x14ac:dyDescent="0.25">
      <c r="A4926" s="2">
        <v>44552</v>
      </c>
      <c r="B4926" t="s">
        <v>37</v>
      </c>
      <c r="C4926">
        <v>-3043</v>
      </c>
      <c r="D4926" t="str">
        <f>VLOOKUP(B4926,Tabela_Auxiliar[],2,0)</f>
        <v>3. Custos do Produto/Mercadoria/Serviço</v>
      </c>
      <c r="E4926" t="str">
        <f>VLOOKUP(B4926,Tabela_Auxiliar[],4,0)</f>
        <v>Despesas c/ Produto</v>
      </c>
      <c r="F4926" t="str">
        <f>VLOOKUP(B4926,Tabela_Auxiliar[],3,0)</f>
        <v>Saída</v>
      </c>
      <c r="G4926" t="str">
        <f>UPPER(TEXT(Tabela_DB[[#This Row],[DATA]],"mmm"))</f>
        <v>DEZ</v>
      </c>
      <c r="H4926" t="str">
        <f>UPPER(TEXT(Tabela_DB[[#This Row],[DATA]],"aaaa"))</f>
        <v>2021</v>
      </c>
    </row>
    <row r="4927" spans="1:8" x14ac:dyDescent="0.25">
      <c r="A4927" s="2">
        <v>44552</v>
      </c>
      <c r="B4927" t="s">
        <v>83</v>
      </c>
      <c r="C4927">
        <v>-1451</v>
      </c>
      <c r="D4927" t="str">
        <f>VLOOKUP(B4927,Tabela_Auxiliar[],2,0)</f>
        <v>4. Despesas Operacionais</v>
      </c>
      <c r="E4927" t="str">
        <f>VLOOKUP(B4927,Tabela_Auxiliar[],4,0)</f>
        <v>Despesa com Veículos</v>
      </c>
      <c r="F4927" t="str">
        <f>VLOOKUP(B4927,Tabela_Auxiliar[],3,0)</f>
        <v>Saída</v>
      </c>
      <c r="G4927" t="str">
        <f>UPPER(TEXT(Tabela_DB[[#This Row],[DATA]],"mmm"))</f>
        <v>DEZ</v>
      </c>
      <c r="H4927" t="str">
        <f>UPPER(TEXT(Tabela_DB[[#This Row],[DATA]],"aaaa"))</f>
        <v>2021</v>
      </c>
    </row>
    <row r="4928" spans="1:8" x14ac:dyDescent="0.25">
      <c r="A4928" s="2">
        <v>44552</v>
      </c>
      <c r="B4928" t="s">
        <v>79</v>
      </c>
      <c r="C4928">
        <v>-1322</v>
      </c>
      <c r="D4928" t="str">
        <f>VLOOKUP(B4928,Tabela_Auxiliar[],2,0)</f>
        <v>4. Despesas Operacionais</v>
      </c>
      <c r="E4928" t="str">
        <f>VLOOKUP(B4928,Tabela_Auxiliar[],4,0)</f>
        <v>Serviços Contratados</v>
      </c>
      <c r="F4928" t="str">
        <f>VLOOKUP(B4928,Tabela_Auxiliar[],3,0)</f>
        <v>Saída</v>
      </c>
      <c r="G4928" t="str">
        <f>UPPER(TEXT(Tabela_DB[[#This Row],[DATA]],"mmm"))</f>
        <v>DEZ</v>
      </c>
      <c r="H4928" t="str">
        <f>UPPER(TEXT(Tabela_DB[[#This Row],[DATA]],"aaaa"))</f>
        <v>2021</v>
      </c>
    </row>
    <row r="4929" spans="1:8" x14ac:dyDescent="0.25">
      <c r="A4929" s="2">
        <v>44552</v>
      </c>
      <c r="B4929" t="s">
        <v>52</v>
      </c>
      <c r="C4929">
        <v>-1597</v>
      </c>
      <c r="D4929" t="str">
        <f>VLOOKUP(B4929,Tabela_Auxiliar[],2,0)</f>
        <v>4. Despesas Operacionais</v>
      </c>
      <c r="E4929" t="str">
        <f>VLOOKUP(B4929,Tabela_Auxiliar[],4,0)</f>
        <v>Despesa com Pessoal</v>
      </c>
      <c r="F4929" t="str">
        <f>VLOOKUP(B4929,Tabela_Auxiliar[],3,0)</f>
        <v>Saída</v>
      </c>
      <c r="G4929" t="str">
        <f>UPPER(TEXT(Tabela_DB[[#This Row],[DATA]],"mmm"))</f>
        <v>DEZ</v>
      </c>
      <c r="H4929" t="str">
        <f>UPPER(TEXT(Tabela_DB[[#This Row],[DATA]],"aaaa"))</f>
        <v>2021</v>
      </c>
    </row>
    <row r="4930" spans="1:8" x14ac:dyDescent="0.25">
      <c r="A4930" s="2">
        <v>44552</v>
      </c>
      <c r="B4930" t="s">
        <v>4</v>
      </c>
      <c r="C4930">
        <v>12987</v>
      </c>
      <c r="D4930" t="str">
        <f>VLOOKUP(B4930,Tabela_Auxiliar[],2,0)</f>
        <v>1. Receita Operacional Bruta</v>
      </c>
      <c r="E4930" t="str">
        <f>VLOOKUP(B4930,Tabela_Auxiliar[],4,0)</f>
        <v>Receita Bruta</v>
      </c>
      <c r="F4930" t="str">
        <f>VLOOKUP(B4930,Tabela_Auxiliar[],3,0)</f>
        <v>Entrada</v>
      </c>
      <c r="G4930" t="str">
        <f>UPPER(TEXT(Tabela_DB[[#This Row],[DATA]],"mmm"))</f>
        <v>DEZ</v>
      </c>
      <c r="H4930" t="str">
        <f>UPPER(TEXT(Tabela_DB[[#This Row],[DATA]],"aaaa"))</f>
        <v>2021</v>
      </c>
    </row>
    <row r="4931" spans="1:8" x14ac:dyDescent="0.25">
      <c r="A4931" s="2">
        <v>44552</v>
      </c>
      <c r="B4931" t="s">
        <v>34</v>
      </c>
      <c r="C4931">
        <v>-2279</v>
      </c>
      <c r="D4931" t="str">
        <f>VLOOKUP(B4931,Tabela_Auxiliar[],2,0)</f>
        <v>2. Deduções da Receita</v>
      </c>
      <c r="E4931" t="str">
        <f>VLOOKUP(B4931,Tabela_Auxiliar[],4,0)</f>
        <v>Imposto</v>
      </c>
      <c r="F4931" t="str">
        <f>VLOOKUP(B4931,Tabela_Auxiliar[],3,0)</f>
        <v>Saída</v>
      </c>
      <c r="G4931" t="str">
        <f>UPPER(TEXT(Tabela_DB[[#This Row],[DATA]],"mmm"))</f>
        <v>DEZ</v>
      </c>
      <c r="H4931" t="str">
        <f>UPPER(TEXT(Tabela_DB[[#This Row],[DATA]],"aaaa"))</f>
        <v>2021</v>
      </c>
    </row>
    <row r="4932" spans="1:8" x14ac:dyDescent="0.25">
      <c r="A4932" s="2">
        <v>44553</v>
      </c>
      <c r="B4932" t="s">
        <v>33</v>
      </c>
      <c r="C4932">
        <v>-1133</v>
      </c>
      <c r="D4932" t="str">
        <f>VLOOKUP(B4932,Tabela_Auxiliar[],2,0)</f>
        <v>4. Despesas Operacionais</v>
      </c>
      <c r="E4932" t="str">
        <f>VLOOKUP(B4932,Tabela_Auxiliar[],4,0)</f>
        <v>Despesa com Vendas</v>
      </c>
      <c r="F4932" t="str">
        <f>VLOOKUP(B4932,Tabela_Auxiliar[],3,0)</f>
        <v>Saída</v>
      </c>
      <c r="G4932" t="str">
        <f>UPPER(TEXT(Tabela_DB[[#This Row],[DATA]],"mmm"))</f>
        <v>DEZ</v>
      </c>
      <c r="H4932" t="str">
        <f>UPPER(TEXT(Tabela_DB[[#This Row],[DATA]],"aaaa"))</f>
        <v>2021</v>
      </c>
    </row>
    <row r="4933" spans="1:8" x14ac:dyDescent="0.25">
      <c r="A4933" s="2">
        <v>44553</v>
      </c>
      <c r="B4933" t="s">
        <v>35</v>
      </c>
      <c r="C4933">
        <v>-1400</v>
      </c>
      <c r="D4933" t="str">
        <f>VLOOKUP(B4933,Tabela_Auxiliar[],2,0)</f>
        <v>2. Deduções da Receita</v>
      </c>
      <c r="E4933" t="str">
        <f>VLOOKUP(B4933,Tabela_Auxiliar[],4,0)</f>
        <v>Imposto</v>
      </c>
      <c r="F4933" t="str">
        <f>VLOOKUP(B4933,Tabela_Auxiliar[],3,0)</f>
        <v>Saída</v>
      </c>
      <c r="G4933" t="str">
        <f>UPPER(TEXT(Tabela_DB[[#This Row],[DATA]],"mmm"))</f>
        <v>DEZ</v>
      </c>
      <c r="H4933" t="str">
        <f>UPPER(TEXT(Tabela_DB[[#This Row],[DATA]],"aaaa"))</f>
        <v>2021</v>
      </c>
    </row>
    <row r="4934" spans="1:8" x14ac:dyDescent="0.25">
      <c r="A4934" s="2">
        <v>44553</v>
      </c>
      <c r="B4934" t="s">
        <v>111</v>
      </c>
      <c r="C4934">
        <v>-1385</v>
      </c>
      <c r="D4934" t="str">
        <f>VLOOKUP(B4934,Tabela_Auxiliar[],2,0)</f>
        <v>2. Deduções da Receita</v>
      </c>
      <c r="E4934" t="str">
        <f>VLOOKUP(B4934,Tabela_Auxiliar[],4,0)</f>
        <v>Imposto</v>
      </c>
      <c r="F4934" t="str">
        <f>VLOOKUP(B4934,Tabela_Auxiliar[],3,0)</f>
        <v>Saída</v>
      </c>
      <c r="G4934" t="str">
        <f>UPPER(TEXT(Tabela_DB[[#This Row],[DATA]],"mmm"))</f>
        <v>DEZ</v>
      </c>
      <c r="H4934" t="str">
        <f>UPPER(TEXT(Tabela_DB[[#This Row],[DATA]],"aaaa"))</f>
        <v>2021</v>
      </c>
    </row>
    <row r="4935" spans="1:8" x14ac:dyDescent="0.25">
      <c r="A4935" s="2">
        <v>44553</v>
      </c>
      <c r="B4935" t="s">
        <v>61</v>
      </c>
      <c r="C4935">
        <v>-1226</v>
      </c>
      <c r="D4935" t="str">
        <f>VLOOKUP(B4935,Tabela_Auxiliar[],2,0)</f>
        <v>4. Despesas Operacionais</v>
      </c>
      <c r="E4935" t="str">
        <f>VLOOKUP(B4935,Tabela_Auxiliar[],4,0)</f>
        <v>Despesa de Depreciação</v>
      </c>
      <c r="F4935" t="str">
        <f>VLOOKUP(B4935,Tabela_Auxiliar[],3,0)</f>
        <v>Saída</v>
      </c>
      <c r="G4935" t="str">
        <f>UPPER(TEXT(Tabela_DB[[#This Row],[DATA]],"mmm"))</f>
        <v>DEZ</v>
      </c>
      <c r="H4935" t="str">
        <f>UPPER(TEXT(Tabela_DB[[#This Row],[DATA]],"aaaa"))</f>
        <v>2021</v>
      </c>
    </row>
    <row r="4936" spans="1:8" x14ac:dyDescent="0.25">
      <c r="A4936" s="2">
        <v>44553</v>
      </c>
      <c r="B4936" t="s">
        <v>37</v>
      </c>
      <c r="C4936">
        <v>-3127</v>
      </c>
      <c r="D4936" t="str">
        <f>VLOOKUP(B4936,Tabela_Auxiliar[],2,0)</f>
        <v>3. Custos do Produto/Mercadoria/Serviço</v>
      </c>
      <c r="E4936" t="str">
        <f>VLOOKUP(B4936,Tabela_Auxiliar[],4,0)</f>
        <v>Despesas c/ Produto</v>
      </c>
      <c r="F4936" t="str">
        <f>VLOOKUP(B4936,Tabela_Auxiliar[],3,0)</f>
        <v>Saída</v>
      </c>
      <c r="G4936" t="str">
        <f>UPPER(TEXT(Tabela_DB[[#This Row],[DATA]],"mmm"))</f>
        <v>DEZ</v>
      </c>
      <c r="H4936" t="str">
        <f>UPPER(TEXT(Tabela_DB[[#This Row],[DATA]],"aaaa"))</f>
        <v>2021</v>
      </c>
    </row>
    <row r="4937" spans="1:8" x14ac:dyDescent="0.25">
      <c r="A4937" s="2">
        <v>44553</v>
      </c>
      <c r="B4937" t="s">
        <v>35</v>
      </c>
      <c r="C4937">
        <v>-2442</v>
      </c>
      <c r="D4937" t="str">
        <f>VLOOKUP(B4937,Tabela_Auxiliar[],2,0)</f>
        <v>2. Deduções da Receita</v>
      </c>
      <c r="E4937" t="str">
        <f>VLOOKUP(B4937,Tabela_Auxiliar[],4,0)</f>
        <v>Imposto</v>
      </c>
      <c r="F4937" t="str">
        <f>VLOOKUP(B4937,Tabela_Auxiliar[],3,0)</f>
        <v>Saída</v>
      </c>
      <c r="G4937" t="str">
        <f>UPPER(TEXT(Tabela_DB[[#This Row],[DATA]],"mmm"))</f>
        <v>DEZ</v>
      </c>
      <c r="H4937" t="str">
        <f>UPPER(TEXT(Tabela_DB[[#This Row],[DATA]],"aaaa"))</f>
        <v>2021</v>
      </c>
    </row>
    <row r="4938" spans="1:8" x14ac:dyDescent="0.25">
      <c r="A4938" s="2">
        <v>44553</v>
      </c>
      <c r="B4938" t="s">
        <v>100</v>
      </c>
      <c r="C4938">
        <v>13140</v>
      </c>
      <c r="D4938" t="str">
        <f>VLOOKUP(B4938,Tabela_Auxiliar[],2,0)</f>
        <v>5. Resultado Financeiro</v>
      </c>
      <c r="E4938" t="str">
        <f>VLOOKUP(B4938,Tabela_Auxiliar[],4,0)</f>
        <v>Receita Financeira</v>
      </c>
      <c r="F4938" t="str">
        <f>VLOOKUP(B4938,Tabela_Auxiliar[],3,0)</f>
        <v>Saída</v>
      </c>
      <c r="G4938" t="str">
        <f>UPPER(TEXT(Tabela_DB[[#This Row],[DATA]],"mmm"))</f>
        <v>DEZ</v>
      </c>
      <c r="H4938" t="str">
        <f>UPPER(TEXT(Tabela_DB[[#This Row],[DATA]],"aaaa"))</f>
        <v>2021</v>
      </c>
    </row>
    <row r="4939" spans="1:8" x14ac:dyDescent="0.25">
      <c r="A4939" s="2">
        <v>44554</v>
      </c>
      <c r="B4939" t="s">
        <v>38</v>
      </c>
      <c r="C4939">
        <v>-2273</v>
      </c>
      <c r="D4939" t="str">
        <f>VLOOKUP(B4939,Tabela_Auxiliar[],2,0)</f>
        <v>2. Deduções da Receita</v>
      </c>
      <c r="E4939" t="str">
        <f>VLOOKUP(B4939,Tabela_Auxiliar[],4,0)</f>
        <v>Deduções</v>
      </c>
      <c r="F4939" t="str">
        <f>VLOOKUP(B4939,Tabela_Auxiliar[],3,0)</f>
        <v>Saída</v>
      </c>
      <c r="G4939" t="str">
        <f>UPPER(TEXT(Tabela_DB[[#This Row],[DATA]],"mmm"))</f>
        <v>DEZ</v>
      </c>
      <c r="H4939" t="str">
        <f>UPPER(TEXT(Tabela_DB[[#This Row],[DATA]],"aaaa"))</f>
        <v>2021</v>
      </c>
    </row>
    <row r="4940" spans="1:8" x14ac:dyDescent="0.25">
      <c r="A4940" s="2">
        <v>44554</v>
      </c>
      <c r="B4940" t="s">
        <v>3</v>
      </c>
      <c r="C4940">
        <v>13372</v>
      </c>
      <c r="D4940" t="str">
        <f>VLOOKUP(B4940,Tabela_Auxiliar[],2,0)</f>
        <v>1. Receita Operacional Bruta</v>
      </c>
      <c r="E4940" t="str">
        <f>VLOOKUP(B4940,Tabela_Auxiliar[],4,0)</f>
        <v>Receita Bruta</v>
      </c>
      <c r="F4940" t="str">
        <f>VLOOKUP(B4940,Tabela_Auxiliar[],3,0)</f>
        <v>Entrada</v>
      </c>
      <c r="G4940" t="str">
        <f>UPPER(TEXT(Tabela_DB[[#This Row],[DATA]],"mmm"))</f>
        <v>DEZ</v>
      </c>
      <c r="H4940" t="str">
        <f>UPPER(TEXT(Tabela_DB[[#This Row],[DATA]],"aaaa"))</f>
        <v>2021</v>
      </c>
    </row>
    <row r="4941" spans="1:8" x14ac:dyDescent="0.25">
      <c r="A4941" s="2">
        <v>44554</v>
      </c>
      <c r="B4941" t="s">
        <v>74</v>
      </c>
      <c r="C4941">
        <v>-1211</v>
      </c>
      <c r="D4941" t="str">
        <f>VLOOKUP(B4941,Tabela_Auxiliar[],2,0)</f>
        <v>4. Despesas Operacionais</v>
      </c>
      <c r="E4941" t="str">
        <f>VLOOKUP(B4941,Tabela_Auxiliar[],4,0)</f>
        <v>Serviços Contratados</v>
      </c>
      <c r="F4941" t="str">
        <f>VLOOKUP(B4941,Tabela_Auxiliar[],3,0)</f>
        <v>Saída</v>
      </c>
      <c r="G4941" t="str">
        <f>UPPER(TEXT(Tabela_DB[[#This Row],[DATA]],"mmm"))</f>
        <v>DEZ</v>
      </c>
      <c r="H4941" t="str">
        <f>UPPER(TEXT(Tabela_DB[[#This Row],[DATA]],"aaaa"))</f>
        <v>2021</v>
      </c>
    </row>
    <row r="4942" spans="1:8" x14ac:dyDescent="0.25">
      <c r="A4942" s="2">
        <v>44554</v>
      </c>
      <c r="B4942" t="s">
        <v>111</v>
      </c>
      <c r="C4942">
        <v>-2089</v>
      </c>
      <c r="D4942" t="str">
        <f>VLOOKUP(B4942,Tabela_Auxiliar[],2,0)</f>
        <v>2. Deduções da Receita</v>
      </c>
      <c r="E4942" t="str">
        <f>VLOOKUP(B4942,Tabela_Auxiliar[],4,0)</f>
        <v>Imposto</v>
      </c>
      <c r="F4942" t="str">
        <f>VLOOKUP(B4942,Tabela_Auxiliar[],3,0)</f>
        <v>Saída</v>
      </c>
      <c r="G4942" t="str">
        <f>UPPER(TEXT(Tabela_DB[[#This Row],[DATA]],"mmm"))</f>
        <v>DEZ</v>
      </c>
      <c r="H4942" t="str">
        <f>UPPER(TEXT(Tabela_DB[[#This Row],[DATA]],"aaaa"))</f>
        <v>2021</v>
      </c>
    </row>
    <row r="4943" spans="1:8" x14ac:dyDescent="0.25">
      <c r="A4943" s="2">
        <v>44554</v>
      </c>
      <c r="B4943" t="s">
        <v>34</v>
      </c>
      <c r="C4943">
        <v>-1214</v>
      </c>
      <c r="D4943" t="str">
        <f>VLOOKUP(B4943,Tabela_Auxiliar[],2,0)</f>
        <v>2. Deduções da Receita</v>
      </c>
      <c r="E4943" t="str">
        <f>VLOOKUP(B4943,Tabela_Auxiliar[],4,0)</f>
        <v>Imposto</v>
      </c>
      <c r="F4943" t="str">
        <f>VLOOKUP(B4943,Tabela_Auxiliar[],3,0)</f>
        <v>Saída</v>
      </c>
      <c r="G4943" t="str">
        <f>UPPER(TEXT(Tabela_DB[[#This Row],[DATA]],"mmm"))</f>
        <v>DEZ</v>
      </c>
      <c r="H4943" t="str">
        <f>UPPER(TEXT(Tabela_DB[[#This Row],[DATA]],"aaaa"))</f>
        <v>2021</v>
      </c>
    </row>
    <row r="4944" spans="1:8" x14ac:dyDescent="0.25">
      <c r="A4944" s="2">
        <v>44554</v>
      </c>
      <c r="B4944" t="s">
        <v>49</v>
      </c>
      <c r="C4944">
        <v>-2016</v>
      </c>
      <c r="D4944" t="str">
        <f>VLOOKUP(B4944,Tabela_Auxiliar[],2,0)</f>
        <v>4. Despesas Operacionais</v>
      </c>
      <c r="E4944" t="str">
        <f>VLOOKUP(B4944,Tabela_Auxiliar[],4,0)</f>
        <v>Despesa com Pessoal</v>
      </c>
      <c r="F4944" t="str">
        <f>VLOOKUP(B4944,Tabela_Auxiliar[],3,0)</f>
        <v>Saída</v>
      </c>
      <c r="G4944" t="str">
        <f>UPPER(TEXT(Tabela_DB[[#This Row],[DATA]],"mmm"))</f>
        <v>DEZ</v>
      </c>
      <c r="H4944" t="str">
        <f>UPPER(TEXT(Tabela_DB[[#This Row],[DATA]],"aaaa"))</f>
        <v>2021</v>
      </c>
    </row>
    <row r="4945" spans="1:8" x14ac:dyDescent="0.25">
      <c r="A4945" s="2">
        <v>44554</v>
      </c>
      <c r="B4945" t="s">
        <v>58</v>
      </c>
      <c r="C4945">
        <v>-1418</v>
      </c>
      <c r="D4945" t="str">
        <f>VLOOKUP(B4945,Tabela_Auxiliar[],2,0)</f>
        <v>4. Despesas Operacionais</v>
      </c>
      <c r="E4945" t="str">
        <f>VLOOKUP(B4945,Tabela_Auxiliar[],4,0)</f>
        <v>Despesa de Depreciação</v>
      </c>
      <c r="F4945" t="str">
        <f>VLOOKUP(B4945,Tabela_Auxiliar[],3,0)</f>
        <v>Saída</v>
      </c>
      <c r="G4945" t="str">
        <f>UPPER(TEXT(Tabela_DB[[#This Row],[DATA]],"mmm"))</f>
        <v>DEZ</v>
      </c>
      <c r="H4945" t="str">
        <f>UPPER(TEXT(Tabela_DB[[#This Row],[DATA]],"aaaa"))</f>
        <v>2021</v>
      </c>
    </row>
    <row r="4946" spans="1:8" x14ac:dyDescent="0.25">
      <c r="A4946" s="2">
        <v>44554</v>
      </c>
      <c r="B4946" t="s">
        <v>65</v>
      </c>
      <c r="C4946">
        <v>-1119</v>
      </c>
      <c r="D4946" t="str">
        <f>VLOOKUP(B4946,Tabela_Auxiliar[],2,0)</f>
        <v>4. Despesas Operacionais</v>
      </c>
      <c r="E4946" t="str">
        <f>VLOOKUP(B4946,Tabela_Auxiliar[],4,0)</f>
        <v>Despesa Gerais</v>
      </c>
      <c r="F4946" t="str">
        <f>VLOOKUP(B4946,Tabela_Auxiliar[],3,0)</f>
        <v>Saída</v>
      </c>
      <c r="G4946" t="str">
        <f>UPPER(TEXT(Tabela_DB[[#This Row],[DATA]],"mmm"))</f>
        <v>DEZ</v>
      </c>
      <c r="H4946" t="str">
        <f>UPPER(TEXT(Tabela_DB[[#This Row],[DATA]],"aaaa"))</f>
        <v>2021</v>
      </c>
    </row>
    <row r="4947" spans="1:8" x14ac:dyDescent="0.25">
      <c r="A4947" s="2">
        <v>44554</v>
      </c>
      <c r="B4947" t="s">
        <v>37</v>
      </c>
      <c r="C4947">
        <v>-3334</v>
      </c>
      <c r="D4947" t="str">
        <f>VLOOKUP(B4947,Tabela_Auxiliar[],2,0)</f>
        <v>3. Custos do Produto/Mercadoria/Serviço</v>
      </c>
      <c r="E4947" t="str">
        <f>VLOOKUP(B4947,Tabela_Auxiliar[],4,0)</f>
        <v>Despesas c/ Produto</v>
      </c>
      <c r="F4947" t="str">
        <f>VLOOKUP(B4947,Tabela_Auxiliar[],3,0)</f>
        <v>Saída</v>
      </c>
      <c r="G4947" t="str">
        <f>UPPER(TEXT(Tabela_DB[[#This Row],[DATA]],"mmm"))</f>
        <v>DEZ</v>
      </c>
      <c r="H4947" t="str">
        <f>UPPER(TEXT(Tabela_DB[[#This Row],[DATA]],"aaaa"))</f>
        <v>2021</v>
      </c>
    </row>
    <row r="4948" spans="1:8" x14ac:dyDescent="0.25">
      <c r="A4948" s="2">
        <v>44554</v>
      </c>
      <c r="B4948" t="s">
        <v>3</v>
      </c>
      <c r="C4948">
        <v>12564</v>
      </c>
      <c r="D4948" t="str">
        <f>VLOOKUP(B4948,Tabela_Auxiliar[],2,0)</f>
        <v>1. Receita Operacional Bruta</v>
      </c>
      <c r="E4948" t="str">
        <f>VLOOKUP(B4948,Tabela_Auxiliar[],4,0)</f>
        <v>Receita Bruta</v>
      </c>
      <c r="F4948" t="str">
        <f>VLOOKUP(B4948,Tabela_Auxiliar[],3,0)</f>
        <v>Entrada</v>
      </c>
      <c r="G4948" t="str">
        <f>UPPER(TEXT(Tabela_DB[[#This Row],[DATA]],"mmm"))</f>
        <v>DEZ</v>
      </c>
      <c r="H4948" t="str">
        <f>UPPER(TEXT(Tabela_DB[[#This Row],[DATA]],"aaaa"))</f>
        <v>2021</v>
      </c>
    </row>
    <row r="4949" spans="1:8" x14ac:dyDescent="0.25">
      <c r="A4949" s="2">
        <v>44555</v>
      </c>
      <c r="B4949" t="s">
        <v>37</v>
      </c>
      <c r="C4949">
        <v>-3980</v>
      </c>
      <c r="D4949" t="str">
        <f>VLOOKUP(B4949,Tabela_Auxiliar[],2,0)</f>
        <v>3. Custos do Produto/Mercadoria/Serviço</v>
      </c>
      <c r="E4949" t="str">
        <f>VLOOKUP(B4949,Tabela_Auxiliar[],4,0)</f>
        <v>Despesas c/ Produto</v>
      </c>
      <c r="F4949" t="str">
        <f>VLOOKUP(B4949,Tabela_Auxiliar[],3,0)</f>
        <v>Saída</v>
      </c>
      <c r="G4949" t="str">
        <f>UPPER(TEXT(Tabela_DB[[#This Row],[DATA]],"mmm"))</f>
        <v>DEZ</v>
      </c>
      <c r="H4949" t="str">
        <f>UPPER(TEXT(Tabela_DB[[#This Row],[DATA]],"aaaa"))</f>
        <v>2021</v>
      </c>
    </row>
    <row r="4950" spans="1:8" x14ac:dyDescent="0.25">
      <c r="A4950" s="2">
        <v>44555</v>
      </c>
      <c r="B4950" t="s">
        <v>79</v>
      </c>
      <c r="C4950">
        <v>-2448</v>
      </c>
      <c r="D4950" t="str">
        <f>VLOOKUP(B4950,Tabela_Auxiliar[],2,0)</f>
        <v>4. Despesas Operacionais</v>
      </c>
      <c r="E4950" t="str">
        <f>VLOOKUP(B4950,Tabela_Auxiliar[],4,0)</f>
        <v>Serviços Contratados</v>
      </c>
      <c r="F4950" t="str">
        <f>VLOOKUP(B4950,Tabela_Auxiliar[],3,0)</f>
        <v>Saída</v>
      </c>
      <c r="G4950" t="str">
        <f>UPPER(TEXT(Tabela_DB[[#This Row],[DATA]],"mmm"))</f>
        <v>DEZ</v>
      </c>
      <c r="H4950" t="str">
        <f>UPPER(TEXT(Tabela_DB[[#This Row],[DATA]],"aaaa"))</f>
        <v>2021</v>
      </c>
    </row>
    <row r="4951" spans="1:8" x14ac:dyDescent="0.25">
      <c r="A4951" s="2">
        <v>44555</v>
      </c>
      <c r="B4951" t="s">
        <v>111</v>
      </c>
      <c r="C4951">
        <v>-1139</v>
      </c>
      <c r="D4951" t="str">
        <f>VLOOKUP(B4951,Tabela_Auxiliar[],2,0)</f>
        <v>2. Deduções da Receita</v>
      </c>
      <c r="E4951" t="str">
        <f>VLOOKUP(B4951,Tabela_Auxiliar[],4,0)</f>
        <v>Imposto</v>
      </c>
      <c r="F4951" t="str">
        <f>VLOOKUP(B4951,Tabela_Auxiliar[],3,0)</f>
        <v>Saída</v>
      </c>
      <c r="G4951" t="str">
        <f>UPPER(TEXT(Tabela_DB[[#This Row],[DATA]],"mmm"))</f>
        <v>DEZ</v>
      </c>
      <c r="H4951" t="str">
        <f>UPPER(TEXT(Tabela_DB[[#This Row],[DATA]],"aaaa"))</f>
        <v>2021</v>
      </c>
    </row>
    <row r="4952" spans="1:8" x14ac:dyDescent="0.25">
      <c r="A4952" s="2">
        <v>44555</v>
      </c>
      <c r="B4952" t="s">
        <v>89</v>
      </c>
      <c r="C4952">
        <v>-1010</v>
      </c>
      <c r="D4952" t="str">
        <f>VLOOKUP(B4952,Tabela_Auxiliar[],2,0)</f>
        <v>4. Despesas Operacionais</v>
      </c>
      <c r="E4952" t="str">
        <f>VLOOKUP(B4952,Tabela_Auxiliar[],4,0)</f>
        <v>Despesa Tributária</v>
      </c>
      <c r="F4952" t="str">
        <f>VLOOKUP(B4952,Tabela_Auxiliar[],3,0)</f>
        <v>Saída</v>
      </c>
      <c r="G4952" t="str">
        <f>UPPER(TEXT(Tabela_DB[[#This Row],[DATA]],"mmm"))</f>
        <v>DEZ</v>
      </c>
      <c r="H4952" t="str">
        <f>UPPER(TEXT(Tabela_DB[[#This Row],[DATA]],"aaaa"))</f>
        <v>2021</v>
      </c>
    </row>
    <row r="4953" spans="1:8" x14ac:dyDescent="0.25">
      <c r="A4953" s="2">
        <v>44555</v>
      </c>
      <c r="B4953" t="s">
        <v>38</v>
      </c>
      <c r="C4953">
        <v>-1238</v>
      </c>
      <c r="D4953" t="str">
        <f>VLOOKUP(B4953,Tabela_Auxiliar[],2,0)</f>
        <v>2. Deduções da Receita</v>
      </c>
      <c r="E4953" t="str">
        <f>VLOOKUP(B4953,Tabela_Auxiliar[],4,0)</f>
        <v>Deduções</v>
      </c>
      <c r="F4953" t="str">
        <f>VLOOKUP(B4953,Tabela_Auxiliar[],3,0)</f>
        <v>Saída</v>
      </c>
      <c r="G4953" t="str">
        <f>UPPER(TEXT(Tabela_DB[[#This Row],[DATA]],"mmm"))</f>
        <v>DEZ</v>
      </c>
      <c r="H4953" t="str">
        <f>UPPER(TEXT(Tabela_DB[[#This Row],[DATA]],"aaaa"))</f>
        <v>2021</v>
      </c>
    </row>
    <row r="4954" spans="1:8" x14ac:dyDescent="0.25">
      <c r="A4954" s="2">
        <v>44555</v>
      </c>
      <c r="B4954" t="s">
        <v>54</v>
      </c>
      <c r="C4954">
        <v>-1289</v>
      </c>
      <c r="D4954" t="str">
        <f>VLOOKUP(B4954,Tabela_Auxiliar[],2,0)</f>
        <v>4. Despesas Operacionais</v>
      </c>
      <c r="E4954" t="str">
        <f>VLOOKUP(B4954,Tabela_Auxiliar[],4,0)</f>
        <v>Despesa com Pessoal</v>
      </c>
      <c r="F4954" t="str">
        <f>VLOOKUP(B4954,Tabela_Auxiliar[],3,0)</f>
        <v>Saída</v>
      </c>
      <c r="G4954" t="str">
        <f>UPPER(TEXT(Tabela_DB[[#This Row],[DATA]],"mmm"))</f>
        <v>DEZ</v>
      </c>
      <c r="H4954" t="str">
        <f>UPPER(TEXT(Tabela_DB[[#This Row],[DATA]],"aaaa"))</f>
        <v>2021</v>
      </c>
    </row>
    <row r="4955" spans="1:8" x14ac:dyDescent="0.25">
      <c r="A4955" s="2">
        <v>44556</v>
      </c>
      <c r="B4955" t="s">
        <v>34</v>
      </c>
      <c r="C4955">
        <v>-2266</v>
      </c>
      <c r="D4955" t="str">
        <f>VLOOKUP(B4955,Tabela_Auxiliar[],2,0)</f>
        <v>2. Deduções da Receita</v>
      </c>
      <c r="E4955" t="str">
        <f>VLOOKUP(B4955,Tabela_Auxiliar[],4,0)</f>
        <v>Imposto</v>
      </c>
      <c r="F4955" t="str">
        <f>VLOOKUP(B4955,Tabela_Auxiliar[],3,0)</f>
        <v>Saída</v>
      </c>
      <c r="G4955" t="str">
        <f>UPPER(TEXT(Tabela_DB[[#This Row],[DATA]],"mmm"))</f>
        <v>DEZ</v>
      </c>
      <c r="H4955" t="str">
        <f>UPPER(TEXT(Tabela_DB[[#This Row],[DATA]],"aaaa"))</f>
        <v>2021</v>
      </c>
    </row>
    <row r="4956" spans="1:8" x14ac:dyDescent="0.25">
      <c r="A4956" s="2">
        <v>44556</v>
      </c>
      <c r="B4956" t="s">
        <v>35</v>
      </c>
      <c r="C4956">
        <v>-2319</v>
      </c>
      <c r="D4956" t="str">
        <f>VLOOKUP(B4956,Tabela_Auxiliar[],2,0)</f>
        <v>2. Deduções da Receita</v>
      </c>
      <c r="E4956" t="str">
        <f>VLOOKUP(B4956,Tabela_Auxiliar[],4,0)</f>
        <v>Imposto</v>
      </c>
      <c r="F4956" t="str">
        <f>VLOOKUP(B4956,Tabela_Auxiliar[],3,0)</f>
        <v>Saída</v>
      </c>
      <c r="G4956" t="str">
        <f>UPPER(TEXT(Tabela_DB[[#This Row],[DATA]],"mmm"))</f>
        <v>DEZ</v>
      </c>
      <c r="H4956" t="str">
        <f>UPPER(TEXT(Tabela_DB[[#This Row],[DATA]],"aaaa"))</f>
        <v>2021</v>
      </c>
    </row>
    <row r="4957" spans="1:8" x14ac:dyDescent="0.25">
      <c r="A4957" s="2">
        <v>44556</v>
      </c>
      <c r="B4957" t="s">
        <v>4</v>
      </c>
      <c r="C4957">
        <v>12439</v>
      </c>
      <c r="D4957" t="str">
        <f>VLOOKUP(B4957,Tabela_Auxiliar[],2,0)</f>
        <v>1. Receita Operacional Bruta</v>
      </c>
      <c r="E4957" t="str">
        <f>VLOOKUP(B4957,Tabela_Auxiliar[],4,0)</f>
        <v>Receita Bruta</v>
      </c>
      <c r="F4957" t="str">
        <f>VLOOKUP(B4957,Tabela_Auxiliar[],3,0)</f>
        <v>Entrada</v>
      </c>
      <c r="G4957" t="str">
        <f>UPPER(TEXT(Tabela_DB[[#This Row],[DATA]],"mmm"))</f>
        <v>DEZ</v>
      </c>
      <c r="H4957" t="str">
        <f>UPPER(TEXT(Tabela_DB[[#This Row],[DATA]],"aaaa"))</f>
        <v>2021</v>
      </c>
    </row>
    <row r="4958" spans="1:8" x14ac:dyDescent="0.25">
      <c r="A4958" s="2">
        <v>44556</v>
      </c>
      <c r="B4958" t="s">
        <v>37</v>
      </c>
      <c r="C4958">
        <v>-4580</v>
      </c>
      <c r="D4958" t="str">
        <f>VLOOKUP(B4958,Tabela_Auxiliar[],2,0)</f>
        <v>3. Custos do Produto/Mercadoria/Serviço</v>
      </c>
      <c r="E4958" t="str">
        <f>VLOOKUP(B4958,Tabela_Auxiliar[],4,0)</f>
        <v>Despesas c/ Produto</v>
      </c>
      <c r="F4958" t="str">
        <f>VLOOKUP(B4958,Tabela_Auxiliar[],3,0)</f>
        <v>Saída</v>
      </c>
      <c r="G4958" t="str">
        <f>UPPER(TEXT(Tabela_DB[[#This Row],[DATA]],"mmm"))</f>
        <v>DEZ</v>
      </c>
      <c r="H4958" t="str">
        <f>UPPER(TEXT(Tabela_DB[[#This Row],[DATA]],"aaaa"))</f>
        <v>2021</v>
      </c>
    </row>
    <row r="4959" spans="1:8" x14ac:dyDescent="0.25">
      <c r="A4959" s="2">
        <v>44556</v>
      </c>
      <c r="B4959" t="s">
        <v>37</v>
      </c>
      <c r="C4959">
        <v>-3718</v>
      </c>
      <c r="D4959" t="str">
        <f>VLOOKUP(B4959,Tabela_Auxiliar[],2,0)</f>
        <v>3. Custos do Produto/Mercadoria/Serviço</v>
      </c>
      <c r="E4959" t="str">
        <f>VLOOKUP(B4959,Tabela_Auxiliar[],4,0)</f>
        <v>Despesas c/ Produto</v>
      </c>
      <c r="F4959" t="str">
        <f>VLOOKUP(B4959,Tabela_Auxiliar[],3,0)</f>
        <v>Saída</v>
      </c>
      <c r="G4959" t="str">
        <f>UPPER(TEXT(Tabela_DB[[#This Row],[DATA]],"mmm"))</f>
        <v>DEZ</v>
      </c>
      <c r="H4959" t="str">
        <f>UPPER(TEXT(Tabela_DB[[#This Row],[DATA]],"aaaa"))</f>
        <v>2021</v>
      </c>
    </row>
    <row r="4960" spans="1:8" x14ac:dyDescent="0.25">
      <c r="A4960" s="2">
        <v>44556</v>
      </c>
      <c r="B4960" t="s">
        <v>38</v>
      </c>
      <c r="C4960">
        <v>-2412</v>
      </c>
      <c r="D4960" t="str">
        <f>VLOOKUP(B4960,Tabela_Auxiliar[],2,0)</f>
        <v>2. Deduções da Receita</v>
      </c>
      <c r="E4960" t="str">
        <f>VLOOKUP(B4960,Tabela_Auxiliar[],4,0)</f>
        <v>Deduções</v>
      </c>
      <c r="F4960" t="str">
        <f>VLOOKUP(B4960,Tabela_Auxiliar[],3,0)</f>
        <v>Saída</v>
      </c>
      <c r="G4960" t="str">
        <f>UPPER(TEXT(Tabela_DB[[#This Row],[DATA]],"mmm"))</f>
        <v>DEZ</v>
      </c>
      <c r="H4960" t="str">
        <f>UPPER(TEXT(Tabela_DB[[#This Row],[DATA]],"aaaa"))</f>
        <v>2021</v>
      </c>
    </row>
    <row r="4961" spans="1:8" x14ac:dyDescent="0.25">
      <c r="A4961" s="2">
        <v>44556</v>
      </c>
      <c r="B4961" t="s">
        <v>46</v>
      </c>
      <c r="C4961">
        <v>-2333</v>
      </c>
      <c r="D4961" t="str">
        <f>VLOOKUP(B4961,Tabela_Auxiliar[],2,0)</f>
        <v>4. Despesas Operacionais</v>
      </c>
      <c r="E4961" t="str">
        <f>VLOOKUP(B4961,Tabela_Auxiliar[],4,0)</f>
        <v>Despesa com Pessoal</v>
      </c>
      <c r="F4961" t="str">
        <f>VLOOKUP(B4961,Tabela_Auxiliar[],3,0)</f>
        <v>Saída</v>
      </c>
      <c r="G4961" t="str">
        <f>UPPER(TEXT(Tabela_DB[[#This Row],[DATA]],"mmm"))</f>
        <v>DEZ</v>
      </c>
      <c r="H4961" t="str">
        <f>UPPER(TEXT(Tabela_DB[[#This Row],[DATA]],"aaaa"))</f>
        <v>2021</v>
      </c>
    </row>
    <row r="4962" spans="1:8" x14ac:dyDescent="0.25">
      <c r="A4962" s="2">
        <v>44556</v>
      </c>
      <c r="B4962" t="s">
        <v>40</v>
      </c>
      <c r="C4962">
        <v>-2397</v>
      </c>
      <c r="D4962" t="str">
        <f>VLOOKUP(B4962,Tabela_Auxiliar[],2,0)</f>
        <v>4. Despesas Operacionais</v>
      </c>
      <c r="E4962" t="str">
        <f>VLOOKUP(B4962,Tabela_Auxiliar[],4,0)</f>
        <v>Despesa com Pessoal</v>
      </c>
      <c r="F4962" t="str">
        <f>VLOOKUP(B4962,Tabela_Auxiliar[],3,0)</f>
        <v>Saída</v>
      </c>
      <c r="G4962" t="str">
        <f>UPPER(TEXT(Tabela_DB[[#This Row],[DATA]],"mmm"))</f>
        <v>DEZ</v>
      </c>
      <c r="H4962" t="str">
        <f>UPPER(TEXT(Tabela_DB[[#This Row],[DATA]],"aaaa"))</f>
        <v>2021</v>
      </c>
    </row>
    <row r="4963" spans="1:8" x14ac:dyDescent="0.25">
      <c r="A4963" s="2">
        <v>44556</v>
      </c>
      <c r="B4963" t="s">
        <v>35</v>
      </c>
      <c r="C4963">
        <v>-1661</v>
      </c>
      <c r="D4963" t="str">
        <f>VLOOKUP(B4963,Tabela_Auxiliar[],2,0)</f>
        <v>2. Deduções da Receita</v>
      </c>
      <c r="E4963" t="str">
        <f>VLOOKUP(B4963,Tabela_Auxiliar[],4,0)</f>
        <v>Imposto</v>
      </c>
      <c r="F4963" t="str">
        <f>VLOOKUP(B4963,Tabela_Auxiliar[],3,0)</f>
        <v>Saída</v>
      </c>
      <c r="G4963" t="str">
        <f>UPPER(TEXT(Tabela_DB[[#This Row],[DATA]],"mmm"))</f>
        <v>DEZ</v>
      </c>
      <c r="H4963" t="str">
        <f>UPPER(TEXT(Tabela_DB[[#This Row],[DATA]],"aaaa"))</f>
        <v>2021</v>
      </c>
    </row>
    <row r="4964" spans="1:8" x14ac:dyDescent="0.25">
      <c r="A4964" s="2">
        <v>44556</v>
      </c>
      <c r="B4964" t="s">
        <v>111</v>
      </c>
      <c r="C4964">
        <v>-1038</v>
      </c>
      <c r="D4964" t="str">
        <f>VLOOKUP(B4964,Tabela_Auxiliar[],2,0)</f>
        <v>2. Deduções da Receita</v>
      </c>
      <c r="E4964" t="str">
        <f>VLOOKUP(B4964,Tabela_Auxiliar[],4,0)</f>
        <v>Imposto</v>
      </c>
      <c r="F4964" t="str">
        <f>VLOOKUP(B4964,Tabela_Auxiliar[],3,0)</f>
        <v>Saída</v>
      </c>
      <c r="G4964" t="str">
        <f>UPPER(TEXT(Tabela_DB[[#This Row],[DATA]],"mmm"))</f>
        <v>DEZ</v>
      </c>
      <c r="H4964" t="str">
        <f>UPPER(TEXT(Tabela_DB[[#This Row],[DATA]],"aaaa"))</f>
        <v>2021</v>
      </c>
    </row>
    <row r="4965" spans="1:8" x14ac:dyDescent="0.25">
      <c r="A4965" s="2">
        <v>44556</v>
      </c>
      <c r="B4965" t="s">
        <v>38</v>
      </c>
      <c r="C4965">
        <v>-1783</v>
      </c>
      <c r="D4965" t="str">
        <f>VLOOKUP(B4965,Tabela_Auxiliar[],2,0)</f>
        <v>2. Deduções da Receita</v>
      </c>
      <c r="E4965" t="str">
        <f>VLOOKUP(B4965,Tabela_Auxiliar[],4,0)</f>
        <v>Deduções</v>
      </c>
      <c r="F4965" t="str">
        <f>VLOOKUP(B4965,Tabela_Auxiliar[],3,0)</f>
        <v>Saída</v>
      </c>
      <c r="G4965" t="str">
        <f>UPPER(TEXT(Tabela_DB[[#This Row],[DATA]],"mmm"))</f>
        <v>DEZ</v>
      </c>
      <c r="H4965" t="str">
        <f>UPPER(TEXT(Tabela_DB[[#This Row],[DATA]],"aaaa"))</f>
        <v>2021</v>
      </c>
    </row>
    <row r="4966" spans="1:8" x14ac:dyDescent="0.25">
      <c r="A4966" s="2">
        <v>44556</v>
      </c>
      <c r="B4966" t="s">
        <v>35</v>
      </c>
      <c r="C4966">
        <v>-1921</v>
      </c>
      <c r="D4966" t="str">
        <f>VLOOKUP(B4966,Tabela_Auxiliar[],2,0)</f>
        <v>2. Deduções da Receita</v>
      </c>
      <c r="E4966" t="str">
        <f>VLOOKUP(B4966,Tabela_Auxiliar[],4,0)</f>
        <v>Imposto</v>
      </c>
      <c r="F4966" t="str">
        <f>VLOOKUP(B4966,Tabela_Auxiliar[],3,0)</f>
        <v>Saída</v>
      </c>
      <c r="G4966" t="str">
        <f>UPPER(TEXT(Tabela_DB[[#This Row],[DATA]],"mmm"))</f>
        <v>DEZ</v>
      </c>
      <c r="H4966" t="str">
        <f>UPPER(TEXT(Tabela_DB[[#This Row],[DATA]],"aaaa"))</f>
        <v>2021</v>
      </c>
    </row>
    <row r="4967" spans="1:8" x14ac:dyDescent="0.25">
      <c r="A4967" s="2">
        <v>44556</v>
      </c>
      <c r="B4967" t="s">
        <v>38</v>
      </c>
      <c r="C4967">
        <v>-2255</v>
      </c>
      <c r="D4967" t="str">
        <f>VLOOKUP(B4967,Tabela_Auxiliar[],2,0)</f>
        <v>2. Deduções da Receita</v>
      </c>
      <c r="E4967" t="str">
        <f>VLOOKUP(B4967,Tabela_Auxiliar[],4,0)</f>
        <v>Deduções</v>
      </c>
      <c r="F4967" t="str">
        <f>VLOOKUP(B4967,Tabela_Auxiliar[],3,0)</f>
        <v>Saída</v>
      </c>
      <c r="G4967" t="str">
        <f>UPPER(TEXT(Tabela_DB[[#This Row],[DATA]],"mmm"))</f>
        <v>DEZ</v>
      </c>
      <c r="H4967" t="str">
        <f>UPPER(TEXT(Tabela_DB[[#This Row],[DATA]],"aaaa"))</f>
        <v>2021</v>
      </c>
    </row>
    <row r="4968" spans="1:8" x14ac:dyDescent="0.25">
      <c r="A4968" s="2">
        <v>44556</v>
      </c>
      <c r="B4968" t="s">
        <v>38</v>
      </c>
      <c r="C4968">
        <v>-1171</v>
      </c>
      <c r="D4968" t="str">
        <f>VLOOKUP(B4968,Tabela_Auxiliar[],2,0)</f>
        <v>2. Deduções da Receita</v>
      </c>
      <c r="E4968" t="str">
        <f>VLOOKUP(B4968,Tabela_Auxiliar[],4,0)</f>
        <v>Deduções</v>
      </c>
      <c r="F4968" t="str">
        <f>VLOOKUP(B4968,Tabela_Auxiliar[],3,0)</f>
        <v>Saída</v>
      </c>
      <c r="G4968" t="str">
        <f>UPPER(TEXT(Tabela_DB[[#This Row],[DATA]],"mmm"))</f>
        <v>DEZ</v>
      </c>
      <c r="H4968" t="str">
        <f>UPPER(TEXT(Tabela_DB[[#This Row],[DATA]],"aaaa"))</f>
        <v>2021</v>
      </c>
    </row>
    <row r="4969" spans="1:8" x14ac:dyDescent="0.25">
      <c r="A4969" s="2">
        <v>44557</v>
      </c>
      <c r="B4969" t="s">
        <v>35</v>
      </c>
      <c r="C4969">
        <v>-2030</v>
      </c>
      <c r="D4969" t="str">
        <f>VLOOKUP(B4969,Tabela_Auxiliar[],2,0)</f>
        <v>2. Deduções da Receita</v>
      </c>
      <c r="E4969" t="str">
        <f>VLOOKUP(B4969,Tabela_Auxiliar[],4,0)</f>
        <v>Imposto</v>
      </c>
      <c r="F4969" t="str">
        <f>VLOOKUP(B4969,Tabela_Auxiliar[],3,0)</f>
        <v>Saída</v>
      </c>
      <c r="G4969" t="str">
        <f>UPPER(TEXT(Tabela_DB[[#This Row],[DATA]],"mmm"))</f>
        <v>DEZ</v>
      </c>
      <c r="H4969" t="str">
        <f>UPPER(TEXT(Tabela_DB[[#This Row],[DATA]],"aaaa"))</f>
        <v>2021</v>
      </c>
    </row>
    <row r="4970" spans="1:8" x14ac:dyDescent="0.25">
      <c r="A4970" s="2">
        <v>44557</v>
      </c>
      <c r="B4970" t="s">
        <v>37</v>
      </c>
      <c r="C4970">
        <v>-3111</v>
      </c>
      <c r="D4970" t="str">
        <f>VLOOKUP(B4970,Tabela_Auxiliar[],2,0)</f>
        <v>3. Custos do Produto/Mercadoria/Serviço</v>
      </c>
      <c r="E4970" t="str">
        <f>VLOOKUP(B4970,Tabela_Auxiliar[],4,0)</f>
        <v>Despesas c/ Produto</v>
      </c>
      <c r="F4970" t="str">
        <f>VLOOKUP(B4970,Tabela_Auxiliar[],3,0)</f>
        <v>Saída</v>
      </c>
      <c r="G4970" t="str">
        <f>UPPER(TEXT(Tabela_DB[[#This Row],[DATA]],"mmm"))</f>
        <v>DEZ</v>
      </c>
      <c r="H4970" t="str">
        <f>UPPER(TEXT(Tabela_DB[[#This Row],[DATA]],"aaaa"))</f>
        <v>2021</v>
      </c>
    </row>
    <row r="4971" spans="1:8" x14ac:dyDescent="0.25">
      <c r="A4971" s="2">
        <v>44557</v>
      </c>
      <c r="B4971" t="s">
        <v>78</v>
      </c>
      <c r="C4971">
        <v>-1115</v>
      </c>
      <c r="D4971" t="str">
        <f>VLOOKUP(B4971,Tabela_Auxiliar[],2,0)</f>
        <v>4. Despesas Operacionais</v>
      </c>
      <c r="E4971" t="str">
        <f>VLOOKUP(B4971,Tabela_Auxiliar[],4,0)</f>
        <v>Serviços Contratados</v>
      </c>
      <c r="F4971" t="str">
        <f>VLOOKUP(B4971,Tabela_Auxiliar[],3,0)</f>
        <v>Saída</v>
      </c>
      <c r="G4971" t="str">
        <f>UPPER(TEXT(Tabela_DB[[#This Row],[DATA]],"mmm"))</f>
        <v>DEZ</v>
      </c>
      <c r="H4971" t="str">
        <f>UPPER(TEXT(Tabela_DB[[#This Row],[DATA]],"aaaa"))</f>
        <v>2021</v>
      </c>
    </row>
    <row r="4972" spans="1:8" x14ac:dyDescent="0.25">
      <c r="A4972" s="2">
        <v>44557</v>
      </c>
      <c r="B4972" t="s">
        <v>34</v>
      </c>
      <c r="C4972">
        <v>-1550</v>
      </c>
      <c r="D4972" t="str">
        <f>VLOOKUP(B4972,Tabela_Auxiliar[],2,0)</f>
        <v>2. Deduções da Receita</v>
      </c>
      <c r="E4972" t="str">
        <f>VLOOKUP(B4972,Tabela_Auxiliar[],4,0)</f>
        <v>Imposto</v>
      </c>
      <c r="F4972" t="str">
        <f>VLOOKUP(B4972,Tabela_Auxiliar[],3,0)</f>
        <v>Saída</v>
      </c>
      <c r="G4972" t="str">
        <f>UPPER(TEXT(Tabela_DB[[#This Row],[DATA]],"mmm"))</f>
        <v>DEZ</v>
      </c>
      <c r="H4972" t="str">
        <f>UPPER(TEXT(Tabela_DB[[#This Row],[DATA]],"aaaa"))</f>
        <v>2021</v>
      </c>
    </row>
    <row r="4973" spans="1:8" x14ac:dyDescent="0.25">
      <c r="A4973" s="2">
        <v>44557</v>
      </c>
      <c r="B4973" t="s">
        <v>69</v>
      </c>
      <c r="C4973">
        <v>-1151</v>
      </c>
      <c r="D4973" t="str">
        <f>VLOOKUP(B4973,Tabela_Auxiliar[],2,0)</f>
        <v>4. Despesas Operacionais</v>
      </c>
      <c r="E4973" t="str">
        <f>VLOOKUP(B4973,Tabela_Auxiliar[],4,0)</f>
        <v>Despesa com Ocupação</v>
      </c>
      <c r="F4973" t="str">
        <f>VLOOKUP(B4973,Tabela_Auxiliar[],3,0)</f>
        <v>Saída</v>
      </c>
      <c r="G4973" t="str">
        <f>UPPER(TEXT(Tabela_DB[[#This Row],[DATA]],"mmm"))</f>
        <v>DEZ</v>
      </c>
      <c r="H4973" t="str">
        <f>UPPER(TEXT(Tabela_DB[[#This Row],[DATA]],"aaaa"))</f>
        <v>2021</v>
      </c>
    </row>
    <row r="4974" spans="1:8" x14ac:dyDescent="0.25">
      <c r="A4974" s="2">
        <v>44557</v>
      </c>
      <c r="B4974" t="s">
        <v>111</v>
      </c>
      <c r="C4974">
        <v>-1086</v>
      </c>
      <c r="D4974" t="str">
        <f>VLOOKUP(B4974,Tabela_Auxiliar[],2,0)</f>
        <v>2. Deduções da Receita</v>
      </c>
      <c r="E4974" t="str">
        <f>VLOOKUP(B4974,Tabela_Auxiliar[],4,0)</f>
        <v>Imposto</v>
      </c>
      <c r="F4974" t="str">
        <f>VLOOKUP(B4974,Tabela_Auxiliar[],3,0)</f>
        <v>Saída</v>
      </c>
      <c r="G4974" t="str">
        <f>UPPER(TEXT(Tabela_DB[[#This Row],[DATA]],"mmm"))</f>
        <v>DEZ</v>
      </c>
      <c r="H4974" t="str">
        <f>UPPER(TEXT(Tabela_DB[[#This Row],[DATA]],"aaaa"))</f>
        <v>2021</v>
      </c>
    </row>
    <row r="4975" spans="1:8" x14ac:dyDescent="0.25">
      <c r="A4975" s="2">
        <v>44557</v>
      </c>
      <c r="B4975" t="s">
        <v>38</v>
      </c>
      <c r="C4975">
        <v>-1481</v>
      </c>
      <c r="D4975" t="str">
        <f>VLOOKUP(B4975,Tabela_Auxiliar[],2,0)</f>
        <v>2. Deduções da Receita</v>
      </c>
      <c r="E4975" t="str">
        <f>VLOOKUP(B4975,Tabela_Auxiliar[],4,0)</f>
        <v>Deduções</v>
      </c>
      <c r="F4975" t="str">
        <f>VLOOKUP(B4975,Tabela_Auxiliar[],3,0)</f>
        <v>Saída</v>
      </c>
      <c r="G4975" t="str">
        <f>UPPER(TEXT(Tabela_DB[[#This Row],[DATA]],"mmm"))</f>
        <v>DEZ</v>
      </c>
      <c r="H4975" t="str">
        <f>UPPER(TEXT(Tabela_DB[[#This Row],[DATA]],"aaaa"))</f>
        <v>2021</v>
      </c>
    </row>
    <row r="4976" spans="1:8" x14ac:dyDescent="0.25">
      <c r="A4976" s="2">
        <v>44557</v>
      </c>
      <c r="B4976" t="s">
        <v>35</v>
      </c>
      <c r="C4976">
        <v>-2097</v>
      </c>
      <c r="D4976" t="str">
        <f>VLOOKUP(B4976,Tabela_Auxiliar[],2,0)</f>
        <v>2. Deduções da Receita</v>
      </c>
      <c r="E4976" t="str">
        <f>VLOOKUP(B4976,Tabela_Auxiliar[],4,0)</f>
        <v>Imposto</v>
      </c>
      <c r="F4976" t="str">
        <f>VLOOKUP(B4976,Tabela_Auxiliar[],3,0)</f>
        <v>Saída</v>
      </c>
      <c r="G4976" t="str">
        <f>UPPER(TEXT(Tabela_DB[[#This Row],[DATA]],"mmm"))</f>
        <v>DEZ</v>
      </c>
      <c r="H4976" t="str">
        <f>UPPER(TEXT(Tabela_DB[[#This Row],[DATA]],"aaaa"))</f>
        <v>2021</v>
      </c>
    </row>
    <row r="4977" spans="1:8" x14ac:dyDescent="0.25">
      <c r="A4977" s="2">
        <v>44557</v>
      </c>
      <c r="B4977" t="s">
        <v>3</v>
      </c>
      <c r="C4977">
        <v>14918</v>
      </c>
      <c r="D4977" t="str">
        <f>VLOOKUP(B4977,Tabela_Auxiliar[],2,0)</f>
        <v>1. Receita Operacional Bruta</v>
      </c>
      <c r="E4977" t="str">
        <f>VLOOKUP(B4977,Tabela_Auxiliar[],4,0)</f>
        <v>Receita Bruta</v>
      </c>
      <c r="F4977" t="str">
        <f>VLOOKUP(B4977,Tabela_Auxiliar[],3,0)</f>
        <v>Entrada</v>
      </c>
      <c r="G4977" t="str">
        <f>UPPER(TEXT(Tabela_DB[[#This Row],[DATA]],"mmm"))</f>
        <v>DEZ</v>
      </c>
      <c r="H4977" t="str">
        <f>UPPER(TEXT(Tabela_DB[[#This Row],[DATA]],"aaaa"))</f>
        <v>2021</v>
      </c>
    </row>
    <row r="4978" spans="1:8" x14ac:dyDescent="0.25">
      <c r="A4978" s="2">
        <v>44557</v>
      </c>
      <c r="B4978" t="s">
        <v>38</v>
      </c>
      <c r="C4978">
        <v>-1814</v>
      </c>
      <c r="D4978" t="str">
        <f>VLOOKUP(B4978,Tabela_Auxiliar[],2,0)</f>
        <v>2. Deduções da Receita</v>
      </c>
      <c r="E4978" t="str">
        <f>VLOOKUP(B4978,Tabela_Auxiliar[],4,0)</f>
        <v>Deduções</v>
      </c>
      <c r="F4978" t="str">
        <f>VLOOKUP(B4978,Tabela_Auxiliar[],3,0)</f>
        <v>Saída</v>
      </c>
      <c r="G4978" t="str">
        <f>UPPER(TEXT(Tabela_DB[[#This Row],[DATA]],"mmm"))</f>
        <v>DEZ</v>
      </c>
      <c r="H4978" t="str">
        <f>UPPER(TEXT(Tabela_DB[[#This Row],[DATA]],"aaaa"))</f>
        <v>2021</v>
      </c>
    </row>
    <row r="4979" spans="1:8" x14ac:dyDescent="0.25">
      <c r="A4979" s="2">
        <v>44557</v>
      </c>
      <c r="B4979" t="s">
        <v>4</v>
      </c>
      <c r="C4979">
        <v>14078</v>
      </c>
      <c r="D4979" t="str">
        <f>VLOOKUP(B4979,Tabela_Auxiliar[],2,0)</f>
        <v>1. Receita Operacional Bruta</v>
      </c>
      <c r="E4979" t="str">
        <f>VLOOKUP(B4979,Tabela_Auxiliar[],4,0)</f>
        <v>Receita Bruta</v>
      </c>
      <c r="F4979" t="str">
        <f>VLOOKUP(B4979,Tabela_Auxiliar[],3,0)</f>
        <v>Entrada</v>
      </c>
      <c r="G4979" t="str">
        <f>UPPER(TEXT(Tabela_DB[[#This Row],[DATA]],"mmm"))</f>
        <v>DEZ</v>
      </c>
      <c r="H4979" t="str">
        <f>UPPER(TEXT(Tabela_DB[[#This Row],[DATA]],"aaaa"))</f>
        <v>2021</v>
      </c>
    </row>
    <row r="4980" spans="1:8" x14ac:dyDescent="0.25">
      <c r="A4980" s="2">
        <v>44558</v>
      </c>
      <c r="B4980" t="s">
        <v>40</v>
      </c>
      <c r="C4980">
        <v>-1129</v>
      </c>
      <c r="D4980" t="str">
        <f>VLOOKUP(B4980,Tabela_Auxiliar[],2,0)</f>
        <v>4. Despesas Operacionais</v>
      </c>
      <c r="E4980" t="str">
        <f>VLOOKUP(B4980,Tabela_Auxiliar[],4,0)</f>
        <v>Despesa com Pessoal</v>
      </c>
      <c r="F4980" t="str">
        <f>VLOOKUP(B4980,Tabela_Auxiliar[],3,0)</f>
        <v>Saída</v>
      </c>
      <c r="G4980" t="str">
        <f>UPPER(TEXT(Tabela_DB[[#This Row],[DATA]],"mmm"))</f>
        <v>DEZ</v>
      </c>
      <c r="H4980" t="str">
        <f>UPPER(TEXT(Tabela_DB[[#This Row],[DATA]],"aaaa"))</f>
        <v>2021</v>
      </c>
    </row>
    <row r="4981" spans="1:8" x14ac:dyDescent="0.25">
      <c r="A4981" s="2">
        <v>44558</v>
      </c>
      <c r="B4981" t="s">
        <v>73</v>
      </c>
      <c r="C4981">
        <v>-1183</v>
      </c>
      <c r="D4981" t="str">
        <f>VLOOKUP(B4981,Tabela_Auxiliar[],2,0)</f>
        <v>4. Despesas Operacionais</v>
      </c>
      <c r="E4981" t="str">
        <f>VLOOKUP(B4981,Tabela_Auxiliar[],4,0)</f>
        <v>Despesa com Ocupação</v>
      </c>
      <c r="F4981" t="str">
        <f>VLOOKUP(B4981,Tabela_Auxiliar[],3,0)</f>
        <v>Saída</v>
      </c>
      <c r="G4981" t="str">
        <f>UPPER(TEXT(Tabela_DB[[#This Row],[DATA]],"mmm"))</f>
        <v>DEZ</v>
      </c>
      <c r="H4981" t="str">
        <f>UPPER(TEXT(Tabela_DB[[#This Row],[DATA]],"aaaa"))</f>
        <v>2021</v>
      </c>
    </row>
    <row r="4982" spans="1:8" x14ac:dyDescent="0.25">
      <c r="A4982" s="2">
        <v>44558</v>
      </c>
      <c r="B4982" t="s">
        <v>4</v>
      </c>
      <c r="C4982">
        <v>10105</v>
      </c>
      <c r="D4982" t="str">
        <f>VLOOKUP(B4982,Tabela_Auxiliar[],2,0)</f>
        <v>1. Receita Operacional Bruta</v>
      </c>
      <c r="E4982" t="str">
        <f>VLOOKUP(B4982,Tabela_Auxiliar[],4,0)</f>
        <v>Receita Bruta</v>
      </c>
      <c r="F4982" t="str">
        <f>VLOOKUP(B4982,Tabela_Auxiliar[],3,0)</f>
        <v>Entrada</v>
      </c>
      <c r="G4982" t="str">
        <f>UPPER(TEXT(Tabela_DB[[#This Row],[DATA]],"mmm"))</f>
        <v>DEZ</v>
      </c>
      <c r="H4982" t="str">
        <f>UPPER(TEXT(Tabela_DB[[#This Row],[DATA]],"aaaa"))</f>
        <v>2021</v>
      </c>
    </row>
    <row r="4983" spans="1:8" x14ac:dyDescent="0.25">
      <c r="A4983" s="2">
        <v>44558</v>
      </c>
      <c r="B4983" t="s">
        <v>37</v>
      </c>
      <c r="C4983">
        <v>-4134</v>
      </c>
      <c r="D4983" t="str">
        <f>VLOOKUP(B4983,Tabela_Auxiliar[],2,0)</f>
        <v>3. Custos do Produto/Mercadoria/Serviço</v>
      </c>
      <c r="E4983" t="str">
        <f>VLOOKUP(B4983,Tabela_Auxiliar[],4,0)</f>
        <v>Despesas c/ Produto</v>
      </c>
      <c r="F4983" t="str">
        <f>VLOOKUP(B4983,Tabela_Auxiliar[],3,0)</f>
        <v>Saída</v>
      </c>
      <c r="G4983" t="str">
        <f>UPPER(TEXT(Tabela_DB[[#This Row],[DATA]],"mmm"))</f>
        <v>DEZ</v>
      </c>
      <c r="H4983" t="str">
        <f>UPPER(TEXT(Tabela_DB[[#This Row],[DATA]],"aaaa"))</f>
        <v>2021</v>
      </c>
    </row>
    <row r="4984" spans="1:8" x14ac:dyDescent="0.25">
      <c r="A4984" s="2">
        <v>44558</v>
      </c>
      <c r="B4984" t="s">
        <v>38</v>
      </c>
      <c r="C4984">
        <v>-2217</v>
      </c>
      <c r="D4984" t="str">
        <f>VLOOKUP(B4984,Tabela_Auxiliar[],2,0)</f>
        <v>2. Deduções da Receita</v>
      </c>
      <c r="E4984" t="str">
        <f>VLOOKUP(B4984,Tabela_Auxiliar[],4,0)</f>
        <v>Deduções</v>
      </c>
      <c r="F4984" t="str">
        <f>VLOOKUP(B4984,Tabela_Auxiliar[],3,0)</f>
        <v>Saída</v>
      </c>
      <c r="G4984" t="str">
        <f>UPPER(TEXT(Tabela_DB[[#This Row],[DATA]],"mmm"))</f>
        <v>DEZ</v>
      </c>
      <c r="H4984" t="str">
        <f>UPPER(TEXT(Tabela_DB[[#This Row],[DATA]],"aaaa"))</f>
        <v>2021</v>
      </c>
    </row>
    <row r="4985" spans="1:8" x14ac:dyDescent="0.25">
      <c r="A4985" s="2">
        <v>44558</v>
      </c>
      <c r="B4985" t="s">
        <v>4</v>
      </c>
      <c r="C4985">
        <v>10124</v>
      </c>
      <c r="D4985" t="str">
        <f>VLOOKUP(B4985,Tabela_Auxiliar[],2,0)</f>
        <v>1. Receita Operacional Bruta</v>
      </c>
      <c r="E4985" t="str">
        <f>VLOOKUP(B4985,Tabela_Auxiliar[],4,0)</f>
        <v>Receita Bruta</v>
      </c>
      <c r="F4985" t="str">
        <f>VLOOKUP(B4985,Tabela_Auxiliar[],3,0)</f>
        <v>Entrada</v>
      </c>
      <c r="G4985" t="str">
        <f>UPPER(TEXT(Tabela_DB[[#This Row],[DATA]],"mmm"))</f>
        <v>DEZ</v>
      </c>
      <c r="H4985" t="str">
        <f>UPPER(TEXT(Tabela_DB[[#This Row],[DATA]],"aaaa"))</f>
        <v>2021</v>
      </c>
    </row>
    <row r="4986" spans="1:8" x14ac:dyDescent="0.25">
      <c r="A4986" s="2">
        <v>44558</v>
      </c>
      <c r="B4986" t="s">
        <v>35</v>
      </c>
      <c r="C4986">
        <v>-2367</v>
      </c>
      <c r="D4986" t="str">
        <f>VLOOKUP(B4986,Tabela_Auxiliar[],2,0)</f>
        <v>2. Deduções da Receita</v>
      </c>
      <c r="E4986" t="str">
        <f>VLOOKUP(B4986,Tabela_Auxiliar[],4,0)</f>
        <v>Imposto</v>
      </c>
      <c r="F4986" t="str">
        <f>VLOOKUP(B4986,Tabela_Auxiliar[],3,0)</f>
        <v>Saída</v>
      </c>
      <c r="G4986" t="str">
        <f>UPPER(TEXT(Tabela_DB[[#This Row],[DATA]],"mmm"))</f>
        <v>DEZ</v>
      </c>
      <c r="H4986" t="str">
        <f>UPPER(TEXT(Tabela_DB[[#This Row],[DATA]],"aaaa"))</f>
        <v>2021</v>
      </c>
    </row>
    <row r="4987" spans="1:8" x14ac:dyDescent="0.25">
      <c r="A4987" s="2">
        <v>44558</v>
      </c>
      <c r="B4987" t="s">
        <v>34</v>
      </c>
      <c r="C4987">
        <v>-1671</v>
      </c>
      <c r="D4987" t="str">
        <f>VLOOKUP(B4987,Tabela_Auxiliar[],2,0)</f>
        <v>2. Deduções da Receita</v>
      </c>
      <c r="E4987" t="str">
        <f>VLOOKUP(B4987,Tabela_Auxiliar[],4,0)</f>
        <v>Imposto</v>
      </c>
      <c r="F4987" t="str">
        <f>VLOOKUP(B4987,Tabela_Auxiliar[],3,0)</f>
        <v>Saída</v>
      </c>
      <c r="G4987" t="str">
        <f>UPPER(TEXT(Tabela_DB[[#This Row],[DATA]],"mmm"))</f>
        <v>DEZ</v>
      </c>
      <c r="H4987" t="str">
        <f>UPPER(TEXT(Tabela_DB[[#This Row],[DATA]],"aaaa"))</f>
        <v>2021</v>
      </c>
    </row>
    <row r="4988" spans="1:8" x14ac:dyDescent="0.25">
      <c r="A4988" s="2">
        <v>44558</v>
      </c>
      <c r="B4988" t="s">
        <v>59</v>
      </c>
      <c r="C4988">
        <v>-1580</v>
      </c>
      <c r="D4988" t="str">
        <f>VLOOKUP(B4988,Tabela_Auxiliar[],2,0)</f>
        <v>4. Despesas Operacionais</v>
      </c>
      <c r="E4988" t="str">
        <f>VLOOKUP(B4988,Tabela_Auxiliar[],4,0)</f>
        <v>Despesa de Depreciação</v>
      </c>
      <c r="F4988" t="str">
        <f>VLOOKUP(B4988,Tabela_Auxiliar[],3,0)</f>
        <v>Saída</v>
      </c>
      <c r="G4988" t="str">
        <f>UPPER(TEXT(Tabela_DB[[#This Row],[DATA]],"mmm"))</f>
        <v>DEZ</v>
      </c>
      <c r="H4988" t="str">
        <f>UPPER(TEXT(Tabela_DB[[#This Row],[DATA]],"aaaa"))</f>
        <v>2021</v>
      </c>
    </row>
    <row r="4989" spans="1:8" x14ac:dyDescent="0.25">
      <c r="A4989" s="2">
        <v>44558</v>
      </c>
      <c r="B4989" t="s">
        <v>38</v>
      </c>
      <c r="C4989">
        <v>-1065</v>
      </c>
      <c r="D4989" t="str">
        <f>VLOOKUP(B4989,Tabela_Auxiliar[],2,0)</f>
        <v>2. Deduções da Receita</v>
      </c>
      <c r="E4989" t="str">
        <f>VLOOKUP(B4989,Tabela_Auxiliar[],4,0)</f>
        <v>Deduções</v>
      </c>
      <c r="F4989" t="str">
        <f>VLOOKUP(B4989,Tabela_Auxiliar[],3,0)</f>
        <v>Saída</v>
      </c>
      <c r="G4989" t="str">
        <f>UPPER(TEXT(Tabela_DB[[#This Row],[DATA]],"mmm"))</f>
        <v>DEZ</v>
      </c>
      <c r="H4989" t="str">
        <f>UPPER(TEXT(Tabela_DB[[#This Row],[DATA]],"aaaa"))</f>
        <v>2021</v>
      </c>
    </row>
    <row r="4990" spans="1:8" x14ac:dyDescent="0.25">
      <c r="A4990" s="2">
        <v>44558</v>
      </c>
      <c r="B4990" t="s">
        <v>4</v>
      </c>
      <c r="C4990">
        <v>13301</v>
      </c>
      <c r="D4990" t="str">
        <f>VLOOKUP(B4990,Tabela_Auxiliar[],2,0)</f>
        <v>1. Receita Operacional Bruta</v>
      </c>
      <c r="E4990" t="str">
        <f>VLOOKUP(B4990,Tabela_Auxiliar[],4,0)</f>
        <v>Receita Bruta</v>
      </c>
      <c r="F4990" t="str">
        <f>VLOOKUP(B4990,Tabela_Auxiliar[],3,0)</f>
        <v>Entrada</v>
      </c>
      <c r="G4990" t="str">
        <f>UPPER(TEXT(Tabela_DB[[#This Row],[DATA]],"mmm"))</f>
        <v>DEZ</v>
      </c>
      <c r="H4990" t="str">
        <f>UPPER(TEXT(Tabela_DB[[#This Row],[DATA]],"aaaa"))</f>
        <v>2021</v>
      </c>
    </row>
    <row r="4991" spans="1:8" x14ac:dyDescent="0.25">
      <c r="A4991" s="2">
        <v>44558</v>
      </c>
      <c r="B4991" t="s">
        <v>47</v>
      </c>
      <c r="C4991">
        <v>-2225</v>
      </c>
      <c r="D4991" t="str">
        <f>VLOOKUP(B4991,Tabela_Auxiliar[],2,0)</f>
        <v>4. Despesas Operacionais</v>
      </c>
      <c r="E4991" t="str">
        <f>VLOOKUP(B4991,Tabela_Auxiliar[],4,0)</f>
        <v>Despesa com Pessoal</v>
      </c>
      <c r="F4991" t="str">
        <f>VLOOKUP(B4991,Tabela_Auxiliar[],3,0)</f>
        <v>Saída</v>
      </c>
      <c r="G4991" t="str">
        <f>UPPER(TEXT(Tabela_DB[[#This Row],[DATA]],"mmm"))</f>
        <v>DEZ</v>
      </c>
      <c r="H4991" t="str">
        <f>UPPER(TEXT(Tabela_DB[[#This Row],[DATA]],"aaaa"))</f>
        <v>2021</v>
      </c>
    </row>
    <row r="4992" spans="1:8" x14ac:dyDescent="0.25">
      <c r="A4992" s="2">
        <v>44559</v>
      </c>
      <c r="B4992" t="s">
        <v>8</v>
      </c>
      <c r="C4992">
        <v>-1020</v>
      </c>
      <c r="D4992" t="str">
        <f>VLOOKUP(B4992,Tabela_Auxiliar[],2,0)</f>
        <v>4. Despesas Operacionais</v>
      </c>
      <c r="E4992" t="str">
        <f>VLOOKUP(B4992,Tabela_Auxiliar[],4,0)</f>
        <v>Despesa com Pessoal</v>
      </c>
      <c r="F4992" t="str">
        <f>VLOOKUP(B4992,Tabela_Auxiliar[],3,0)</f>
        <v>Saída</v>
      </c>
      <c r="G4992" t="str">
        <f>UPPER(TEXT(Tabela_DB[[#This Row],[DATA]],"mmm"))</f>
        <v>DEZ</v>
      </c>
      <c r="H4992" t="str">
        <f>UPPER(TEXT(Tabela_DB[[#This Row],[DATA]],"aaaa"))</f>
        <v>2021</v>
      </c>
    </row>
    <row r="4993" spans="1:8" x14ac:dyDescent="0.25">
      <c r="A4993" s="2">
        <v>44559</v>
      </c>
      <c r="B4993" t="s">
        <v>71</v>
      </c>
      <c r="C4993">
        <v>-2175</v>
      </c>
      <c r="D4993" t="str">
        <f>VLOOKUP(B4993,Tabela_Auxiliar[],2,0)</f>
        <v>4. Despesas Operacionais</v>
      </c>
      <c r="E4993" t="str">
        <f>VLOOKUP(B4993,Tabela_Auxiliar[],4,0)</f>
        <v>Despesa com Ocupação</v>
      </c>
      <c r="F4993" t="str">
        <f>VLOOKUP(B4993,Tabela_Auxiliar[],3,0)</f>
        <v>Saída</v>
      </c>
      <c r="G4993" t="str">
        <f>UPPER(TEXT(Tabela_DB[[#This Row],[DATA]],"mmm"))</f>
        <v>DEZ</v>
      </c>
      <c r="H4993" t="str">
        <f>UPPER(TEXT(Tabela_DB[[#This Row],[DATA]],"aaaa"))</f>
        <v>2021</v>
      </c>
    </row>
    <row r="4994" spans="1:8" x14ac:dyDescent="0.25">
      <c r="A4994" s="2">
        <v>44559</v>
      </c>
      <c r="B4994" t="s">
        <v>85</v>
      </c>
      <c r="C4994">
        <v>-1731</v>
      </c>
      <c r="D4994" t="str">
        <f>VLOOKUP(B4994,Tabela_Auxiliar[],2,0)</f>
        <v>4. Despesas Operacionais</v>
      </c>
      <c r="E4994" t="str">
        <f>VLOOKUP(B4994,Tabela_Auxiliar[],4,0)</f>
        <v>Despesa com Veículos</v>
      </c>
      <c r="F4994" t="str">
        <f>VLOOKUP(B4994,Tabela_Auxiliar[],3,0)</f>
        <v>Saída</v>
      </c>
      <c r="G4994" t="str">
        <f>UPPER(TEXT(Tabela_DB[[#This Row],[DATA]],"mmm"))</f>
        <v>DEZ</v>
      </c>
      <c r="H4994" t="str">
        <f>UPPER(TEXT(Tabela_DB[[#This Row],[DATA]],"aaaa"))</f>
        <v>2021</v>
      </c>
    </row>
    <row r="4995" spans="1:8" x14ac:dyDescent="0.25">
      <c r="A4995" s="2">
        <v>44559</v>
      </c>
      <c r="B4995" t="s">
        <v>67</v>
      </c>
      <c r="C4995">
        <v>-1095</v>
      </c>
      <c r="D4995" t="str">
        <f>VLOOKUP(B4995,Tabela_Auxiliar[],2,0)</f>
        <v>4. Despesas Operacionais</v>
      </c>
      <c r="E4995" t="str">
        <f>VLOOKUP(B4995,Tabela_Auxiliar[],4,0)</f>
        <v>Despesa com Vendas</v>
      </c>
      <c r="F4995" t="str">
        <f>VLOOKUP(B4995,Tabela_Auxiliar[],3,0)</f>
        <v>Saída</v>
      </c>
      <c r="G4995" t="str">
        <f>UPPER(TEXT(Tabela_DB[[#This Row],[DATA]],"mmm"))</f>
        <v>DEZ</v>
      </c>
      <c r="H4995" t="str">
        <f>UPPER(TEXT(Tabela_DB[[#This Row],[DATA]],"aaaa"))</f>
        <v>2021</v>
      </c>
    </row>
    <row r="4996" spans="1:8" x14ac:dyDescent="0.25">
      <c r="A4996" s="2">
        <v>44559</v>
      </c>
      <c r="B4996" t="s">
        <v>3</v>
      </c>
      <c r="C4996">
        <v>13040</v>
      </c>
      <c r="D4996" t="str">
        <f>VLOOKUP(B4996,Tabela_Auxiliar[],2,0)</f>
        <v>1. Receita Operacional Bruta</v>
      </c>
      <c r="E4996" t="str">
        <f>VLOOKUP(B4996,Tabela_Auxiliar[],4,0)</f>
        <v>Receita Bruta</v>
      </c>
      <c r="F4996" t="str">
        <f>VLOOKUP(B4996,Tabela_Auxiliar[],3,0)</f>
        <v>Entrada</v>
      </c>
      <c r="G4996" t="str">
        <f>UPPER(TEXT(Tabela_DB[[#This Row],[DATA]],"mmm"))</f>
        <v>DEZ</v>
      </c>
      <c r="H4996" t="str">
        <f>UPPER(TEXT(Tabela_DB[[#This Row],[DATA]],"aaaa"))</f>
        <v>2021</v>
      </c>
    </row>
    <row r="4997" spans="1:8" x14ac:dyDescent="0.25">
      <c r="A4997" s="2">
        <v>44559</v>
      </c>
      <c r="B4997" t="s">
        <v>47</v>
      </c>
      <c r="C4997">
        <v>-2044</v>
      </c>
      <c r="D4997" t="str">
        <f>VLOOKUP(B4997,Tabela_Auxiliar[],2,0)</f>
        <v>4. Despesas Operacionais</v>
      </c>
      <c r="E4997" t="str">
        <f>VLOOKUP(B4997,Tabela_Auxiliar[],4,0)</f>
        <v>Despesa com Pessoal</v>
      </c>
      <c r="F4997" t="str">
        <f>VLOOKUP(B4997,Tabela_Auxiliar[],3,0)</f>
        <v>Saída</v>
      </c>
      <c r="G4997" t="str">
        <f>UPPER(TEXT(Tabela_DB[[#This Row],[DATA]],"mmm"))</f>
        <v>DEZ</v>
      </c>
      <c r="H4997" t="str">
        <f>UPPER(TEXT(Tabela_DB[[#This Row],[DATA]],"aaaa"))</f>
        <v>2021</v>
      </c>
    </row>
    <row r="4998" spans="1:8" x14ac:dyDescent="0.25">
      <c r="A4998" s="2">
        <v>44559</v>
      </c>
      <c r="B4998" t="s">
        <v>3</v>
      </c>
      <c r="C4998">
        <v>14517</v>
      </c>
      <c r="D4998" t="str">
        <f>VLOOKUP(B4998,Tabela_Auxiliar[],2,0)</f>
        <v>1. Receita Operacional Bruta</v>
      </c>
      <c r="E4998" t="str">
        <f>VLOOKUP(B4998,Tabela_Auxiliar[],4,0)</f>
        <v>Receita Bruta</v>
      </c>
      <c r="F4998" t="str">
        <f>VLOOKUP(B4998,Tabela_Auxiliar[],3,0)</f>
        <v>Entrada</v>
      </c>
      <c r="G4998" t="str">
        <f>UPPER(TEXT(Tabela_DB[[#This Row],[DATA]],"mmm"))</f>
        <v>DEZ</v>
      </c>
      <c r="H4998" t="str">
        <f>UPPER(TEXT(Tabela_DB[[#This Row],[DATA]],"aaaa"))</f>
        <v>2021</v>
      </c>
    </row>
    <row r="4999" spans="1:8" x14ac:dyDescent="0.25">
      <c r="A4999" s="2">
        <v>44559</v>
      </c>
      <c r="B4999" t="s">
        <v>4</v>
      </c>
      <c r="C4999">
        <v>14871</v>
      </c>
      <c r="D4999" t="str">
        <f>VLOOKUP(B4999,Tabela_Auxiliar[],2,0)</f>
        <v>1. Receita Operacional Bruta</v>
      </c>
      <c r="E4999" t="str">
        <f>VLOOKUP(B4999,Tabela_Auxiliar[],4,0)</f>
        <v>Receita Bruta</v>
      </c>
      <c r="F4999" t="str">
        <f>VLOOKUP(B4999,Tabela_Auxiliar[],3,0)</f>
        <v>Entrada</v>
      </c>
      <c r="G4999" t="str">
        <f>UPPER(TEXT(Tabela_DB[[#This Row],[DATA]],"mmm"))</f>
        <v>DEZ</v>
      </c>
      <c r="H4999" t="str">
        <f>UPPER(TEXT(Tabela_DB[[#This Row],[DATA]],"aaaa"))</f>
        <v>2021</v>
      </c>
    </row>
    <row r="5000" spans="1:8" x14ac:dyDescent="0.25">
      <c r="A5000" s="2">
        <v>44559</v>
      </c>
      <c r="B5000" t="s">
        <v>35</v>
      </c>
      <c r="C5000">
        <v>-1849</v>
      </c>
      <c r="D5000" t="str">
        <f>VLOOKUP(B5000,Tabela_Auxiliar[],2,0)</f>
        <v>2. Deduções da Receita</v>
      </c>
      <c r="E5000" t="str">
        <f>VLOOKUP(B5000,Tabela_Auxiliar[],4,0)</f>
        <v>Imposto</v>
      </c>
      <c r="F5000" t="str">
        <f>VLOOKUP(B5000,Tabela_Auxiliar[],3,0)</f>
        <v>Saída</v>
      </c>
      <c r="G5000" t="str">
        <f>UPPER(TEXT(Tabela_DB[[#This Row],[DATA]],"mmm"))</f>
        <v>DEZ</v>
      </c>
      <c r="H5000" t="str">
        <f>UPPER(TEXT(Tabela_DB[[#This Row],[DATA]],"aaaa"))</f>
        <v>2021</v>
      </c>
    </row>
    <row r="5001" spans="1:8" x14ac:dyDescent="0.25">
      <c r="A5001" s="2">
        <v>44560</v>
      </c>
      <c r="B5001" t="s">
        <v>38</v>
      </c>
      <c r="C5001">
        <v>-1299</v>
      </c>
      <c r="D5001" t="str">
        <f>VLOOKUP(B5001,Tabela_Auxiliar[],2,0)</f>
        <v>2. Deduções da Receita</v>
      </c>
      <c r="E5001" t="str">
        <f>VLOOKUP(B5001,Tabela_Auxiliar[],4,0)</f>
        <v>Deduções</v>
      </c>
      <c r="F5001" t="str">
        <f>VLOOKUP(B5001,Tabela_Auxiliar[],3,0)</f>
        <v>Saída</v>
      </c>
      <c r="G5001" t="str">
        <f>UPPER(TEXT(Tabela_DB[[#This Row],[DATA]],"mmm"))</f>
        <v>DEZ</v>
      </c>
      <c r="H5001" t="str">
        <f>UPPER(TEXT(Tabela_DB[[#This Row],[DATA]],"aaaa"))</f>
        <v>2021</v>
      </c>
    </row>
    <row r="5002" spans="1:8" x14ac:dyDescent="0.25">
      <c r="A5002" s="2">
        <v>44560</v>
      </c>
      <c r="B5002" t="s">
        <v>3</v>
      </c>
      <c r="C5002">
        <v>14998</v>
      </c>
      <c r="D5002" t="str">
        <f>VLOOKUP(B5002,Tabela_Auxiliar[],2,0)</f>
        <v>1. Receita Operacional Bruta</v>
      </c>
      <c r="E5002" t="str">
        <f>VLOOKUP(B5002,Tabela_Auxiliar[],4,0)</f>
        <v>Receita Bruta</v>
      </c>
      <c r="F5002" t="str">
        <f>VLOOKUP(B5002,Tabela_Auxiliar[],3,0)</f>
        <v>Entrada</v>
      </c>
      <c r="G5002" t="str">
        <f>UPPER(TEXT(Tabela_DB[[#This Row],[DATA]],"mmm"))</f>
        <v>DEZ</v>
      </c>
      <c r="H5002" t="str">
        <f>UPPER(TEXT(Tabela_DB[[#This Row],[DATA]],"aaaa"))</f>
        <v>2021</v>
      </c>
    </row>
    <row r="5003" spans="1:8" x14ac:dyDescent="0.25">
      <c r="A5003" s="2">
        <v>44560</v>
      </c>
      <c r="B5003" t="s">
        <v>3</v>
      </c>
      <c r="C5003">
        <v>10950</v>
      </c>
      <c r="D5003" t="str">
        <f>VLOOKUP(B5003,Tabela_Auxiliar[],2,0)</f>
        <v>1. Receita Operacional Bruta</v>
      </c>
      <c r="E5003" t="str">
        <f>VLOOKUP(B5003,Tabela_Auxiliar[],4,0)</f>
        <v>Receita Bruta</v>
      </c>
      <c r="F5003" t="str">
        <f>VLOOKUP(B5003,Tabela_Auxiliar[],3,0)</f>
        <v>Entrada</v>
      </c>
      <c r="G5003" t="str">
        <f>UPPER(TEXT(Tabela_DB[[#This Row],[DATA]],"mmm"))</f>
        <v>DEZ</v>
      </c>
      <c r="H5003" t="str">
        <f>UPPER(TEXT(Tabela_DB[[#This Row],[DATA]],"aaaa"))</f>
        <v>2021</v>
      </c>
    </row>
    <row r="5004" spans="1:8" x14ac:dyDescent="0.25">
      <c r="A5004" s="2">
        <v>44560</v>
      </c>
      <c r="B5004" t="s">
        <v>85</v>
      </c>
      <c r="C5004">
        <v>-1262</v>
      </c>
      <c r="D5004" t="str">
        <f>VLOOKUP(B5004,Tabela_Auxiliar[],2,0)</f>
        <v>4. Despesas Operacionais</v>
      </c>
      <c r="E5004" t="str">
        <f>VLOOKUP(B5004,Tabela_Auxiliar[],4,0)</f>
        <v>Despesa com Veículos</v>
      </c>
      <c r="F5004" t="str">
        <f>VLOOKUP(B5004,Tabela_Auxiliar[],3,0)</f>
        <v>Saída</v>
      </c>
      <c r="G5004" t="str">
        <f>UPPER(TEXT(Tabela_DB[[#This Row],[DATA]],"mmm"))</f>
        <v>DEZ</v>
      </c>
      <c r="H5004" t="str">
        <f>UPPER(TEXT(Tabela_DB[[#This Row],[DATA]],"aaaa"))</f>
        <v>2021</v>
      </c>
    </row>
    <row r="5005" spans="1:8" x14ac:dyDescent="0.25">
      <c r="A5005" s="2">
        <v>44561</v>
      </c>
      <c r="B5005" t="s">
        <v>35</v>
      </c>
      <c r="C5005">
        <v>-1015</v>
      </c>
      <c r="D5005" t="str">
        <f>VLOOKUP(B5005,Tabela_Auxiliar[],2,0)</f>
        <v>2. Deduções da Receita</v>
      </c>
      <c r="E5005" t="str">
        <f>VLOOKUP(B5005,Tabela_Auxiliar[],4,0)</f>
        <v>Imposto</v>
      </c>
      <c r="F5005" t="str">
        <f>VLOOKUP(B5005,Tabela_Auxiliar[],3,0)</f>
        <v>Saída</v>
      </c>
      <c r="G5005" t="str">
        <f>UPPER(TEXT(Tabela_DB[[#This Row],[DATA]],"mmm"))</f>
        <v>DEZ</v>
      </c>
      <c r="H5005" t="str">
        <f>UPPER(TEXT(Tabela_DB[[#This Row],[DATA]],"aaaa"))</f>
        <v>2021</v>
      </c>
    </row>
    <row r="5006" spans="1:8" x14ac:dyDescent="0.25">
      <c r="A5006" s="2">
        <v>44561</v>
      </c>
      <c r="B5006" t="s">
        <v>111</v>
      </c>
      <c r="C5006">
        <v>-1486</v>
      </c>
      <c r="D5006" t="str">
        <f>VLOOKUP(B5006,Tabela_Auxiliar[],2,0)</f>
        <v>2. Deduções da Receita</v>
      </c>
      <c r="E5006" t="str">
        <f>VLOOKUP(B5006,Tabela_Auxiliar[],4,0)</f>
        <v>Imposto</v>
      </c>
      <c r="F5006" t="str">
        <f>VLOOKUP(B5006,Tabela_Auxiliar[],3,0)</f>
        <v>Saída</v>
      </c>
      <c r="G5006" t="str">
        <f>UPPER(TEXT(Tabela_DB[[#This Row],[DATA]],"mmm"))</f>
        <v>DEZ</v>
      </c>
      <c r="H5006" t="str">
        <f>UPPER(TEXT(Tabela_DB[[#This Row],[DATA]],"aaaa"))</f>
        <v>2021</v>
      </c>
    </row>
    <row r="5007" spans="1:8" x14ac:dyDescent="0.25">
      <c r="A5007" s="2">
        <v>44561</v>
      </c>
      <c r="B5007" t="s">
        <v>3</v>
      </c>
      <c r="C5007">
        <v>10092</v>
      </c>
      <c r="D5007" t="str">
        <f>VLOOKUP(B5007,Tabela_Auxiliar[],2,0)</f>
        <v>1. Receita Operacional Bruta</v>
      </c>
      <c r="E5007" t="str">
        <f>VLOOKUP(B5007,Tabela_Auxiliar[],4,0)</f>
        <v>Receita Bruta</v>
      </c>
      <c r="F5007" t="str">
        <f>VLOOKUP(B5007,Tabela_Auxiliar[],3,0)</f>
        <v>Entrada</v>
      </c>
      <c r="G5007" t="str">
        <f>UPPER(TEXT(Tabela_DB[[#This Row],[DATA]],"mmm"))</f>
        <v>DEZ</v>
      </c>
      <c r="H5007" t="str">
        <f>UPPER(TEXT(Tabela_DB[[#This Row],[DATA]],"aaaa"))</f>
        <v>2021</v>
      </c>
    </row>
    <row r="5008" spans="1:8" x14ac:dyDescent="0.25">
      <c r="A5008" s="2">
        <v>44561</v>
      </c>
      <c r="B5008" t="s">
        <v>34</v>
      </c>
      <c r="C5008">
        <v>-1006</v>
      </c>
      <c r="D5008" t="str">
        <f>VLOOKUP(B5008,Tabela_Auxiliar[],2,0)</f>
        <v>2. Deduções da Receita</v>
      </c>
      <c r="E5008" t="str">
        <f>VLOOKUP(B5008,Tabela_Auxiliar[],4,0)</f>
        <v>Imposto</v>
      </c>
      <c r="F5008" t="str">
        <f>VLOOKUP(B5008,Tabela_Auxiliar[],3,0)</f>
        <v>Saída</v>
      </c>
      <c r="G5008" t="str">
        <f>UPPER(TEXT(Tabela_DB[[#This Row],[DATA]],"mmm"))</f>
        <v>DEZ</v>
      </c>
      <c r="H5008" t="str">
        <f>UPPER(TEXT(Tabela_DB[[#This Row],[DATA]],"aaaa"))</f>
        <v>2021</v>
      </c>
    </row>
    <row r="5009" spans="1:8" x14ac:dyDescent="0.25">
      <c r="A5009" s="2">
        <v>44561</v>
      </c>
      <c r="B5009" t="s">
        <v>3</v>
      </c>
      <c r="C5009">
        <v>13162</v>
      </c>
      <c r="D5009" t="str">
        <f>VLOOKUP(B5009,Tabela_Auxiliar[],2,0)</f>
        <v>1. Receita Operacional Bruta</v>
      </c>
      <c r="E5009" t="str">
        <f>VLOOKUP(B5009,Tabela_Auxiliar[],4,0)</f>
        <v>Receita Bruta</v>
      </c>
      <c r="F5009" t="str">
        <f>VLOOKUP(B5009,Tabela_Auxiliar[],3,0)</f>
        <v>Entrada</v>
      </c>
      <c r="G5009" t="str">
        <f>UPPER(TEXT(Tabela_DB[[#This Row],[DATA]],"mmm"))</f>
        <v>DEZ</v>
      </c>
      <c r="H5009" t="str">
        <f>UPPER(TEXT(Tabela_DB[[#This Row],[DATA]],"aaaa"))</f>
        <v>2021</v>
      </c>
    </row>
    <row r="5010" spans="1:8" x14ac:dyDescent="0.25">
      <c r="A5010" s="2">
        <v>44561</v>
      </c>
      <c r="B5010" t="s">
        <v>56</v>
      </c>
      <c r="C5010">
        <v>-1047</v>
      </c>
      <c r="D5010" t="str">
        <f>VLOOKUP(B5010,Tabela_Auxiliar[],2,0)</f>
        <v>4. Despesas Operacionais</v>
      </c>
      <c r="E5010" t="str">
        <f>VLOOKUP(B5010,Tabela_Auxiliar[],4,0)</f>
        <v>Despesa com Pessoal</v>
      </c>
      <c r="F5010" t="str">
        <f>VLOOKUP(B5010,Tabela_Auxiliar[],3,0)</f>
        <v>Saída</v>
      </c>
      <c r="G5010" t="str">
        <f>UPPER(TEXT(Tabela_DB[[#This Row],[DATA]],"mmm"))</f>
        <v>DEZ</v>
      </c>
      <c r="H5010" t="str">
        <f>UPPER(TEXT(Tabela_DB[[#This Row],[DATA]],"aaaa"))</f>
        <v>2021</v>
      </c>
    </row>
    <row r="5011" spans="1:8" x14ac:dyDescent="0.25">
      <c r="A5011" s="2">
        <v>44561</v>
      </c>
      <c r="B5011" t="s">
        <v>111</v>
      </c>
      <c r="C5011">
        <v>-1380</v>
      </c>
      <c r="D5011" t="str">
        <f>VLOOKUP(B5011,Tabela_Auxiliar[],2,0)</f>
        <v>2. Deduções da Receita</v>
      </c>
      <c r="E5011" t="str">
        <f>VLOOKUP(B5011,Tabela_Auxiliar[],4,0)</f>
        <v>Imposto</v>
      </c>
      <c r="F5011" t="str">
        <f>VLOOKUP(B5011,Tabela_Auxiliar[],3,0)</f>
        <v>Saída</v>
      </c>
      <c r="G5011" t="str">
        <f>UPPER(TEXT(Tabela_DB[[#This Row],[DATA]],"mmm"))</f>
        <v>DEZ</v>
      </c>
      <c r="H5011" t="str">
        <f>UPPER(TEXT(Tabela_DB[[#This Row],[DATA]],"aaaa"))</f>
        <v>2021</v>
      </c>
    </row>
    <row r="5012" spans="1:8" x14ac:dyDescent="0.25">
      <c r="A5012" s="2">
        <v>44561</v>
      </c>
      <c r="B5012" t="s">
        <v>53</v>
      </c>
      <c r="C5012">
        <v>-1634</v>
      </c>
      <c r="D5012" t="str">
        <f>VLOOKUP(B5012,Tabela_Auxiliar[],2,0)</f>
        <v>4. Despesas Operacionais</v>
      </c>
      <c r="E5012" t="str">
        <f>VLOOKUP(B5012,Tabela_Auxiliar[],4,0)</f>
        <v>Despesa com Pessoal</v>
      </c>
      <c r="F5012" t="str">
        <f>VLOOKUP(B5012,Tabela_Auxiliar[],3,0)</f>
        <v>Saída</v>
      </c>
      <c r="G5012" t="str">
        <f>UPPER(TEXT(Tabela_DB[[#This Row],[DATA]],"mmm"))</f>
        <v>DEZ</v>
      </c>
      <c r="H5012" t="str">
        <f>UPPER(TEXT(Tabela_DB[[#This Row],[DATA]],"aaaa"))</f>
        <v>2021</v>
      </c>
    </row>
    <row r="5013" spans="1:8" x14ac:dyDescent="0.25">
      <c r="A5013" s="2">
        <v>44561</v>
      </c>
      <c r="B5013" t="s">
        <v>37</v>
      </c>
      <c r="C5013">
        <v>-4605</v>
      </c>
      <c r="D5013" t="str">
        <f>VLOOKUP(B5013,Tabela_Auxiliar[],2,0)</f>
        <v>3. Custos do Produto/Mercadoria/Serviço</v>
      </c>
      <c r="E5013" t="str">
        <f>VLOOKUP(B5013,Tabela_Auxiliar[],4,0)</f>
        <v>Despesas c/ Produto</v>
      </c>
      <c r="F5013" t="str">
        <f>VLOOKUP(B5013,Tabela_Auxiliar[],3,0)</f>
        <v>Saída</v>
      </c>
      <c r="G5013" t="str">
        <f>UPPER(TEXT(Tabela_DB[[#This Row],[DATA]],"mmm"))</f>
        <v>DEZ</v>
      </c>
      <c r="H5013" t="str">
        <f>UPPER(TEXT(Tabela_DB[[#This Row],[DATA]],"aaaa"))</f>
        <v>2021</v>
      </c>
    </row>
    <row r="5014" spans="1:8" x14ac:dyDescent="0.25">
      <c r="A5014" s="2">
        <v>44562</v>
      </c>
      <c r="B5014" t="s">
        <v>71</v>
      </c>
      <c r="C5014">
        <v>-1877</v>
      </c>
      <c r="D5014" t="str">
        <f>VLOOKUP(B5014,Tabela_Auxiliar[],2,0)</f>
        <v>4. Despesas Operacionais</v>
      </c>
      <c r="E5014" t="str">
        <f>VLOOKUP(B5014,Tabela_Auxiliar[],4,0)</f>
        <v>Despesa com Ocupação</v>
      </c>
      <c r="F5014" t="str">
        <f>VLOOKUP(B5014,Tabela_Auxiliar[],3,0)</f>
        <v>Saída</v>
      </c>
      <c r="G5014" t="str">
        <f>UPPER(TEXT(Tabela_DB[[#This Row],[DATA]],"mmm"))</f>
        <v>JAN</v>
      </c>
      <c r="H5014" t="str">
        <f>UPPER(TEXT(Tabela_DB[[#This Row],[DATA]],"aaaa"))</f>
        <v>2022</v>
      </c>
    </row>
    <row r="5015" spans="1:8" x14ac:dyDescent="0.25">
      <c r="A5015" s="2">
        <v>44563</v>
      </c>
      <c r="B5015" t="s">
        <v>3</v>
      </c>
      <c r="C5015">
        <v>11463</v>
      </c>
      <c r="D5015" t="str">
        <f>VLOOKUP(B5015,Tabela_Auxiliar[],2,0)</f>
        <v>1. Receita Operacional Bruta</v>
      </c>
      <c r="E5015" t="str">
        <f>VLOOKUP(B5015,Tabela_Auxiliar[],4,0)</f>
        <v>Receita Bruta</v>
      </c>
      <c r="F5015" t="str">
        <f>VLOOKUP(B5015,Tabela_Auxiliar[],3,0)</f>
        <v>Entrada</v>
      </c>
      <c r="G5015" t="str">
        <f>UPPER(TEXT(Tabela_DB[[#This Row],[DATA]],"mmm"))</f>
        <v>JAN</v>
      </c>
      <c r="H5015" t="str">
        <f>UPPER(TEXT(Tabela_DB[[#This Row],[DATA]],"aaaa"))</f>
        <v>2022</v>
      </c>
    </row>
    <row r="5016" spans="1:8" x14ac:dyDescent="0.25">
      <c r="A5016" s="2">
        <v>44564</v>
      </c>
      <c r="B5016" t="s">
        <v>3</v>
      </c>
      <c r="C5016">
        <v>15000</v>
      </c>
      <c r="D5016" s="3" t="str">
        <f>VLOOKUP(B5016,Tabela_Auxiliar[],2,0)</f>
        <v>1. Receita Operacional Bruta</v>
      </c>
      <c r="E5016" s="3" t="str">
        <f>VLOOKUP(B5016,Tabela_Auxiliar[],4,0)</f>
        <v>Receita Bruta</v>
      </c>
      <c r="F5016" s="3" t="str">
        <f>VLOOKUP(B5016,Tabela_Auxiliar[],3,0)</f>
        <v>Entrada</v>
      </c>
      <c r="G5016" t="str">
        <f>UPPER(TEXT(Tabela_DB[[#This Row],[DATA]],"mmm"))</f>
        <v>JAN</v>
      </c>
      <c r="H5016" t="str">
        <f>UPPER(TEXT(Tabela_DB[[#This Row],[DATA]],"aaaa"))</f>
        <v>2022</v>
      </c>
    </row>
  </sheetData>
  <pageMargins left="0.511811024" right="0.511811024" top="0.78740157499999996" bottom="0.78740157499999996" header="0.31496062000000002" footer="0.31496062000000002"/>
  <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785BDF-FDA3-4428-BA94-C01C32EB3A53}">
  <sheetPr codeName="Planilha7"/>
  <dimension ref="A1:AS82"/>
  <sheetViews>
    <sheetView zoomScale="85" zoomScaleNormal="85" workbookViewId="0">
      <selection activeCell="F66" sqref="F66"/>
    </sheetView>
  </sheetViews>
  <sheetFormatPr defaultRowHeight="15" x14ac:dyDescent="0.25"/>
  <cols>
    <col min="1" max="1" width="30.7109375" bestFit="1" customWidth="1"/>
    <col min="3" max="3" width="44.85546875" hidden="1" customWidth="1"/>
    <col min="4" max="4" width="18.7109375" hidden="1" customWidth="1"/>
    <col min="5" max="5" width="9.140625" style="49"/>
    <col min="6" max="6" width="44.85546875" customWidth="1"/>
    <col min="7" max="7" width="22.140625" style="14" bestFit="1" customWidth="1"/>
    <col min="8" max="8" width="9.140625" style="48"/>
    <col min="10" max="10" width="19.42578125" bestFit="1" customWidth="1"/>
    <col min="11" max="11" width="15.42578125" bestFit="1" customWidth="1"/>
    <col min="12" max="12" width="9.140625" style="49"/>
    <col min="13" max="13" width="28" bestFit="1" customWidth="1"/>
    <col min="14" max="14" width="9.140625" style="48"/>
    <col min="15" max="15" width="9.140625" style="47"/>
    <col min="16" max="16" width="40.7109375" bestFit="1" customWidth="1"/>
    <col min="17" max="17" width="15.42578125" bestFit="1" customWidth="1"/>
    <col min="19" max="19" width="27.7109375" style="14" bestFit="1" customWidth="1"/>
    <col min="21" max="21" width="9.140625" style="49"/>
    <col min="22" max="22" width="28.140625" bestFit="1" customWidth="1"/>
    <col min="23" max="23" width="21.7109375" bestFit="1" customWidth="1"/>
    <col min="24" max="24" width="21.7109375" customWidth="1"/>
    <col min="25" max="25" width="18.5703125" customWidth="1"/>
    <col min="26" max="26" width="21.7109375" customWidth="1"/>
    <col min="27" max="27" width="11.28515625" customWidth="1"/>
    <col min="28" max="28" width="11.140625" style="49" customWidth="1"/>
    <col min="29" max="29" width="20.28515625" bestFit="1" customWidth="1"/>
    <col min="30" max="30" width="16.42578125" bestFit="1" customWidth="1"/>
    <col min="31" max="31" width="16.42578125" customWidth="1"/>
    <col min="32" max="32" width="19.140625" bestFit="1" customWidth="1"/>
    <col min="33" max="33" width="11" bestFit="1" customWidth="1"/>
    <col min="34" max="34" width="17.28515625" style="48" customWidth="1"/>
    <col min="35" max="35" width="16.7109375" customWidth="1"/>
    <col min="36" max="36" width="27.85546875" bestFit="1" customWidth="1"/>
    <col min="37" max="37" width="15.42578125" bestFit="1" customWidth="1"/>
    <col min="38" max="38" width="8.5703125" style="48" bestFit="1" customWidth="1"/>
    <col min="39" max="39" width="10" style="49" customWidth="1"/>
    <col min="40" max="40" width="19.42578125" bestFit="1" customWidth="1"/>
    <col min="41" max="41" width="15.42578125" bestFit="1" customWidth="1"/>
    <col min="42" max="42" width="8.5703125" bestFit="1" customWidth="1"/>
    <col min="43" max="43" width="20" customWidth="1"/>
    <col min="44" max="44" width="16.85546875" bestFit="1" customWidth="1"/>
    <col min="45" max="45" width="15.5703125" customWidth="1"/>
    <col min="46" max="46" width="20.5703125" bestFit="1" customWidth="1"/>
    <col min="47" max="47" width="22.28515625" bestFit="1" customWidth="1"/>
    <col min="48" max="48" width="18.85546875" bestFit="1" customWidth="1"/>
    <col min="49" max="49" width="8.85546875" customWidth="1"/>
    <col min="50" max="50" width="18.7109375" customWidth="1"/>
    <col min="51" max="51" width="14.28515625" bestFit="1" customWidth="1"/>
    <col min="52" max="52" width="28.140625" bestFit="1" customWidth="1"/>
    <col min="53" max="53" width="36.7109375" bestFit="1" customWidth="1"/>
    <col min="54" max="54" width="17.42578125" bestFit="1" customWidth="1"/>
    <col min="55" max="55" width="18.85546875" bestFit="1" customWidth="1"/>
    <col min="56" max="56" width="9.7109375" bestFit="1" customWidth="1"/>
    <col min="57" max="57" width="29.140625" bestFit="1" customWidth="1"/>
    <col min="58" max="58" width="28.28515625" bestFit="1" customWidth="1"/>
    <col min="59" max="59" width="11.5703125" bestFit="1" customWidth="1"/>
    <col min="60" max="60" width="34.5703125" bestFit="1" customWidth="1"/>
    <col min="61" max="61" width="25" bestFit="1" customWidth="1"/>
    <col min="62" max="62" width="31.140625" bestFit="1" customWidth="1"/>
    <col min="63" max="63" width="27.140625" bestFit="1" customWidth="1"/>
    <col min="64" max="64" width="17.28515625" bestFit="1" customWidth="1"/>
    <col min="65" max="65" width="19.28515625" bestFit="1" customWidth="1"/>
    <col min="66" max="66" width="22" bestFit="1" customWidth="1"/>
    <col min="67" max="67" width="19.7109375" bestFit="1" customWidth="1"/>
    <col min="68" max="68" width="15.85546875" bestFit="1" customWidth="1"/>
    <col min="69" max="69" width="37.140625" bestFit="1" customWidth="1"/>
    <col min="70" max="70" width="16.42578125" bestFit="1" customWidth="1"/>
    <col min="71" max="71" width="11.5703125" bestFit="1" customWidth="1"/>
    <col min="72" max="371" width="12.140625" bestFit="1" customWidth="1"/>
    <col min="372" max="372" width="11.5703125" bestFit="1" customWidth="1"/>
  </cols>
  <sheetData>
    <row r="1" spans="1:45" ht="45" customHeight="1" x14ac:dyDescent="0.25">
      <c r="P1" s="67" t="s">
        <v>152</v>
      </c>
      <c r="Q1" s="67"/>
      <c r="R1" s="67"/>
      <c r="S1" s="67"/>
      <c r="V1" t="s">
        <v>132</v>
      </c>
    </row>
    <row r="2" spans="1:45" x14ac:dyDescent="0.25">
      <c r="C2" t="s">
        <v>23</v>
      </c>
      <c r="P2" s="15" t="s">
        <v>23</v>
      </c>
    </row>
    <row r="3" spans="1:45" x14ac:dyDescent="0.25">
      <c r="A3" t="s">
        <v>14</v>
      </c>
      <c r="C3" s="32" t="s">
        <v>19</v>
      </c>
      <c r="F3" s="56" t="s">
        <v>1</v>
      </c>
      <c r="G3" s="57" t="s">
        <v>22</v>
      </c>
      <c r="P3" s="19" t="s">
        <v>19</v>
      </c>
      <c r="Q3" s="20" t="s">
        <v>21</v>
      </c>
      <c r="S3" s="16" t="s">
        <v>151</v>
      </c>
      <c r="V3" s="19" t="s">
        <v>19</v>
      </c>
      <c r="W3" s="20" t="s">
        <v>21</v>
      </c>
      <c r="Y3" s="15" t="s">
        <v>153</v>
      </c>
      <c r="Z3" s="15"/>
      <c r="AC3" s="19" t="s">
        <v>19</v>
      </c>
      <c r="AD3" s="20" t="s">
        <v>21</v>
      </c>
      <c r="AE3" s="47"/>
      <c r="AF3" t="s">
        <v>134</v>
      </c>
      <c r="AJ3" s="19" t="s">
        <v>19</v>
      </c>
      <c r="AK3" s="20" t="s">
        <v>21</v>
      </c>
      <c r="AN3" s="68" t="s">
        <v>155</v>
      </c>
      <c r="AO3" s="68"/>
      <c r="AP3" s="68"/>
      <c r="AQ3" s="68"/>
      <c r="AR3" s="68"/>
      <c r="AS3" s="68"/>
    </row>
    <row r="4" spans="1:45" x14ac:dyDescent="0.25">
      <c r="A4" t="s">
        <v>15</v>
      </c>
      <c r="C4" s="33" t="s">
        <v>149</v>
      </c>
      <c r="F4" s="50" t="s">
        <v>149</v>
      </c>
      <c r="G4" s="51">
        <f>SUMIF(Tabela_DB[CATEGORIA],Apoio!F4,Tabela_DB[VALOR])</f>
        <v>14163044</v>
      </c>
      <c r="J4" s="15" t="s">
        <v>25</v>
      </c>
      <c r="M4" s="15" t="s">
        <v>26</v>
      </c>
      <c r="P4" s="21" t="s">
        <v>149</v>
      </c>
      <c r="Q4" s="22">
        <v>14136581</v>
      </c>
      <c r="S4" s="14">
        <f>Q4</f>
        <v>14136581</v>
      </c>
      <c r="V4" s="21" t="s">
        <v>114</v>
      </c>
      <c r="W4" s="22">
        <v>-2214635</v>
      </c>
      <c r="Y4" t="str">
        <f>V4</f>
        <v>Imposto</v>
      </c>
      <c r="Z4">
        <f>-W4</f>
        <v>2214635</v>
      </c>
      <c r="AC4" s="21" t="s">
        <v>6</v>
      </c>
      <c r="AD4" s="29">
        <v>14136581</v>
      </c>
      <c r="AE4" s="60"/>
      <c r="AF4" t="s">
        <v>126</v>
      </c>
      <c r="AG4" t="s">
        <v>125</v>
      </c>
      <c r="AJ4" s="21" t="s">
        <v>149</v>
      </c>
      <c r="AK4" s="22">
        <v>14136581</v>
      </c>
      <c r="AN4" s="68"/>
      <c r="AO4" s="68"/>
      <c r="AP4" s="68"/>
      <c r="AQ4" s="68"/>
      <c r="AR4" s="68"/>
      <c r="AS4" s="68"/>
    </row>
    <row r="5" spans="1:45" x14ac:dyDescent="0.25">
      <c r="A5" t="s">
        <v>16</v>
      </c>
      <c r="C5" s="34" t="s">
        <v>39</v>
      </c>
      <c r="F5" s="50" t="s">
        <v>39</v>
      </c>
      <c r="G5" s="51">
        <f>SUMIF(Tabela_DB[CATEGORIA],Apoio!F5,Tabela_DB[VALOR])</f>
        <v>-3001510</v>
      </c>
      <c r="J5" s="19" t="s">
        <v>19</v>
      </c>
      <c r="K5" s="20" t="s">
        <v>21</v>
      </c>
      <c r="P5" s="23" t="s">
        <v>39</v>
      </c>
      <c r="Q5" s="24">
        <v>-3001510</v>
      </c>
      <c r="S5" s="16" t="s">
        <v>121</v>
      </c>
      <c r="V5" s="23" t="s">
        <v>123</v>
      </c>
      <c r="W5" s="24">
        <v>-1854999</v>
      </c>
      <c r="Y5" t="str">
        <f t="shared" ref="Y5:Y8" si="0">V5</f>
        <v>Despesas c/ Produto</v>
      </c>
      <c r="Z5">
        <f t="shared" ref="Z5:Z7" si="1">-W5</f>
        <v>1854999</v>
      </c>
      <c r="AC5" s="63" t="s">
        <v>127</v>
      </c>
      <c r="AD5" s="64">
        <v>4404855</v>
      </c>
      <c r="AE5" s="60"/>
      <c r="AF5" t="s">
        <v>127</v>
      </c>
      <c r="AG5">
        <f>VLOOKUP(AF5,$AC$5:$AD$8,2,0)</f>
        <v>4404855</v>
      </c>
      <c r="AJ5" s="23" t="s">
        <v>39</v>
      </c>
      <c r="AK5" s="24">
        <v>-3001510</v>
      </c>
      <c r="AQ5" t="s">
        <v>136</v>
      </c>
    </row>
    <row r="6" spans="1:45" x14ac:dyDescent="0.25">
      <c r="A6" t="s">
        <v>17</v>
      </c>
      <c r="C6" s="34" t="s">
        <v>165</v>
      </c>
      <c r="F6" s="50" t="s">
        <v>165</v>
      </c>
      <c r="G6" s="51">
        <f>SUMIF(Tabela_DB[CATEGORIA],Apoio!F6,Tabela_DB[VALOR])</f>
        <v>-1854999</v>
      </c>
      <c r="J6" s="21" t="s">
        <v>6</v>
      </c>
      <c r="K6" s="22">
        <v>14163044</v>
      </c>
      <c r="M6" s="14">
        <f>K6</f>
        <v>14163044</v>
      </c>
      <c r="P6" s="23" t="s">
        <v>165</v>
      </c>
      <c r="Q6" s="24">
        <v>-1854999</v>
      </c>
      <c r="S6" s="14">
        <f>-(Q7)</f>
        <v>2712404</v>
      </c>
      <c r="V6" s="23" t="s">
        <v>92</v>
      </c>
      <c r="W6" s="24">
        <v>-991869</v>
      </c>
      <c r="Y6" t="str">
        <f t="shared" si="0"/>
        <v>Despesa com Pessoal</v>
      </c>
      <c r="Z6">
        <f>-W6</f>
        <v>991869</v>
      </c>
      <c r="AC6" s="63" t="s">
        <v>128</v>
      </c>
      <c r="AD6" s="64">
        <v>3917565</v>
      </c>
      <c r="AE6" s="60"/>
      <c r="AF6" t="s">
        <v>128</v>
      </c>
      <c r="AG6">
        <f t="shared" ref="AG6:AG8" si="2">VLOOKUP(AF6,$AC$5:$AD$8,2,0)</f>
        <v>3917565</v>
      </c>
      <c r="AJ6" s="23" t="s">
        <v>170</v>
      </c>
      <c r="AK6" s="24">
        <v>-1854999</v>
      </c>
      <c r="AN6" s="19" t="s">
        <v>19</v>
      </c>
      <c r="AO6" s="20" t="s">
        <v>21</v>
      </c>
      <c r="AQ6" t="s">
        <v>137</v>
      </c>
      <c r="AR6" t="s">
        <v>138</v>
      </c>
      <c r="AS6" t="s">
        <v>139</v>
      </c>
    </row>
    <row r="7" spans="1:45" x14ac:dyDescent="0.25">
      <c r="A7" t="s">
        <v>18</v>
      </c>
      <c r="C7" s="34" t="s">
        <v>166</v>
      </c>
      <c r="F7" s="50" t="s">
        <v>166</v>
      </c>
      <c r="G7" s="51">
        <f>SUMIF(Tabela_DB[CATEGORIA],Apoio!F7,Tabela_DB[VALOR])</f>
        <v>-2714281</v>
      </c>
      <c r="J7" s="27" t="s">
        <v>7</v>
      </c>
      <c r="K7" s="28">
        <v>-7235595</v>
      </c>
      <c r="P7" s="23" t="s">
        <v>166</v>
      </c>
      <c r="Q7" s="24">
        <v>-2712404</v>
      </c>
      <c r="V7" s="23" t="s">
        <v>117</v>
      </c>
      <c r="W7" s="24">
        <v>-786875</v>
      </c>
      <c r="Y7" t="str">
        <f t="shared" si="0"/>
        <v>Deduções</v>
      </c>
      <c r="Z7">
        <f t="shared" si="1"/>
        <v>786875</v>
      </c>
      <c r="AC7" s="63" t="s">
        <v>129</v>
      </c>
      <c r="AD7" s="64">
        <v>4091933</v>
      </c>
      <c r="AE7" s="60"/>
      <c r="AF7" t="s">
        <v>129</v>
      </c>
      <c r="AG7">
        <f t="shared" si="2"/>
        <v>4091933</v>
      </c>
      <c r="AJ7" s="23" t="s">
        <v>166</v>
      </c>
      <c r="AK7" s="24">
        <v>-2712404</v>
      </c>
      <c r="AN7" s="21" t="s">
        <v>149</v>
      </c>
      <c r="AO7" s="22">
        <v>14136581</v>
      </c>
      <c r="AQ7" t="s">
        <v>142</v>
      </c>
      <c r="AR7">
        <f>$AR$12*AS7</f>
        <v>7200000</v>
      </c>
      <c r="AS7">
        <v>0.3</v>
      </c>
    </row>
    <row r="8" spans="1:45" x14ac:dyDescent="0.25">
      <c r="C8" s="34" t="s">
        <v>168</v>
      </c>
      <c r="F8" s="50" t="s">
        <v>168</v>
      </c>
      <c r="G8" s="51">
        <f>SUMIF(Tabela_DB[CATEGORIA],Apoio!F8,Tabela_DB[VALOR])</f>
        <v>404613</v>
      </c>
      <c r="P8" s="23" t="s">
        <v>168</v>
      </c>
      <c r="Q8" s="24">
        <v>404613</v>
      </c>
      <c r="S8" s="16" t="s">
        <v>133</v>
      </c>
      <c r="V8" s="27" t="s">
        <v>97</v>
      </c>
      <c r="W8" s="28">
        <v>-384434</v>
      </c>
      <c r="Y8" t="str">
        <f t="shared" si="0"/>
        <v>Serviços Contratados</v>
      </c>
      <c r="Z8">
        <f>-W8</f>
        <v>384434</v>
      </c>
      <c r="AC8" s="30" t="s">
        <v>130</v>
      </c>
      <c r="AD8" s="31">
        <v>1722228</v>
      </c>
      <c r="AE8" s="60"/>
      <c r="AF8" t="s">
        <v>130</v>
      </c>
      <c r="AG8">
        <f t="shared" si="2"/>
        <v>1722228</v>
      </c>
      <c r="AJ8" s="23" t="s">
        <v>168</v>
      </c>
      <c r="AK8" s="24">
        <v>404613</v>
      </c>
      <c r="AN8" s="23" t="s">
        <v>39</v>
      </c>
      <c r="AO8" s="24">
        <v>-3001510</v>
      </c>
      <c r="AQ8" t="s">
        <v>141</v>
      </c>
      <c r="AR8">
        <f>$AR$12*AS8</f>
        <v>4800000</v>
      </c>
      <c r="AS8">
        <v>0.2</v>
      </c>
    </row>
    <row r="9" spans="1:45" x14ac:dyDescent="0.25">
      <c r="C9" s="34" t="s">
        <v>167</v>
      </c>
      <c r="F9" s="52" t="s">
        <v>167</v>
      </c>
      <c r="G9" s="53">
        <f>SUMIF(Tabela_DB[CATEGORIA],Apoio!F9,Tabela_DB[VALOR])</f>
        <v>-69418</v>
      </c>
      <c r="P9" s="23" t="s">
        <v>167</v>
      </c>
      <c r="Q9" s="24">
        <v>-69418</v>
      </c>
      <c r="S9" s="14">
        <f>-(Q5+Q6+Q8+Q9+Q10)</f>
        <v>-2381549</v>
      </c>
      <c r="AJ9" s="27" t="s">
        <v>171</v>
      </c>
      <c r="AK9" s="28">
        <v>-69418</v>
      </c>
      <c r="AN9" s="23" t="s">
        <v>165</v>
      </c>
      <c r="AO9" s="24">
        <v>-1854999</v>
      </c>
      <c r="AQ9" t="s">
        <v>143</v>
      </c>
      <c r="AR9">
        <f>$AR$12*AS9</f>
        <v>4800000</v>
      </c>
      <c r="AS9">
        <f>0.2</f>
        <v>0.2</v>
      </c>
    </row>
    <row r="10" spans="1:45" x14ac:dyDescent="0.25">
      <c r="C10" s="36" t="s">
        <v>20</v>
      </c>
      <c r="P10" s="25" t="s">
        <v>20</v>
      </c>
      <c r="Q10" s="26">
        <v>6902863</v>
      </c>
      <c r="S10" s="16" t="s">
        <v>122</v>
      </c>
      <c r="AN10" s="23" t="s">
        <v>166</v>
      </c>
      <c r="AO10" s="24">
        <v>-2712404</v>
      </c>
      <c r="AQ10" t="s">
        <v>144</v>
      </c>
      <c r="AR10">
        <f>$AR$12*AS10</f>
        <v>3600000</v>
      </c>
      <c r="AS10">
        <f t="shared" ref="AS10" si="3">0.15</f>
        <v>0.15</v>
      </c>
    </row>
    <row r="11" spans="1:45" x14ac:dyDescent="0.25">
      <c r="S11" s="14">
        <f>Q10</f>
        <v>6902863</v>
      </c>
      <c r="AN11" s="23" t="s">
        <v>168</v>
      </c>
      <c r="AO11" s="24">
        <v>404613</v>
      </c>
      <c r="AQ11" t="s">
        <v>145</v>
      </c>
      <c r="AR11">
        <f>$AR$12*AS11</f>
        <v>3600000</v>
      </c>
      <c r="AS11">
        <v>0.15</v>
      </c>
    </row>
    <row r="12" spans="1:45" ht="26.25" x14ac:dyDescent="0.4">
      <c r="AF12" s="61" t="s">
        <v>154</v>
      </c>
      <c r="AG12" s="15"/>
      <c r="AN12" s="27" t="s">
        <v>167</v>
      </c>
      <c r="AO12" s="28">
        <v>-69418</v>
      </c>
      <c r="AQ12" t="s">
        <v>140</v>
      </c>
      <c r="AR12">
        <f>IF(AQ16=12,24000000,2000000*AQ16)</f>
        <v>24000000</v>
      </c>
      <c r="AS12">
        <f>SUM(AS7:AS11)</f>
        <v>1</v>
      </c>
    </row>
    <row r="13" spans="1:45" x14ac:dyDescent="0.25">
      <c r="AC13" s="19" t="s">
        <v>19</v>
      </c>
      <c r="AD13" s="20" t="s">
        <v>21</v>
      </c>
    </row>
    <row r="14" spans="1:45" x14ac:dyDescent="0.25">
      <c r="F14" s="54" t="s">
        <v>24</v>
      </c>
      <c r="G14" s="55"/>
      <c r="AC14" s="21" t="s">
        <v>7</v>
      </c>
      <c r="AD14" s="29">
        <v>-7233718</v>
      </c>
      <c r="AF14" t="s">
        <v>126</v>
      </c>
      <c r="AG14" t="s">
        <v>131</v>
      </c>
    </row>
    <row r="15" spans="1:45" ht="24" customHeight="1" x14ac:dyDescent="0.25">
      <c r="F15" s="58" t="s">
        <v>150</v>
      </c>
      <c r="G15" s="59">
        <f>$G$4</f>
        <v>14163044</v>
      </c>
      <c r="AC15" s="63" t="s">
        <v>127</v>
      </c>
      <c r="AD15" s="64">
        <v>-2243607</v>
      </c>
      <c r="AF15" t="s">
        <v>127</v>
      </c>
      <c r="AG15">
        <f>-VLOOKUP(AF5,$AC$15:$AD$18,2,0)</f>
        <v>2243607</v>
      </c>
      <c r="AQ15" t="s">
        <v>147</v>
      </c>
    </row>
    <row r="16" spans="1:45" ht="21" customHeight="1" x14ac:dyDescent="0.4">
      <c r="F16" s="58" t="s">
        <v>116</v>
      </c>
      <c r="G16" s="59">
        <f>$G$4+(+$G$5)</f>
        <v>11161534</v>
      </c>
      <c r="AC16" s="63" t="s">
        <v>128</v>
      </c>
      <c r="AD16" s="64">
        <v>-2027703</v>
      </c>
      <c r="AF16" t="s">
        <v>128</v>
      </c>
      <c r="AG16">
        <f>-VLOOKUP(AF6,$AC$15:$AD$18,2,0)</f>
        <v>2027703</v>
      </c>
      <c r="AJ16" s="61" t="s">
        <v>135</v>
      </c>
      <c r="AK16" s="15"/>
      <c r="AQ16">
        <f>COUNTA(AN20:AN31)</f>
        <v>12</v>
      </c>
    </row>
    <row r="17" spans="6:44" x14ac:dyDescent="0.25">
      <c r="F17" s="58" t="s">
        <v>118</v>
      </c>
      <c r="G17" s="59">
        <f>$G$16+$G$6</f>
        <v>9306535</v>
      </c>
      <c r="AC17" s="63" t="s">
        <v>129</v>
      </c>
      <c r="AD17" s="64">
        <v>-2105999</v>
      </c>
      <c r="AF17" t="s">
        <v>129</v>
      </c>
      <c r="AG17">
        <f>-VLOOKUP(AF7,$AC$15:$AD$18,2,0)</f>
        <v>2105999</v>
      </c>
      <c r="AN17" s="18"/>
    </row>
    <row r="18" spans="6:44" x14ac:dyDescent="0.25">
      <c r="F18" s="58" t="s">
        <v>119</v>
      </c>
      <c r="G18" s="59">
        <f>$G$17+$G$7</f>
        <v>6592254</v>
      </c>
      <c r="AC18" s="30" t="s">
        <v>130</v>
      </c>
      <c r="AD18" s="31">
        <v>-856409</v>
      </c>
      <c r="AF18" t="s">
        <v>130</v>
      </c>
      <c r="AG18">
        <f>-VLOOKUP(AF8,$AC$15:$AD$18,2,0)</f>
        <v>856409</v>
      </c>
      <c r="AJ18" t="str">
        <f t="shared" ref="AJ18:AJ24" si="4">AJ4</f>
        <v>1. Receita Operacional Bruta</v>
      </c>
      <c r="AK18">
        <f t="shared" ref="AK18:AK24" si="5">AK4/$AK$4</f>
        <v>1</v>
      </c>
    </row>
    <row r="19" spans="6:44" x14ac:dyDescent="0.25">
      <c r="F19" s="58" t="s">
        <v>120</v>
      </c>
      <c r="G19" s="59">
        <f>$G$18+$G$8+$G$9</f>
        <v>6927449</v>
      </c>
      <c r="AJ19" t="str">
        <f t="shared" si="4"/>
        <v>2. Deduções da Receita</v>
      </c>
      <c r="AK19">
        <f>AK5/$AK$4</f>
        <v>-0.21232220152807812</v>
      </c>
      <c r="AN19" s="32" t="s">
        <v>19</v>
      </c>
      <c r="AQ19" t="s">
        <v>124</v>
      </c>
      <c r="AR19" s="62">
        <f>Q4</f>
        <v>14136581</v>
      </c>
    </row>
    <row r="20" spans="6:44" x14ac:dyDescent="0.25">
      <c r="G20" s="46">
        <f>$G$19/$G$15</f>
        <v>0.48912147699322267</v>
      </c>
      <c r="AJ20" t="str">
        <f t="shared" si="4"/>
        <v>3. Custos com P/M/S</v>
      </c>
      <c r="AK20">
        <f>AK6/$AK$4</f>
        <v>-0.131219776549931</v>
      </c>
      <c r="AN20" s="33" t="s">
        <v>156</v>
      </c>
      <c r="AQ20" t="s">
        <v>146</v>
      </c>
      <c r="AR20">
        <f>0.008*AR12</f>
        <v>192000</v>
      </c>
    </row>
    <row r="21" spans="6:44" x14ac:dyDescent="0.25">
      <c r="AJ21" t="str">
        <f t="shared" si="4"/>
        <v>4. Despesas Operacionais</v>
      </c>
      <c r="AK21">
        <f t="shared" si="5"/>
        <v>-0.1918712876897179</v>
      </c>
      <c r="AN21" s="34" t="s">
        <v>157</v>
      </c>
      <c r="AQ21" t="s">
        <v>148</v>
      </c>
      <c r="AR21">
        <f>AR12</f>
        <v>24000000</v>
      </c>
    </row>
    <row r="22" spans="6:44" x14ac:dyDescent="0.25">
      <c r="AJ22" t="str">
        <f t="shared" si="4"/>
        <v>5. Resultado Financeiro</v>
      </c>
      <c r="AK22">
        <f t="shared" si="5"/>
        <v>2.8621701385929173E-2</v>
      </c>
      <c r="AN22" s="34" t="s">
        <v>158</v>
      </c>
    </row>
    <row r="23" spans="6:44" x14ac:dyDescent="0.25">
      <c r="AJ23" t="str">
        <f t="shared" si="4"/>
        <v>6. Resultado após RF</v>
      </c>
      <c r="AK23">
        <f t="shared" si="5"/>
        <v>-4.9105225655340567E-3</v>
      </c>
      <c r="AN23" s="34" t="s">
        <v>28</v>
      </c>
    </row>
    <row r="24" spans="6:44" x14ac:dyDescent="0.25">
      <c r="AJ24">
        <f t="shared" si="4"/>
        <v>0</v>
      </c>
      <c r="AK24">
        <f>AK10/$AK$4</f>
        <v>0</v>
      </c>
      <c r="AN24" s="34" t="s">
        <v>29</v>
      </c>
    </row>
    <row r="25" spans="6:44" x14ac:dyDescent="0.25">
      <c r="AJ25" t="s">
        <v>169</v>
      </c>
      <c r="AK25">
        <f>SUM(AK18:AK24)</f>
        <v>0.48829791305266812</v>
      </c>
      <c r="AN25" s="34" t="s">
        <v>30</v>
      </c>
    </row>
    <row r="26" spans="6:44" x14ac:dyDescent="0.25">
      <c r="AN26" s="34" t="s">
        <v>159</v>
      </c>
    </row>
    <row r="27" spans="6:44" x14ac:dyDescent="0.25">
      <c r="AN27" s="34" t="s">
        <v>160</v>
      </c>
    </row>
    <row r="28" spans="6:44" x14ac:dyDescent="0.25">
      <c r="AN28" s="34" t="s">
        <v>161</v>
      </c>
    </row>
    <row r="29" spans="6:44" x14ac:dyDescent="0.25">
      <c r="AN29" s="34" t="s">
        <v>162</v>
      </c>
    </row>
    <row r="30" spans="6:44" x14ac:dyDescent="0.25">
      <c r="AN30" s="34" t="s">
        <v>163</v>
      </c>
    </row>
    <row r="31" spans="6:44" x14ac:dyDescent="0.25">
      <c r="AN31" s="35" t="s">
        <v>164</v>
      </c>
    </row>
    <row r="34" spans="29:37" x14ac:dyDescent="0.25">
      <c r="AI34" s="37"/>
      <c r="AJ34" s="38"/>
      <c r="AK34" s="39"/>
    </row>
    <row r="35" spans="29:37" x14ac:dyDescent="0.25">
      <c r="AC35" s="37"/>
      <c r="AD35" s="38"/>
      <c r="AE35" s="39"/>
      <c r="AI35" s="40"/>
      <c r="AJ35" s="41"/>
      <c r="AK35" s="42"/>
    </row>
    <row r="36" spans="29:37" x14ac:dyDescent="0.25">
      <c r="AC36" s="40"/>
      <c r="AD36" s="41"/>
      <c r="AE36" s="42"/>
      <c r="AI36" s="40"/>
      <c r="AJ36" s="41"/>
      <c r="AK36" s="42"/>
    </row>
    <row r="37" spans="29:37" x14ac:dyDescent="0.25">
      <c r="AC37" s="40"/>
      <c r="AD37" s="41"/>
      <c r="AE37" s="42"/>
      <c r="AI37" s="40"/>
      <c r="AJ37" s="41"/>
      <c r="AK37" s="42"/>
    </row>
    <row r="38" spans="29:37" x14ac:dyDescent="0.25">
      <c r="AC38" s="40"/>
      <c r="AD38" s="41"/>
      <c r="AE38" s="42"/>
      <c r="AI38" s="40"/>
      <c r="AJ38" s="41"/>
      <c r="AK38" s="42"/>
    </row>
    <row r="39" spans="29:37" x14ac:dyDescent="0.25">
      <c r="AC39" s="40"/>
      <c r="AD39" s="41"/>
      <c r="AE39" s="42"/>
      <c r="AI39" s="40"/>
      <c r="AJ39" s="41"/>
      <c r="AK39" s="42"/>
    </row>
    <row r="40" spans="29:37" x14ac:dyDescent="0.25">
      <c r="AC40" s="40"/>
      <c r="AD40" s="41"/>
      <c r="AE40" s="42"/>
      <c r="AI40" s="40"/>
      <c r="AJ40" s="41"/>
      <c r="AK40" s="42"/>
    </row>
    <row r="41" spans="29:37" x14ac:dyDescent="0.25">
      <c r="AC41" s="40"/>
      <c r="AD41" s="41"/>
      <c r="AE41" s="42"/>
      <c r="AI41" s="40"/>
      <c r="AJ41" s="41"/>
      <c r="AK41" s="42"/>
    </row>
    <row r="42" spans="29:37" x14ac:dyDescent="0.25">
      <c r="AC42" s="40"/>
      <c r="AD42" s="41"/>
      <c r="AE42" s="42"/>
      <c r="AI42" s="40"/>
      <c r="AJ42" s="41"/>
      <c r="AK42" s="42"/>
    </row>
    <row r="43" spans="29:37" x14ac:dyDescent="0.25">
      <c r="AC43" s="40"/>
      <c r="AD43" s="41"/>
      <c r="AE43" s="42"/>
      <c r="AI43" s="40"/>
      <c r="AJ43" s="41"/>
      <c r="AK43" s="42"/>
    </row>
    <row r="44" spans="29:37" x14ac:dyDescent="0.25">
      <c r="AC44" s="40"/>
      <c r="AD44" s="41"/>
      <c r="AE44" s="42"/>
      <c r="AI44" s="40"/>
      <c r="AJ44" s="41"/>
      <c r="AK44" s="42"/>
    </row>
    <row r="45" spans="29:37" x14ac:dyDescent="0.25">
      <c r="AC45" s="40"/>
      <c r="AD45" s="41"/>
      <c r="AE45" s="42"/>
      <c r="AI45" s="40"/>
      <c r="AJ45" s="41"/>
      <c r="AK45" s="42"/>
    </row>
    <row r="46" spans="29:37" x14ac:dyDescent="0.25">
      <c r="AC46" s="40"/>
      <c r="AD46" s="41"/>
      <c r="AE46" s="42"/>
      <c r="AI46" s="40"/>
      <c r="AJ46" s="41"/>
      <c r="AK46" s="42"/>
    </row>
    <row r="47" spans="29:37" x14ac:dyDescent="0.25">
      <c r="AC47" s="40"/>
      <c r="AD47" s="41"/>
      <c r="AE47" s="42"/>
      <c r="AI47" s="40"/>
      <c r="AJ47" s="41"/>
      <c r="AK47" s="42"/>
    </row>
    <row r="48" spans="29:37" x14ac:dyDescent="0.25">
      <c r="AC48" s="40"/>
      <c r="AD48" s="41"/>
      <c r="AE48" s="42"/>
      <c r="AI48" s="40"/>
      <c r="AJ48" s="41"/>
      <c r="AK48" s="42"/>
    </row>
    <row r="49" spans="29:37" x14ac:dyDescent="0.25">
      <c r="AC49" s="40"/>
      <c r="AD49" s="41"/>
      <c r="AE49" s="42"/>
      <c r="AI49" s="40"/>
      <c r="AJ49" s="41"/>
      <c r="AK49" s="42"/>
    </row>
    <row r="50" spans="29:37" x14ac:dyDescent="0.25">
      <c r="AC50" s="40"/>
      <c r="AD50" s="41"/>
      <c r="AE50" s="42"/>
      <c r="AI50" s="40"/>
      <c r="AJ50" s="41"/>
      <c r="AK50" s="42"/>
    </row>
    <row r="51" spans="29:37" x14ac:dyDescent="0.25">
      <c r="AC51" s="40"/>
      <c r="AD51" s="41"/>
      <c r="AE51" s="42"/>
      <c r="AI51" s="43"/>
      <c r="AJ51" s="44"/>
      <c r="AK51" s="45"/>
    </row>
    <row r="52" spans="29:37" x14ac:dyDescent="0.25">
      <c r="AC52" s="43"/>
      <c r="AD52" s="44"/>
      <c r="AE52" s="45"/>
    </row>
    <row r="69" spans="5:7" x14ac:dyDescent="0.25">
      <c r="E69" s="70"/>
      <c r="F69" s="73" t="s">
        <v>24</v>
      </c>
      <c r="G69" s="72" t="s">
        <v>178</v>
      </c>
    </row>
    <row r="70" spans="5:7" ht="15.75" x14ac:dyDescent="0.25">
      <c r="E70" s="70" t="s">
        <v>172</v>
      </c>
      <c r="F70" s="69" t="s">
        <v>173</v>
      </c>
      <c r="G70" s="74">
        <f>$G$4</f>
        <v>14163044</v>
      </c>
    </row>
    <row r="71" spans="5:7" x14ac:dyDescent="0.25">
      <c r="E71" s="70"/>
      <c r="F71" s="58" t="s">
        <v>39</v>
      </c>
      <c r="G71" s="59">
        <f>SUMIF(Tabela_DB[CATEGORIA],Apoio!F71,Tabela_DB[VALOR])</f>
        <v>-3001510</v>
      </c>
    </row>
    <row r="72" spans="5:7" ht="15.75" x14ac:dyDescent="0.25">
      <c r="E72" s="70" t="s">
        <v>172</v>
      </c>
      <c r="F72" s="69" t="s">
        <v>174</v>
      </c>
      <c r="G72" s="74">
        <f>$G$4+$G$5</f>
        <v>11161534</v>
      </c>
    </row>
    <row r="73" spans="5:7" x14ac:dyDescent="0.25">
      <c r="E73" s="70"/>
      <c r="F73" s="50" t="s">
        <v>165</v>
      </c>
      <c r="G73" s="51">
        <f>SUMIF(Tabela_DB[CATEGORIA],Apoio!F73,Tabela_DB[VALOR])</f>
        <v>-1854999</v>
      </c>
    </row>
    <row r="74" spans="5:7" ht="15.75" x14ac:dyDescent="0.25">
      <c r="E74" s="70"/>
      <c r="F74" s="69" t="s">
        <v>175</v>
      </c>
      <c r="G74" s="74">
        <f>$G$16+$G$6</f>
        <v>9306535</v>
      </c>
    </row>
    <row r="75" spans="5:7" x14ac:dyDescent="0.25">
      <c r="E75" s="70"/>
      <c r="F75" s="50" t="s">
        <v>166</v>
      </c>
      <c r="G75" s="51">
        <f>SUMIF(Tabela_DB[CATEGORIA],Apoio!F75,Tabela_DB[VALOR])</f>
        <v>-2714281</v>
      </c>
    </row>
    <row r="76" spans="5:7" x14ac:dyDescent="0.25">
      <c r="E76" s="70"/>
      <c r="F76" s="50" t="s">
        <v>168</v>
      </c>
      <c r="G76" s="51">
        <f>SUMIF(Tabela_DB[CATEGORIA],Apoio!F76,Tabela_DB[VALOR])</f>
        <v>404613</v>
      </c>
    </row>
    <row r="77" spans="5:7" ht="15.75" x14ac:dyDescent="0.25">
      <c r="E77" s="70"/>
      <c r="F77" s="69" t="s">
        <v>176</v>
      </c>
      <c r="G77" s="74">
        <f>$G$17+$G$7</f>
        <v>6592254</v>
      </c>
    </row>
    <row r="78" spans="5:7" x14ac:dyDescent="0.25">
      <c r="E78" s="70"/>
      <c r="F78" s="58" t="s">
        <v>167</v>
      </c>
      <c r="G78" s="59">
        <f>SUMIF(Tabela_DB[CATEGORIA],Apoio!F78,Tabela_DB[VALOR])</f>
        <v>-69418</v>
      </c>
    </row>
    <row r="79" spans="5:7" ht="15.75" x14ac:dyDescent="0.25">
      <c r="E79" s="70"/>
      <c r="F79" s="71" t="s">
        <v>177</v>
      </c>
      <c r="G79" s="75">
        <f>$G$18+$G$8+$G$9</f>
        <v>6927449</v>
      </c>
    </row>
    <row r="80" spans="5:7" x14ac:dyDescent="0.25">
      <c r="E80" s="70"/>
      <c r="G80" s="14">
        <f>G79/G70</f>
        <v>0.48912147699322267</v>
      </c>
    </row>
    <row r="81" spans="5:5" x14ac:dyDescent="0.25">
      <c r="E81" s="70"/>
    </row>
    <row r="82" spans="5:5" x14ac:dyDescent="0.25">
      <c r="E82" s="70"/>
    </row>
  </sheetData>
  <dataConsolidate/>
  <mergeCells count="2">
    <mergeCell ref="P1:S1"/>
    <mergeCell ref="AN3:AS4"/>
  </mergeCells>
  <pageMargins left="0.511811024" right="0.511811024" top="0.78740157499999996" bottom="0.78740157499999996" header="0.31496062000000002" footer="0.31496062000000002"/>
  <pageSetup paperSize="9" orientation="portrait" r:id="rId12"/>
  <legacyDrawing r:id="rId13"/>
  <tableParts count="1">
    <tablePart r:id="rId1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A46C85-8F95-4CA5-8A24-C6DDD27D5A6D}">
  <dimension ref="A1:M8"/>
  <sheetViews>
    <sheetView workbookViewId="0"/>
  </sheetViews>
  <sheetFormatPr defaultRowHeight="15" x14ac:dyDescent="0.25"/>
  <sheetData>
    <row r="1" spans="1:13" x14ac:dyDescent="0.25">
      <c r="A1" t="e">
        <f>NA()</f>
        <v>#N/A</v>
      </c>
      <c r="B1" t="e">
        <f>NA()</f>
        <v>#N/A</v>
      </c>
      <c r="C1" s="17">
        <f>Apoio!AK18</f>
        <v>1</v>
      </c>
      <c r="D1" t="e">
        <f>NA()</f>
        <v>#N/A</v>
      </c>
      <c r="E1" t="e">
        <f>NA()</f>
        <v>#N/A</v>
      </c>
      <c r="F1" t="e">
        <f>NA()</f>
        <v>#N/A</v>
      </c>
      <c r="G1" t="e">
        <f>NA()</f>
        <v>#N/A</v>
      </c>
      <c r="H1" t="e">
        <f>NA()</f>
        <v>#N/A</v>
      </c>
      <c r="I1" t="e">
        <f>NA()</f>
        <v>#N/A</v>
      </c>
      <c r="J1" t="e">
        <f>NA()</f>
        <v>#N/A</v>
      </c>
      <c r="K1" t="e">
        <f>NA()</f>
        <v>#N/A</v>
      </c>
      <c r="L1" t="e">
        <f>NA()</f>
        <v>#N/A</v>
      </c>
      <c r="M1" t="e">
        <f>NA()</f>
        <v>#N/A</v>
      </c>
    </row>
    <row r="2" spans="1:13" x14ac:dyDescent="0.25">
      <c r="A2">
        <f>IF(Apoio!AK19&gt;0,SUM(Apoio!$AK$18:'Apoio'!AK18),SUM(Apoio!$AK$18:'Apoio'!AK19))</f>
        <v>0.78767779847192188</v>
      </c>
      <c r="B2">
        <f>IF(Apoio!AK19&lt;0,SUM(Apoio!$AK$18:'Apoio'!AK18),SUM(Apoio!$AK$18:'Apoio'!AK19))</f>
        <v>1</v>
      </c>
      <c r="D2">
        <f>IF(Kutools_Chart!A2&gt;0,Kutools_Chart!A2,0)</f>
        <v>0.78767779847192188</v>
      </c>
      <c r="E2">
        <f>IF(Kutools_Chart!B2&lt;0,Kutools_Chart!B2,0)</f>
        <v>0</v>
      </c>
      <c r="F2" t="e">
        <f>IF(Kutools_Chart!A2&gt;0,IF(Apoio!AK19&gt;0,Apoio!AK19,NA()),IF(Apoio!AK19&gt;0,IF((Apoio!AK19+Kutools_Chart!A2)&gt;0,Apoio!AK19+Kutools_Chart!A2,NA()),NA()))</f>
        <v>#N/A</v>
      </c>
      <c r="G2" t="e">
        <f>IF(ISNA(Kutools_Chart!F2),NA(),0)</f>
        <v>#N/A</v>
      </c>
      <c r="H2">
        <f>IF(ISNA(Kutools_Chart!I2),NA(),IF(ISNA(Kutools_Chart!M2),1,NA()))</f>
        <v>1</v>
      </c>
      <c r="I2">
        <f>-IF(Kutools_Chart!A2&gt;0,IF(Apoio!AK19&lt;0,Apoio!AK19,NA()),IF(Apoio!AK19&lt;0,IF((Kutools_Chart!A2-Apoio!AK19)&gt;0,-(Kutools_Chart!A2-Apoio!AK19),NA()),NA()))</f>
        <v>0.21232220152807812</v>
      </c>
      <c r="J2" t="e">
        <f>IF(ISNA(Kutools_Chart!K2),NA(),IF(ISNA(Kutools_Chart!F2),-1,NA()))</f>
        <v>#N/A</v>
      </c>
      <c r="K2" t="e">
        <f>IF(Kutools_Chart!B2&lt;0,IF(Apoio!AK19&gt;0,-Apoio!AK19,NA()),IF(Apoio!AK19&gt;0,IF((Kutools_Chart!B2-Apoio!AK19)&lt;0,Kutools_Chart!B2-Apoio!AK19,NA()),NA()))</f>
        <v>#N/A</v>
      </c>
      <c r="L2" t="e">
        <f>IF(Kutools_Chart!B2&lt;0,IF(Apoio!AK19&lt;0,Apoio!AK19,NA()),IF(Apoio!AK19&lt;0,IF((Kutools_Chart!B2+Apoio!AK19)&lt;0,Kutools_Chart!B2+Apoio!AK19,NA()),NA()))</f>
        <v>#N/A</v>
      </c>
      <c r="M2" t="e">
        <f>IF(ISNA(Kutools_Chart!L2),NA(),-1)</f>
        <v>#N/A</v>
      </c>
    </row>
    <row r="3" spans="1:13" x14ac:dyDescent="0.25">
      <c r="A3">
        <f>IF(Apoio!AK20&gt;0,SUM(Apoio!$AK$18:'Apoio'!AK19),SUM(Apoio!$AK$18:'Apoio'!AK20))</f>
        <v>0.65645802192199088</v>
      </c>
      <c r="B3">
        <f>IF(Apoio!AK20&lt;0,SUM(Apoio!$AK$18:'Apoio'!AK19),SUM(Apoio!$AK$18:'Apoio'!AK20))</f>
        <v>0.78767779847192188</v>
      </c>
      <c r="D3">
        <f>IF(Kutools_Chart!A3&gt;0,Kutools_Chart!A3,0)</f>
        <v>0.65645802192199088</v>
      </c>
      <c r="E3">
        <f>IF(Kutools_Chart!B3&lt;0,Kutools_Chart!B3,0)</f>
        <v>0</v>
      </c>
      <c r="F3" t="e">
        <f>IF(Kutools_Chart!A3&gt;0,IF(Apoio!AK20&gt;0,Apoio!AK20,NA()),IF(Apoio!AK20&gt;0,IF((Apoio!AK20+Kutools_Chart!A3)&gt;0,Apoio!AK20+Kutools_Chart!A3,NA()),NA()))</f>
        <v>#N/A</v>
      </c>
      <c r="G3" t="e">
        <f>IF(ISNA(Kutools_Chart!F3),NA(),0)</f>
        <v>#N/A</v>
      </c>
      <c r="H3">
        <f>IF(ISNA(Kutools_Chart!I3),NA(),IF(ISNA(Kutools_Chart!M3),1,NA()))</f>
        <v>1</v>
      </c>
      <c r="I3">
        <f>-IF(Kutools_Chart!A3&gt;0,IF(Apoio!AK20&lt;0,Apoio!AK20,NA()),IF(Apoio!AK20&lt;0,IF((Kutools_Chart!A3-Apoio!AK20)&gt;0,-(Kutools_Chart!A3-Apoio!AK20),NA()),NA()))</f>
        <v>0.131219776549931</v>
      </c>
      <c r="J3" t="e">
        <f>IF(ISNA(Kutools_Chart!K3),NA(),IF(ISNA(Kutools_Chart!F3),-1,NA()))</f>
        <v>#N/A</v>
      </c>
      <c r="K3" t="e">
        <f>IF(Kutools_Chart!B3&lt;0,IF(Apoio!AK20&gt;0,-Apoio!AK20,NA()),IF(Apoio!AK20&gt;0,IF((Kutools_Chart!B3-Apoio!AK20)&lt;0,Kutools_Chart!B3-Apoio!AK20,NA()),NA()))</f>
        <v>#N/A</v>
      </c>
      <c r="L3" t="e">
        <f>IF(Kutools_Chart!B3&lt;0,IF(Apoio!AK20&lt;0,Apoio!AK20,NA()),IF(Apoio!AK20&lt;0,IF((Kutools_Chart!B3+Apoio!AK20)&lt;0,Kutools_Chart!B3+Apoio!AK20,NA()),NA()))</f>
        <v>#N/A</v>
      </c>
      <c r="M3" t="e">
        <f>IF(ISNA(Kutools_Chart!L3),NA(),-1)</f>
        <v>#N/A</v>
      </c>
    </row>
    <row r="4" spans="1:13" x14ac:dyDescent="0.25">
      <c r="A4">
        <f>IF(Apoio!AK21&gt;0,SUM(Apoio!$AK$18:'Apoio'!AK20),SUM(Apoio!$AK$18:'Apoio'!AK21))</f>
        <v>0.46458673423227298</v>
      </c>
      <c r="B4">
        <f>IF(Apoio!AK21&lt;0,SUM(Apoio!$AK$18:'Apoio'!AK20),SUM(Apoio!$AK$18:'Apoio'!AK21))</f>
        <v>0.65645802192199088</v>
      </c>
      <c r="D4">
        <f>IF(Kutools_Chart!A4&gt;0,Kutools_Chart!A4,0)</f>
        <v>0.46458673423227298</v>
      </c>
      <c r="E4">
        <f>IF(Kutools_Chart!B4&lt;0,Kutools_Chart!B4,0)</f>
        <v>0</v>
      </c>
      <c r="F4" t="e">
        <f>IF(Kutools_Chart!A4&gt;0,IF(Apoio!AK21&gt;0,Apoio!AK21,NA()),IF(Apoio!AK21&gt;0,IF((Apoio!AK21+Kutools_Chart!A4)&gt;0,Apoio!AK21+Kutools_Chart!A4,NA()),NA()))</f>
        <v>#N/A</v>
      </c>
      <c r="G4" t="e">
        <f>IF(ISNA(Kutools_Chart!F4),NA(),0)</f>
        <v>#N/A</v>
      </c>
      <c r="H4">
        <f>IF(ISNA(Kutools_Chart!I4),NA(),IF(ISNA(Kutools_Chart!M4),1,NA()))</f>
        <v>1</v>
      </c>
      <c r="I4">
        <f>-IF(Kutools_Chart!A4&gt;0,IF(Apoio!AK21&lt;0,Apoio!AK21,NA()),IF(Apoio!AK21&lt;0,IF((Kutools_Chart!A4-Apoio!AK21)&gt;0,-(Kutools_Chart!A4-Apoio!AK21),NA()),NA()))</f>
        <v>0.1918712876897179</v>
      </c>
      <c r="J4" t="e">
        <f>IF(ISNA(Kutools_Chart!K4),NA(),IF(ISNA(Kutools_Chart!F4),-1,NA()))</f>
        <v>#N/A</v>
      </c>
      <c r="K4" t="e">
        <f>IF(Kutools_Chart!B4&lt;0,IF(Apoio!AK21&gt;0,-Apoio!AK21,NA()),IF(Apoio!AK21&gt;0,IF((Kutools_Chart!B4-Apoio!AK21)&lt;0,Kutools_Chart!B4-Apoio!AK21,NA()),NA()))</f>
        <v>#N/A</v>
      </c>
      <c r="L4" t="e">
        <f>IF(Kutools_Chart!B4&lt;0,IF(Apoio!AK21&lt;0,Apoio!AK21,NA()),IF(Apoio!AK21&lt;0,IF((Kutools_Chart!B4+Apoio!AK21)&lt;0,Kutools_Chart!B4+Apoio!AK21,NA()),NA()))</f>
        <v>#N/A</v>
      </c>
      <c r="M4" t="e">
        <f>IF(ISNA(Kutools_Chart!L4),NA(),-1)</f>
        <v>#N/A</v>
      </c>
    </row>
    <row r="5" spans="1:13" x14ac:dyDescent="0.25">
      <c r="A5">
        <f>IF(Apoio!AK22&gt;0,SUM(Apoio!$AK$18:'Apoio'!AK21),SUM(Apoio!$AK$18:'Apoio'!AK22))</f>
        <v>0.46458673423227298</v>
      </c>
      <c r="B5">
        <f>IF(Apoio!AK22&lt;0,SUM(Apoio!$AK$18:'Apoio'!AK21),SUM(Apoio!$AK$18:'Apoio'!AK22))</f>
        <v>0.49320843561820216</v>
      </c>
      <c r="D5">
        <f>IF(Kutools_Chart!A5&gt;0,Kutools_Chart!A5,0)</f>
        <v>0.46458673423227298</v>
      </c>
      <c r="E5">
        <f>IF(Kutools_Chart!B5&lt;0,Kutools_Chart!B5,0)</f>
        <v>0</v>
      </c>
      <c r="F5">
        <f>IF(Kutools_Chart!A5&gt;0,IF(Apoio!AK22&gt;0,Apoio!AK22,NA()),IF(Apoio!AK22&gt;0,IF((Apoio!AK22+Kutools_Chart!A5)&gt;0,Apoio!AK22+Kutools_Chart!A5,NA()),NA()))</f>
        <v>2.8621701385929173E-2</v>
      </c>
      <c r="G5">
        <f>IF(ISNA(Kutools_Chart!F5),NA(),0)</f>
        <v>0</v>
      </c>
      <c r="H5" t="e">
        <f>IF(ISNA(Kutools_Chart!I5),NA(),IF(ISNA(Kutools_Chart!M5),1,NA()))</f>
        <v>#N/A</v>
      </c>
      <c r="I5" t="e">
        <f>-IF(Kutools_Chart!A5&gt;0,IF(Apoio!AK22&lt;0,Apoio!AK22,NA()),IF(Apoio!AK22&lt;0,IF((Kutools_Chart!A5-Apoio!AK22)&gt;0,-(Kutools_Chart!A5-Apoio!AK22),NA()),NA()))</f>
        <v>#N/A</v>
      </c>
      <c r="J5" t="e">
        <f>IF(ISNA(Kutools_Chart!K5),NA(),IF(ISNA(Kutools_Chart!F5),-1,NA()))</f>
        <v>#N/A</v>
      </c>
      <c r="K5" t="e">
        <f>IF(Kutools_Chart!B5&lt;0,IF(Apoio!AK22&gt;0,-Apoio!AK22,NA()),IF(Apoio!AK22&gt;0,IF((Kutools_Chart!B5-Apoio!AK22)&lt;0,Kutools_Chart!B5-Apoio!AK22,NA()),NA()))</f>
        <v>#N/A</v>
      </c>
      <c r="L5" t="e">
        <f>IF(Kutools_Chart!B5&lt;0,IF(Apoio!AK22&lt;0,Apoio!AK22,NA()),IF(Apoio!AK22&lt;0,IF((Kutools_Chart!B5+Apoio!AK22)&lt;0,Kutools_Chart!B5+Apoio!AK22,NA()),NA()))</f>
        <v>#N/A</v>
      </c>
      <c r="M5" t="e">
        <f>IF(ISNA(Kutools_Chart!L5),NA(),-1)</f>
        <v>#N/A</v>
      </c>
    </row>
    <row r="6" spans="1:13" x14ac:dyDescent="0.25">
      <c r="A6">
        <f>IF(Apoio!AK23&gt;0,SUM(Apoio!$AK$18:'Apoio'!AK22),SUM(Apoio!$AK$18:'Apoio'!AK23))</f>
        <v>0.48829791305266812</v>
      </c>
      <c r="B6">
        <f>IF(Apoio!AK23&lt;0,SUM(Apoio!$AK$18:'Apoio'!AK22),SUM(Apoio!$AK$18:'Apoio'!AK23))</f>
        <v>0.49320843561820216</v>
      </c>
      <c r="D6">
        <f>IF(Kutools_Chart!A6&gt;0,Kutools_Chart!A6,0)</f>
        <v>0.48829791305266812</v>
      </c>
      <c r="E6">
        <f>IF(Kutools_Chart!B6&lt;0,Kutools_Chart!B6,0)</f>
        <v>0</v>
      </c>
      <c r="F6" t="e">
        <f>IF(Kutools_Chart!A6&gt;0,IF(Apoio!AK23&gt;0,Apoio!AK23,NA()),IF(Apoio!AK23&gt;0,IF((Apoio!AK23+Kutools_Chart!A6)&gt;0,Apoio!AK23+Kutools_Chart!A6,NA()),NA()))</f>
        <v>#N/A</v>
      </c>
      <c r="G6" t="e">
        <f>IF(ISNA(Kutools_Chart!F6),NA(),0)</f>
        <v>#N/A</v>
      </c>
      <c r="H6">
        <f>IF(ISNA(Kutools_Chart!I6),NA(),IF(ISNA(Kutools_Chart!M6),1,NA()))</f>
        <v>1</v>
      </c>
      <c r="I6">
        <f>-IF(Kutools_Chart!A6&gt;0,IF(Apoio!AK23&lt;0,Apoio!AK23,NA()),IF(Apoio!AK23&lt;0,IF((Kutools_Chart!A6-Apoio!AK23)&gt;0,-(Kutools_Chart!A6-Apoio!AK23),NA()),NA()))</f>
        <v>4.9105225655340567E-3</v>
      </c>
      <c r="J6" t="e">
        <f>IF(ISNA(Kutools_Chart!K6),NA(),IF(ISNA(Kutools_Chart!F6),-1,NA()))</f>
        <v>#N/A</v>
      </c>
      <c r="K6" t="e">
        <f>IF(Kutools_Chart!B6&lt;0,IF(Apoio!AK23&gt;0,-Apoio!AK23,NA()),IF(Apoio!AK23&gt;0,IF((Kutools_Chart!B6-Apoio!AK23)&lt;0,Kutools_Chart!B6-Apoio!AK23,NA()),NA()))</f>
        <v>#N/A</v>
      </c>
      <c r="L6" t="e">
        <f>IF(Kutools_Chart!B6&lt;0,IF(Apoio!AK23&lt;0,Apoio!AK23,NA()),IF(Apoio!AK23&lt;0,IF((Kutools_Chart!B6+Apoio!AK23)&lt;0,Kutools_Chart!B6+Apoio!AK23,NA()),NA()))</f>
        <v>#N/A</v>
      </c>
      <c r="M6" t="e">
        <f>IF(ISNA(Kutools_Chart!L6),NA(),-1)</f>
        <v>#N/A</v>
      </c>
    </row>
    <row r="7" spans="1:13" x14ac:dyDescent="0.25">
      <c r="A7">
        <f>IF(Apoio!AK24&gt;0,SUM(Apoio!$AK$18:'Apoio'!AK23),SUM(Apoio!$AK$18:'Apoio'!AK24))</f>
        <v>0.48829791305266812</v>
      </c>
      <c r="B7">
        <f>IF(Apoio!AK24&lt;0,SUM(Apoio!$AK$18:'Apoio'!AK23),SUM(Apoio!$AK$18:'Apoio'!AK24))</f>
        <v>0.48829791305266812</v>
      </c>
      <c r="D7">
        <f>IF(Kutools_Chart!A7&gt;0,Kutools_Chart!A7,0)</f>
        <v>0.48829791305266812</v>
      </c>
      <c r="E7">
        <f>IF(Kutools_Chart!B7&lt;0,Kutools_Chart!B7,0)</f>
        <v>0</v>
      </c>
      <c r="F7" t="e">
        <f>IF(Kutools_Chart!A7&gt;0,IF(Apoio!AK24&gt;0,Apoio!AK24,NA()),IF(Apoio!AK24&gt;0,IF((Apoio!AK24+Kutools_Chart!A7)&gt;0,Apoio!AK24+Kutools_Chart!A7,NA()),NA()))</f>
        <v>#N/A</v>
      </c>
      <c r="G7" t="e">
        <f>IF(ISNA(Kutools_Chart!F7),NA(),0)</f>
        <v>#N/A</v>
      </c>
      <c r="H7" t="e">
        <f>IF(ISNA(Kutools_Chart!I7),NA(),IF(ISNA(Kutools_Chart!M7),1,NA()))</f>
        <v>#N/A</v>
      </c>
      <c r="I7" t="e">
        <f>-IF(Kutools_Chart!A7&gt;0,IF(Apoio!AK24&lt;0,Apoio!AK24,NA()),IF(Apoio!AK24&lt;0,IF((Kutools_Chart!A7-Apoio!AK24)&gt;0,-(Kutools_Chart!A7-Apoio!AK24),NA()),NA()))</f>
        <v>#N/A</v>
      </c>
      <c r="J7" t="e">
        <f>IF(ISNA(Kutools_Chart!K7),NA(),IF(ISNA(Kutools_Chart!F7),-1,NA()))</f>
        <v>#N/A</v>
      </c>
      <c r="K7" t="e">
        <f>IF(Kutools_Chart!B7&lt;0,IF(Apoio!AK24&gt;0,-Apoio!AK24,NA()),IF(Apoio!AK24&gt;0,IF((Kutools_Chart!B7-Apoio!AK24)&lt;0,Kutools_Chart!B7-Apoio!AK24,NA()),NA()))</f>
        <v>#N/A</v>
      </c>
      <c r="L7" t="e">
        <f>IF(Kutools_Chart!B7&lt;0,IF(Apoio!AK24&lt;0,Apoio!AK24,NA()),IF(Apoio!AK24&lt;0,IF((Kutools_Chart!B7+Apoio!AK24)&lt;0,Kutools_Chart!B7+Apoio!AK24,NA()),NA()))</f>
        <v>#N/A</v>
      </c>
      <c r="M7" t="e">
        <f>IF(ISNA(Kutools_Chart!L7),NA(),-1)</f>
        <v>#N/A</v>
      </c>
    </row>
    <row r="8" spans="1:13" x14ac:dyDescent="0.25">
      <c r="A8" t="e">
        <f>NA()</f>
        <v>#N/A</v>
      </c>
      <c r="B8" t="e">
        <f>NA()</f>
        <v>#N/A</v>
      </c>
      <c r="C8" s="17">
        <f>Apoio!AK25</f>
        <v>0.48829791305266812</v>
      </c>
      <c r="D8" t="e">
        <f>NA()</f>
        <v>#N/A</v>
      </c>
      <c r="E8" t="e">
        <f>NA()</f>
        <v>#N/A</v>
      </c>
      <c r="F8" t="e">
        <f>NA()</f>
        <v>#N/A</v>
      </c>
      <c r="G8" t="e">
        <f>NA()</f>
        <v>#N/A</v>
      </c>
      <c r="H8" t="e">
        <f>NA()</f>
        <v>#N/A</v>
      </c>
      <c r="I8" t="e">
        <f>NA()</f>
        <v>#N/A</v>
      </c>
      <c r="J8" t="e">
        <f>NA()</f>
        <v>#N/A</v>
      </c>
      <c r="K8" t="e">
        <f>NA()</f>
        <v>#N/A</v>
      </c>
      <c r="L8" t="e">
        <f>NA()</f>
        <v>#N/A</v>
      </c>
      <c r="M8" t="e">
        <f>NA()</f>
        <v>#N/A</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7</vt:i4>
      </vt:variant>
    </vt:vector>
  </HeadingPairs>
  <TitlesOfParts>
    <vt:vector size="7" baseType="lpstr">
      <vt:lpstr>off</vt:lpstr>
      <vt:lpstr>Aux</vt:lpstr>
      <vt:lpstr>Dashboard</vt:lpstr>
      <vt:lpstr>DRE</vt:lpstr>
      <vt:lpstr>DataBase</vt:lpstr>
      <vt:lpstr>Apoio</vt:lpstr>
      <vt:lpstr>Kutools_Chart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Matheus Hags</dc:creator>
  <cp:lastModifiedBy>Matheus Hags</cp:lastModifiedBy>
  <dcterms:created xsi:type="dcterms:W3CDTF">2022-01-26T20:23:23Z</dcterms:created>
  <dcterms:modified xsi:type="dcterms:W3CDTF">2022-03-18T21:52:28Z</dcterms:modified>
</cp:coreProperties>
</file>